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vemobilidad-my.sharepoint.com/personal/carlos_galvez_vemo_com_mx/Documents/FP&amp;A/1. Fundraise/OIC/0. VF/2026/VCN/"/>
    </mc:Choice>
  </mc:AlternateContent>
  <xr:revisionPtr revIDLastSave="4787" documentId="8_{51FD6A54-A62C-4C1E-A28F-A58EA962371E}" xr6:coauthVersionLast="47" xr6:coauthVersionMax="47" xr10:uidLastSave="{7AD2449F-EB9D-49C0-BBD8-72262EBD01D7}"/>
  <bookViews>
    <workbookView visibility="hidden" xWindow="-110" yWindow="-110" windowWidth="19420" windowHeight="11500" firstSheet="6" activeTab="6" xr2:uid="{A74D271D-B279-4003-960B-344B5025F72E}"/>
    <workbookView xWindow="28680" yWindow="-120" windowWidth="29040" windowHeight="15720" firstSheet="1" activeTab="7" xr2:uid="{3203482F-7837-4104-ABED-519623D5C947}"/>
  </bookViews>
  <sheets>
    <sheet name="Validations" sheetId="23" r:id="rId1"/>
    <sheet name="Cover" sheetId="2" r:id="rId2"/>
    <sheet name="Hoja1" sheetId="16" state="hidden" r:id="rId3"/>
    <sheet name="Scenarios" sheetId="3" r:id="rId4"/>
    <sheet name="Data BASE" sheetId="6" r:id="rId5"/>
    <sheet name="Managerial Consolidated" sheetId="7" r:id="rId6"/>
    <sheet name="VCN Board View (Budget) " sheetId="21" r:id="rId7"/>
    <sheet name="VCN Board View (Details) Nuevo" sheetId="30" r:id="rId8"/>
    <sheet name="Board Tabs Outputs" sheetId="9" r:id="rId9"/>
    <sheet name="Inputs" sheetId="12" r:id="rId10"/>
    <sheet name="Rentas Budget" sheetId="25" r:id="rId11"/>
    <sheet name="Proyectos no ejecutados" sheetId="28" r:id="rId12"/>
    <sheet name="Mapping" sheetId="13" r:id="rId13"/>
    <sheet name="SG&amp;A &amp; OPEX" sheetId="11" state="hidden" r:id="rId14"/>
  </sheets>
  <externalReferences>
    <externalReference r:id="rId15"/>
  </externalReferences>
  <definedNames>
    <definedName name="________OCT0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_____OCT0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____OCT0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___OCT0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__OCT0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_1__123Graph_AChart_1A" localSheetId="13" hidden="1">#REF!</definedName>
    <definedName name="__1__123Graph_AChart_1A" hidden="1">#REF!</definedName>
    <definedName name="__10__123Graph_XChart_2A" hidden="1">#REF!</definedName>
    <definedName name="__11__123Graph_XChart_3A" hidden="1">#REF!</definedName>
    <definedName name="__123Graph_A" localSheetId="13" hidden="1">#REF!</definedName>
    <definedName name="__123Graph_A" hidden="1">#REF!</definedName>
    <definedName name="__123Graph_AChart1" localSheetId="13" hidden="1">#REF!</definedName>
    <definedName name="__123Graph_AChart1" hidden="1">#REF!</definedName>
    <definedName name="__123Graph_AChart2" localSheetId="13" hidden="1">#REF!</definedName>
    <definedName name="__123Graph_AChart2" hidden="1">#REF!</definedName>
    <definedName name="__123Graph_AChart3" localSheetId="13" hidden="1">#REF!</definedName>
    <definedName name="__123Graph_AChart3" hidden="1">#REF!</definedName>
    <definedName name="__123Graph_AChart4" localSheetId="13" hidden="1">#REF!</definedName>
    <definedName name="__123Graph_AChart4" hidden="1">#REF!</definedName>
    <definedName name="__123Graph_ACurrent" localSheetId="13" hidden="1">#REF!</definedName>
    <definedName name="__123Graph_ACurrent" hidden="1">#REF!</definedName>
    <definedName name="__123Graph_ATHASIA92" localSheetId="13" hidden="1">#REF!</definedName>
    <definedName name="__123Graph_ATHASIA92" hidden="1">#REF!</definedName>
    <definedName name="__123Graph_B" localSheetId="13" hidden="1">#REF!</definedName>
    <definedName name="__123Graph_B" hidden="1">#REF!</definedName>
    <definedName name="__123Graph_BChart1" localSheetId="13" hidden="1">#REF!</definedName>
    <definedName name="__123Graph_BChart1" hidden="1">#REF!</definedName>
    <definedName name="__123Graph_BChart2" localSheetId="13" hidden="1">#REF!</definedName>
    <definedName name="__123Graph_BChart2" hidden="1">#REF!</definedName>
    <definedName name="__123Graph_BChart3" localSheetId="13" hidden="1">#REF!</definedName>
    <definedName name="__123Graph_BChart3" hidden="1">#REF!</definedName>
    <definedName name="__123Graph_BChart4" localSheetId="13" hidden="1">#REF!</definedName>
    <definedName name="__123Graph_BChart4" hidden="1">#REF!</definedName>
    <definedName name="__123Graph_BCurrent" localSheetId="13" hidden="1">#REF!</definedName>
    <definedName name="__123Graph_BCurrent" hidden="1">#REF!</definedName>
    <definedName name="__123Graph_BTHASIA92" localSheetId="13" hidden="1">#REF!</definedName>
    <definedName name="__123Graph_BTHASIA92" hidden="1">#REF!</definedName>
    <definedName name="__123Graph_CChart4" localSheetId="13" hidden="1">#REF!</definedName>
    <definedName name="__123Graph_CChart4" hidden="1">#REF!</definedName>
    <definedName name="__123Graph_D" hidden="1">#REF!</definedName>
    <definedName name="__123Graph_DChart4" localSheetId="13" hidden="1">#REF!</definedName>
    <definedName name="__123Graph_DChart4" hidden="1">#REF!</definedName>
    <definedName name="__123Graph_E" hidden="1">#REF!</definedName>
    <definedName name="__123Graph_F" hidden="1">#REF!</definedName>
    <definedName name="__123Graph_X" localSheetId="13" hidden="1">#REF!</definedName>
    <definedName name="__123Graph_X" hidden="1">#REF!</definedName>
    <definedName name="__123Graph_XChart1" localSheetId="13" hidden="1">#REF!</definedName>
    <definedName name="__123Graph_XChart1" hidden="1">#REF!</definedName>
    <definedName name="__123Graph_XChart2" localSheetId="13" hidden="1">#REF!</definedName>
    <definedName name="__123Graph_XChart2" hidden="1">#REF!</definedName>
    <definedName name="__123Graph_XChart3" localSheetId="13" hidden="1">#REF!</definedName>
    <definedName name="__123Graph_XChart3" hidden="1">#REF!</definedName>
    <definedName name="__123Graph_XChart4" localSheetId="13" hidden="1">#REF!</definedName>
    <definedName name="__123Graph_XChart4" hidden="1">#REF!</definedName>
    <definedName name="__123Graph_XCurrent" localSheetId="13" hidden="1">#REF!</definedName>
    <definedName name="__123Graph_XCurrent" hidden="1">#REF!</definedName>
    <definedName name="__123Graph_XTHASIA92" localSheetId="13" hidden="1">#REF!</definedName>
    <definedName name="__123Graph_XTHASIA92" hidden="1">#REF!</definedName>
    <definedName name="__2__123Graph_AChart_2A" localSheetId="13" hidden="1">#REF!</definedName>
    <definedName name="__2__123Graph_AChart_2A" hidden="1">#REF!</definedName>
    <definedName name="__3__123Graph_AChart_3A" localSheetId="13" hidden="1">#REF!</definedName>
    <definedName name="__3__123Graph_AChart_3A" hidden="1">#REF!</definedName>
    <definedName name="__4__123Graph_BChart_1A" localSheetId="13" hidden="1">#REF!</definedName>
    <definedName name="__4__123Graph_BChart_1A" hidden="1">#REF!</definedName>
    <definedName name="__5__123Graph_BChart_2A" localSheetId="13" hidden="1">#REF!</definedName>
    <definedName name="__5__123Graph_BChart_2A" hidden="1">#REF!</definedName>
    <definedName name="__6__123Graph_BChart_3A" localSheetId="13" hidden="1">#REF!</definedName>
    <definedName name="__6__123Graph_BChart_3A" hidden="1">#REF!</definedName>
    <definedName name="__7__123Graph_CChart_1A" localSheetId="13" hidden="1">#REF!</definedName>
    <definedName name="__7__123Graph_CChart_1A" hidden="1">#REF!</definedName>
    <definedName name="__8__123Graph_CChart_2A" localSheetId="13" hidden="1">#REF!</definedName>
    <definedName name="__8__123Graph_CChart_2A" hidden="1">#REF!</definedName>
    <definedName name="__9__123Graph_XChart_1A" localSheetId="13" hidden="1">#REF!</definedName>
    <definedName name="__9__123Graph_XChart_1A" hidden="1">#REF!</definedName>
    <definedName name="__DCF1" hidden="1">{#N/A,#N/A,FALSE,"DCF Summary";#N/A,#N/A,FALSE,"Casema";#N/A,#N/A,FALSE,"Casema NoTel";#N/A,#N/A,FALSE,"UK";#N/A,#N/A,FALSE,"RCF";#N/A,#N/A,FALSE,"Intercable CZ";#N/A,#N/A,FALSE,"Interkabel P"}</definedName>
    <definedName name="__FDS_HYPERLINK_TOGGLE_STATE__" hidden="1">"ON"</definedName>
    <definedName name="__FDS_UNIQUE_RANGE_ID_GENERATOR_COUNTER" hidden="1">1</definedName>
    <definedName name="__FDS_USED_FOR_REUSING_RANGE_IDS_RECYCLE" hidden="1">{26,27,3}</definedName>
    <definedName name="__OCT0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1__123Graph_AChart_1A" localSheetId="13" hidden="1">#REF!</definedName>
    <definedName name="_1__123Graph_AChart_1A" hidden="1">#REF!</definedName>
    <definedName name="_1__123Graph_AGráfico_4A" hidden="1">#REF!</definedName>
    <definedName name="_1__123Graph_BCHART_5" hidden="1">#REF!</definedName>
    <definedName name="_1__FDSAUDITLINK__" hidden="1">{"fdsup://IBCentral/FAT Viewer?action=UPDATE&amp;creator=factset&amp;DOC_NAME=fat:reuters_qtrly_source_window.fat&amp;display_string=Audit&amp;DYN_ARGS=TRUE&amp;VAR:ID1=91290910&amp;VAR:RCODE=STLD&amp;VAR:SDATE=20110699&amp;VAR:FREQ=Quarterly&amp;VAR:RELITEM=RP&amp;VAR:CURRENCY=&amp;VAR:CURRSOURCE=EX","SHARE&amp;VAR:NATFREQ=QUARTERLY&amp;VAR:RFIELD=FINALIZED&amp;VAR:DB_TYPE=&amp;VAR:UNITS=M&amp;window=popup&amp;width=450&amp;height=300&amp;START_MAXIMIZED=FALSE"}</definedName>
    <definedName name="_10__123Graph_AGráfico_4A" hidden="1">#REF!</definedName>
    <definedName name="_10__123Graph_BChart_2A" localSheetId="13" hidden="1">#REF!</definedName>
    <definedName name="_10__123Graph_BChart_2A" hidden="1">#REF!</definedName>
    <definedName name="_10__123Graph_XChart_2A" localSheetId="13" hidden="1">#REF!</definedName>
    <definedName name="_10__123Graph_XChart_2A" hidden="1">#REF!</definedName>
    <definedName name="_11__123Graph_BCHART_1" hidden="1">#REF!</definedName>
    <definedName name="_11__123Graph_BChart_3A" localSheetId="13" hidden="1">#REF!</definedName>
    <definedName name="_11__123Graph_BChart_3A" hidden="1">#REF!</definedName>
    <definedName name="_11__123Graph_XChart_3A" localSheetId="13" hidden="1">#REF!</definedName>
    <definedName name="_11__123Graph_XChart_3A" hidden="1">#REF!</definedName>
    <definedName name="_11B____123Graph_XGráfico" hidden="1">#REF!</definedName>
    <definedName name="_12__123Graph_BCHART_2" hidden="1">#REF!</definedName>
    <definedName name="_12__FDSAUDITLINK__"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2_B_0__123Graph_XGráfico" hidden="1">#REF!</definedName>
    <definedName name="_12B_0__123Graph_XGráfico" hidden="1">#REF!</definedName>
    <definedName name="_13__123Graph_BCHART_3" hidden="1">#REF!</definedName>
    <definedName name="_1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4__123Graph_AGráfico_4A" hidden="1">#REF!</definedName>
    <definedName name="_14__123Graph_BCHART_4" hidden="1">#REF!</definedName>
    <definedName name="_14__FDSAUDITLINK__"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41B_0__123Graph_XGráfico" hidden="1">#REF!</definedName>
    <definedName name="_15__123Graph_AGráfico_4A" hidden="1">#REF!</definedName>
    <definedName name="_15__123Graph_BCHART_5" hidden="1">#REF!</definedName>
    <definedName name="_1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56__123Graph_XCHART_3" hidden="1">#REF!</definedName>
    <definedName name="_157__123Graph_XCHART_4" hidden="1">#REF!</definedName>
    <definedName name="_158__123Graph_XCHART_5" hidden="1">#REF!</definedName>
    <definedName name="_16__123Graph_BGráfico_4A" hidden="1">#REF!</definedName>
    <definedName name="_16B____123Graph_XGráfico" hidden="1">#REF!</definedName>
    <definedName name="_17__123Graph_CChart_1A" localSheetId="13" hidden="1">#REF!</definedName>
    <definedName name="_17__123Graph_CChart_1A" hidden="1">#REF!</definedName>
    <definedName name="_17__123Graph_XCHART_2" hidden="1">#REF!</definedName>
    <definedName name="_17B_0__123Graph_XGráfico" hidden="1">#REF!</definedName>
    <definedName name="_18__123Graph_CChart_2A" localSheetId="13" hidden="1">#REF!</definedName>
    <definedName name="_18__123Graph_CChart_2A" hidden="1">#REF!</definedName>
    <definedName name="_18__123Graph_XCHART_3" hidden="1">#REF!</definedName>
    <definedName name="_18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183B_0__123Graph_XGráfico" hidden="1">#REF!</definedName>
    <definedName name="_184B_0__123Graph_XGráfico" hidden="1">#REF!</definedName>
    <definedName name="_185B_0__123Graph_XGráfico" hidden="1">#REF!</definedName>
    <definedName name="_19__123Graph_BGráfico_4A" hidden="1">#REF!</definedName>
    <definedName name="_19__123Graph_XChart_1A" localSheetId="13" hidden="1">#REF!</definedName>
    <definedName name="_19__123Graph_XChart_1A" hidden="1">#REF!</definedName>
    <definedName name="_19__123Graph_XCHART_4" hidden="1">#REF!</definedName>
    <definedName name="_1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__123Graph_AChart_2A" localSheetId="13" hidden="1">#REF!</definedName>
    <definedName name="_2__123Graph_AChart_2A" hidden="1">#REF!</definedName>
    <definedName name="_2__123Graph_BGráfico_4A" hidden="1">#REF!</definedName>
    <definedName name="_2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0__123Graph_XChart_2A" localSheetId="13" hidden="1">#REF!</definedName>
    <definedName name="_20__123Graph_XChart_2A" hidden="1">#REF!</definedName>
    <definedName name="_20__123Graph_XCHART_5" hidden="1">#REF!</definedName>
    <definedName name="_20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1__123Graph_BGráfico_4A" hidden="1">#REF!</definedName>
    <definedName name="_21__123Graph_XChart_3A" localSheetId="13" hidden="1">#REF!</definedName>
    <definedName name="_21__123Graph_XChart_3A" hidden="1">#REF!</definedName>
    <definedName name="_21__123Graph_XGráfico_4A" hidden="1">#REF!</definedName>
    <definedName name="_21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2_0_0_F" hidden="1">#REF!</definedName>
    <definedName name="_2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31" hidden="1">#REF!</definedName>
    <definedName name="_24__123Graph_AGráfico_4A" hidden="1">#REF!</definedName>
    <definedName name="_24__123Graph_XGráfico_4A" hidden="1">#REF!</definedName>
    <definedName name="_24__FDSAUDITLINK__" hidden="1">{"fdsup://IBCentral/FAT Viewer?action=UPDATE&amp;creator=factset&amp;DOC_NAME=fat:reuters_qtrly_source_window.fat&amp;display_string=Audit&amp;DYN_ARGS=TRUE&amp;VAR:ID1=91290910&amp;VAR:RCODE=STLD&amp;VAR:SDATE=20120699&amp;VAR:FREQ=Quarterly&amp;VAR:RELITEM=RP&amp;VAR:CURRENCY=&amp;VAR:CURRSOURCE=EX","SHARE&amp;VAR:NATFREQ=QUARTERLY&amp;VAR:RFIELD=FINALIZED&amp;VAR:DB_TYPE=&amp;VAR:UNITS=M&amp;window=popup&amp;width=450&amp;height=300&amp;START_MAXIMIZED=FALSE"}</definedName>
    <definedName name="_24_4____123Grap" hidden="1">#REF!</definedName>
    <definedName name="_2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5_4_0__123Grap" hidden="1">#REF!</definedName>
    <definedName name="_27__123Graph_AGráfico_4A" hidden="1">#REF!</definedName>
    <definedName name="_27__123Graph_XGráfico_4A" hidden="1">#REF!</definedName>
    <definedName name="_28__123Graph_BGráfico_4A" hidden="1">#REF!</definedName>
    <definedName name="_28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___123Graph_AGráfico_4A" hidden="1">#REF!</definedName>
    <definedName name="_3__123Graph_AChart_3A" localSheetId="13" hidden="1">#REF!</definedName>
    <definedName name="_3__123Graph_AChart_3A" hidden="1">#REF!</definedName>
    <definedName name="_3__123Graph_AGráfico_4A" hidden="1">#REF!</definedName>
    <definedName name="_3__123Graph_XGráfico_4A" hidden="1">#REF!</definedName>
    <definedName name="_30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1__123Graph_BGráfico_4A" hidden="1">#REF!</definedName>
    <definedName name="_31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1_4____123Grap" hidden="1">#REF!</definedName>
    <definedName name="_32__123Graph_XGráfico_4A" hidden="1">#REF!</definedName>
    <definedName name="_32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5__123Graph_XGráfico_4A" hidden="1">#REF!</definedName>
    <definedName name="_3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5B____123Graph_XGráfico" hidden="1">#REF!</definedName>
    <definedName name="_36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6B_0__123Graph_XGráfico" hidden="1">#REF!</definedName>
    <definedName name="_3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8__FDSAUDITLINK__" hidden="1">{"fdsup://IBCentral/FAT Viewer?action=UPDATE&amp;creator=factset&amp;DOC_NAME=fat:reuters_semi_source_window.fat&amp;display_string=Audit&amp;DYN_ARGS=TRUE&amp;VAR:ID1=NUE&amp;VAR:RCODE=FDSPFDSTKTOTAL&amp;VAR:SDATE=0&amp;VAR:FREQ=FSA&amp;VAR:RELITEM=RP&amp;VAR:CURRENCY=&amp;VAR:CURRSOURCE=EXSHARE&amp;VAR",":NATFREQ=FSA&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67034610&amp;VAR:RCODE=STLD&amp;VAR:SDATE=20081299&amp;VAR:FREQ=Quarterly&amp;VAR:RELITEM=RP&amp;VAR:CURRENCY=&amp;VAR:CURRSOURCE=EX","SHARE&amp;VAR:NATFREQ=QUARTERLY&amp;VAR:RFIELD=FINALIZED&amp;VAR:DB_TYPE=&amp;VAR:UNITS=M&amp;window=popup&amp;width=450&amp;height=300&amp;START_MAXIMIZED=FALSE"}</definedName>
    <definedName name="_4___123Graph_BGráfico_4A" hidden="1">#REF!</definedName>
    <definedName name="_4__123Graph_BChart_1A" localSheetId="13" hidden="1">#REF!</definedName>
    <definedName name="_4__123Graph_BChart_1A" hidden="1">#REF!</definedName>
    <definedName name="_4__123Graph_BGráfico_4A" hidden="1">#REF!</definedName>
    <definedName name="_4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4_4____123Grap" hidden="1">#REF!</definedName>
    <definedName name="_40__FDSAUDITLINK__" hidden="1">{"fdsup://IBCentral/FAT Viewer?action=UPDATE&amp;creator=factset&amp;DOC_NAME=fat:reuters_qtrly_source_window.fat&amp;display_string=Audit&amp;DYN_ARGS=TRUE&amp;VAR:ID1=00154710&amp;VAR:RCODE=STLD&amp;VAR:SDATE=20081299&amp;VAR:FREQ=Quarterly&amp;VAR:RELITEM=RP&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semi_source_window.fat&amp;display_string=Audit&amp;DYN_ARGS=TRUE&amp;VAR:ID1=TK&amp;VAR:RCODE=FDSPFDSTKTOTAL&amp;VAR:SDATE=0&amp;VAR:FREQ=FSA&amp;VAR:RELITEM=RP&amp;VAR:CURRENCY=&amp;VAR:CURRSOURCE=EXSHARE&amp;VAR:","NATFREQ=FSA&amp;VAR:RFIELD=FINALIZED&amp;VAR:DB_TYPE=&amp;VAR:UNITS=M&amp;window=popup&amp;width=450&amp;height=300&amp;START_MAXIMIZED=FALSE"}</definedName>
    <definedName name="_43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43_4_0__123Grap" hidden="1">#REF!</definedName>
    <definedName name="_44__FDSAUDITLINK__"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44_4_0__123Grap" hidden="1">#REF!</definedName>
    <definedName name="_45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4_0__123Grap" hidden="1">#REF!</definedName>
    <definedName name="_47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___123Graph_XGráfico_4A" hidden="1">#REF!</definedName>
    <definedName name="_5__123Graph_ACHART_1" hidden="1">#REF!</definedName>
    <definedName name="_5__123Graph_BChart_2A" localSheetId="13" hidden="1">#REF!</definedName>
    <definedName name="_5__123Graph_BChart_2A" hidden="1">#REF!</definedName>
    <definedName name="_5__123Graph_XGráfico_4A" hidden="1">#REF!</definedName>
    <definedName name="_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5_4_0__123Grap" hidden="1">#REF!</definedName>
    <definedName name="_50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59_4_0__123Grap" hidden="1">#REF!</definedName>
    <definedName name="_6__123Graph_ACHART_2" hidden="1">#REF!</definedName>
    <definedName name="_6__123Graph_BChart_3A" localSheetId="13" hidden="1">#REF!</definedName>
    <definedName name="_6__123Graph_BChart_3A" hidden="1">#REF!</definedName>
    <definedName name="_6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6_4____123Grap" hidden="1">#REF!</definedName>
    <definedName name="_60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semi_source_window.fat&amp;display_string=Audit&amp;DYN_ARGS=TRUE&amp;VAR:ID1=AKS&amp;VAR:RCODE=FDSPFDSTKTOTAL&amp;VAR:SDATE=0&amp;VAR:FREQ=FSA&amp;VAR:RELITEM=RP&amp;VAR:CURRENCY=&amp;VAR:CURRSOURCE=EXSHARE&amp;VAR",":NATFREQ=FSA&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Y8564W10&amp;VAR:RCODE=STLD&amp;VAR:SDATE=20080999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85206110&amp;VAR:RCODE=STLD&amp;VAR:SDATE=20090399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semi_source_window.fat&amp;display_string=Audit&amp;DYN_ARGS=TRUE&amp;VAR:ID1=S&amp;VAR:RCODE=FDSPFDSTKTOTAL&amp;VAR:SDATE=0&amp;VAR:FREQ=FSA&amp;VAR:RELITEM=RP&amp;VAR:CURRENCY=&amp;VAR:CURRSOURCE=EXSHARE&amp;VAR:N","ATFREQ=FSA&amp;VAR:RFIELD=FINALIZED&amp;VAR:DB_TYPE=&amp;VAR:UNITS=M&amp;window=popup&amp;width=450&amp;height=300&amp;START_MAXIMIZED=FALSE"}</definedName>
    <definedName name="_66__FDSAUDITLINK__"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67__FDSAUDITLINK__"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8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8_4_0__123Grap" hidden="1">#REF!</definedName>
    <definedName name="_69__FDSAUDITLINK__"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9_4_0__123Grap" hidden="1">#REF!</definedName>
    <definedName name="_6B____123Graph_XGráfico" hidden="1">#REF!</definedName>
    <definedName name="_7__123Graph_ACHART_3" hidden="1">#REF!</definedName>
    <definedName name="_7__123Graph_CChart_1A" localSheetId="13" hidden="1">#REF!</definedName>
    <definedName name="_7__123Graph_CChart_1A" hidden="1">#REF!</definedName>
    <definedName name="_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7_4_0__123Grap" hidden="1">#REF!</definedName>
    <definedName name="_70__FDSAUDITLINK__" hidden="1">{"fdsup://IBCentral/FAT Viewer?action=UPDATE&amp;creator=factset&amp;DOC_NAME=fat:reuters_semi_shs_src_window.fat&amp;display_string=Audit&amp;DYN_ARGS=TRUE&amp;VAR:ID1=332520&amp;VAR:RCODE=FDSSHSOUTDEPS&amp;VAR:SDATE=0&amp;VAR:FREQ=FSA&amp;VAR:RELITEM=RP&amp;VAR:CURRENCY=&amp;VAR:CURRSOURCE=EXSHARE&amp;","VAR:NATFREQ=FSA&amp;VAR:RFIELD=FINALIZED&amp;VAR:DB_TYPE=&amp;VAR:UNITS=M&amp;window=popup&amp;width=450&amp;height=300&amp;START_MAXIMIZED=FALSE"}</definedName>
    <definedName name="_70_4_0__123Grap" hidden="1">#REF!</definedName>
    <definedName name="_74__FDSAUDITLINK__"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76__FDSAUDITLINK__"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7B_0__123Graph_XGráfico" hidden="1">#REF!</definedName>
    <definedName name="_8__123Graph_ACHART_4" hidden="1">#REF!</definedName>
    <definedName name="_8__123Graph_CChart_2A" localSheetId="13" hidden="1">#REF!</definedName>
    <definedName name="_8__123Graph_CChart_2A" hidden="1">#REF!</definedName>
    <definedName name="_8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84B____123Graph_XGráfico" hidden="1">#REF!</definedName>
    <definedName name="_89B_0__123Graph_XGráfico" hidden="1">#REF!</definedName>
    <definedName name="_9__123Graph_ACHART_5" hidden="1">#REF!</definedName>
    <definedName name="_9__123Graph_BChart_1A" localSheetId="13" hidden="1">#REF!</definedName>
    <definedName name="_9__123Graph_BChart_1A" hidden="1">#REF!</definedName>
    <definedName name="_9__123Graph_XChart_1A" localSheetId="13" hidden="1">#REF!</definedName>
    <definedName name="_9__123Graph_XChart_1A" hidden="1">#REF!</definedName>
    <definedName name="_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3__FDSAUDITLINK__" hidden="1">{"fdsup://IBCentral/FAT Viewer?action=UPDATE&amp;creator=factset&amp;DOC_NAME=fat:reuters_qtrly_shs_src_window.fat&amp;display_string=Audit&amp;DYN_ARGS=TRUE&amp;VAR:ID1=91290910&amp;VAR:RCODE=FDSSHSOUTDEPS&amp;VAR:SDATE=20091299&amp;VAR:FREQ=Quarterly&amp;VAR:RELITEM=RP&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91290910&amp;VAR:RCODE=STLD&amp;VAR:SDATE=20091299&amp;VAR:FREQ=Quarterly&amp;VAR:RELITEM=RP&amp;VAR:CURRENCY=&amp;VAR:CURRSOURCE=EX","SHARE&amp;VAR:NATFREQ=QUARTERLY&amp;VAR:RFIELD=FINALIZED&amp;VAR:DB_TYPE=&amp;VAR:UNITS=M&amp;window=popup&amp;width=450&amp;height=300&amp;START_MAXIMIZED=FALSE"}</definedName>
    <definedName name="_96B_0__123Graph_XGráfico" hidden="1">#REF!</definedName>
    <definedName name="_9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7B_0__123Graph_XGráfico"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05643f491821421bae40f1270cebf847.edm" hidden="1">#REF!</definedName>
    <definedName name="_bdm.36935453281a4da397c7b94bc8c7e582.edm" hidden="1">#REF!</definedName>
    <definedName name="_bdm.3BC7B145D3784EB5A641D0B1ACD0F178.edm" hidden="1">#REF!</definedName>
    <definedName name="_bdm.4a59615463af4cb39b457b053b000670.edm" hidden="1">#REF!</definedName>
    <definedName name="_bdm.6b96d7568cc8400fbfb8856a6d526706.edm" hidden="1">#REF!</definedName>
    <definedName name="_bdm.747EE86BC50E48DBACE4A5C56E09DF40.edm" hidden="1">#REF!</definedName>
    <definedName name="_bdm.c18260c4e1174a5491af29c6e2075828.edm" hidden="1">#REF!</definedName>
    <definedName name="_bdm.c56e4d066f4d43b2920ccc4f9b9062af.edm" hidden="1">#REF!</definedName>
    <definedName name="_bdm.c788b12698524628b25d40c69cb3d72e.edm" hidden="1">#REF!</definedName>
    <definedName name="_bdm.d0f22039630e4c61828742ec0c366bd8.edm" hidden="1">#REF!</definedName>
    <definedName name="_bdm.dab4e9aafa3d43968eb5abd6a9768ed1.edm" hidden="1">#REF!</definedName>
    <definedName name="_bdm.dff018ce114442b1803e6299959fafc6.edm" hidden="1">#REF!</definedName>
    <definedName name="_bdm.FastTrackBookmark.9_26_2021_10_59_47_AM.edm" hidden="1">#REF!</definedName>
    <definedName name="_bdm.FastTrackBookmark.9_6_2021_6_20_16_PM.edm" hidden="1">#REF!</definedName>
    <definedName name="_bdm.FE7B7157386141298AA91E431F0B52A3.edm" hidden="1">#REF!</definedName>
    <definedName name="_cr1" hidden="1">#REF!</definedName>
    <definedName name="_cr10" hidden="1">#REF!</definedName>
    <definedName name="_cr6" hidden="1">#REF!</definedName>
    <definedName name="_cr7" hidden="1">#REF!</definedName>
    <definedName name="_cr8" hidden="1">#REF!</definedName>
    <definedName name="_cr9" hidden="1">#REF!</definedName>
    <definedName name="_DCF1" hidden="1">{#N/A,#N/A,FALSE,"DCF Summary";#N/A,#N/A,FALSE,"Casema";#N/A,#N/A,FALSE,"Casema NoTel";#N/A,#N/A,FALSE,"UK";#N/A,#N/A,FALSE,"RCF";#N/A,#N/A,FALSE,"Intercable CZ";#N/A,#N/A,FALSE,"Interkabel P"}</definedName>
    <definedName name="_DCF2006" hidden="1">{#N/A,#N/A,FALSE,"EARNINGS";#N/A,#N/A,FALSE,"BALANCE";#N/A,#N/A,FALSE,"CASHFLOW"}</definedName>
    <definedName name="_Dist_Bin" localSheetId="13" hidden="1">#REF!</definedName>
    <definedName name="_Dist_Bin" hidden="1">#REF!</definedName>
    <definedName name="_Dist_Values" localSheetId="13" hidden="1">#REF!</definedName>
    <definedName name="_Dist_Values" hidden="1">#REF!</definedName>
    <definedName name="_Fill" localSheetId="13" hidden="1">#REF!</definedName>
    <definedName name="_Fill" hidden="1">#REF!</definedName>
    <definedName name="_xlnm._FilterDatabase" localSheetId="4" hidden="1">'Data BASE'!$B$490:$AO$962</definedName>
    <definedName name="_xlnm._FilterDatabase" localSheetId="2" hidden="1">Hoja1!$A$2:$L$95</definedName>
    <definedName name="_xlnm._FilterDatabase" hidden="1">#REF!</definedName>
    <definedName name="_Gin1"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GSRATES_1" hidden="1">"CT30000120000728        "</definedName>
    <definedName name="_GSRATES_2" hidden="1">"CT30000119990919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GSRATESR_3" hidden="1">#REF!</definedName>
    <definedName name="_GSRATESR_4" hidden="1">#REF!</definedName>
    <definedName name="_GSRATESR_5" hidden="1">#REF!</definedName>
    <definedName name="_GSRATESR_6" hidden="1">#REF!</definedName>
    <definedName name="_GSRATESR_7" hidden="1">#REF!</definedName>
    <definedName name="_GSRATESR_8" hidden="1">#REF!</definedName>
    <definedName name="_GSRATESR_9" hidden="1">#REF!</definedName>
    <definedName name="_h2" hidden="1">#N/A</definedName>
    <definedName name="_h3" hidden="1">#N/A</definedName>
    <definedName name="_h4" hidden="1">#N/A</definedName>
    <definedName name="_h5" hidden="1">#N/A</definedName>
    <definedName name="_h6" hidden="1">#N/A</definedName>
    <definedName name="_h7" hidden="1">#N/A</definedName>
    <definedName name="_Key1" localSheetId="13" hidden="1">#REF!</definedName>
    <definedName name="_Key1" hidden="1">#REF!</definedName>
    <definedName name="_Key2" hidden="1">#REF!</definedName>
    <definedName name="_MatInverse_In" hidden="1">#REF!</definedName>
    <definedName name="_MatInverse_Out" localSheetId="13" hidden="1">#REF!</definedName>
    <definedName name="_MatInverse_Out" hidden="1">#REF!</definedName>
    <definedName name="_MatMult_A" localSheetId="13" hidden="1">#REF!</definedName>
    <definedName name="_MatMult_A" hidden="1">#REF!</definedName>
    <definedName name="_MatMult_AxB" localSheetId="13" hidden="1">#REF!</definedName>
    <definedName name="_MatMult_AxB" hidden="1">#REF!</definedName>
    <definedName name="_MatMult_B" localSheetId="13" hidden="1">#REF!</definedName>
    <definedName name="_MatMult_B" hidden="1">#REF!</definedName>
    <definedName name="_OCT0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_Order1" hidden="1">255</definedName>
    <definedName name="_Order2" hidden="1">255</definedName>
    <definedName name="_pal1"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_Parse_Out" hidden="1">#REF!</definedName>
    <definedName name="_Parse_Out8" hidden="1">#REF!</definedName>
    <definedName name="_Regression_Out" hidden="1">#REF!</definedName>
    <definedName name="_Regression_X" hidden="1">#REF!</definedName>
    <definedName name="_Regression_Y" hidden="1">#REF!</definedName>
    <definedName name="_Sort" localSheetId="13" hidden="1">#REF!</definedName>
    <definedName name="_Sort" hidden="1">#REF!</definedName>
    <definedName name="_t2" hidden="1">#N/A</definedName>
    <definedName name="_t3" hidden="1">#N/A</definedName>
    <definedName name="_Table1_In1" hidden="1">#REF!</definedName>
    <definedName name="_Table1_Out" localSheetId="13" hidden="1">#REF!</definedName>
    <definedName name="_Table1_Out" hidden="1">#REF!</definedName>
    <definedName name="_Table2_In1" hidden="1">#REF!</definedName>
    <definedName name="_Table2_In2" hidden="1">#REF!</definedName>
    <definedName name="_Table2_Out" localSheetId="13" hidden="1">#REF!</definedName>
    <definedName name="_Table2_Out" hidden="1">#REF!</definedName>
    <definedName name="_Table3_In2" hidden="1">#REF!</definedName>
    <definedName name="_w22"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aaa" hidden="1">{#N/A,#N/A,TRUE,"Flash";#N/A,#N/A,TRUE,"Stock";#N/A,#N/A,TRUE,"Maintenance";#N/A,#N/A,TRUE,"Income Statement local";#N/A,#N/A,TRUE,"Variance"}</definedName>
    <definedName name="AAA_DOCTOPS" hidden="1">"AAA_SET"</definedName>
    <definedName name="AAA_dtemplate" hidden="1">"OFF"</definedName>
    <definedName name="AAA_duser" hidden="1">"OFF"</definedName>
    <definedName name="AAA_Options" hidden="1">"NYN"</definedName>
    <definedName name="AAA_u999999" hidden="1">"jmalinchak@970313143838"</definedName>
    <definedName name="AAAAAA" hidden="1">#REF!</definedName>
    <definedName name="aaaaaaaaaaaaaa"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aaaas"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essDatabase" hidden="1">"C:\FAME\famework\elyval.mdb"</definedName>
    <definedName name="Active_Fleet_Actuals">'[1]LTO Board View (Actuals)'!$E$69:$AB$69</definedName>
    <definedName name="adadadada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adf" hidden="1">{"standalone1",#N/A,FALSE,"DCFBase";"standalone2",#N/A,FALSE,"DCFBase"}</definedName>
    <definedName name="ADopsterling" hidden="1">{#N/A,#N/A,FALSE,"Summary";#N/A,#N/A,FALSE,"CF";#N/A,#N/A,FALSE,"P&amp;L";#N/A,#N/A,FALSE,"BS";#N/A,#N/A,FALSE,"Returns";#N/A,#N/A,FALSE,"Assumptions";#N/A,#N/A,FALSE,"Analysis"}</definedName>
    <definedName name="Aida_2" hidden="1">{#N/A,#N/A,FALSE,"Finanzplan";#N/A,#N/A,FALSE,"Bilanz";#N/A,#N/A,FALSE,"GuV"}</definedName>
    <definedName name="Aida_4" hidden="1">{#N/A,#N/A,FALSE,"Finanzplan";#N/A,#N/A,FALSE,"Bilanz";#N/A,#N/A,FALSE,"GuV"}</definedName>
    <definedName name="AJHFkjDGHF" hidden="1">{"Annual_Income",#N/A,FALSE,"Report Page";"Balance_Cash_Flow",#N/A,FALSE,"Report Page";"Quarterly_Income",#N/A,FALSE,"Report Page"}</definedName>
    <definedName name="anscount" hidden="1">2</definedName>
    <definedName name="asak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asasa"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asasa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asasasa"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asd" hidden="1">{#N/A,#N/A,FALSE,"DCF Summary";#N/A,#N/A,FALSE,"Casema";#N/A,#N/A,FALSE,"Casema NoTel";#N/A,#N/A,FALSE,"UK";#N/A,#N/A,FALSE,"RCF";#N/A,#N/A,FALSE,"Intercable CZ";#N/A,#N/A,FALSE,"Interkabel P"}</definedName>
    <definedName name="asdd" hidden="1">#REF!</definedName>
    <definedName name="asdfasdf"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Asset_Yield_Actuals">'[1]LTO Board View (Actuals)'!$E$181:$AB$181</definedName>
    <definedName name="ass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asssss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Austria_FooterType" hidden="1">"EXTERNAL"</definedName>
    <definedName name="basga" hidden="1">#REF!</definedName>
    <definedName name="basgbag" hidden="1">#REF!</definedName>
    <definedName name="bb" hidden="1">{#N/A,#N/A,FALSE,"EARNINGS";#N/A,#N/A,FALSE,"BALANCE";#N/A,#N/A,FALSE,"CASHFLOW"}</definedName>
    <definedName name="bbb"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BBBB" hidden="1">#REF!</definedName>
    <definedName name="Belgium_FooterType" hidden="1">"EXTERNAL"</definedName>
    <definedName name="BEx0017DGUEDPCFJUPUZOOLJCS2B" hidden="1">#REF!</definedName>
    <definedName name="BEx001CNWHJ5RULCSFM36ZCGJ1UH" hidden="1">#REF!</definedName>
    <definedName name="BEx0041RNVGGN8SKGQTWHTVAGKBV"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6L4N3WDFUWI1GNCD89U2A5" hidden="1">#REF!</definedName>
    <definedName name="BEx00JC31DY11L45SEU4B10BIN6W" hidden="1">#REF!</definedName>
    <definedName name="BEx00KZHZBHP3TDV1YMX4B19B95O" hidden="1">#REF!</definedName>
    <definedName name="BEx00MBY8XXUOHIZ4LHXHPD7WYD5" hidden="1">#REF!</definedName>
    <definedName name="BEx00U9SHQ0NHO9GPJITAMG5T4E9" hidden="1">#REF!</definedName>
    <definedName name="BEx01049R9ZE3WM0TJWIDL7I2AO5" hidden="1">#REF!</definedName>
    <definedName name="BEx01DR5Q7RN47QNVE9RGN6VH685" hidden="1">#REF!</definedName>
    <definedName name="BEx01HY6E3GJ66ABU5ABN26V6Q13" hidden="1">#REF!</definedName>
    <definedName name="BEx01KN9DYHE9YZFBDU45YURHGGQ" hidden="1">#REF!</definedName>
    <definedName name="BEx01PW5YQKEGAR8JDDI5OARYXDF" hidden="1">#REF!</definedName>
    <definedName name="BEx01T1EVAEW9BLAP4L6II4G6OC4" hidden="1">#REF!</definedName>
    <definedName name="BEx01X35DZBL50I19K4ZSW4F1ESH" hidden="1">#REF!</definedName>
    <definedName name="BEx01XJ94SHJ1YQ7ORPW0RQGKI2H" hidden="1">#REF!</definedName>
    <definedName name="BEx02DKKXQCPG9KIRLZJGGZP2LWT"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03YYPETQOTRBVT1XGJ0M0PI96" hidden="1">#REF!</definedName>
    <definedName name="BEx040GNGACOQI5MY5X2NE42ZWDU"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59AY8195JTUM6P18VXUFJ3E" hidden="1">#REF!</definedName>
    <definedName name="BEx1GACQL91IG43LSU6M1F2TWPZN" hidden="1">#REF!</definedName>
    <definedName name="BEx1GB92OWY6P3B3Z6EYFUUWMITG" hidden="1">#REF!</definedName>
    <definedName name="BEx1GVMRHFXUP6XYYY9NR12PV5TF" hidden="1">#REF!</definedName>
    <definedName name="BEx1GW2V2A0SW38K15OIXFAR9109" hidden="1">#REF!</definedName>
    <definedName name="BEx1H6F6F5BJO55NGX6L0DBE4OU9" hidden="1">#REF!</definedName>
    <definedName name="BEx1H6KIT7BHUH6MDDWC935V9N47" hidden="1">#REF!</definedName>
    <definedName name="BEx1H7RNIUSXELVT3GLFG5WC0WFL" hidden="1">#REF!</definedName>
    <definedName name="BEx1HBYPOAHW5VG53LX98OM3STSB" hidden="1">#REF!</definedName>
    <definedName name="BEx1HDGOOJ3SKHYMWUZJ1P0RQZ9N" hidden="1">#REF!</definedName>
    <definedName name="BEx1HDM5ZXSJG6JQEMSFV52PZ10V" hidden="1">#REF!</definedName>
    <definedName name="BEx1HETBBZVN5F43LKOFMC4QB0CR" hidden="1">#REF!</definedName>
    <definedName name="BEx1HGM2TBFL6UBVA6E4PKNSPI96"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38LBZSH2UZJIZXAE5XOUU55"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IYPCHOS1ZHUAN0W19LKC74ZH" hidden="1">#REF!</definedName>
    <definedName name="BEx1J0CSSHDJGBJUHVOEMCF2P4DL" hidden="1">#REF!</definedName>
    <definedName name="BEx1J61RRF9LJ3V3R5OY3WJ6VBWR" hidden="1">#REF!</definedName>
    <definedName name="BEx1J7E8VCGLPYU82QXVUG5N3ZAI" hidden="1">#REF!</definedName>
    <definedName name="BEx1JGE2YQWH8S25USOY08XVGO0D" hidden="1">#REF!</definedName>
    <definedName name="BEx1JISEQ4CS1AL0KNBAIHACG4QT" hidden="1">#REF!</definedName>
    <definedName name="BEx1JJJC9T1W7HY4V7HP1S1W4JO1" hidden="1">#REF!</definedName>
    <definedName name="BEx1JKKZSJ7DI4PTFVI9VVFMB1X2" hidden="1">#REF!</definedName>
    <definedName name="BEx1JOMQR0IB8EUNJNYO46FO6WXV" hidden="1">#REF!</definedName>
    <definedName name="BEx1JQQ9PCWHR84LJ37P30W0HWX8" hidden="1">#REF!</definedName>
    <definedName name="BEx1JUBQFRVMASSFK4B3V0AD7YP9" hidden="1">#REF!</definedName>
    <definedName name="BEx1JXBM5W4YRWNQ0P95QQS6JWD6" hidden="1">#REF!</definedName>
    <definedName name="BEx1KCWQ445PDI0YUBIXZBK5EWCP" hidden="1">#REF!</definedName>
    <definedName name="BEx1KGY9QEHZ9QSARMQUTQKRK4UX" hidden="1">#REF!</definedName>
    <definedName name="BEx1KKP1ELIF2UII2FWVGL7M1X7J" hidden="1">#REF!</definedName>
    <definedName name="BEx1KMCGY2VNL7HMQBA6YOH56Z90" hidden="1">#REF!</definedName>
    <definedName name="BEx1KUVWMB0QCWA3RBE4CADFVRIS"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1WBK5T0LP1AK2JYV6W87ID6" hidden="1">#REF!</definedName>
    <definedName name="BEx1M3JJGKF1YALMTNWMK99YH9FT" hidden="1">#REF!</definedName>
    <definedName name="BEx1M51HHDYGIT8PON7U8ICL2S95" hidden="1">#REF!</definedName>
    <definedName name="BEx1M98KURYV098YLRALJOF8QUDB" hidden="1">#REF!</definedName>
    <definedName name="BEx1MEBZTWO6XAWNC9Z6T7VUC26Q" hidden="1">#REF!</definedName>
    <definedName name="BEx1MMQ3H3E9MBH330J6MD3EP8AD" hidden="1">#REF!</definedName>
    <definedName name="BEx1MTRKKVCHOZ0YGID6HZ49LJTO" hidden="1">#REF!</definedName>
    <definedName name="BEx1MXTATYLAHG9RJ9SNL6DAT5V7" hidden="1">#REF!</definedName>
    <definedName name="BEx1N0IFWPSL686RSLZTZA4KIY2A" hidden="1">#REF!</definedName>
    <definedName name="BEx1N3CUJ3UX61X38ZAJVPEN4KMC" hidden="1">#REF!</definedName>
    <definedName name="BEx1N61Y7I8HD93SYOOCT3IVX28A" hidden="1">#REF!</definedName>
    <definedName name="BEx1NFCG8AI9NXWO5ROKI6DYZP77" hidden="1">#REF!</definedName>
    <definedName name="BEx1NM34KQTO1LDNSAFD1L82UZFG" hidden="1">#REF!</definedName>
    <definedName name="BEx1NO6TXZVOGCUWCCRTXRXWW0XL" hidden="1">#REF!</definedName>
    <definedName name="BEx1NS8EU5P9FQV3S0WRTXI5L361" hidden="1">#REF!</definedName>
    <definedName name="BEx1NT4RIIP1DMELF4Z1FL5857FC" hidden="1">#REF!</definedName>
    <definedName name="BEx1NUBX5VUYZFKQH69FN6BTLWCR" hidden="1">#REF!</definedName>
    <definedName name="BEx1NZ4K1L8UON80Y2A4RASKWGNP" hidden="1">#REF!</definedName>
    <definedName name="BEx1O0XA02OXBEY6AAS94L6P1KSR" hidden="1">#REF!</definedName>
    <definedName name="BEx1OJI8TOUZ57BOXXJK4KVVR8VZ" localSheetId="7" hidden="1">Prod #REF!</definedName>
    <definedName name="BEx1OJI8TOUZ57BOXXJK4KVVR8VZ" hidden="1">Prod #REF!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S5Y4X1AG5YL9DS164978PB" hidden="1">#REF!</definedName>
    <definedName name="BEx1P58G79OMR1QJ7O9LK4KDJC14" hidden="1">#REF!</definedName>
    <definedName name="BEx1P7S1J4TKGVJ43C2Q2R3M9WRB" hidden="1">#REF!</definedName>
    <definedName name="BEx1PA11BLPVZM8RC5BL46WX8YB5" hidden="1">#REF!</definedName>
    <definedName name="BEx1PBZ4BEFIPGMQXT9T8S4PZ2IM" hidden="1">#REF!</definedName>
    <definedName name="BEx1PCQ55RHYMF3ZNH8NCUR4WQXR" localSheetId="7" hidden="1">Prod #REF!</definedName>
    <definedName name="BEx1PCQ55RHYMF3ZNH8NCUR4WQXR" hidden="1">Prod #REF!</definedName>
    <definedName name="BEx1PJGU5WEYUWZM76H4DC0MTQDK" localSheetId="7" hidden="1">Prod #REF!</definedName>
    <definedName name="BEx1PJGU5WEYUWZM76H4DC0MTQDK" hidden="1">Prod #REF!</definedName>
    <definedName name="BEx1PLF2CFSXBZPVI6CJ534EIJDN" hidden="1">#REF!</definedName>
    <definedName name="BEx1PMM7QEZE0HBDT8XHVTWSZKWP" hidden="1">#REF!</definedName>
    <definedName name="BEx1PMWZB2DO6EM9BKLUICZJ65HD" hidden="1">#REF!</definedName>
    <definedName name="BEx1PR415U01RF514LC24LSXZ46E" hidden="1">#REF!</definedName>
    <definedName name="BEx1PXUPD5XRUU2SPVGZCRNTWS98" hidden="1">#REF!</definedName>
    <definedName name="BEx1QA54GAFRXN76MP8QJEBTZ8WA" localSheetId="7" hidden="1">Prod #REF!</definedName>
    <definedName name="BEx1QA54GAFRXN76MP8QJEBTZ8WA" hidden="1">Prod #REF!</definedName>
    <definedName name="BEx1QA54J2A4I7IBQR19BTY28ZMR" hidden="1">#REF!</definedName>
    <definedName name="BEx1QD50KX076S6RU6HEHMTSSCYW" hidden="1">#REF!</definedName>
    <definedName name="BEx1QGVTKWNP1ER79TATRYLBUK2Q" hidden="1">#REF!</definedName>
    <definedName name="BEx1QIJ8GHR2ATROY6XUNCIVLQGF" hidden="1">#REF!</definedName>
    <definedName name="BEx1QIU02UKQDRQO4JFJQTQPA9M2" hidden="1">#REF!</definedName>
    <definedName name="BEx1QMQAHG3KQUK59DVM68SWKZIZ" hidden="1">#REF!</definedName>
    <definedName name="BEx1QOTTD8A7ZISZKTC3BOOVKWEN" hidden="1">#REF!</definedName>
    <definedName name="BEx1R02C8KNH9YXA8P430NC2J4P0" hidden="1">#REF!</definedName>
    <definedName name="BEx1R9YFKJCMSEST8OVCAO5E47FO" hidden="1">#REF!</definedName>
    <definedName name="BEx1RBGC06B3T52OIC0EQ1KGVP1I" hidden="1">#REF!</definedName>
    <definedName name="BEx1RON3RG3PMK40DSWE9OOE74IF" hidden="1">#REF!</definedName>
    <definedName name="BEx1RRC7X4NI1CU4EO5XYE2GVARJ" hidden="1">#REF!</definedName>
    <definedName name="BEx1RZA1NCGT832L7EMR7GMF588W" hidden="1">#REF!</definedName>
    <definedName name="BEx1S0MOOGSSYT24R5GZFG5GMGFR" hidden="1">#REF!</definedName>
    <definedName name="BEx1S0XGIPUSZQUCSGWSK10GKW7Y" hidden="1">#REF!</definedName>
    <definedName name="BEx1S3BSJ9MDLIRVZQ0XS9HV2VPG" hidden="1">#REF!</definedName>
    <definedName name="BEx1S5VFNKIXHTTCWSV60UC50EZ8" hidden="1">#REF!</definedName>
    <definedName name="BEx1SK3U02H0RGKEYXW7ZMCEOF3V" hidden="1">#REF!</definedName>
    <definedName name="BEx1SLWQAWILWHAENBRANCK6P5YW" hidden="1">#REF!</definedName>
    <definedName name="BEx1SSNEZINBJT29QVS62VS1THT4" hidden="1">#REF!</definedName>
    <definedName name="BEx1SVNCHNANBJIDIQVB8AFK4HAN" hidden="1">#REF!</definedName>
    <definedName name="BEx1T7SCX7KK0ROG334AKM67Y8WU" hidden="1">#REF!</definedName>
    <definedName name="BEx1THTR16Y241QHVMG2HET530YL" hidden="1">#REF!</definedName>
    <definedName name="BEx1TJ0WLS9O7KNSGIPWTYHDYI1D" hidden="1">#REF!</definedName>
    <definedName name="BEx1TNTKITTEKOJ5Q0RUF0799ZGD" hidden="1">#REF!</definedName>
    <definedName name="BEx1U15M7LVVFZENH830B2BGWC04"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V67SEV778NVW68J8W5SND1J7" hidden="1">#REF!</definedName>
    <definedName name="BEx1VIY9SQLRESD11CC4PHYT0XSG" hidden="1">#REF!</definedName>
    <definedName name="BEx1VQQSB5BKTBE7EAFXSN31CNVX" hidden="1">#REF!</definedName>
    <definedName name="BEx1W0C1WKZON5CG7UZRXLUJH8MB" hidden="1">#REF!</definedName>
    <definedName name="BEx1W8FDLOFGE28JXY6J54MICRMP" hidden="1">#REF!</definedName>
    <definedName name="BEx1WB9YMRJGDJUI5I9RR75ODD7H" hidden="1">#REF!</definedName>
    <definedName name="BEx1WC67EH10SC38QWX3WEA5KH3A" hidden="1">#REF!</definedName>
    <definedName name="BEx1WDO53ZG95BCDDJH20QVTZIEM"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09CIHOI0L84XXCKC501H1F" hidden="1">#REF!</definedName>
    <definedName name="BEx1WUB1FAS5PHU33TJ60SUHR618" hidden="1">#REF!</definedName>
    <definedName name="BEx1WX04G0INSPPG9NTNR3DYR6PZ" hidden="1">#REF!</definedName>
    <definedName name="BEx1X3LHU9DPG01VWX2IF65TRATF" hidden="1">#REF!</definedName>
    <definedName name="BEx1X3QU07GK7I7KLROCFBELK7NH" hidden="1">#REF!</definedName>
    <definedName name="BEx1XK8AAMO0AH0Z1OUKW30CA7EQ" hidden="1">#REF!</definedName>
    <definedName name="BEx1XL4MZ7C80495GHQRWOBS16PQ" hidden="1">#REF!</definedName>
    <definedName name="BEx1XN86QZPXEC2550TP8XT6SWZX" hidden="1">#REF!</definedName>
    <definedName name="BEx1Y09KZO3XLP5SXQSG5MRBWJ8A" hidden="1">#REF!</definedName>
    <definedName name="BEx1Y2IGS2K95E1M51PEF9KJZ0KB" hidden="1">#REF!</definedName>
    <definedName name="BEx1Y3PKK83X2FN9SAALFHOWKMRQ" hidden="1">#REF!</definedName>
    <definedName name="BEx1Y7LTPL7LQEV1M8SOFXU0P8QU" hidden="1">#REF!</definedName>
    <definedName name="BEx1YKHSW5HDSZLEI6ETN0XC509V" hidden="1">#REF!</definedName>
    <definedName name="BEx1YL3DJ7Y4AZ01ERCOGW0FJ26T" hidden="1">#REF!</definedName>
    <definedName name="BEx1YRORTOPW2VTZ6NGVNOHW1156" hidden="1">#REF!</definedName>
    <definedName name="BEx1Z2RYHSVD1H37817SN93VMURZ" hidden="1">#REF!</definedName>
    <definedName name="BEx39XPS3YXJRR2HA40E54CVSJGP" hidden="1">#REF!</definedName>
    <definedName name="BEx3AMAKWI6458B67VKZO56MCNJW" hidden="1">#REF!</definedName>
    <definedName name="BEx3AOOVM42G82TNF53W0EKXLUSI" hidden="1">#REF!</definedName>
    <definedName name="BEx3AZH9W4SUFCAHNDOQ728R9V4L" hidden="1">#REF!</definedName>
    <definedName name="BEx3B0Z9HHVTV4L8OFRWCDPE3BS3" hidden="1">#REF!</definedName>
    <definedName name="BEx3BH5VERRT3Y59JBJ9UQP2J3T8" hidden="1">#REF!</definedName>
    <definedName name="BEx3BNR9ES4KY7Q1DK83KC5NDGL8" hidden="1">#REF!</definedName>
    <definedName name="BEx3BONMB91OI7ZXS8ANRAUUU977" hidden="1">#REF!</definedName>
    <definedName name="BEx3BQ5LOAI2XRMAZLP3Z4HO71P1" hidden="1">#REF!</definedName>
    <definedName name="BEx3BQR5VZXNQ4H949ORM8ESU3B3" hidden="1">#REF!</definedName>
    <definedName name="BEx3BS93O2JQGF6VMERQJ2YGWPGU" hidden="1">#REF!</definedName>
    <definedName name="BEx3BTLL3ASJN134DLEQTQM70VZM" hidden="1">#REF!</definedName>
    <definedName name="BEx3BW5CTV0DJU5AQS3ZQFK2VLF3" hidden="1">#REF!</definedName>
    <definedName name="BEx3BWLGC4WF3DXRUU6Y7S2FHYK2" hidden="1">#REF!</definedName>
    <definedName name="BEx3BYP0FG369M7G3JEFLMMXAKTS" hidden="1">#REF!</definedName>
    <definedName name="BEx3C2QR0WUD19QSVO8EMIPNQJKH" hidden="1">#REF!</definedName>
    <definedName name="BEx3C5ACPKV4XIAY0LO077TCRNLJ" hidden="1">#REF!</definedName>
    <definedName name="BEx3CBKXPIN2XM7QJNI7O0MB70AR" hidden="1">#REF!</definedName>
    <definedName name="BEx3CCS3VNR1KW2R7DKSQFZ17QW0" hidden="1">#REF!</definedName>
    <definedName name="BEx3CKFCCPZZ6ROLAT5C1DZNIC1U" hidden="1">#REF!</definedName>
    <definedName name="BEx3CO0SVO4WLH0DO43DCHYDTH1P" hidden="1">#REF!</definedName>
    <definedName name="BEx3D35KVB55GTY44YX4O9YGEVQI" hidden="1">#REF!</definedName>
    <definedName name="BEx3D9G6QTSPF9UYI4X0XY0VE896" hidden="1">#REF!</definedName>
    <definedName name="BEx3DANDJSSUOV8KC8Z6U2SVXMQF" hidden="1">#REF!</definedName>
    <definedName name="BEx3DCQU9PBRXIMLO62KS5RLH447" hidden="1">#REF!</definedName>
    <definedName name="BEx3DLFS6MFUKBXO04LVRPAPX3CM" hidden="1">#REF!</definedName>
    <definedName name="BEx3E22INXU2VKWET4AVSBR8WAD6" hidden="1">#REF!</definedName>
    <definedName name="BEx3E34C4I6SAYQOMXOAIPIB7POC" localSheetId="7" hidden="1">Prod #REF!</definedName>
    <definedName name="BEx3E34C4I6SAYQOMXOAIPIB7POC" hidden="1">Prod #REF!</definedName>
    <definedName name="BEx3E7WZOYL7WPBKBHGOLYPX6TPG" hidden="1">#REF!</definedName>
    <definedName name="BEx3EF99FD6QNNCNOKDEE67JHTUJ" hidden="1">#REF!</definedName>
    <definedName name="BEx3EGGFFJ82HOP4NMIUCW0EH4SN"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QY1DLE7G1BN4GY27QI7C7L8" hidden="1">#REF!</definedName>
    <definedName name="BEx3ESQSJTJ5XLTOBB0CHQ7HP7O4" hidden="1">#REF!</definedName>
    <definedName name="BEx3EUUAX947Q5N6MY6W0KSNY78Y" hidden="1">#REF!</definedName>
    <definedName name="BEx3F74PJQI4ZESBFDFNHYFA58K2" hidden="1">#REF!</definedName>
    <definedName name="BEx3F86DUMKHWZ93S5GLWQ6XKRBQ" hidden="1">#REF!</definedName>
    <definedName name="BEx3FG4DPAPTA9PM2Q6BMWI6BIHV"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TWP94JULUED3QZTV87W4EWA"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8FY85SUKO01ZJQZYO51EA75" hidden="1">#REF!</definedName>
    <definedName name="BEx3GCXR6IAS0B6WJ03GJVH7CO52" hidden="1">#REF!</definedName>
    <definedName name="BEx3GDZH5KHUU0C7RY1PDVGKTH8E"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GQ9V1DONRHIKU8HGIPUP1EGT" hidden="1">#REF!</definedName>
    <definedName name="BEx3H5UX2GZFZZT657YR76RHW5I6" hidden="1">#REF!</definedName>
    <definedName name="BEx3HMSEFOP6DBM4R97XA6B7NFG6" hidden="1">#REF!</definedName>
    <definedName name="BEx3HWJ5SQSD2CVCQNR183X44FR8" hidden="1">#REF!</definedName>
    <definedName name="BEx3I09YVXO0G4X7KGSA4WGORM35" hidden="1">#REF!</definedName>
    <definedName name="BEx3ICF1GY8HQEBIU9S43PDJ90BX" hidden="1">#REF!</definedName>
    <definedName name="BEx3IM5L50H7BSKARS04ZRPB0VZE" hidden="1">#REF!</definedName>
    <definedName name="BEx3IMLPLFDY04Z6ON69TCWA33TL" hidden="1">#REF!</definedName>
    <definedName name="BEx3IP5I3Q4QSKVOWFGMWMOR4LGC" hidden="1">#REF!</definedName>
    <definedName name="BEx3IWN8YPN2XHSCISQB9608ZLOD" hidden="1">#REF!</definedName>
    <definedName name="BEx3IXZUXN0UQU65ZRFORXUN243A" hidden="1">#REF!</definedName>
    <definedName name="BEx3IYAH2DEBFWO8F94H4MXE3RLY" hidden="1">#REF!</definedName>
    <definedName name="BEx3IZXXSYEW50379N2EAFWO8DZV" hidden="1">#REF!</definedName>
    <definedName name="BEx3J1VZVGTKT4ATPO9O5JCSFTTR" hidden="1">#REF!</definedName>
    <definedName name="BEx3J2XUDDF0SSPYVBJC3N2BVRNR" hidden="1">#REF!</definedName>
    <definedName name="BEx3J4L9L4BYLGYJE7XQ1X91R3LZ" hidden="1">#REF!</definedName>
    <definedName name="BEx3J818XCRBOSCF6EX5B2K1YOBH" hidden="1">#REF!</definedName>
    <definedName name="BEx3J8MT81OVI28TJ0GXU1PH81X8" hidden="1">#REF!</definedName>
    <definedName name="BEx3JC2TY7JNAAC3L7QHVPQXLGQ8" hidden="1">#REF!</definedName>
    <definedName name="BEx3JEBT4WX97WHKQRKNH9B3IM96" hidden="1">#REF!</definedName>
    <definedName name="BEx3JWB8EIB42E4QPNP0F6ZKJHSM" hidden="1">#REF!</definedName>
    <definedName name="BEx3JX23SYDIGOGM4Y0CQFBW8ZBV" hidden="1">#REF!</definedName>
    <definedName name="BEx3JXCXCVBZJGV5VEG9MJEI01AL" hidden="1">#REF!</definedName>
    <definedName name="BEx3JYK2N7X59TPJSKYZ77ENY8SS" hidden="1">#REF!</definedName>
    <definedName name="BEx3JZAXL8KNT6BS2DKSBQW8WFTT"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HVX06V7J27J9H7PQXTJDX7L"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9WT886UPC0M8AH5Y82YAB1H" hidden="1">#REF!</definedName>
    <definedName name="BEx3LM1PR4Y7KINKMTMKR984GX8Q" hidden="1">#REF!</definedName>
    <definedName name="BEx3LPCEZ1C0XEKNCM3YT09JWCUO" hidden="1">#REF!</definedName>
    <definedName name="BEx3LRQPBEYUQ8NMLL8AOZ2SXLOI" hidden="1">#REF!</definedName>
    <definedName name="BEx3M1MR1K1NQD03H74BFWOK4MWQ" hidden="1">#REF!</definedName>
    <definedName name="BEx3M22W1DXOMWOGRS9WV0FIIPNV"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MW1VHR8JIAS5J58XQ0CC4L8U" hidden="1">#REF!</definedName>
    <definedName name="BEx3N51IHA88UXRPEENI44P0KP7U" hidden="1">#REF!</definedName>
    <definedName name="BEx3N7FW0O3BI5FG5H3TN8ESSC61" hidden="1">#REF!</definedName>
    <definedName name="BEx3N7VYL8CCBFTRFOA6W3BWAQJ0"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85IKWARA6NCJOLRBRJFMEWW" hidden="1">#REF!</definedName>
    <definedName name="BEx3OJZSCGFRW7SVGBFI0X9DNVMM" hidden="1">#REF!</definedName>
    <definedName name="BEx3OK5349EJ2XRYXV7W13YG9FSL" hidden="1">#REF!</definedName>
    <definedName name="BEx3ON509DIHEQN8XJPXZMN51EG4" hidden="1">#REF!</definedName>
    <definedName name="BEx3ORSBUXAF21MKEY90YJV9AY9A" hidden="1">#REF!</definedName>
    <definedName name="BEx3OSDPC76YELEXOE4HPHR08Z63" hidden="1">#REF!</definedName>
    <definedName name="BEx3OV8BH6PYNZT7C246LOAU9SVX" hidden="1">#REF!</definedName>
    <definedName name="BEx3OXRYJZUEY6E72UJU0PHLMYAR" hidden="1">#REF!</definedName>
    <definedName name="BEx3P54EFPJ9XERKXPZGLNSLQXCN" hidden="1">#REF!</definedName>
    <definedName name="BEx3P59TTRSGQY888P5C1O7M2PQT" hidden="1">#REF!</definedName>
    <definedName name="BEx3PBEZFFMM30DSS3Z9TS9ITDM4" hidden="1">#REF!</definedName>
    <definedName name="BEx3PDNRRNKD5GOUBUQFXAHIXLD9" hidden="1">#REF!</definedName>
    <definedName name="BEx3PDT8GNPWLLN02IH1XPV90XYK" hidden="1">#REF!</definedName>
    <definedName name="BEx3PH99MLZU1LB38QDL3NELDJBG"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PNDD7L6SUISGSI2D375NSCH" hidden="1">#REF!</definedName>
    <definedName name="BEx3PQZZ6L9TOCDKNGIDPO8Y2G54" hidden="1">#REF!</definedName>
    <definedName name="BEx3PVXYZC8WB9ZJE7OCKUXZ46EA" hidden="1">#REF!</definedName>
    <definedName name="BEx3Q0VWPU5EQECK7MQ47TYJ3SWW" hidden="1">#REF!</definedName>
    <definedName name="BEx3Q3QHHJB3PUJIXDIL8G6EHCRE" hidden="1">#REF!</definedName>
    <definedName name="BEx3Q7BZ9PUXK2RLIOFSIS9AHU1B" hidden="1">#REF!</definedName>
    <definedName name="BEx3Q8J42S9VU6EAN2Y28MR6DF88" hidden="1">#REF!</definedName>
    <definedName name="BEx3Q9QA35ZVN9VVHN81BBIVN881" hidden="1">#REF!</definedName>
    <definedName name="BEx3QD0XYUEL1G6J200V2STCORG5" hidden="1">#REF!</definedName>
    <definedName name="BEx3QEDFOYFY5NBTININ5W4RLD4Q" hidden="1">#REF!</definedName>
    <definedName name="BEx3QH2K40ZZFYJES4QCRY78Q560" hidden="1">#REF!</definedName>
    <definedName name="BEx3QIKJ3U962US1Q564NZDLU8LD" hidden="1">#REF!</definedName>
    <definedName name="BEx3QNTEPEXJ86VVDAZ2EUDZA8JR" hidden="1">#REF!</definedName>
    <definedName name="BEx3QR9D45DHW50VQ7Y3Q1AXPOB9" hidden="1">#REF!</definedName>
    <definedName name="BEx3QSRCFP3KNROQ58AX0XIPX9ND" hidden="1">#REF!</definedName>
    <definedName name="BEx3QSWT2S5KWG6U2V9711IYDQBM" hidden="1">#REF!</definedName>
    <definedName name="BEx3QVGG7Q2X4HZHJAM35A8T3VR7" hidden="1">#REF!</definedName>
    <definedName name="BEx3QZI5YW3ZUXUBCXD8N4YZ33R5" hidden="1">#REF!</definedName>
    <definedName name="BEx3R0JUB9YN8PHPPQTAMIT1IHWK" hidden="1">#REF!</definedName>
    <definedName name="BEx3R81NFRO7M81VHVKOBFT0QBIL" hidden="1">#REF!</definedName>
    <definedName name="BEx3RHC2ZD5UFS6QD4OPFCNNMWH1" hidden="1">#REF!</definedName>
    <definedName name="BEx3RHS890EYP3M1F6RUO0Y5PE2Q" localSheetId="7" hidden="1">Prod #REF!</definedName>
    <definedName name="BEx3RHS890EYP3M1F6RUO0Y5PE2Q" hidden="1">Prod #REF!</definedName>
    <definedName name="BEx3RQ10QIWBAPHALAA91BUUCM2X" hidden="1">#REF!</definedName>
    <definedName name="BEx3RSFBB83TAKX7N3F394TT3RW4" hidden="1">#REF!</definedName>
    <definedName name="BEx3RV4E1WT43SZBUN09RTB8EK1O" hidden="1">#REF!</definedName>
    <definedName name="BEx3RXYU0QLFXSFTM5EB20GD03W5" hidden="1">#REF!</definedName>
    <definedName name="BEx3RYKLC3QQO3XTUN7BEW2AQL98" hidden="1">#REF!</definedName>
    <definedName name="BEx3S2WXUEQA8PLX4U6G9LJB63ZN" hidden="1">#REF!</definedName>
    <definedName name="BEx3S4439VOS9APFG5QY9E0TAQ7S" hidden="1">#REF!</definedName>
    <definedName name="BEx3S5BAO6T6LTI21XYE3VQ641WR" localSheetId="7" hidden="1">Prod #REF!</definedName>
    <definedName name="BEx3S5BAO6T6LTI21XYE3VQ641WR" hidden="1">Prod #REF!</definedName>
    <definedName name="BEx3SICJ45BYT6FHBER86PJT25FC" hidden="1">#REF!</definedName>
    <definedName name="BEx3SL1NUYCLQWKW8EFSFZGONHKE" hidden="1">#REF!</definedName>
    <definedName name="BEx3SMUCMJVGQ2H4EHQI5ZFHEF0P" hidden="1">#REF!</definedName>
    <definedName name="BEx3SMUCWKW9Q120CYCL7SY5DG5N" hidden="1">#REF!</definedName>
    <definedName name="BEx3SN56F03CPDRDA7LZ763V0N4I" hidden="1">#REF!</definedName>
    <definedName name="BEx3SOHSR5OT6DHYQ6KFW0565NN5" hidden="1">#REF!</definedName>
    <definedName name="BEx3SPE6N1ORXPRCDL3JPZD73Z9F" hidden="1">#REF!</definedName>
    <definedName name="BEx3ST4Y5OZXSIK7V846SMFT5B23" hidden="1">#REF!</definedName>
    <definedName name="BEx3SWQG9ED1M1Q5D63K0HZ15GQG" hidden="1">#REF!</definedName>
    <definedName name="BEx3T29ZTULQE0OMSMWUMZDU9ZZ0" hidden="1">#REF!</definedName>
    <definedName name="BEx3T6MJ1QDJ929WMUDVZ0O3UW0Y" hidden="1">#REF!</definedName>
    <definedName name="BEx3TEPSM88IET8PDLKKCHMFEMFM" hidden="1">#REF!</definedName>
    <definedName name="BEx3TO09F9SV99SJXCUC1B49RVCJ" hidden="1">#REF!</definedName>
    <definedName name="BEx3TPCSI16OAB2L9M9IULQMQ9J9" hidden="1">#REF!</definedName>
    <definedName name="BEx3TY1O4LAYQFCOV3UP6EBQY13M" hidden="1">#REF!</definedName>
    <definedName name="BEx3U64YUOZ419BAJS2W78UMATAW" hidden="1">#REF!</definedName>
    <definedName name="BEx3U94WCEA5DKMWBEX1GU0LKYG2" hidden="1">#REF!</definedName>
    <definedName name="BEx3U9VZ8SQVYS6ZA038J7AP7ZGW" hidden="1">#REF!</definedName>
    <definedName name="BEx3UAMTNM2FSKC6H4QXWRCK02EC" localSheetId="7" hidden="1">Prod #REF!</definedName>
    <definedName name="BEx3UAMTNM2FSKC6H4QXWRCK02EC" hidden="1">Prod #REF!</definedName>
    <definedName name="BEx3UIQ5WRJBGNTFCCLOR4N7B1OQ" hidden="1">#REF!</definedName>
    <definedName name="BEx3UJBQWUJW9KX0PXKZ4TRHMR71" hidden="1">#REF!</definedName>
    <definedName name="BEx3UJMIX2NUSSWGMSI25A5DM4CH" hidden="1">#REF!</definedName>
    <definedName name="BEx3UKOCOQG7S1YQ436S997K1KWV" hidden="1">#REF!</definedName>
    <definedName name="BEx3UQTIJCWUP741EL85QYQA20CK" hidden="1">#REF!</definedName>
    <definedName name="BEx3UYM19VIXLA0EU7LB9NHA77PB" hidden="1">#REF!</definedName>
    <definedName name="BEx3V6EJO8BG91O9M5DVBLNPDBKG" hidden="1">#REF!</definedName>
    <definedName name="BEx3VML7CG70HPISMVYIUEN3711Q" hidden="1">#REF!</definedName>
    <definedName name="BEx3W7KGUTJB0C3KN7EKLOF8HPSU" hidden="1">#REF!</definedName>
    <definedName name="BEx56ZID5H04P9AIYLP1OASFGV56" hidden="1">#REF!</definedName>
    <definedName name="BEx5802QAJKNHFBFPTR0PSRHQPJE" hidden="1">#REF!</definedName>
    <definedName name="BEx587EYSS57E3PI8DT973HLJM9E" hidden="1">#REF!</definedName>
    <definedName name="BEx587KFQ3VKCOCY1SA5F24PQGUI" hidden="1">#REF!</definedName>
    <definedName name="BEx589O00O7T0K672EOZFZI0X1YZ" hidden="1">#REF!</definedName>
    <definedName name="BEx58M95WA69WDISZ7RI7DSLBNHL" hidden="1">#REF!</definedName>
    <definedName name="BEx58O780PQ05NF0Z1SKKRB3N099" hidden="1">#REF!</definedName>
    <definedName name="BEx58VJMO1O3B2R1DR6MIQSFPZW9" hidden="1">#REF!</definedName>
    <definedName name="BEx58XHO7ZULLF2EUD7YIS0MGQJ5" hidden="1">#REF!</definedName>
    <definedName name="BEx58ZW0HAIGIPEX9CVA1PQQTR6X" hidden="1">#REF!</definedName>
    <definedName name="BEx591ZJ14LAJI4Q8DU3CQQBHZDV" hidden="1">#REF!</definedName>
    <definedName name="BEx59BA1KH3RG6K1LHL7YS2VB79N" hidden="1">#REF!</definedName>
    <definedName name="BEx59E9WABJP2TN71QAIKK79HPK9" hidden="1">#REF!</definedName>
    <definedName name="BEx59P7MAPNU129ZTC5H3EH892G1" hidden="1">#REF!</definedName>
    <definedName name="BEx59WPJZYWUOEGJHPOVM5ETCM6G" hidden="1">#REF!</definedName>
    <definedName name="BEx5A11WZRQSIE089QE119AOX9ZG" hidden="1">#REF!</definedName>
    <definedName name="BEx5A53I4OI80LV9DRIR9EFD2XUD" hidden="1">#REF!</definedName>
    <definedName name="BEx5A7CIGCOTHJKHGUBDZG91JGPZ" hidden="1">#REF!</definedName>
    <definedName name="BEx5A8UFLT2SWVSG5COFA9B8P376" hidden="1">#REF!</definedName>
    <definedName name="BEx5ACAHJPLAS35SPSXQ88PJYGPI" hidden="1">#REF!</definedName>
    <definedName name="BEx5AFFTN3IXIBHDKM0FYC4OFL1S" hidden="1">#REF!</definedName>
    <definedName name="BEx5AHJCYGGMC1XIZ0OFMKZ5KMKY" hidden="1">#REF!</definedName>
    <definedName name="BEx5ANDOOW91YBCYUL4H4JOJKCSS" hidden="1">#REF!</definedName>
    <definedName name="BEx5AOFIO8KVRHIZ1RII337AA8ML" hidden="1">#REF!</definedName>
    <definedName name="BEx5APRZ66L5BWHFE8E4YYNEDTI4" hidden="1">#REF!</definedName>
    <definedName name="BEx5ARQ6V82KDMN77WT0B1AK7B5S"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8NPOI2Q8RAVBYRKGZ2V9VTP" localSheetId="7" hidden="1">Prod #REF!</definedName>
    <definedName name="BEx5B8NPOI2Q8RAVBYRKGZ2V9VTP" hidden="1">Prod #REF!</definedName>
    <definedName name="BEx5BAWPMY0TL684WDXX6KKJLRCN" hidden="1">#REF!</definedName>
    <definedName name="BEx5BBI61U4Y65GD0ARMTALPP7SJ" hidden="1">#REF!</definedName>
    <definedName name="BEx5BDR56MEV4IHY6CIH2SVNG1UB" hidden="1">#REF!</definedName>
    <definedName name="BEx5BENI92DXN7JRA7BPLGP4WM7T"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PW1UNI0OHD2YF23HJMCKYN0" hidden="1">#REF!</definedName>
    <definedName name="BEx5BQN48A0P0HALA6YWGQLFIY7R" hidden="1">#REF!</definedName>
    <definedName name="BEx5BYFMZ80TDDN2EZO8CF39AIAC" hidden="1">#REF!</definedName>
    <definedName name="BEx5C2BWFW6SHZBFDEISKGXHZCQW" hidden="1">#REF!</definedName>
    <definedName name="BEx5C49ZFH8TO9ZU55729C3F7XG7" hidden="1">#REF!</definedName>
    <definedName name="BEx5C6TR4RBKEED5SJ4UX81IR3JY"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NR9ZYFH7VDST1YKR6JOAOVD" hidden="1">#REF!</definedName>
    <definedName name="BEx5CPEKNSJORIPFQC2E1LTRYY8L" hidden="1">#REF!</definedName>
    <definedName name="BEx5CQR6PPHZ1S1UI8J4XM1TRDYC" hidden="1">#REF!</definedName>
    <definedName name="BEx5CS3S0B7DLB4KP6MQ5XFT87GG" hidden="1">#REF!</definedName>
    <definedName name="BEx5CSUOL05D8PAM2TRDA9VRJT1O" hidden="1">#REF!</definedName>
    <definedName name="BEx5CUNFOO4YDFJ22HCMI2QKIGKM" hidden="1">#REF!</definedName>
    <definedName name="BEx5D8L47OF0WHBPFWXGZINZWUBZ" hidden="1">#REF!</definedName>
    <definedName name="BEx5DAJAHQ2SKUPCKSCR3PYML67L" hidden="1">#REF!</definedName>
    <definedName name="BEx5DC18JM1KJCV44PF18E0LNRKA" hidden="1">#REF!</definedName>
    <definedName name="BEx5DFMQL6JTH9KPC8ID642M300Z" hidden="1">#REF!</definedName>
    <definedName name="BEx5DJIZBTNS011R9IIG2OQ2L6ZX" hidden="1">#REF!</definedName>
    <definedName name="BEx5DT49SERQC9J2S9RR8EIZ7UAF" localSheetId="7" hidden="1">Prod #REF!</definedName>
    <definedName name="BEx5DT49SERQC9J2S9RR8EIZ7UAF" hidden="1">Prod #REF!</definedName>
    <definedName name="BEx5E123OLO9WQUOIRIDJ967KAGK" hidden="1">#REF!</definedName>
    <definedName name="BEx5E2UU5NES6W779W2OZTZOB4O7" hidden="1">#REF!</definedName>
    <definedName name="BEx5E4CSE5G83J5K32WENF7BXL82" hidden="1">#REF!</definedName>
    <definedName name="BEx5EBJQ5V4LGZR8WJ1PEG9GHSSV" hidden="1">#REF!</definedName>
    <definedName name="BEx5ELQL9B0VR6UT18KP11DHOTFX" hidden="1">#REF!</definedName>
    <definedName name="BEx5EPMUH8BRUS7SR4WFRU1DHN8S" hidden="1">#REF!</definedName>
    <definedName name="BEx5EQDQYXRC2NSQ9WTK9DXOJ8Y9" hidden="1">#REF!</definedName>
    <definedName name="BEx5ER4TJTFPN7IB1MNEB1ZFR5M6" hidden="1">#REF!</definedName>
    <definedName name="BEx5EZ2ORDJQSTT4KQMZALOFR80B" hidden="1">#REF!</definedName>
    <definedName name="BEx5F6V72QTCK7O39Y59R0EVM6CW" hidden="1">#REF!</definedName>
    <definedName name="BEx5FGLQVACD5F5YZG4DGSCHCGO2" hidden="1">#REF!</definedName>
    <definedName name="BEx5FGR7YST9UWW32VFER0W4LEF2" hidden="1">#REF!</definedName>
    <definedName name="BEx5FKNHAS16DEY593KKISYDQEI7"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SW55LVAZI956T9XU4KIBELE" hidden="1">#REF!</definedName>
    <definedName name="BEx5FTCEIIRM9OOPXK6PB2KJSLTA"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8H70AOIQNK90C2VU5BAF8TV" hidden="1">#REF!</definedName>
    <definedName name="BEx5GE66YNPSS5MSPTBXLYLNUHSJ" hidden="1">#REF!</definedName>
    <definedName name="BEx5GF7W6MDBJ99979MLHSQJ3D8K" hidden="1">#REF!</definedName>
    <definedName name="BEx5GID9MVBUPFFT9M8K8B5MO9NV" hidden="1">#REF!</definedName>
    <definedName name="BEx5GL2CVWMY3S947ALVPBQG1W21" hidden="1">#REF!</definedName>
    <definedName name="BEx5GMKA3X797TU99MBIYX0I5S9Y" hidden="1">#REF!</definedName>
    <definedName name="BEx5GN0EWA9SCQDPQ7NTUQH82QVK" hidden="1">#REF!</definedName>
    <definedName name="BEx5GNBCU4WZ74I0UXFL9ZG2XSGJ" hidden="1">#REF!</definedName>
    <definedName name="BEx5GT5PB17R2GKX3F4H7WWN4M94" hidden="1">#REF!</definedName>
    <definedName name="BEx5GUCTYC7QCWGWU5BTO7Y7HDZX" hidden="1">#REF!</definedName>
    <definedName name="BEx5GYUPJULJQ624TEESYFG1NFOH" hidden="1">#REF!</definedName>
    <definedName name="BEx5GZR2KDETMC7ZPNE1YU6YELWI" hidden="1">#REF!</definedName>
    <definedName name="BEx5H0NEE0AIN5E2UHJ9J9ISU9N1" hidden="1">#REF!</definedName>
    <definedName name="BEx5H1UJSEUQM2K8QHQXO5THVHSO" hidden="1">#REF!</definedName>
    <definedName name="BEx5H2WFSII73OJ41QGRAZ28JO53" hidden="1">#REF!</definedName>
    <definedName name="BEx5H6HWU0VIXZNIU16SGARZGYBV"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O0ZSG2NVTE5M8U0WR86WW40" hidden="1">#REF!</definedName>
    <definedName name="BEx5HX60NL1N86OSL4YGMTZSGDKS" hidden="1">#REF!</definedName>
    <definedName name="BEx5HZ9JMKHNLFWLVUB1WP5B39BL" hidden="1">#REF!</definedName>
    <definedName name="BEx5I244LQHZTF3XI66J8705R9XX" hidden="1">#REF!</definedName>
    <definedName name="BEx5I3B4OHOD6SAPLK3PZDRO1GYC" hidden="1">#REF!</definedName>
    <definedName name="BEx5I4CZWURJPJZH95QO8E7MXFWV"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J0FFP1KS4NGY20AEJI8VREEA" hidden="1">#REF!</definedName>
    <definedName name="BEx5JAGVCXG3DBDTJAUQVLNXEOEU" hidden="1">#REF!</definedName>
    <definedName name="BEx5JENVO7X0TBQGRMGKRTMFB470" hidden="1">#REF!</definedName>
    <definedName name="BEx5JF3ZXLDIS8VNKDCY7ZI7H1CI" hidden="1">#REF!</definedName>
    <definedName name="BEx5JHCZJ8G6OOOW6EF3GABXKH6F" hidden="1">#REF!</definedName>
    <definedName name="BEx5JJB6W446THXQCRUKD3I7RKLP" hidden="1">#REF!</definedName>
    <definedName name="BEx5JJWTMI37U3RDEJOYLO93RJ6Z" hidden="1">#REF!</definedName>
    <definedName name="BEx5JNCT8Z7XSSPD5EMNAJELCU2V" hidden="1">#REF!</definedName>
    <definedName name="BEx5JNCTPEOCCD9250ZF42YBZD6Y" hidden="1">#REF!</definedName>
    <definedName name="BEx5JP02DZ97IB62ITCKG1MMWBKN" hidden="1">#REF!</definedName>
    <definedName name="BEx5JQCNT9Y4RM306CHC8IPY3HBZ" hidden="1">#REF!</definedName>
    <definedName name="BEx5JR91NO6ECBKQUI7KBAUHVWQY" hidden="1">#REF!</definedName>
    <definedName name="BEx5JTHW7OW4QTNV5XZ3NC20LDLF" hidden="1">#REF!</definedName>
    <definedName name="BEx5K08PYKE6JOKBYIB006TX619P" hidden="1">#REF!</definedName>
    <definedName name="BEx5K1AKPNBF18M8BS3MHI13PF7R" hidden="1">#REF!</definedName>
    <definedName name="BEx5K21HQCDNYPG2QWFOVS99PE4A" hidden="1">#REF!</definedName>
    <definedName name="BEx5K51DSERT1TR7B4A29R41W4NX" hidden="1">#REF!</definedName>
    <definedName name="BEx5KAQDYNZ50DI1257E9S3S0NTI" hidden="1">#REF!</definedName>
    <definedName name="BEx5KCJ3NC47H8RYPEH0J255KRF4" hidden="1">#REF!</definedName>
    <definedName name="BEx5KCJ4JCAHU2E4LCLVKFWL64CX" hidden="1">#REF!</definedName>
    <definedName name="BEx5KG9XUFD2KURVK4VNGEXIC678" hidden="1">#REF!</definedName>
    <definedName name="BEx5KM9PJMIQFJSBANJO5FVW3Z28" hidden="1">#REF!</definedName>
    <definedName name="BEx5KOO1FHA4BJJBZGOZKTK8PRRN" hidden="1">#REF!</definedName>
    <definedName name="BEx5KRIL3PFC9PIM7NQWA09TEQWG" hidden="1">#REF!</definedName>
    <definedName name="BEx5KYER580I4T7WTLMUN7NLNP5K"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LWQ2YRWKLHNPUOX7A77685LZ" hidden="1">#REF!</definedName>
    <definedName name="BEx5LWQ37QIYZQJ66YANH6EFW9RB" hidden="1">#REF!</definedName>
    <definedName name="BEx5LYO5AGM9ICPKZBV7EN03XYO9" hidden="1">#REF!</definedName>
    <definedName name="BEx5M7T5JER9G2MLDH3G50GCW8PO" hidden="1">#REF!</definedName>
    <definedName name="BEx5MAIGJD3C3AO0RGLKRTEZBVUE" hidden="1">#REF!</definedName>
    <definedName name="BEx5MB9BR71LZDG7XXQ2EO58JC5F" hidden="1">#REF!</definedName>
    <definedName name="BEx5MBUWFYYLZSWZZX1RWB8VGF9Z" hidden="1">#REF!</definedName>
    <definedName name="BEx5MJSWQ04VS8WFHCZXYA7ZWU81" hidden="1">#REF!</definedName>
    <definedName name="BEx5MLG5BDGPTLUIG7GF6AXRAW55" hidden="1">#REF!</definedName>
    <definedName name="BEx5MLQZM68YQSKARVWTTPINFQ2C" hidden="1">#REF!</definedName>
    <definedName name="BEx5MMNB1XUEJ2GP3DTW83EWNHHD" localSheetId="7" hidden="1">Prod #REF!</definedName>
    <definedName name="BEx5MMNB1XUEJ2GP3DTW83EWNHHD" hidden="1">Prod #REF!</definedName>
    <definedName name="BEx5MVXTKNBXHNWTL43C670E4KXC" hidden="1">#REF!</definedName>
    <definedName name="BEx5MXVUPVH6HQTNGIG1I0OV3OY8" hidden="1">#REF!</definedName>
    <definedName name="BEx5N0FO63KBU22JV3H74ZJG27V5" hidden="1">#REF!</definedName>
    <definedName name="BEx5N0QEXXZUJIOAIPFYHF2J0TGP" hidden="1">#REF!</definedName>
    <definedName name="BEx5N22WZSH9V689QAL34V6JY3BN" hidden="1">#REF!</definedName>
    <definedName name="BEx5N4XI4PWB1W9PMZ4O5R0HWTYD" hidden="1">#REF!</definedName>
    <definedName name="BEx5N64ORAGT3QDH8YWN4UTL8WOF" hidden="1">#REF!</definedName>
    <definedName name="BEx5NA68N6FJFX9UJXK4M14U487F" hidden="1">#REF!</definedName>
    <definedName name="BEx5NIKBG2GDJOYGE3WCXKU7YY51" hidden="1">#REF!</definedName>
    <definedName name="BEx5NT7GFU86RBD96SXVVQC3UZ8E" hidden="1">#REF!</definedName>
    <definedName name="BEx5NTT1BNMGZVBI33Q9UW2ICI5K" hidden="1">#REF!</definedName>
    <definedName name="BEx5NUEM24ZED9VYADF1LHA31YNV" hidden="1">#REF!</definedName>
    <definedName name="BEx5NV06L5J5IMKGOMGKGJ4PBZCD" hidden="1">#REF!</definedName>
    <definedName name="BEx5NZSSQ6PY99ZX2D7Q9IGOR34W" hidden="1">#REF!</definedName>
    <definedName name="BEx5O3ZUQ2OARA1CDOZ3NC4UE5AA" hidden="1">#REF!</definedName>
    <definedName name="BEx5OAFS0NJ2CB86A02E1JYHMLQ1" hidden="1">#REF!</definedName>
    <definedName name="BEx5OG4RPU8W1ETWDWM234NYYYEN" hidden="1">#REF!</definedName>
    <definedName name="BEx5OHXI4R617RH4NY6VKOI4ZRA2" hidden="1">#REF!</definedName>
    <definedName name="BEx5OL87PVSZSDHUK8KZBXSXHK2L" hidden="1">#REF!</definedName>
    <definedName name="BEx5OO2M5G412QX0XS6QCO74ZTMJ" hidden="1">#REF!</definedName>
    <definedName name="BEx5OP9Y43F99O2IT69MKCCXGL61" hidden="1">#REF!</definedName>
    <definedName name="BEx5OU7V5MLWF2F4AU917XPC53C2" hidden="1">#REF!</definedName>
    <definedName name="BEx5OXIKDIYQDT89AL1I005KPLFQ" hidden="1">#REF!</definedName>
    <definedName name="BEx5P67GLF8FJ7DIPWBTB5NQ2LOG" hidden="1">#REF!</definedName>
    <definedName name="BEx5P9Y9RDXNUAJ6CZ2LHMM8IM7T" hidden="1">#REF!</definedName>
    <definedName name="BEx5PHG040UB6SAJGMT6H4JLV2O8"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PYJ1M7KNW4566RAPKTK159HP" hidden="1">#REF!</definedName>
    <definedName name="BEx5Q4IT7ZSXFF7HLFY04IHMTPHO" hidden="1">#REF!</definedName>
    <definedName name="BEx5QGT6ZJDVW73MNRC6IUML0GKF" hidden="1">#REF!</definedName>
    <definedName name="BEx5QMI6U25ELX8BUK6JWK84S8ZR" localSheetId="7" hidden="1">Prod #REF!</definedName>
    <definedName name="BEx5QMI6U25ELX8BUK6JWK84S8ZR" hidden="1">Prod #REF!</definedName>
    <definedName name="BEx5QPSW4IPLH50WSR87HRER05RF" hidden="1">#REF!</definedName>
    <definedName name="BEx73V0EP8EMNRC3EZJJKKVKWQVB" hidden="1">#REF!</definedName>
    <definedName name="BEx741WJHIJVXUX131SBXTVW8D71" hidden="1">#REF!</definedName>
    <definedName name="BEx746ZZ73QHTXKD87X7R3HKC2KM" hidden="1">#REF!</definedName>
    <definedName name="BEx74ESIB9Y8KGETIERMKU5PLCQR" hidden="1">#REF!</definedName>
    <definedName name="BEx74IZJLRUQ03RCK06W91H2260J" hidden="1">#REF!</definedName>
    <definedName name="BEx74Q6H3O7133AWQXWC21MI2UFT" hidden="1">#REF!</definedName>
    <definedName name="BEx74W6BJ8ENO3J25WNM5H5APKA3" hidden="1">#REF!</definedName>
    <definedName name="BEx755GRRD9BL27YHLH5QWIYLWB7" hidden="1">#REF!</definedName>
    <definedName name="BEx757V4HY4OAGXYAJGM7RJQE3NM" hidden="1">#REF!</definedName>
    <definedName name="BEx759D1D5SXS5ELLZVBI0SXYUNF" hidden="1">#REF!</definedName>
    <definedName name="BEx75BGL4B587TM29E78APZYJUTT" hidden="1">#REF!</definedName>
    <definedName name="BEx75GJZSZHUDN6OOAGQYFUDA2LP" hidden="1">#REF!</definedName>
    <definedName name="BEx75HGCCV5K4UCJWYV8EV9AG5YT" hidden="1">#REF!</definedName>
    <definedName name="BEx75MJT47XEWZSLZAG6IUOQKXIX" hidden="1">#REF!</definedName>
    <definedName name="BEx75PUGN3GRAOM71H7CNDG1N9CJ" hidden="1">#REF!</definedName>
    <definedName name="BEx75PZT8TY5P13U978NVBUXKHT4" hidden="1">#REF!</definedName>
    <definedName name="BEx75T55F7GML8V1DMWL26WRT006" hidden="1">#REF!</definedName>
    <definedName name="BEx75VJGR07JY6UUWURQ4PJ29UKC" hidden="1">#REF!</definedName>
    <definedName name="BEx765A28KL05DU9PG2REPK40UX3" hidden="1">#REF!</definedName>
    <definedName name="BEx767TVNAW4B26ME6C5WVI36IZD" hidden="1">#REF!</definedName>
    <definedName name="BEx76V1XKGBEDZIV9DV1A2YV1JOI" hidden="1">#REF!</definedName>
    <definedName name="BEx7741OUGLA0WJQLQRUJSL4DE00" hidden="1">#REF!</definedName>
    <definedName name="BEx774N83DXLJZ54Q42PWIJZ2DN1" hidden="1">#REF!</definedName>
    <definedName name="BEx778OTR2MZD87284MIGRGRCRC0" hidden="1">#REF!</definedName>
    <definedName name="BEx779QNIY3061ZV9BR462WKEGRW" hidden="1">#REF!</definedName>
    <definedName name="BEx77G19QU9A95CNHE6QMVSQR2T3" hidden="1">#REF!</definedName>
    <definedName name="BEx77G6JXY3SVYU17VM0J5LU9AQH" hidden="1">#REF!</definedName>
    <definedName name="BEx77OQ625E4LSEXLQEMAZHPDMMC"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A5IYYCMR88AXOWEFKVY8371" hidden="1">#REF!</definedName>
    <definedName name="BEx78A5JAWI6EMCWJ7AJWGAH8AMJ" hidden="1">#REF!</definedName>
    <definedName name="BEx78HHRIWDLHQX2LG0HWFRYEL1T" hidden="1">#REF!</definedName>
    <definedName name="BEx78NSKC3OQCQ4WQAIZ6JURE7GW" hidden="1">#REF!</definedName>
    <definedName name="BEx78OOPYID4QYC9KQ8TPDG220E4" hidden="1">#REF!</definedName>
    <definedName name="BEx78QMXZ2P1ZB3HJ9O50DWHCMXR" hidden="1">#REF!</definedName>
    <definedName name="BEx78SFO5VR28677DWZEMDN7G86X" hidden="1">#REF!</definedName>
    <definedName name="BEx78SFOYH1Z0ZDTO47W2M60TW6K" hidden="1">#REF!</definedName>
    <definedName name="BEx78VQC31XDX2KBXDWTWVOV5W03" hidden="1">#REF!</definedName>
    <definedName name="BEx79FD1DFV0LQFGFSSI0ZTGWJTF" hidden="1">#REF!</definedName>
    <definedName name="BEx79HRD8NL9EMUOALME68ALFZYA" hidden="1">#REF!</definedName>
    <definedName name="BEx79JK3E6JO8MX4O35A5G8NZCC8" hidden="1">#REF!</definedName>
    <definedName name="BEx79LI4E2NR7N44RPF7BSCSJYAW" hidden="1">#REF!</definedName>
    <definedName name="BEx79OCP4HQ6XP8EWNGEUDLOZBBS" hidden="1">#REF!</definedName>
    <definedName name="BEx79PEK8SU11IRGXU9B9TDEP0J4" hidden="1">#REF!</definedName>
    <definedName name="BEx79SEAYKUZB0H4LYBCD6WWJBG2" hidden="1">#REF!</definedName>
    <definedName name="BEx79SJRHTLS9PYM69O9BWW1FMJK" hidden="1">#REF!</definedName>
    <definedName name="BEx79YJJLBELICW9F9FRYSCQ101L" hidden="1">#REF!</definedName>
    <definedName name="BEx79YOUHTDD16ZGGUBH3JDBW1VZ"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F0ZBW82I63BLHHF2TOBK826" hidden="1">#REF!</definedName>
    <definedName name="BEx7AHVFUS0YYUMMONEOTJJFS1CE" hidden="1">#REF!</definedName>
    <definedName name="BEx7AK4E2X284ILYWAZ2VJB0CNYK" hidden="1">#REF!</definedName>
    <definedName name="BEx7AQV3PGI9EVX19Y61TNZWQD3Z" hidden="1">#REF!</definedName>
    <definedName name="BEx7ASD1I654MEDCO6GGWA95PXSC" hidden="1">#REF!</definedName>
    <definedName name="BEx7ASYMO87QTI4OGS8RP4M3OLYE" hidden="1">#REF!</definedName>
    <definedName name="BEx7AU5SQYFE1B8XLB6QDJBRJ0HD" hidden="1">#REF!</definedName>
    <definedName name="BEx7AVCX9S5RJP3NSZ4QM4E6ERDT" hidden="1">#REF!</definedName>
    <definedName name="BEx7AVYIGP0930MV5JEBWRYCJN68" hidden="1">#REF!</definedName>
    <definedName name="BEx7B11YDBMRZG7EYCKJUO3H1Y6F" hidden="1">#REF!</definedName>
    <definedName name="BEx7B3LKPGMDIE1WTF5ZO95GA2PN" hidden="1">#REF!</definedName>
    <definedName name="BEx7B6LH6917TXOSAAQ6U7HVF018" hidden="1">#REF!</definedName>
    <definedName name="BEx7BG1F6NDUQLE0DTCCGP0QGZ8I" hidden="1">#REF!</definedName>
    <definedName name="BEx7BIQJ5XHOJHZUAVG3KLP0T1HX" hidden="1">#REF!</definedName>
    <definedName name="BEx7BPXFZXJ79FQ0E8AQE21PGVHA" hidden="1">#REF!</definedName>
    <definedName name="BEx7C04AM39DQMC1TIX7CFZ2ADHX" hidden="1">#REF!</definedName>
    <definedName name="BEx7C40F0PQURHPI6YQ39NFIR86Z" hidden="1">#REF!</definedName>
    <definedName name="BEx7C4GO194C9S2BND2JN7RGAH0N" hidden="1">#REF!</definedName>
    <definedName name="BEx7C75U0NISDK1OL17YUYWB1CES" hidden="1">#REF!</definedName>
    <definedName name="BEx7C93VR7SYRIJS1JO8YZKSFAW9" hidden="1">#REF!</definedName>
    <definedName name="BEx7CCPC6R1KQQZ2JQU6EFI1G0RM" hidden="1">#REF!</definedName>
    <definedName name="BEx7CIJST9GLS2QD383UK7VUDTGL" hidden="1">#REF!</definedName>
    <definedName name="BEx7CO3H2BHQCWZULMVQWT0HX07E" hidden="1">#REF!</definedName>
    <definedName name="BEx7CO8T2XKC7GHDSYNAWTZ9L7YR" hidden="1">#REF!</definedName>
    <definedName name="BEx7CSQNKBURI4YOHM2NAX05ZJ6L" hidden="1">#REF!</definedName>
    <definedName name="BEx7CW1CF00DO8A36UNC2X7K65C2" hidden="1">#REF!</definedName>
    <definedName name="BEx7CW6NFRL2P4XWP0MWHIYA97KF" hidden="1">#REF!</definedName>
    <definedName name="BEx7CXJAC6Y98SDCKFI55DBTJ6JZ" hidden="1">#REF!</definedName>
    <definedName name="BEx7D5RWKRS4W71J4NZ6ZSFHPKFT" hidden="1">#REF!</definedName>
    <definedName name="BEx7D8H1TPOX1UN17QZYEV7Q58GA" hidden="1">#REF!</definedName>
    <definedName name="BEx7DD4D7DAI5BN4L7AHWYB979CQ" hidden="1">#REF!</definedName>
    <definedName name="BEx7DG48SKV34F8DRWKKMXQRHZGN" hidden="1">#REF!</definedName>
    <definedName name="BEx7DGF13H2074LRWFZQ45PZ6JPX" hidden="1">#REF!</definedName>
    <definedName name="BEx7DKWUXEDIISSX4GDD4YYT887F" hidden="1">#REF!</definedName>
    <definedName name="BEx7DMUYR2HC26WW7AOB1TULERMB" hidden="1">#REF!</definedName>
    <definedName name="BEx7DPEKBW894VYWSUX2Y5M4Q3LL" localSheetId="7" hidden="1">Prod #REF!</definedName>
    <definedName name="BEx7DPEKBW894VYWSUX2Y5M4Q3LL" hidden="1">Prod #REF!</definedName>
    <definedName name="BEx7DVJTRV44IMJIBFXELE67SZ7S" hidden="1">#REF!</definedName>
    <definedName name="BEx7DVUMFCI5INHMVFIJ44RTTSTT" hidden="1">#REF!</definedName>
    <definedName name="BEx7DXHVQ3XRVZ2H7QO8TYMIA4P9" hidden="1">#REF!</definedName>
    <definedName name="BEx7DZW7VKCKUPSXCQEL9GAW0B4W" hidden="1">#REF!</definedName>
    <definedName name="BEx7E2QT2U8THYOKBPXONB1B47WH" hidden="1">#REF!</definedName>
    <definedName name="BEx7E5QP7W6UKO74F5Y0VJ741HS5" hidden="1">#REF!</definedName>
    <definedName name="BEx7E6HLN95HCY1KXI6ABNWGTURA" hidden="1">#REF!</definedName>
    <definedName name="BEx7E6N29HGH3I47AFB2DCS6MVS6" hidden="1">#REF!</definedName>
    <definedName name="BEx7E73BXX4MPQ8WSI8LX6FV4LH8" hidden="1">#REF!</definedName>
    <definedName name="BEx7EBA8IYHQKT7IQAOAML660SYA" hidden="1">#REF!</definedName>
    <definedName name="BEx7EI6C8MCRZFEQYUBE5FSUTIHK" hidden="1">#REF!</definedName>
    <definedName name="BEx7EI6DL1Z6UWLFBXAKVGZTKHWJ" hidden="1">#REF!</definedName>
    <definedName name="BEx7EMIX1GZFU7GXIQ9FSOYXQN3X" localSheetId="7" hidden="1">Prod #REF!</definedName>
    <definedName name="BEx7EMIX1GZFU7GXIQ9FSOYXQN3X" hidden="1">Prod #REF!</definedName>
    <definedName name="BEx7EQKHX7GZYOLXRDU534TT4H64" hidden="1">#REF!</definedName>
    <definedName name="BEx7ETV6L1TM7JSXJIGK3FC6RVZW" hidden="1">#REF!</definedName>
    <definedName name="BEx7EWK9GUVV6FXWYIGH0TAI4V2O" hidden="1">#REF!</definedName>
    <definedName name="BEx7EYYLHMBYQTH6I377FCQS7CSX" hidden="1">#REF!</definedName>
    <definedName name="BEx7F3GG2FI10JUMINUOIYICFVD9" hidden="1">#REF!</definedName>
    <definedName name="BEx7F3R8GQKC3OC57YX7GQ1D26WX" hidden="1">#REF!</definedName>
    <definedName name="BEx7F4NMGGTZWR8S7710RWGFG8W2" hidden="1">#REF!</definedName>
    <definedName name="BEx7FBJRLJUZKK1FVSCNP0F4GBYT" hidden="1">#REF!</definedName>
    <definedName name="BEx7FCLG1RYI2SNOU1Y2GQZNZSWA" hidden="1">#REF!</definedName>
    <definedName name="BEx7FDCIP044S0M2BYMG1J2H28IK" hidden="1">#REF!</definedName>
    <definedName name="BEx7FEJOQNYA7A6O7YB4SBB1KK73" hidden="1">#REF!</definedName>
    <definedName name="BEx7FIL87TXQSUJ03S7NBB9S4HA5" hidden="1">#REF!</definedName>
    <definedName name="BEx7FJXVPDQF9J2G1P0S3RBFNZZW" localSheetId="7" hidden="1">Prod #REF!</definedName>
    <definedName name="BEx7FJXVPDQF9J2G1P0S3RBFNZZW" hidden="1">Prod #REF!</definedName>
    <definedName name="BEx7FN32ZGWOAA4TTH79KINTDWR9" hidden="1">#REF!</definedName>
    <definedName name="BEx7FTOFOYQLDCCOJY1H3JHICFOI" hidden="1">#REF!</definedName>
    <definedName name="BEx7FVMORQ1N6SIECWJVJWT23E6Y" hidden="1">#REF!</definedName>
    <definedName name="BEx7FZ2NBD60FXGNYS120WYBTXA3" hidden="1">#REF!</definedName>
    <definedName name="BEx7G82CKM3NIY1PHNFK28M09PCH" hidden="1">#REF!</definedName>
    <definedName name="BEx7GMG8RQ2YB3WVSLKZZZKKRMV0" hidden="1">#REF!</definedName>
    <definedName name="BEx7GQCIM1W1OR8EP7JKRMYGFHW2" hidden="1">#REF!</definedName>
    <definedName name="BEx7GR3ENYWRXXS5IT0UMEGOLGUH" hidden="1">#REF!</definedName>
    <definedName name="BEx7GSAL6P7TASL8MB63RFST1LJL" hidden="1">#REF!</definedName>
    <definedName name="BEx7GSLEAEDT83F2LWWOC5ZLL5JW" hidden="1">#REF!</definedName>
    <definedName name="BEx7H0JD6I5I8WQLLWOYWY5YWPQE" hidden="1">#REF!</definedName>
    <definedName name="BEx7H14XCXH7WEXEY1HVO53A6AGH" hidden="1">#REF!</definedName>
    <definedName name="BEx7H6ZA84EDCYX9HQKE2VH03R77" hidden="1">#REF!</definedName>
    <definedName name="BEx7H7A3IND3XX895B1NI519TC8J" hidden="1">#REF!</definedName>
    <definedName name="BEx7HFTIA8AC8BR8HKIN81VE1SGW" hidden="1">#REF!</definedName>
    <definedName name="BEx7HGVBEF4LEIF6RC14N3PSU461" hidden="1">#REF!</definedName>
    <definedName name="BEx7HHRP6OIBN749NAR4JO512P36" hidden="1">#REF!</definedName>
    <definedName name="BEx7HIO3KHPWCXFSLZSGM0Z00437" hidden="1">#REF!</definedName>
    <definedName name="BEx7HQ5T9FZ42QWS09UO4DT42Y0R" hidden="1">#REF!</definedName>
    <definedName name="BEx7HRCZE3CVGON1HV07MT5MNDZ3" hidden="1">#REF!</definedName>
    <definedName name="BEx7HTR9KX95W5PCWALB2B9ESFNO" hidden="1">#REF!</definedName>
    <definedName name="BEx7HWGE2CANG5M17X4C8YNC3N8F" hidden="1">#REF!</definedName>
    <definedName name="BEx7I78T2TKAK7EK207JGTXWXLS8" hidden="1">#REF!</definedName>
    <definedName name="BEx7I8FZ96C5JAHXS18ZV0912LZP" hidden="1">#REF!</definedName>
    <definedName name="BEx7IBVYN47SFZIA0K4MDKQZNN9V" hidden="1">#REF!</definedName>
    <definedName name="BEx7ICXT0JHWJ0YH4SYEJ14PP5DR" hidden="1">#REF!</definedName>
    <definedName name="BEx7IJTYZHWYWQ1TQVKRC67VVT77" hidden="1">#REF!</definedName>
    <definedName name="BEx7IV2IJ5WT7UC0UG7WP0WF2JZI" hidden="1">#REF!</definedName>
    <definedName name="BEx7IVYW0BVRNK8TSN8GSYPGYU0L" hidden="1">#REF!</definedName>
    <definedName name="BEx7IWV99LM4FB1AXIXRNLT7DZJM" hidden="1">#REF!</definedName>
    <definedName name="BEx7IX0PBRVN6E9UHNYYH105Q1UZ" hidden="1">#REF!</definedName>
    <definedName name="BEx7IXGU74GE5E4S6W4Z13AR092Y" hidden="1">#REF!</definedName>
    <definedName name="BEx7J4YL8Q3BI1MLH16YYQ18IJRD" hidden="1">#REF!</definedName>
    <definedName name="BEx7J8K2T84AOQO5B3SJHMLRQLW6" hidden="1">#REF!</definedName>
    <definedName name="BEx7J9B4EOP8JPRQCUQJTYF4X0D6" hidden="1">#REF!</definedName>
    <definedName name="BEx7JGND75YVR9DKZM1MKW95Z8TB" hidden="1">#REF!</definedName>
    <definedName name="BEx7JH3HGBPI07OHZ5LFYK0UFZQR" hidden="1">#REF!</definedName>
    <definedName name="BEx7JV194190CNM6WWGQ3UBJ3CHH" hidden="1">#REF!</definedName>
    <definedName name="BEx7K0VL25LF11UTEBHWBIQ4JLM9" hidden="1">#REF!</definedName>
    <definedName name="BEx7K7GZ607XQOGB81A1HINBTGOZ" hidden="1">#REF!</definedName>
    <definedName name="BEx7KDBFBNU0ZUIGRNEW4T9IXUTH" hidden="1">#REF!</definedName>
    <definedName name="BEx7KEYPBDXSNROH8M6CDCBN6B50" hidden="1">#REF!</definedName>
    <definedName name="BEx7KSAS8BZT6H8OQCZ5DNSTMO07" hidden="1">#REF!</definedName>
    <definedName name="BEx7KW1QFX28UYKKJ7VLP6I6CQR1" hidden="1">#REF!</definedName>
    <definedName name="BEx7KWHTBD21COXVI4HNEQH0Z3L8" hidden="1">#REF!</definedName>
    <definedName name="BEx7KXUGRMRSUXCM97Z7VRZQ9JH2" hidden="1">#REF!</definedName>
    <definedName name="BEx7L21IQVP1N1TTQLRMANSSLSLE" hidden="1">#REF!</definedName>
    <definedName name="BEx7L3DZH58ZUVXJY3QMJYM4KE2N" hidden="1">#REF!</definedName>
    <definedName name="BEx7L5C6U8MP6IZ67BD649WQYJEK" hidden="1">#REF!</definedName>
    <definedName name="BEx7L68K1L9RPG4HDAIVEKEG5XF4" hidden="1">#REF!</definedName>
    <definedName name="BEx7L6ZG2NL1CW14WYVMF5SH4NC1" hidden="1">#REF!</definedName>
    <definedName name="BEx7L74X2R517V14Q5AKLEA2ECIO" hidden="1">#REF!</definedName>
    <definedName name="BEx7L8HEYEVTATR0OG5JJO647KNI" hidden="1">#REF!</definedName>
    <definedName name="BEx7L8XOV64OMS15ZFURFEUXLMWF" hidden="1">#REF!</definedName>
    <definedName name="BEx7LJVFQACL9F4DRS9YZQ9R2N30" hidden="1">#REF!</definedName>
    <definedName name="BEx7MAUI1JJFDIJGDW4RWY5384LY" hidden="1">#REF!</definedName>
    <definedName name="BEx7MJZO3UKAMJ53UWOJ5ZD4GGMQ" hidden="1">#REF!</definedName>
    <definedName name="BEx7MT4MFNXIVQGAT6D971GZW7CA" hidden="1">#REF!</definedName>
    <definedName name="BEx7NI062THZAM6I8AJWTFJL91CS" hidden="1">#REF!</definedName>
    <definedName name="BEx8ZY6UFM571XUE82FQZRNOKP90" hidden="1">#REF!</definedName>
    <definedName name="BEx904S75BPRYMHF0083JF7ES4NG" hidden="1">#REF!</definedName>
    <definedName name="BEx90CVJHW2G83ZSI8F4ZSPTFSPI" hidden="1">#REF!</definedName>
    <definedName name="BEx90HDD4RWF7JZGA8GCGG7D63MG" hidden="1">#REF!</definedName>
    <definedName name="BEx90I9QMSMO0UA849N67C293LJF" hidden="1">#REF!</definedName>
    <definedName name="BEx90VGH5H09ON2QXYC9WIIEU98T"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1YKG5M0ZZDVWNGF80SPL8GUP" hidden="1">#REF!</definedName>
    <definedName name="BEx921PNZ46VORG2VRMWREWIC0SE" hidden="1">#REF!</definedName>
    <definedName name="BEx92DJXEXVC627QL1HYSV2VSHSS"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3XEW3560GY0PCIA6M343RYZ" hidden="1">#REF!</definedName>
    <definedName name="BEx935VHGQGAJAXJKSPCC6GC2KIE" hidden="1">#REF!</definedName>
    <definedName name="BEx93B9OULL2YGC896XXYAAJSTRK" hidden="1">#REF!</definedName>
    <definedName name="BEx93EF2OPUY92WSYH0W2RMHNX2M"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XANUBKDWUFL8OKTAQ73U7KO" hidden="1">#REF!</definedName>
    <definedName name="BEx940W3YC0U5WE0EU3NAM03TU5I" hidden="1">#REF!</definedName>
    <definedName name="BEx942UCRHMI4B0US31HO95GSC2X" hidden="1">#REF!</definedName>
    <definedName name="BEx948ZFFQWVIDNG4AZAUGGGEB5U" hidden="1">#REF!</definedName>
    <definedName name="BEx94CKXG92OMURH41SNU6IOHK4J" hidden="1">#REF!</definedName>
    <definedName name="BEx94D17ZMITNFDOBVHD45CK0LIX" hidden="1">#REF!</definedName>
    <definedName name="BEx94E8CBMGM9YP8Z0W8OWHAAZH1" hidden="1">#REF!</definedName>
    <definedName name="BEx94GXG30CIVB6ZQN3X3IK6BZXQ" hidden="1">#REF!</definedName>
    <definedName name="BEx94HZ5LURYM9ST744ALV6ZCKYP" hidden="1">#REF!</definedName>
    <definedName name="BEx94IQ75E90YUMWJ9N591LR7DQQ" hidden="1">#REF!</definedName>
    <definedName name="BEx94KZ15ZYPCF3MS4NBCRA3XQSI" hidden="1">#REF!</definedName>
    <definedName name="BEx94L9TBK45AUQSX1IUZ86U1GPQ" hidden="1">#REF!</definedName>
    <definedName name="BEx94N7W5T3U7UOE97D6OVIBUCXS" hidden="1">#REF!</definedName>
    <definedName name="BEx94RPVLMITVWHILFJDZ11P3YXA" localSheetId="7" hidden="1">Prod #REF!</definedName>
    <definedName name="BEx94RPVLMITVWHILFJDZ11P3YXA" hidden="1">Prod #REF!</definedName>
    <definedName name="BEx94XK7UU9DFJ86U8TSKJGWAG9A" hidden="1">#REF!</definedName>
    <definedName name="BEx953PB6S6ECMD8N0JSW0CBG0DA" hidden="1">#REF!</definedName>
    <definedName name="BEx955NIAWX5OLAHMTV6QFUZPR30" hidden="1">#REF!</definedName>
    <definedName name="BEx9581TYVI2M5TT4ISDAJV4W7Z6" hidden="1">#REF!</definedName>
    <definedName name="BEx95990AKC79KU6OMVD5DSEO5K9" localSheetId="7" hidden="1">Prod #REF!</definedName>
    <definedName name="BEx95990AKC79KU6OMVD5DSEO5K9" hidden="1">Prod #REF!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TBWLL1HJB2TYG737Y2M00HR" localSheetId="7" hidden="1">Prod #REF!</definedName>
    <definedName name="BEx95TBWLL1HJB2TYG737Y2M00HR" hidden="1">Prod #REF!</definedName>
    <definedName name="BEx95U89DZZSVO39TGS62CX8G9N4" hidden="1">#REF!</definedName>
    <definedName name="BEx95ZBPVBQBIU0LCXSH93UZK4VU" hidden="1">#REF!</definedName>
    <definedName name="BEx9602K2GHNBUEUVT9ONRQU1GMD"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6NFOGJWDFFOFDUAFC8NNTP" hidden="1">#REF!</definedName>
    <definedName name="BEx970MYCPJ6DQ44TKLOIGZO5LHH" hidden="1">#REF!</definedName>
    <definedName name="BEx978KSD61YJH3S9DGO050R2EHA" hidden="1">#REF!</definedName>
    <definedName name="BEx97G2I6DY0VHHC9C4XA71Y9W4W" hidden="1">#REF!</definedName>
    <definedName name="BEx97H9O1NAKAPK4MX4PKO34ICL5" hidden="1">#REF!</definedName>
    <definedName name="BEx97HVA5F2I0D6ID81KCUDEQOIH" hidden="1">#REF!</definedName>
    <definedName name="BEx97MNUZQ1Z0AO2FL7XQYVNCPR7" hidden="1">#REF!</definedName>
    <definedName name="BEx97N9FWLVGK3U57LFKVWAMJOG3" hidden="1">#REF!</definedName>
    <definedName name="BEx97NPQBACJVD9K1YXI08RTW9E2" hidden="1">#REF!</definedName>
    <definedName name="BEx97RWQLXS0OORDCN69IGA58CWU" hidden="1">#REF!</definedName>
    <definedName name="BEx97VNKVSW6U74RLUWKZYKBD76K" hidden="1">#REF!</definedName>
    <definedName name="BEx97YNGGDFIXHTMGFL2IHAQX9MI" hidden="1">#REF!</definedName>
    <definedName name="BEx981HW73BUZWT14TBTZHC0ZTJ4" hidden="1">#REF!</definedName>
    <definedName name="BEx9871KU0N99P0900EAK69VFYT2" hidden="1">#REF!</definedName>
    <definedName name="BEx98HZANKYM1LL2H90KWB4CPKN6" hidden="1">#REF!</definedName>
    <definedName name="BEx98IFKNJFGZFLID1YTRFEG1SXY" hidden="1">#REF!</definedName>
    <definedName name="BEx9915U6M3K5RDTIXYJAGGIB54R" hidden="1">#REF!</definedName>
    <definedName name="BEx9915UVD4G7RA3IMLFZ0LG3UA2" hidden="1">#REF!</definedName>
    <definedName name="BEx992CZON8AO7U7V88VN1JBO0MG" hidden="1">#REF!</definedName>
    <definedName name="BEx9952469XMFGSPXL7CMXHPJF90" hidden="1">#REF!</definedName>
    <definedName name="BEx99995OO0X4HC0IQDAISYRWAJG" hidden="1">#REF!</definedName>
    <definedName name="BEx99B77I7TUSHRR4HIZ9FU2EIUT" hidden="1">#REF!</definedName>
    <definedName name="BEx99HHYQG8D0GPWMBGC4DRNN2RS" hidden="1">#REF!</definedName>
    <definedName name="BEx99IUFIMY19VJ8A3DZTI1939LT" hidden="1">#REF!</definedName>
    <definedName name="BEx99Q6PH5F3OQKCCAAO75PYDEFN" hidden="1">#REF!</definedName>
    <definedName name="BEx99SVU39G49G8EQ4RL3E1C5VWO" hidden="1">#REF!</definedName>
    <definedName name="BEx99WBYT2D6UUC1PT7A40ENYID4" hidden="1">#REF!</definedName>
    <definedName name="BEx99XOGHOM28CNCYKQWYGL56W2S" hidden="1">#REF!</definedName>
    <definedName name="BEx99YFJ8JDPEEEQRABGIA0M020Y" hidden="1">#REF!</definedName>
    <definedName name="BEx99ZRZ4I7FHDPGRAT5VW7NVBPU" hidden="1">#REF!</definedName>
    <definedName name="BEx9ADPRQZSMQBC5ZVK9Y67PRZBV" hidden="1">#REF!</definedName>
    <definedName name="BEx9AKWPNM58M88D1ZL7PKKW6ES3" hidden="1">#REF!</definedName>
    <definedName name="BEx9ARY7F2Q2JQT63RW0CEZQ1WDB"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AOGUISRQKRB42IUZNSUS3RS" hidden="1">#REF!</definedName>
    <definedName name="BEx9BCBV86NAOTMCAYGOG2K426CC" hidden="1">#REF!</definedName>
    <definedName name="BEx9BMIQACGKISS9SP1B2I1E1B33" hidden="1">#REF!</definedName>
    <definedName name="BEx9BVNQI0HBI1QS1ORR4V8584ZF" hidden="1">#REF!</definedName>
    <definedName name="BEx9BYSYW7QCPXS2NAVLFAU5Y2Z2" hidden="1">#REF!</definedName>
    <definedName name="BEx9C17AHM4NMY8G3WK6YQ0T0WDU" hidden="1">#REF!</definedName>
    <definedName name="BEx9C1YCF8JHFB8E0V4QS7PP5DE9" hidden="1">#REF!</definedName>
    <definedName name="BEx9C590HJ2O31IWJB73C1HR74AI" hidden="1">#REF!</definedName>
    <definedName name="BEx9CCQRMYYOGIOYTOM73VKDIPS1" hidden="1">#REF!</definedName>
    <definedName name="BEx9CJHG02ADUIJ0WCG5FYLWETIN" hidden="1">#REF!</definedName>
    <definedName name="BEx9CMMSQA4LXHX5RGGTAJ9WVHTY" hidden="1">#REF!</definedName>
    <definedName name="BEx9CR4OAIEJ93WFSO3JGNY1A1RG" hidden="1">#REF!</definedName>
    <definedName name="BEx9CTDJ6OYUCCHJVREB4QE71EVB" hidden="1">#REF!</definedName>
    <definedName name="BEx9D1BC9FT19KY0INAABNDBAMR1" hidden="1">#REF!</definedName>
    <definedName name="BEx9D1GU4OVJHJ6P0LIZUXD9HHLR" hidden="1">#REF!</definedName>
    <definedName name="BEx9DGLRBAA81DUUOT35XR05XLKG" hidden="1">#REF!</definedName>
    <definedName name="BEx9DIZXF9X0GE90ROFYKV6K3PM9" hidden="1">#REF!</definedName>
    <definedName name="BEx9DN6ZMF18Q39MPMXSDJTZQNJ3" hidden="1">#REF!</definedName>
    <definedName name="BEx9DUU8DALPSCW66GTMQRPXZ6GL" hidden="1">#REF!</definedName>
    <definedName name="BEx9E08EK253W8SNA7NOGR32IG6U" hidden="1">#REF!</definedName>
    <definedName name="BEx9E14TDNSEMI784W0OTIEQMWN6" hidden="1">#REF!</definedName>
    <definedName name="BEx9E2BZ2B1R41FMGJCJ7JLGLUAJ" hidden="1">#REF!</definedName>
    <definedName name="BEx9E2S1LDHWNY3YCSQ6AY2CX2VH" hidden="1">#REF!</definedName>
    <definedName name="BEx9EEGVFGD9P2J88ICA4KVPXY9N" hidden="1">#REF!</definedName>
    <definedName name="BEx9EG9KBJ77M8LEOR9ITOKN5KXY" hidden="1">#REF!</definedName>
    <definedName name="BEx9EHGQHOBSWB60JAPUOVE46FK0" hidden="1">#REF!</definedName>
    <definedName name="BEx9EHX1AFST490DBVMRF9VY68TD" hidden="1">#REF!</definedName>
    <definedName name="BEx9EJPLDN83EMBF8KM3HSTIIEPR" hidden="1">#REF!</definedName>
    <definedName name="BEx9EMK6HAJJMVYZTN5AUIV7O1E6" hidden="1">#REF!</definedName>
    <definedName name="BEx9EOCX1JICX1V641VHR2UB70AI" hidden="1">#REF!</definedName>
    <definedName name="BEx9EQLVZHYQ1TPX7WH3SOWXCZLE" hidden="1">#REF!</definedName>
    <definedName name="BEx9ETLU0EK5LGEM1QCNYN2S8O5F" hidden="1">#REF!</definedName>
    <definedName name="BEx9F0Y2ESUNE3U7TQDLMPE9BO67" hidden="1">#REF!</definedName>
    <definedName name="BEx9F3N61PH2LZC17CZ8REHR0PL3" localSheetId="7" hidden="1">Prod #REF!</definedName>
    <definedName name="BEx9F3N61PH2LZC17CZ8REHR0PL3" hidden="1">Prod #REF!</definedName>
    <definedName name="BEx9F5W18ZGFOKGRE8PR6T1MO6GT" hidden="1">#REF!</definedName>
    <definedName name="BEx9F78N4HY0XFGBQ4UJRD52L1EI" hidden="1">#REF!</definedName>
    <definedName name="BEx9FF16LOQP5QIR4UHW5EIFGQB8" hidden="1">#REF!</definedName>
    <definedName name="BEx9FGJ4IVOO2LICQBG4JC6ROTV4" hidden="1">#REF!</definedName>
    <definedName name="BEx9FIRZ63M78WGZES36WJ4I1B4C" hidden="1">#REF!</definedName>
    <definedName name="BEx9FJTSRCZ3ZXT3QVBJT5NF8T7V" hidden="1">#REF!</definedName>
    <definedName name="BEx9FKFFB4SRUMC79NC1GUFWK7VF" hidden="1">#REF!</definedName>
    <definedName name="BEx9FLRVEKHKYUC14ZMVEXYYH8R8" hidden="1">#REF!</definedName>
    <definedName name="BEx9FOMG2N339APAS335DCCTMKXF" hidden="1">#REF!</definedName>
    <definedName name="BEx9FRBEEYPS5HLS3XT34AKZN94G" hidden="1">#REF!</definedName>
    <definedName name="BEx9G17GB2V3PQ50QQFW2NROEZT9" hidden="1">#REF!</definedName>
    <definedName name="BEx9G892CF6SM99J007LDYZPPYNL" hidden="1">#REF!</definedName>
    <definedName name="BEx9GDY4D8ZPQJCYFIMYM0V0C51Y" hidden="1">#REF!</definedName>
    <definedName name="BEx9GE8VWELL759RPOQXPGX3VX21" hidden="1">#REF!</definedName>
    <definedName name="BEx9GGY04V0ZWI6O9KZH4KSBB389" hidden="1">#REF!</definedName>
    <definedName name="BEx9GJCC7BWX156MTPY59VC5JN0O" hidden="1">#REF!</definedName>
    <definedName name="BEx9GNOPB6OZ2RH3FCDNJR38RJOS" hidden="1">#REF!</definedName>
    <definedName name="BEx9GNU701BD7YSS9TFG6GMA2Z8A"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YR0E906F1JXZMBX3LNT004" hidden="1">#REF!</definedName>
    <definedName name="BEx9H9V5D52IFWEZD3I221Z2VYVD" hidden="1">#REF!</definedName>
    <definedName name="BEx9HQHV4N00R3PBTH3QTYPDU3WQ" hidden="1">#REF!</definedName>
    <definedName name="BEx9I0U7ED8RRBRYRGTWIFSHUTBY" hidden="1">#REF!</definedName>
    <definedName name="BEx9I8XIG7E5NB48QQHXP23FIN60" hidden="1">#REF!</definedName>
    <definedName name="BEx9IL7WAQI0PIZ88B32G7434DLS" hidden="1">#REF!</definedName>
    <definedName name="BEx9IQRF01ATLVK0YE60ARKQJ68L" hidden="1">#REF!</definedName>
    <definedName name="BEx9IT5QNZWKM6YQ5WER0DC2PMMU" hidden="1">#REF!</definedName>
    <definedName name="BEx9IW5MFLXTVCJHVUZTUH93AXOS" hidden="1">#REF!</definedName>
    <definedName name="BEx9IX1ZRFUE85ATW4NGTSACFIOO" hidden="1">#REF!</definedName>
    <definedName name="BEx9IXCSPSZC80YZUPRCYTG326KV" hidden="1">#REF!</definedName>
    <definedName name="BEx9IZR39NHDGOM97H4E6F81RTQW" hidden="1">#REF!</definedName>
    <definedName name="BEx9J1EJIB9UVZKMZ7QHB9U6VVOO" hidden="1">#REF!</definedName>
    <definedName name="BEx9J6CH5E7YZPER7HXEIOIKGPCA" hidden="1">#REF!</definedName>
    <definedName name="BEx9JJTZKVUJAVPTRE0RAVTEH41G" hidden="1">#REF!</definedName>
    <definedName name="BEx9JLBYK239B3F841C7YG1GT7ST" hidden="1">#REF!</definedName>
    <definedName name="BEx9K541WHZ9WU1CAN5A82NOE45T" hidden="1">#REF!</definedName>
    <definedName name="BExAW4IIW5D0MDY6TJ3G4FOLPYIR" hidden="1">#REF!</definedName>
    <definedName name="BExAX2TU15VIP65OGKSZD41PMO4N" hidden="1">#REF!</definedName>
    <definedName name="BExAX410NB4F2XOB84OR2197H8M5" hidden="1">#REF!</definedName>
    <definedName name="BExAX8TNG8LQ5Q4904SAYQIPGBSV" hidden="1">#REF!</definedName>
    <definedName name="BExAXEDC2IXZ6Z8R5OUFS8OGJR89" hidden="1">#REF!</definedName>
    <definedName name="BExAXI9K2PJQH4QLETR7MGS2BNZZ" hidden="1">#REF!</definedName>
    <definedName name="BExAXL3ZT02BUZOGSRNS6WGCOV7K" hidden="1">#REF!</definedName>
    <definedName name="BExAXL40LDNIK611AYB1QPTYW9XW" hidden="1">#REF!</definedName>
    <definedName name="BExAY0EAT2LXR5MFGM0DLIB45PLO" hidden="1">#REF!</definedName>
    <definedName name="BExAY9DZDS6RN4F7LPICOBGZ4AF5" hidden="1">#REF!</definedName>
    <definedName name="BExAY9ZJT64UBNSHPOGOXOER0FA5" hidden="1">#REF!</definedName>
    <definedName name="BExAYE6LNIEBR9DSNI5JGNITGKIT" hidden="1">#REF!</definedName>
    <definedName name="BExAYHMLXGGO25P8HYB2S75DEB4F" hidden="1">#REF!</definedName>
    <definedName name="BExAYKXAUWGDOPG952TEJ2UKZKWN" hidden="1">#REF!</definedName>
    <definedName name="BExAYOO9DKXP4BYOJNDXGK1R2ZSV"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VKDXJJ761HTFFUOH6P2CSF7" hidden="1">#REF!</definedName>
    <definedName name="BExAYY9H9COOT46HJLPVDLTO12UL" hidden="1">#REF!</definedName>
    <definedName name="BExAZA92IJ8DFZ1M0RV75PTG3KWI"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51YHHGZ05M81HCWK8CJS1R" hidden="1">#REF!</definedName>
    <definedName name="BExAZNFTTSXASHLBAG5O0MNFU583"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OASZZC08FMDYX9HRSM9OXEF" hidden="1">#REF!</definedName>
    <definedName name="BExB0WE4PI3NOBXXVO9CTEN4DIU2" hidden="1">#REF!</definedName>
    <definedName name="BExB0WZO3Z77N28VDELABGUOTESI" hidden="1">#REF!</definedName>
    <definedName name="BExB10QNIVITUYS55OAEKK3VLJFE" hidden="1">#REF!</definedName>
    <definedName name="BExB12OPX4FIWY3UUQ7N9MXBTXY2" hidden="1">#REF!</definedName>
    <definedName name="BExB12ZHTPYICL0A8RA5MRDZPYAX" hidden="1">#REF!</definedName>
    <definedName name="BExB15ZDRY4CIJ911DONP0KCY9KU" hidden="1">#REF!</definedName>
    <definedName name="BExB16VQY0O0RLZYJFU3OFEONVTE" hidden="1">#REF!</definedName>
    <definedName name="BExB1D6DDDMV7AOB9S4XD45OPKJ3" hidden="1">#REF!</definedName>
    <definedName name="BExB1FKN9YUYJ7B8ZJSMRSJ6ONT6" hidden="1">#REF!</definedName>
    <definedName name="BExB1FKNY2UO4W5FUGFHJOA2WFGG" hidden="1">#REF!</definedName>
    <definedName name="BExB1GMD0PIDGTFBGQOPRWQSP9I4" hidden="1">#REF!</definedName>
    <definedName name="BExB1HIQKUZGEBQ2MPH0TPTAZKIT" hidden="1">#REF!</definedName>
    <definedName name="BExB1I4BK3AB6GEEFY7ZAOON31BO" hidden="1">#REF!</definedName>
    <definedName name="BExB1IKK1N1A7D0W3UMLQCYNKDKS" hidden="1">#REF!</definedName>
    <definedName name="BExB1Q29OO6LNFNT1EQLA3KYE7MX" hidden="1">#REF!</definedName>
    <definedName name="BExB1TNRV5EBWZEHYLHI76T0FVA7" hidden="1">#REF!</definedName>
    <definedName name="BExB1UENFKIO27UN311RA6Q7UZX5" hidden="1">#REF!</definedName>
    <definedName name="BExB1WI6M8I0EEP1ANUQZCFY24EV" hidden="1">#REF!</definedName>
    <definedName name="BExB1YLPP9UFWZRDFLOK00HM4LQ6" hidden="1">#REF!</definedName>
    <definedName name="BExB203OWC9QZA3BYOKQ18L4FUJE" hidden="1">#REF!</definedName>
    <definedName name="BExB29ZP7P78QK8S2Z0V6YSEKK0K"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G4W3DIHZU05TOOTUR2SQF" hidden="1">#REF!</definedName>
    <definedName name="BExB30IP1DNKNQ6PZ5ERUGR5MK4Z" hidden="1">#REF!</definedName>
    <definedName name="BExB33IG6Y3EELLMQNOX7TZAUITM" hidden="1">#REF!</definedName>
    <definedName name="BExB35M4M9VQF0DHGYBEA3KV711P" hidden="1">#REF!</definedName>
    <definedName name="BExB38RCT0ATM4TAHBHN8B3GFWVH" hidden="1">#REF!</definedName>
    <definedName name="BExB3W4WBT49VMCEPTM3QARWZRA2" localSheetId="7" hidden="1">Prod #REF!</definedName>
    <definedName name="BExB3W4WBT49VMCEPTM3QARWZRA2" hidden="1">Prod #REF!</definedName>
    <definedName name="BExB406HXCZGNSDPPO8VOG1110ZG" hidden="1">#REF!</definedName>
    <definedName name="BExB442RX0T3L6HUL6X5T21CENW6" hidden="1">#REF!</definedName>
    <definedName name="BExB4ADD0L7417CII901XTFKXD1J" hidden="1">#REF!</definedName>
    <definedName name="BExB4B9PTN6T4CSKH6U5OZ3JFDD8" hidden="1">#REF!</definedName>
    <definedName name="BExB4DO1V1NL2AVK5YE1RSL5RYHL" hidden="1">#REF!</definedName>
    <definedName name="BExB4DYU06HCGRIPBSWRCXK804UM" hidden="1">#REF!</definedName>
    <definedName name="BExB4H476M3PEAB8SSO1GWSXWQOM" hidden="1">#REF!</definedName>
    <definedName name="BExB4R5JZFW6A1CMY56N51JV2U9K" hidden="1">#REF!</definedName>
    <definedName name="BExB4Z3EZBGYYI33U0KQ8NEIH8PY" hidden="1">#REF!</definedName>
    <definedName name="BExB541CBB1D8CTY30SOY75V64NO"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OOZWHOXHJBOMSJN88NJW4M" localSheetId="7" hidden="1">Prod #REF!</definedName>
    <definedName name="BExB58OOZWHOXHJBOMSJN88NJW4M" hidden="1">Prod #REF!</definedName>
    <definedName name="BExB58U5FQC5JWV9CGC83HLLZUZI" hidden="1">#REF!</definedName>
    <definedName name="BExB5EDO9XUKHF74X3HAU2WPPHZH" hidden="1">#REF!</definedName>
    <definedName name="BExB5G6EH68AYEP1UT0GHUEL3SLN" hidden="1">#REF!</definedName>
    <definedName name="BExB5QO30WI9WES28Y2RINNXRHWC"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692ZQP36NHHWV7TLSTYCP8G" hidden="1">#REF!</definedName>
    <definedName name="BExB6C3FUAKK9ML5T767NMWGA9YB" hidden="1">#REF!</definedName>
    <definedName name="BExB6C8X6JYRLKZKK17VE3QUNL3D" hidden="1">#REF!</definedName>
    <definedName name="BExB6CZTE0PWILZ6X0SQ2FCCSK0D" hidden="1">#REF!</definedName>
    <definedName name="BExB6HN3QRFPXM71MDUK21BKM7PF" hidden="1">#REF!</definedName>
    <definedName name="BExB6IZMHCZ3LB7N73KD90YB1HBZ" hidden="1">#REF!</definedName>
    <definedName name="BExB6Q6JKBMO3M4WX8XUD0JET6HB" hidden="1">#REF!</definedName>
    <definedName name="BExB6S4RBHYCGGAFSUZ2EMMQX9J9" hidden="1">#REF!</definedName>
    <definedName name="BExB6XDHHSP6ZUWXOTZO5EQ54BHU" hidden="1">#REF!</definedName>
    <definedName name="BExB70O5PMXVI92AFBAD2MJT107N" hidden="1">#REF!</definedName>
    <definedName name="BExB719SGNX4Y8NE6JEXC555K596" hidden="1">#REF!</definedName>
    <definedName name="BExB7265DCHKS7V2OWRBXCZTEIW9" hidden="1">#REF!</definedName>
    <definedName name="BExB74F088Z5LM9SEUAESIZUQ3X8" hidden="1">#REF!</definedName>
    <definedName name="BExB74PS5P9G0P09Y6DZSCX0FLTJ" hidden="1">#REF!</definedName>
    <definedName name="BExB78RH79J0MIF7H8CAZ0CFE88Q" hidden="1">#REF!</definedName>
    <definedName name="BExB7ELT09HGDVO5BJC1ZY9D09GZ" hidden="1">#REF!</definedName>
    <definedName name="BExB7P8X2YP42X70Z2B8ASMB11GA" hidden="1">#REF!</definedName>
    <definedName name="BExB7Y8MG9KC3364Y7IGGMTWMD5B" hidden="1">#REF!</definedName>
    <definedName name="BExB806PAXX70XUTA3ZI7OORD78R" hidden="1">#REF!</definedName>
    <definedName name="BExB84OJCJRYFN7T3H3T580C2E73" hidden="1">#REF!</definedName>
    <definedName name="BExB8FMFCHJVYSZ56Y4B577LKJJO" hidden="1">#REF!</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#REF!</definedName>
    <definedName name="BExB9Q2MZZHBGW8QQKVEYIMJBPIE" hidden="1">#REF!</definedName>
    <definedName name="BExB9S66MFUL9J891R547MSVIVV1" hidden="1">#REF!</definedName>
    <definedName name="BExBA1GON0EZRJ20UYPILAPLNQWM" hidden="1">#REF!</definedName>
    <definedName name="BExBA3V0PHBUM5L1OKZ75O5SSPIW"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GQYIBV77JKN346FU4VT1MB4" hidden="1">#REF!</definedName>
    <definedName name="BExBAI8X0FKDQJ6YZJQDTTG4ZCWY" hidden="1">#REF!</definedName>
    <definedName name="BExBAKN7XIBAXCF9PCNVS038PCQO" hidden="1">#REF!</definedName>
    <definedName name="BExBAKXZ7PBW3DDKKA5MWC1ZUC7O" hidden="1">#REF!</definedName>
    <definedName name="BExBAO37M4968YF9BAYN7B3FTSHR" hidden="1">#REF!</definedName>
    <definedName name="BExBAO8NLXZXHO6KCIECSFCH3RR0" hidden="1">#REF!</definedName>
    <definedName name="BExBAOOT1KBSIEISN1ADL4RMY879" hidden="1">#REF!</definedName>
    <definedName name="BExBATS6QTKFZ3S66DBSAAJJ1257" hidden="1">#REF!</definedName>
    <definedName name="BExBAVKX8Q09370X1GCZWJ4E91YJ" hidden="1">#REF!</definedName>
    <definedName name="BExBAX2X2ENJYO4QTR5VAIQ86L7B" hidden="1">#REF!</definedName>
    <definedName name="BExBAZ13D3F1DVJQ6YJ8JGUYEYJE" hidden="1">#REF!</definedName>
    <definedName name="BExBB44JAD4PTU4I004A5Z348LR9" hidden="1">#REF!</definedName>
    <definedName name="BExBB9D9GNURCRZN3NR6UY375OX5" hidden="1">#REF!</definedName>
    <definedName name="BExBBJ9BWME32GCDTD4GDSQBG1SE" hidden="1">#REF!</definedName>
    <definedName name="BExBBTG649R9I0CT042JLL8LXV18" hidden="1">#REF!</definedName>
    <definedName name="BExBBUCJQRR74Q7GPWDEZXYK2KJL" hidden="1">#REF!</definedName>
    <definedName name="BExBBV8XVMD9CKZY711T0BN7H3PM" hidden="1">#REF!</definedName>
    <definedName name="BExBC6S9JZS9ZX6V7SBKDJ5R3CGN" hidden="1">#REF!</definedName>
    <definedName name="BExBC78HXWXHO3XAB6E8NVTBGLJS" hidden="1">#REF!</definedName>
    <definedName name="BExBCDTV7GTBOTIE9EFJ36EX4FKM" hidden="1">#REF!</definedName>
    <definedName name="BExBCIBPV1UTVFV8QVX7E29DPWAA" hidden="1">#REF!</definedName>
    <definedName name="BExBCK4H2CF3XDL7AH3W254CWF4R" hidden="1">#REF!</definedName>
    <definedName name="BExBCKKJTIRKC1RZJRTK65HHLX4W" hidden="1">#REF!</definedName>
    <definedName name="BExBCLMEPAN3XXX174TU8SS0627Q" hidden="1">#REF!</definedName>
    <definedName name="BExBCMTEH63P6H1CKWQH2DGVNSVX" hidden="1">#REF!</definedName>
    <definedName name="BExBCRBEYR2KZ8FAQFZ2NHY13WIY" hidden="1">#REF!</definedName>
    <definedName name="BExBCZUU1UR90PQUCOSYNFQQTXI1" hidden="1">#REF!</definedName>
    <definedName name="BExBD1CR31JE4TBZEMZ6ZNRFIDNP"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TDIHS3IA85P49E3FM64KE4B" hidden="1">#REF!</definedName>
    <definedName name="BExBDUVGK3E1J4JY9ZYTS7V14BLY" hidden="1">#REF!</definedName>
    <definedName name="BExBDWDG2GXBTEGBOQMQLB38QUEV" hidden="1">#REF!</definedName>
    <definedName name="BExBDZITI2UCDSH0V24NITQG9SFA" hidden="1">#REF!</definedName>
    <definedName name="BExBE162OSBKD30I7T1DKKPT3I9I" hidden="1">#REF!</definedName>
    <definedName name="BExBE1631SV58Z3VW6WZZNESEDO4" hidden="1">#REF!</definedName>
    <definedName name="BExBE4M6YL512JJD7QCT5NHC893P" hidden="1">#REF!</definedName>
    <definedName name="BExBE5YPUY1T7N7DHMMIGGXK8TMP" hidden="1">#REF!</definedName>
    <definedName name="BExBEC9ATLQZF86W1M3APSM4HEOH" hidden="1">#REF!</definedName>
    <definedName name="BExBEYFQJE9YK12A6JBMRFKEC7RN" hidden="1">#REF!</definedName>
    <definedName name="BExBF0U1PNBWLGLVVPNYEZHKB0ON" hidden="1">#REF!</definedName>
    <definedName name="BExBF3TXJTJ52WTH5JS1IEEUKRWA" hidden="1">#REF!</definedName>
    <definedName name="BExBFOT7AARER8GJP6OQM83V7UDW" hidden="1">#REF!</definedName>
    <definedName name="BExBG1ED81J2O4A2S5F5Y3BPHMCR" hidden="1">#REF!</definedName>
    <definedName name="BExCQOUGNC2MV6BBPGHXMI8PAKR5" hidden="1">#REF!</definedName>
    <definedName name="BExCRLIHS7466WFJ3RPIUGGXYESZ" hidden="1">#REF!</definedName>
    <definedName name="BExCROIFDQP6GEN1GZNTC0JUNTOZ" hidden="1">#REF!</definedName>
    <definedName name="BExCRRIBGG57IJ1DUG0GCSPL72DO" hidden="1">#REF!</definedName>
    <definedName name="BExCS078RE3CUATM8A8NCC0WWHGC"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GZG9G2SOKYYBCQF48XUIYCJ" hidden="1">#REF!</definedName>
    <definedName name="BExCSMOFTXSUEC1T46LR1UPYRCX5" hidden="1">#REF!</definedName>
    <definedName name="BExCSSDG3TM6TPKS19E9QYJEELZ6" hidden="1">#REF!</definedName>
    <definedName name="BExCSZV7U67UWXL2HKJNM5W1E4OO" hidden="1">#REF!</definedName>
    <definedName name="BExCT4NSDT61OCH04Y2QIFIOP75H" hidden="1">#REF!</definedName>
    <definedName name="BExCTHP3W2XE31JH1JRBLUTK2F29"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16FAFHSYEENQXBNLERR7V3K" hidden="1">#REF!</definedName>
    <definedName name="BExCU2834920JBHSPCRC4UF80OLL" hidden="1">#REF!</definedName>
    <definedName name="BExCU8O54I3P3WRYWY1CRP3S78QY" hidden="1">#REF!</definedName>
    <definedName name="BExCU9PTHQO4N0UOKBEFWAD1IUNG" hidden="1">#REF!</definedName>
    <definedName name="BExCUD60H1UMM2E28QIX022PMAO3" hidden="1">#REF!</definedName>
    <definedName name="BExCUDRJO23YOKT8GPWOVQ4XEHF5" hidden="1">#REF!</definedName>
    <definedName name="BExCUPAWHM0P4BSKFZ5SJKV1ERM7" hidden="1">#REF!</definedName>
    <definedName name="BExCUPAXFR16YMWL30ME3F3BSRDZ" hidden="1">#REF!</definedName>
    <definedName name="BExCUR94DHCE47PUUWEMT5QZOYR2" hidden="1">#REF!</definedName>
    <definedName name="BExCUW1Q2AR1JX2Z1B9CGJ6H60GY" hidden="1">#REF!</definedName>
    <definedName name="BExCUW1RF5RHW7OK9J4GFUGR30IK" hidden="1">#REF!</definedName>
    <definedName name="BExCUXOZZGPJCRUPDYW4FOQPSM9R" hidden="1">#REF!</definedName>
    <definedName name="BExCV634L7SVHGB0UDDTRRQ2Q72H" hidden="1">#REF!</definedName>
    <definedName name="BExCVBXG4TTE2ERW52ZA09FBTDH2"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KH0KFLY4D0IVRFGVTJYRXFX" hidden="1">#REF!</definedName>
    <definedName name="BExCVODA3VNY4HS12NASGS66ORO3" hidden="1">#REF!</definedName>
    <definedName name="BExCVV44WY5807WGMTGKPW0GT256" hidden="1">#REF!</definedName>
    <definedName name="BExCVWLXVAKW0MGL9EAXK4DRRB6T" hidden="1">#REF!</definedName>
    <definedName name="BExCVZ5PN4V6MRBZ04PZJW3GEF8S" hidden="1">#REF!</definedName>
    <definedName name="BExCVZRASJXO1Q862OATGOB5IP30" hidden="1">#REF!</definedName>
    <definedName name="BExCW13R0GWJYGXZBNCPAHQN4NR2" hidden="1">#REF!</definedName>
    <definedName name="BExCW9Y5HWU4RJTNX74O6L24VGCK" hidden="1">#REF!</definedName>
    <definedName name="BExCWPDPESGZS07QGBLSBWDNVJLZ" hidden="1">#REF!</definedName>
    <definedName name="BExCWTVKHIVCRHF8GC39KI58YM5K" hidden="1">#REF!</definedName>
    <definedName name="BExCWTVKR4J456CBLZ0M0YXZHVF1" localSheetId="7" hidden="1">Prod #REF!</definedName>
    <definedName name="BExCWTVKR4J456CBLZ0M0YXZHVF1" hidden="1">Prod #REF!</definedName>
    <definedName name="BExCWX69ER7R6C6VGOZAPRGXJR2R" hidden="1">#REF!</definedName>
    <definedName name="BExCWYDEW5A3C3U4OQ44O0PQ53TB" hidden="1">#REF!</definedName>
    <definedName name="BExCX2KGRZBRVLZNM8SUSIE6A0RL" hidden="1">#REF!</definedName>
    <definedName name="BExCX3X451T70LZ1VF95L7W4Y4TM" hidden="1">#REF!</definedName>
    <definedName name="BExCX4NZ2N1OUGXM7EV0U7VULJMM" hidden="1">#REF!</definedName>
    <definedName name="BExCXAYLA3TMOHIRCEXCXXUSNOKZ" hidden="1">#REF!</definedName>
    <definedName name="BExCXC0EIRZGKHGFWVH6BZGZKSL5" hidden="1">#REF!</definedName>
    <definedName name="BExCXILMURGYMAH6N5LF5DV6K3GM" hidden="1">#REF!</definedName>
    <definedName name="BExCXQUFBMXQ1650735H48B1AZT3" hidden="1">#REF!</definedName>
    <definedName name="BExCXRAII6BIJ5IVFPWJSO4ZDY3E" hidden="1">#REF!</definedName>
    <definedName name="BExCXXVW1YXSGMK58CDZKD7XXN5K" hidden="1">#REF!</definedName>
    <definedName name="BExCY2DQO9VLA77Q7EG3T0XNXX4F" hidden="1">#REF!</definedName>
    <definedName name="BExCY4BYSOGSTV46Q5HUO7XNS1A4" hidden="1">#REF!</definedName>
    <definedName name="BExCY4H9JMPB090TG2SILY28IPCR" hidden="1">#REF!</definedName>
    <definedName name="BExCY6VMJ68MX3C981R5Q0BX5791" hidden="1">#REF!</definedName>
    <definedName name="BExCYAH2SAZCPW6XCB7V7PMMCAWO" hidden="1">#REF!</definedName>
    <definedName name="BExCYJBB52X8B3AREHCC1L5QNPX7" hidden="1">#REF!</definedName>
    <definedName name="BExCYK7MZ56O5XIV8T5XIE9VBQXN" hidden="1">#REF!</definedName>
    <definedName name="BExCYPRC5HJE6N2XQTHCT6NXGP8N" hidden="1">#REF!</definedName>
    <definedName name="BExCYUK0I3UEXZNFDW71G6Z6D8XR" hidden="1">#REF!</definedName>
    <definedName name="BExCYUK0UWQ3NJE288MYL1BWKE6Y" hidden="1">#REF!</definedName>
    <definedName name="BExCZBHJ4ZDFD4N4ZS7VAL7FA7P7" hidden="1">#REF!</definedName>
    <definedName name="BExCZFZCXMLY5DWESYJ9NGTJYQ8M" hidden="1">#REF!</definedName>
    <definedName name="BExCZJ4L6X7TW7O0BX0FFT5410FX" hidden="1">#REF!</definedName>
    <definedName name="BExCZJ4P8WS0BDT31WDXI0ROE7D6" hidden="1">#REF!</definedName>
    <definedName name="BExCZKH6NI0EE02L995IFVBD1J59" hidden="1">#REF!</definedName>
    <definedName name="BExCZLOCZ6TX0HY0EXK23ZSV2AEG" hidden="1">#REF!</definedName>
    <definedName name="BExCZUD9FEOJBKDJ51Z3JON9LKJ8" hidden="1">#REF!</definedName>
    <definedName name="BExD0508DAALLU00PHFPBC8SRRKT" hidden="1">#REF!</definedName>
    <definedName name="BExD06SXR2OPV4282WTX6ARRQ4JS" hidden="1">#REF!</definedName>
    <definedName name="BExD0HALIN0JR4JTPGDEVAEE5EX5" hidden="1">#REF!</definedName>
    <definedName name="BExD0LCCDPG16YLY5WQSZF1XI5DA" hidden="1">#REF!</definedName>
    <definedName name="BExD0RMWSB4TRECEHTH6NN4K9DFZ" hidden="1">#REF!</definedName>
    <definedName name="BExD0U6J2QNABXLSIWIBTCH7C8CC" hidden="1">#REF!</definedName>
    <definedName name="BExD0U6KG10QGVDI1XSHK0J10A2V" hidden="1">#REF!</definedName>
    <definedName name="BExD0WKW6JRK78RXBD4ZJQUNS0EE" hidden="1">#REF!</definedName>
    <definedName name="BExD0WQ71JYMUDXQTQEITA6DXV3F" hidden="1">#REF!</definedName>
    <definedName name="BExD13RUIBGRXDL4QDZ305UKUR12" hidden="1">#REF!</definedName>
    <definedName name="BExD14DETV5R4OOTMAXD5NAKWRO3" hidden="1">#REF!</definedName>
    <definedName name="BExD15KK6ZMB98R32PZR1X56HUS6" hidden="1">#REF!</definedName>
    <definedName name="BExD189NLCZ0MV1E8GXPW23W160D" hidden="1">#REF!</definedName>
    <definedName name="BExD1LAXO7JLXD6STTM9U1UMADDI" hidden="1">#REF!</definedName>
    <definedName name="BExD1OAU9OXQAZA4D70HP72CU6GB" hidden="1">#REF!</definedName>
    <definedName name="BExD1QZYCTBZQLS9BMYL4EI051QD" hidden="1">#REF!</definedName>
    <definedName name="BExD1Y1JV61416YA1XRQHKWPZIE7" hidden="1">#REF!</definedName>
    <definedName name="BExD2CFHIRMBKN5KXE5QP4XXEWFS" hidden="1">#REF!</definedName>
    <definedName name="BExD2DMHH1HWXQ9W0YYMDP8AAX8Q" hidden="1">#REF!</definedName>
    <definedName name="BExD2HTPC7IWBAU6OSQ67MQA8BYZ" hidden="1">#REF!</definedName>
    <definedName name="BExD2MRMSOCW29ZLJ226FVCE2K34" hidden="1">#REF!</definedName>
    <definedName name="BExD2RK9LE7I985N677G3WNH5DIV" hidden="1">#REF!</definedName>
    <definedName name="BExD2X3RXW55QIOU97OWP9J6CZEU" localSheetId="7" hidden="1">Prod #REF!</definedName>
    <definedName name="BExD2X3RXW55QIOU97OWP9J6CZEU" hidden="1">Prod #REF!</definedName>
    <definedName name="BExD363H2VGFIQUCE6LS4AC5J0ZT" hidden="1">#REF!</definedName>
    <definedName name="BExD37W7YUULHO5DGYRP7KYM65NC"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PKTT0MHJPK56ADYPFIYXKO7" hidden="1">#REF!</definedName>
    <definedName name="BExD3QXA2UQ2W4N7NYLUEOG40BZB" hidden="1">#REF!</definedName>
    <definedName name="BExD3U2N041TEJ7GCN005UTPHNXY" hidden="1">#REF!</definedName>
    <definedName name="BExD3YKIIUJK2NJ3HYI42QQG314W" hidden="1">#REF!</definedName>
    <definedName name="BExD40O0CFTNJFOFMMM1KH0P7BUI" hidden="1">#REF!</definedName>
    <definedName name="BExD47UZN79E7UZ1PF13H1AL03VT" hidden="1">#REF!</definedName>
    <definedName name="BExD4B5OJKUPJMFR7AZJGR6UVR3E" hidden="1">#REF!</definedName>
    <definedName name="BExD4BR9HJ3MWWZ5KLVZWX9FJAUS" hidden="1">#REF!</definedName>
    <definedName name="BExD4F1WTKT3H0N9MF4H1LX7MBSY" hidden="1">#REF!</definedName>
    <definedName name="BExD4H5GQWXBS6LUL3TSP36DVO38" hidden="1">#REF!</definedName>
    <definedName name="BExD4HLJJSQVH4BGTP4R0HFI1F53" hidden="1">#REF!</definedName>
    <definedName name="BExD4JJSS3QDBLABCJCHD45SRNPI" hidden="1">#REF!</definedName>
    <definedName name="BExD4R1I0MKF033I5LPUYIMTZ6E8" hidden="1">#REF!</definedName>
    <definedName name="BExD4RHMHOHG2WM6HI950PSP13F8" hidden="1">#REF!</definedName>
    <definedName name="BExD4SDZXS258AST0C0YO1KAJFPO" hidden="1">#REF!</definedName>
    <definedName name="BExD50MT3M6XZLNUP9JL93EG6D9R" hidden="1">#REF!</definedName>
    <definedName name="BExD5EV7KDSVF1CJT38M4IBPFLPY" hidden="1">#REF!</definedName>
    <definedName name="BExD5FRK547OESJRYAW574DZEZ7J" hidden="1">#REF!</definedName>
    <definedName name="BExD5I5X2YA2YNCTCDSMEL4CWF4N" hidden="1">#REF!</definedName>
    <definedName name="BExD5P7D7B3TCMJQY4TM56KCPB73" hidden="1">#REF!</definedName>
    <definedName name="BExD5QK15XF3Q0ELHAYTMWHMCBOY" hidden="1">#REF!</definedName>
    <definedName name="BExD5QUSRFJWRQ1ZM50WYLCF74DF" hidden="1">#REF!</definedName>
    <definedName name="BExD5SSUIF6AJQHBHK8PNMFBPRYB" hidden="1">#REF!</definedName>
    <definedName name="BExD623C9LRX18BE0W2V6SZLQUXX" hidden="1">#REF!</definedName>
    <definedName name="BExD6BZF6UGC8YXEZJ8URJDY0HUJ"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6XV0BDU8LPQPWSKHU0XX0UPR" hidden="1">#REF!</definedName>
    <definedName name="BExD71LTOE015TV5RSAHM8NT8GVW" hidden="1">#REF!</definedName>
    <definedName name="BExD73USXVADC7EHGHVTQNCT06ZA" hidden="1">#REF!</definedName>
    <definedName name="BExD7CE8ZR0EL3ZQP0AYQ5XQUH9L" hidden="1">#REF!</definedName>
    <definedName name="BExD7GAIGULTB3YHM1OS9RBQOTEC" hidden="1">#REF!</definedName>
    <definedName name="BExD7GAIHX094KROB46WFTL2XBWL" hidden="1">#REF!</definedName>
    <definedName name="BExD7IE1DHIS52UFDCTSKPJQNRD5" hidden="1">#REF!</definedName>
    <definedName name="BExD7IUBGUWHYC9UNZ1IY5XFYKQN" hidden="1">#REF!</definedName>
    <definedName name="BExD7IZMKM0QIFE7EV1NYL6EZVJZ" hidden="1">#REF!</definedName>
    <definedName name="BExD7JQOJ35HGL8U2OCEI2P2JT7I" hidden="1">#REF!</definedName>
    <definedName name="BExD7KSDKNDNH95NDT3S7GM3MUU2" hidden="1">#REF!</definedName>
    <definedName name="BExD7SVOH5J3ZVHK9KI2N1XE0CC3" hidden="1">#REF!</definedName>
    <definedName name="BExD7V4PCVR1ACVPOJXKJ4CSROIX" hidden="1">#REF!</definedName>
    <definedName name="BExD7YQ4SZWEJK954UXAYAMTZVPT" hidden="1">#REF!</definedName>
    <definedName name="BExD7YVH2CV8FLGOYM31JMS2ASDJ" hidden="1">#REF!</definedName>
    <definedName name="BExD7Z6A6P2HJMUT1YBLM120FO6X" hidden="1">#REF!</definedName>
    <definedName name="BExD819S39VUTMASCBMYI883THJ3" hidden="1">#REF!</definedName>
    <definedName name="BExD8CYKX2WGEDSW6KFP6MND1PM0" hidden="1">#REF!</definedName>
    <definedName name="BExD8H0661KYG2HH31KUUEB7092Q" hidden="1">#REF!</definedName>
    <definedName name="BExD8H5MGJFMK4HK6DOAGTFYV6JT" hidden="1">#REF!</definedName>
    <definedName name="BExD8H5O087KQVWIVPUUID5VMGMS" hidden="1">#REF!</definedName>
    <definedName name="BExD8KWFYVMYYY2YJ34JT4QNLLTE" hidden="1">#REF!</definedName>
    <definedName name="BExD8OCLZMFN5K3VZYI4Q4ITVKUA" hidden="1">#REF!</definedName>
    <definedName name="BExD8UCDLU1ZTU63MI1M3Y7YWO93" hidden="1">#REF!</definedName>
    <definedName name="BExD91DVAY3EPDJS7TGZET9P4HU4" hidden="1">#REF!</definedName>
    <definedName name="BExD93C1R6LC0631ECHVFYH0R0PD" hidden="1">#REF!</definedName>
    <definedName name="BExD97TXIO0COVNN4OH3DEJ33YLM" hidden="1">#REF!</definedName>
    <definedName name="BExD99RZ1RFIMK6O1ZHSPJ68X9Y5" hidden="1">#REF!</definedName>
    <definedName name="BExD9IMBI0P6S6QRAXHE26HMK86D" hidden="1">#REF!</definedName>
    <definedName name="BExD9L0ID3VSOU609GKWYTA5BFMA" hidden="1">#REF!</definedName>
    <definedName name="BExD9LGQU88U1MPF6WS2IG99QSKI"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6LD9061UULVKUUI4QP8SK13" hidden="1">#REF!</definedName>
    <definedName name="BExDAGMVMNLQ6QXASB9R6D8DIT12" hidden="1">#REF!</definedName>
    <definedName name="BExDAYBHU9ADLXI8VRC7F608RVGM" hidden="1">#REF!</definedName>
    <definedName name="BExDB39GNDHCPPB7U2PZQO5TJ1OI" hidden="1">#REF!</definedName>
    <definedName name="BExDBCJWE0G3U4H80MFM7PYPFPJL" hidden="1">#REF!</definedName>
    <definedName name="BExDBDR1XR0FV0CYUCB2OJ7CJCZU" hidden="1">#REF!</definedName>
    <definedName name="BExDBECNFJKO0HIOIKTWDCSWP755" hidden="1">#REF!</definedName>
    <definedName name="BExDBI8WRY61SHXKAT4UFXLB15E8" hidden="1">#REF!</definedName>
    <definedName name="BExDBZBW3EHQF6J0XXIT3ZMXPL8C" hidden="1">#REF!</definedName>
    <definedName name="BExDC7F818VN0S18ID7XRCRVYPJ4" hidden="1">#REF!</definedName>
    <definedName name="BExDCL7K96PC9VZYB70ZW3QPVIJE" hidden="1">#REF!</definedName>
    <definedName name="BExDCMPIHH27EAXTDLP095HYA29X" hidden="1">#REF!</definedName>
    <definedName name="BExDCP3UZ3C2O4C1F7KMU0Z9U32N" hidden="1">#REF!</definedName>
    <definedName name="BExENRJDC2MGQRJ6EHLAWX5I4SRS" hidden="1">#REF!</definedName>
    <definedName name="BExEOBX3WECDMYCV9RLN49APTXMM" hidden="1">#REF!</definedName>
    <definedName name="BExEOUI2EX31XSJIWM8CB0QMRR80" hidden="1">#REF!</definedName>
    <definedName name="BExEP4E4F36662JDI0TOD85OP7X9" hidden="1">#REF!</definedName>
    <definedName name="BExEP7388TKNL6FEJW00XN7FHEUG"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73QE34MW57L1HFXSTB7QEG" hidden="1">#REF!</definedName>
    <definedName name="BExEQDXZALJLD4OBF74IKZBR13SR" hidden="1">#REF!</definedName>
    <definedName name="BExEQFLE2RPWGMWQAI4JMKUEFRPT" hidden="1">#REF!</definedName>
    <definedName name="BExEQKUAEL7EAK094NICEABK1R7S" hidden="1">#REF!</definedName>
    <definedName name="BExEQOQFO5HC1657DPMFMJ3BIXFN" hidden="1">#REF!</definedName>
    <definedName name="BExEQSS48UY65BEKWIQWEUAZCXLP" hidden="1">#REF!</definedName>
    <definedName name="BExEQTZAP8R69U31W4LKGTKKGKQE" hidden="1">#REF!</definedName>
    <definedName name="BExEQXA0HU8KXYEZ35APY670C54L" hidden="1">#REF!</definedName>
    <definedName name="BExER2O72H1F9WV6S1J04C15PXX7" hidden="1">#REF!</definedName>
    <definedName name="BExERCETL5ZVXSS6EENB85QCSRYG" hidden="1">#REF!</definedName>
    <definedName name="BExERIUTB21WQ9WVQXUCDCGSH23E" hidden="1">#REF!</definedName>
    <definedName name="BExERRUIKIOATPZ9U4HQ0V52RJAU" hidden="1">#REF!</definedName>
    <definedName name="BExERSANFNM1O7T65PC5MJ301YET" hidden="1">#REF!</definedName>
    <definedName name="BExERSLFEDXNMOLAZ2VOI6VVJCBW" hidden="1">#REF!</definedName>
    <definedName name="BExERWCEBKQRYWRQLYJ4UCMMKTHG" hidden="1">#REF!</definedName>
    <definedName name="BExERWSHS5678NWP0NM8J09K2OGY" hidden="1">#REF!</definedName>
    <definedName name="BExES44RHHDL3V7FLV6M20834WF1" hidden="1">#REF!</definedName>
    <definedName name="BExES4A7VE2X3RYYTVRLKZD4I7WU" hidden="1">#REF!</definedName>
    <definedName name="BExES6ZC8R7PHJ21OVJFLIR7DY30" hidden="1">#REF!</definedName>
    <definedName name="BExES8HAPSHMVNF35NGGISV27X07" hidden="1">#REF!</definedName>
    <definedName name="BExESMKD95A649M0WRSG6CXXP326"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LMS2376JVOJLUG4Q5V4P0WF" hidden="1">#REF!</definedName>
    <definedName name="BExETQ9XRXLUACN82805SPSPNKHI" hidden="1">#REF!</definedName>
    <definedName name="BExETQFFLH766OHX0PD3NEIK0DIF" hidden="1">#REF!</definedName>
    <definedName name="BExETR0YRMOR63E6DHLEHV9QVVON" hidden="1">#REF!</definedName>
    <definedName name="BExETVDCXGPYA4OP2UI1URTJ60TK" hidden="1">#REF!</definedName>
    <definedName name="BExETVTGY38YXYYF7N73OYN6FYY3" hidden="1">#REF!</definedName>
    <definedName name="BExEUC5M6W38BYHCBKW3Z4CL4D5A" hidden="1">#REF!</definedName>
    <definedName name="BExEUG75R1LK5RBJ3Z0UE6GZF9FE" hidden="1">#REF!</definedName>
    <definedName name="BExEUM6Y5MUDV2WYYY9ICV8796JQ" hidden="1">#REF!</definedName>
    <definedName name="BExEUNE4T242Y59C6MS28MXEUGCP" hidden="1">#REF!</definedName>
    <definedName name="BExEURL5ULE4GV6KCIT495SDAAHC" hidden="1">#REF!</definedName>
    <definedName name="BExEUTOOSAR1CJ6S2O9NTTQMWXNZ" hidden="1">#REF!</definedName>
    <definedName name="BExEUVS80VT7OF5DUIX70VD4WM5V" hidden="1">#REF!</definedName>
    <definedName name="BExEV11475LHZJ85T9ARGNOC3PMP" localSheetId="7" hidden="1">Prod #REF!</definedName>
    <definedName name="BExEV11475LHZJ85T9ARGNOC3PMP" hidden="1">Prod #REF!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AM8BLTWVS6IMVJWDOZBQK9R" hidden="1">#REF!</definedName>
    <definedName name="BExEVARPWEI4DUOSNF5AZXT3VX4D" hidden="1">#REF!</definedName>
    <definedName name="BExEVET98G3FU6QBF9LHYWSAMV0O" hidden="1">#REF!</definedName>
    <definedName name="BExEVL3UZ22W55ZRF3F0J21PKQLX"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6357VV6LVZCWOOM0R3T78QK" hidden="1">#REF!</definedName>
    <definedName name="BExEW68M9WL8214QH9C7VCK7BN08" hidden="1">#REF!</definedName>
    <definedName name="BExEW8HFKH6F47KIHYBDRUEFZ2ZZ" hidden="1">#REF!</definedName>
    <definedName name="BExEWHXF5F2E8FN7TRI5U2ZY0T0P" hidden="1">#REF!</definedName>
    <definedName name="BExEWJVGRI1PFA46AQSATSXBB5R9"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VPKT4591CJ76PYF0H3QT10Y"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XSDM0JFJZZZ29U79UC5AFTHB" hidden="1">#REF!</definedName>
    <definedName name="BExEXTKSTXS5MA9DTS6M0D2CLKUR" hidden="1">#REF!</definedName>
    <definedName name="BExEY067KMBNYP9WMRGOH8ITDBLD" hidden="1">#REF!</definedName>
    <definedName name="BExEY9GO7WIAMOPJAEKTIT1A3VK1" hidden="1">#REF!</definedName>
    <definedName name="BExEYAYLPB1XT2B4B4MHL6XDUZHX" hidden="1">#REF!</definedName>
    <definedName name="BExEYGCSYH6XC1X89ZT8VJVQ6THP" hidden="1">#REF!</definedName>
    <definedName name="BExEYLG9FL9V1JPPNZ3FUDNSEJ4V" hidden="1">#REF!</definedName>
    <definedName name="BExEYOW8C1B3OUUCIGEC7L8OOW1Z" hidden="1">#REF!</definedName>
    <definedName name="BExEYUQJXZT6N5HJH8ACJF6SRWEE" hidden="1">#REF!</definedName>
    <definedName name="BExEYVHM7COM2XBAZH71USCAT6K9" hidden="1">#REF!</definedName>
    <definedName name="BExEYW8O56SE67A8CIT413PPQFWN" hidden="1">#REF!</definedName>
    <definedName name="BExEYWDZFCBVTHL74PICXFIAL25Y" hidden="1">#REF!</definedName>
    <definedName name="BExEYXQGOT90CC2QXVUDAMIS2SD6" hidden="1">#REF!</definedName>
    <definedName name="BExEYY17N22FDMK6IA4HQRCTNPYL" hidden="1">#REF!</definedName>
    <definedName name="BExEZ1S6VZCG01ZPLBSS9Z1SBOJ2" hidden="1">#REF!</definedName>
    <definedName name="BExEZC4IIO0C9FN92NAP4P8QTFZE" hidden="1">#REF!</definedName>
    <definedName name="BExEZFPZKLS4GGKV39NX0GL8AK7B" hidden="1">#REF!</definedName>
    <definedName name="BExEZGBFNJR8DLPN0V11AU22L6WY" hidden="1">#REF!</definedName>
    <definedName name="BExEZQYJW81F362CWKW5HLAAM45I" hidden="1">#REF!</definedName>
    <definedName name="BExEZSWLMZZ2RK34GSJ9Q3NPCFT2" hidden="1">#REF!</definedName>
    <definedName name="BExF01QZEMHT61KWVTOUGRWNZLWQ" hidden="1">#REF!</definedName>
    <definedName name="BExF02Y3V3QEPO2XLDSK47APK9XJ" hidden="1">#REF!</definedName>
    <definedName name="BExF09OS91RT7N7IW8JLMZ121ZP3" hidden="1">#REF!</definedName>
    <definedName name="BExF0GQFRIQRJZ2G8N5MS2BG6P28" hidden="1">#REF!</definedName>
    <definedName name="BExF0L2TP18E48BYIVEYR9BGX4HR" hidden="1">#REF!</definedName>
    <definedName name="BExF0LOEHV42P2DV7QL8O7HOQ3N9" hidden="1">#REF!</definedName>
    <definedName name="BExF0QH116YF95UAL83HSM0C2X7Y" hidden="1">#REF!</definedName>
    <definedName name="BExF0WRM9VO25RLSO03ZOCE8H7K5" hidden="1">#REF!</definedName>
    <definedName name="BExF0ZRI7W4RSLIDLHTSM0AWXO3S" hidden="1">#REF!</definedName>
    <definedName name="BExF19CT3MMZZ2T5EWMDNG3UOJ01" hidden="1">#REF!</definedName>
    <definedName name="BExF1BWDZPCIB5TU9KLZY1POEIFK" hidden="1">#REF!</definedName>
    <definedName name="BExF1M38U6NX17YJA8YU359B5Z4M" hidden="1">#REF!</definedName>
    <definedName name="BExF1MU4W3NPEY0OHRDWP5IANCBB" hidden="1">#REF!</definedName>
    <definedName name="BExF1MZN8MWMOKOARHJ1QAF9HPGT" hidden="1">#REF!</definedName>
    <definedName name="BExF1SON2IL7599ZAFM8W41FAS5L" hidden="1">#REF!</definedName>
    <definedName name="BExF1US4ZIQYSU5LBFYNRA9N0K2O" hidden="1">#REF!</definedName>
    <definedName name="BExF200VK438ANZMJEAPZ2RQDB8U" hidden="1">#REF!</definedName>
    <definedName name="BExF21OBXGVA9D1CPMHVJHL599BC" hidden="1">#REF!</definedName>
    <definedName name="BExF28PXA9VBW4OZ74OITX6LHR12" hidden="1">#REF!</definedName>
    <definedName name="BExF2CWZN6E87RGTBMD4YQI2QT7R" hidden="1">#REF!</definedName>
    <definedName name="BExF2DYO1WQ7GMXSTAQRDBW1NSFG" hidden="1">#REF!</definedName>
    <definedName name="BExF2LR83KWDOSK9ACAROCGMTQ8X" hidden="1">#REF!</definedName>
    <definedName name="BExF2MSWNUY9Z6BZJQZ538PPTION" hidden="1">#REF!</definedName>
    <definedName name="BExF2QZYWHTYGUTTXR15CKCV3LS7" hidden="1">#REF!</definedName>
    <definedName name="BExF2T8Y6TSJ74RMSZOA9CEH4OZ6" hidden="1">#REF!</definedName>
    <definedName name="BExF2ZJJ6RMON81MIWHCHUA8HH14" hidden="1">#REF!</definedName>
    <definedName name="BExF31N3YM4F37EOOY8M8VI1KXN8" hidden="1">#REF!</definedName>
    <definedName name="BExF37C1YKBT79Z9SOJAG5MXQGTU" hidden="1">#REF!</definedName>
    <definedName name="BExF3A6HPA6DGYALZNHHJPMCUYZR" hidden="1">#REF!</definedName>
    <definedName name="BExF3AS2T7GFVNU9JPBXWUQH845Y" hidden="1">#REF!</definedName>
    <definedName name="BExF3GBMLCA5ZT2251N0N3CRN11O" hidden="1">#REF!</definedName>
    <definedName name="BExF3I9T44X7DV9HHV51DVDDPPZG" hidden="1">#REF!</definedName>
    <definedName name="BExF3JMFX5DILOIFUDIO1HZUK875" hidden="1">#REF!</definedName>
    <definedName name="BExF3JRRH4AJPDVSC258X13CIKJZ"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3RET913530OJZJYWUA4LCSLF" hidden="1">#REF!</definedName>
    <definedName name="BExF42SSBVPMLK2UB3B7FPEIY9TU" hidden="1">#REF!</definedName>
    <definedName name="BExF4DL9582CE871MZYSGTW0HTOS" hidden="1">#REF!</definedName>
    <definedName name="BExF4HXSWB50BKYPWA0HTT8W56H6" hidden="1">#REF!</definedName>
    <definedName name="BExF4KHF04IWW4LQ95FHQPFE4Y9K" hidden="1">#REF!</definedName>
    <definedName name="BExF4LU2NV3A47BCWPM3EZXUEH37"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7K7L3UC1I2FSAWURR4SN0UN" hidden="1">#REF!</definedName>
    <definedName name="BExF59NQHJ39J7AF8B91RVX0H3P6" hidden="1">#REF!</definedName>
    <definedName name="BExF5D96JEPDW6LV89G2REZJ1ES7" hidden="1">#REF!</definedName>
    <definedName name="BExF5HR2GFV7O8LKG9SJ4BY78LYA" hidden="1">#REF!</definedName>
    <definedName name="BExF5UC1UKX7L88PWRGJ2BZ0OFG3" localSheetId="7" hidden="1">Prod #REF!</definedName>
    <definedName name="BExF5UC1UKX7L88PWRGJ2BZ0OFG3" hidden="1">Prod #REF!</definedName>
    <definedName name="BExF5ZFO2A29GHWR5ES64Z9OS16J" hidden="1">#REF!</definedName>
    <definedName name="BExF5ZVRPVY4VMUTQBHRD070O974" hidden="1">#REF!</definedName>
    <definedName name="BExF63S045JO7H2ZJCBTBVH3SUIF" hidden="1">#REF!</definedName>
    <definedName name="BExF642TEGTXCI9A61ZOONJCB0U1" hidden="1">#REF!</definedName>
    <definedName name="BExF65FFOHNFLM63A7M0XSPHOAGY"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I0FZ29T5VC3WBYWV9Z1NDFP" hidden="1">#REF!</definedName>
    <definedName name="BExF6IB8K74Z0AFT05GPOKKZW7C9" hidden="1">#REF!</definedName>
    <definedName name="BExF6JNWE4H8L694Y8Z1VCZ9EMVP" hidden="1">#REF!</definedName>
    <definedName name="BExF6NUXJI11W2IAZNAM1QWC0459" hidden="1">#REF!</definedName>
    <definedName name="BExF6PT5HI5U4BC8RVCGAALUYHOX" localSheetId="7" hidden="1">Prod #REF!</definedName>
    <definedName name="BExF6PT5HI5U4BC8RVCGAALUYHOX" hidden="1">Prod #REF!</definedName>
    <definedName name="BExF6RR76KNVIXGJOVFO8GDILKGZ" hidden="1">#REF!</definedName>
    <definedName name="BExF6ZE8D5CMPJPRWT6S4HM56LPF" hidden="1">#REF!</definedName>
    <definedName name="BExF71SL7S5BDGRZ694893ZZ2ZTI" hidden="1">#REF!</definedName>
    <definedName name="BExF76FV8SF7AJK7B35AL7VTZF6D" hidden="1">#REF!</definedName>
    <definedName name="BExF7EOIMC1OYL1N7835KGOI0FIZ" hidden="1">#REF!</definedName>
    <definedName name="BExF7FVNFEHQQH5MIO6AIUWSERR7" hidden="1">#REF!</definedName>
    <definedName name="BExF7K88K7ASGV6RAOAGH52G04VR" hidden="1">#REF!</definedName>
    <definedName name="BExF7OVDRP3LHNAF2CX4V84CKKIR" hidden="1">#REF!</definedName>
    <definedName name="BExF7QO41X2A2SL8UXDNP99GY7U9" hidden="1">#REF!</definedName>
    <definedName name="BExF7RV9JQHNUU59Z7TLWW2ARAN8" hidden="1">#REF!</definedName>
    <definedName name="BExF7Z28LJC6O6ETQLOH9QDMP8DS" hidden="1">#REF!</definedName>
    <definedName name="BExF81GI8B8WBHXFTET68A9358BR" hidden="1">#REF!</definedName>
    <definedName name="BExF84R8ZH2K4C0CYI1IVFH8WUYD" hidden="1">#REF!</definedName>
    <definedName name="BExF9CTA0UGH0U2JUPUJKMEEI1Z2" hidden="1">#REF!</definedName>
    <definedName name="BExGKNC6UCNO0YTOPVJZMQ34IVMH" hidden="1">#REF!</definedName>
    <definedName name="BExGKR8GENG4XSM17M0KWIBHBFHZ" hidden="1">#REF!</definedName>
    <definedName name="BExGKT17Q7NLLXEVPD5JH5USNBZN"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X70I0G0A1GE3LGXI48ACEUM" hidden="1">#REF!</definedName>
    <definedName name="BExGLYE6RZTAAWHJBG2QFJPTDS2Q" hidden="1">#REF!</definedName>
    <definedName name="BExGM4DZ65OAQP7MA4LN6QMYZOFF" hidden="1">#REF!</definedName>
    <definedName name="BExGMA2Y834GJYSYIDG3DWFN6KI9" hidden="1">#REF!</definedName>
    <definedName name="BExGMCXCWEC9XNUOEMZ61TMI6CUO" hidden="1">#REF!</definedName>
    <definedName name="BExGMEFBL47KYW564WF1RQ6VY453"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MZEL2MSXVAOX6HXG31EL8G0X" hidden="1">#REF!</definedName>
    <definedName name="BExGN0LRKAPMAKXJTDAKS7Q1MV6S" hidden="1">#REF!</definedName>
    <definedName name="BExGN4I0QATXNZCLZJM1KH1OIJQH" hidden="1">#REF!</definedName>
    <definedName name="BExGN9FZ2RWCMSY1YOBJKZMNIM9R" hidden="1">#REF!</definedName>
    <definedName name="BExGNCFW1HJRE2CBZ65J7JB4DCF3" hidden="1">#REF!</definedName>
    <definedName name="BExGNDSIMTHOCXXG6QOGR6DA8SGG" hidden="1">#REF!</definedName>
    <definedName name="BExGNN2YQ9BDAZXT2GLCSAPXKIM7" hidden="1">#REF!</definedName>
    <definedName name="BExGNPBUQ4MFVXFVD9LJPL5PZU68" hidden="1">#REF!</definedName>
    <definedName name="BExGNSS0CKRPKHO25R3TDBEL2NHX" hidden="1">#REF!</definedName>
    <definedName name="BExGNYH0MO8NOVS85L15G0RWX4GW" hidden="1">#REF!</definedName>
    <definedName name="BExGNZO44DEG8CGIDYSEGDUQ531R" hidden="1">#REF!</definedName>
    <definedName name="BExGO2IL1Z7KB47IJCWI5CXKK279"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E7C2HSW9M6L6R25H0Z4JEKM" hidden="1">#REF!</definedName>
    <definedName name="BExGOI3M84PCOV0FSX0APR834A9T" hidden="1">#REF!</definedName>
    <definedName name="BExGOL903YF63SRYHHD7UNE2B0E7" hidden="1">#REF!</definedName>
    <definedName name="BExGOROWSCEN1I6IXZVXWNFSY76K" hidden="1">#REF!</definedName>
    <definedName name="BExGOT6UXUX5FVTAYL9SOBZ1D0II" hidden="1">#REF!</definedName>
    <definedName name="BExGOXJDHUDPDT8I8IVGVW9J0R5Q" hidden="1">#REF!</definedName>
    <definedName name="BExGPB0QWZQYZ4O1B28QZMIZK4R5" hidden="1">#REF!</definedName>
    <definedName name="BExGPHGT5KDOCMV2EFS4OVKTWBRD" hidden="1">#REF!</definedName>
    <definedName name="BExGPID72Y4Y619LWASUQZKZHJNC" hidden="1">#REF!</definedName>
    <definedName name="BExGPPENQIANVGLVQJ77DK5JPRTB" hidden="1">#REF!</definedName>
    <definedName name="BExGQ1ZU4967P72AHF4V1D0FOL5C" hidden="1">#REF!</definedName>
    <definedName name="BExGQ36ZOMR9GV8T05M605MMOY3Y" hidden="1">#REF!</definedName>
    <definedName name="BExGQ5LB71MO8U92SPWCGA8IB52E" hidden="1">#REF!</definedName>
    <definedName name="BExGQ61DTJ0SBFMDFBAK3XZ9O0ZO" hidden="1">#REF!</definedName>
    <definedName name="BExGQ6SG9XEOD0VMBAR22YPZWSTA" hidden="1">#REF!</definedName>
    <definedName name="BExGQA34AIH60IXPT4ET5P7855RO" hidden="1">#REF!</definedName>
    <definedName name="BExGQGJ1A7LNZUS8QSMOG8UNGLMK" hidden="1">#REF!</definedName>
    <definedName name="BExGQOX5SC3QE5GND2P8HAHC7ZN6" hidden="1">#REF!</definedName>
    <definedName name="BExGQP2M90PWKZU8RDMLC9SJN90J" hidden="1">#REF!</definedName>
    <definedName name="BExGQPO7ENFEQC0NC6MC9OZR2LHY" hidden="1">#REF!</definedName>
    <definedName name="BExGQRM9NCME1AQA8RNH8GRKBEY8" hidden="1">#REF!</definedName>
    <definedName name="BExGQW43UPVRDDLHCVFNSYOIWK99" hidden="1">#REF!</definedName>
    <definedName name="BExGQX0H4EZMXBJTKJJE4ICJWN5O" hidden="1">#REF!</definedName>
    <definedName name="BExGR23WEFG8G3CHQC5Q2M1VP9Q0" hidden="1">#REF!</definedName>
    <definedName name="BExGR4CW3WRIID17GGX4MI9ZDHFE" hidden="1">#REF!</definedName>
    <definedName name="BExGR593LQRBKVOA0M55PU75ZGO0" localSheetId="7" hidden="1">Prod #REF!</definedName>
    <definedName name="BExGR593LQRBKVOA0M55PU75ZGO0" hidden="1">Prod #REF!</definedName>
    <definedName name="BExGR65GJX27MU2OL6NI5PB8XVB4" hidden="1">#REF!</definedName>
    <definedName name="BExGR6LQ97HETGS3CT96L4IK0JSH" hidden="1">#REF!</definedName>
    <definedName name="BExGR9ATP2LVT7B9OCPSLJ11H9SX" hidden="1">#REF!</definedName>
    <definedName name="BExGRHZROC86IFGNDBDWZNBH5Q2V" hidden="1">#REF!</definedName>
    <definedName name="BExGRN36LZ684RA0NSTWGIMMNSZU" hidden="1">#REF!</definedName>
    <definedName name="BExGRUKVVKDL8483WI70VN2QZDGD" hidden="1">#REF!</definedName>
    <definedName name="BExGRWOG8H774BWL55XHDM510RIO" hidden="1">#REF!</definedName>
    <definedName name="BExGS2IWR5DUNJ1U9PAKIV8CMBNI" hidden="1">#REF!</definedName>
    <definedName name="BExGS34BW61KYJEFWZI9OX2BHW6F" hidden="1">#REF!</definedName>
    <definedName name="BExGS4RQSE4VV2XO3DSMR3EXSKPB"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T0DZJB6LSF6L693UUB9EY1VQ" hidden="1">#REF!</definedName>
    <definedName name="BExGT7Q9Q583L5MTYAFP50ZL5SI7" hidden="1">#REF!</definedName>
    <definedName name="BExGTG4DTC2WF8Q8A4WGL1C31KH7" hidden="1">#REF!</definedName>
    <definedName name="BExGTGVFIF8HOQXR54SK065A8M4K" hidden="1">#REF!</definedName>
    <definedName name="BExGTIYX3OWPIINOGY1E4QQYSKHP" hidden="1">#REF!</definedName>
    <definedName name="BExGTKGUN0KUU3C0RL2LK98D8MEK"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EAD8MCFXEDXEVAHTWWMZP6J" hidden="1">#REF!</definedName>
    <definedName name="BExGUIBXBRHGM97ZX6GBA4ZDQ79C" hidden="1">#REF!</definedName>
    <definedName name="BExGUM8D91UNPCOO4TKP9FGX85TF" hidden="1">#REF!</definedName>
    <definedName name="BExGUQF9N9FKI7S0H30WUAEB5LPD" hidden="1">#REF!</definedName>
    <definedName name="BExGUQVJE1MV019H8EUN9O73RXA9" hidden="1">#REF!</definedName>
    <definedName name="BExGUR6BA03XPBK60SQUW197GJ5X" hidden="1">#REF!</definedName>
    <definedName name="BExGUVIP60TA4B7X2PFGMBFUSKGX" hidden="1">#REF!</definedName>
    <definedName name="BExGUZKF06F209XL1IZWVJEQ82EE" hidden="1">#REF!</definedName>
    <definedName name="BExGV2EVT380QHD4AP2RL9MR8L5L" hidden="1">#REF!</definedName>
    <definedName name="BExGVFWDKW8LO48OL2ZZUGFJFDDA" hidden="1">#REF!</definedName>
    <definedName name="BExGVUAAUMJM3L0ADKFEBLESSLOB" hidden="1">#REF!</definedName>
    <definedName name="BExGVV6OOLDQ3TXZK51TTF3YX0WN" hidden="1">#REF!</definedName>
    <definedName name="BExGW0KVOL93Z29HD7AAKNQ59I24" hidden="1">#REF!</definedName>
    <definedName name="BExGW0KVS7U0C87XFZ78QW991IEV" hidden="1">#REF!</definedName>
    <definedName name="BExGW2Z7AMPG6H9EXA9ML6EZVGGA" hidden="1">#REF!</definedName>
    <definedName name="BExGWABG5VT5XO1A196RK61AXA8C" hidden="1">#REF!</definedName>
    <definedName name="BExGWEO0JDG84NYLEAV5NSOAGMJZ" hidden="1">#REF!</definedName>
    <definedName name="BExGWFV5K4DZE55YSH1OG1HGQO59" hidden="1">#REF!</definedName>
    <definedName name="BExGWLEOC70Z8QAJTPT2PDHTNM4L" hidden="1">#REF!</definedName>
    <definedName name="BExGWNCXLCRTLBVMTXYJ5PHQI6SS" hidden="1">#REF!</definedName>
    <definedName name="BExGWP060BOJ90JW6JM88PJ2JOGR" hidden="1">#REF!</definedName>
    <definedName name="BExGX453OMLZPGJF63K8PNB8EDJJ" hidden="1">#REF!</definedName>
    <definedName name="BExGX6U988MCFIGDA1282F92U9AA" hidden="1">#REF!</definedName>
    <definedName name="BExGX7FTB1CKAT5HUW6H531FIY6I" hidden="1">#REF!</definedName>
    <definedName name="BExGX9DVACJQIZ4GH6YAD2A7F70O" hidden="1">#REF!</definedName>
    <definedName name="BExGXAQIFY6RE35GQQACLP04RMSF" hidden="1">#REF!</definedName>
    <definedName name="BExGXDVP2S2Y8Z8Q43I78RCIK3DD" hidden="1">#REF!</definedName>
    <definedName name="BExGXJ9W5JU7TT9S0BKL5Y6VVB39" hidden="1">#REF!</definedName>
    <definedName name="BExGXKBKAGSYUXMRW1LNJYEN6L8O" localSheetId="7" hidden="1">Prod #REF!</definedName>
    <definedName name="BExGXKBKAGSYUXMRW1LNJYEN6L8O" hidden="1">Prod #REF!</definedName>
    <definedName name="BExGXQGVELUHEDSBNLEGTLOGNVS5" hidden="1">#REF!</definedName>
    <definedName name="BExGXWB73RJ4BASBQTQ8EY0EC1EB" hidden="1">#REF!</definedName>
    <definedName name="BExGXZ0ABB43C7SMRKZHWOSU9EQX" hidden="1">#REF!</definedName>
    <definedName name="BExGY0T0UPBWF73OV2QYIOSP1VVJ" hidden="1">#REF!</definedName>
    <definedName name="BExGY6SU3SYVCJ3AG2ITY59SAZ5A" hidden="1">#REF!</definedName>
    <definedName name="BExGY6YA4P5KMY2VHT0DYK3YTFAX" hidden="1">#REF!</definedName>
    <definedName name="BExGY8G88PVVRYHPHRPJZFSX6HSC" hidden="1">#REF!</definedName>
    <definedName name="BExGY8QWDS88BGBIGBPGW3WPLWFE" hidden="1">#REF!</definedName>
    <definedName name="BExGYC718HTZ80PNKYPVIYGRJVF6" hidden="1">#REF!</definedName>
    <definedName name="BExGYCNATXZY2FID93B17YWIPPRD" hidden="1">#REF!</definedName>
    <definedName name="BExGYGJJJ3BBCQAOA51WHP01HN73" hidden="1">#REF!</definedName>
    <definedName name="BExGYHAGH0IZT9WAS43U752U84WI" hidden="1">#REF!</definedName>
    <definedName name="BExGYOS6TV2C72PLRFU8RP1I58GY" hidden="1">#REF!</definedName>
    <definedName name="BExGYXXCM53K2H84S4WZTHTHZPHE" hidden="1">#REF!</definedName>
    <definedName name="BExGYY2PBI68I55GPNKXV5RYR1WF" hidden="1">#REF!</definedName>
    <definedName name="BExGZ0MC1XT4VWABFT1UK2UMI0CP" hidden="1">#REF!</definedName>
    <definedName name="BExGZ7NXZ0IBS44C2NZ9VMD6T6K2" hidden="1">#REF!</definedName>
    <definedName name="BExGZIR5ZRZTRMTQTJRG3WLMQMTP" hidden="1">#REF!</definedName>
    <definedName name="BExGZJ78ZWZCVHZ3BKEKFJZ6MAEO" hidden="1">#REF!</definedName>
    <definedName name="BExGZNP3FE4VQYCIK3P3KTNOZMI6" hidden="1">#REF!</definedName>
    <definedName name="BExGZOLH2QV73J3M9IWDDPA62TP4" hidden="1">#REF!</definedName>
    <definedName name="BExGZP1PWGFKVVVN4YDIS22DZPCR" hidden="1">#REF!</definedName>
    <definedName name="BExGZSN96MC2HMMYQ3BMZ50490SJ" hidden="1">#REF!</definedName>
    <definedName name="BExGZYXS0GTA29TRAW6KAUBGG6D4" hidden="1">#REF!</definedName>
    <definedName name="BExH00L21GZX5YJJGVMOAWBERLP5" hidden="1">#REF!</definedName>
    <definedName name="BExH02ZD6VAY1KQLAQYBBI6WWIZB" hidden="1">#REF!</definedName>
    <definedName name="BExH07XC83E8WXF2O7EJTNS1DOZD" hidden="1">#REF!</definedName>
    <definedName name="BExH08Z6LQCGGSGSAILMHX4X7JMD" hidden="1">#REF!</definedName>
    <definedName name="BExH0D0Q9XSXPYUD0WMAETQ3SAPF" hidden="1">#REF!</definedName>
    <definedName name="BExH0KT9Z8HEVRRQRGQ8YHXRLIJA" hidden="1">#REF!</definedName>
    <definedName name="BExH0KTA6PC3C1H961G6G3WB4ROD" hidden="1">#REF!</definedName>
    <definedName name="BExH0M0FDN12YBOCKL3XL2Z7T7Y8" hidden="1">#REF!</definedName>
    <definedName name="BExH0O9G06YPZ5TN9RYT326I1CP2" hidden="1">#REF!</definedName>
    <definedName name="BExH0WNJAKTJRCKMTX8O4KNMIIJM" hidden="1">#REF!</definedName>
    <definedName name="BExH0Y5JGUO7Z6TD8HXAB8MDIXSA" hidden="1">#REF!</definedName>
    <definedName name="BExH12Y4WX542WI3ZEM15AK4UM9J" hidden="1">#REF!</definedName>
    <definedName name="BExH1AFVY3DFB10LXJXXA05EU6X8" hidden="1">#REF!</definedName>
    <definedName name="BExH1DAARBA2M7X5P99SKOPRLS2O" hidden="1">#REF!</definedName>
    <definedName name="BExH1FDTQXR9QQ31WDB7OPXU7MPT" hidden="1">#REF!</definedName>
    <definedName name="BExH1FOMEUIJNIDJAUY0ZQFBJSY9" hidden="1">#REF!</definedName>
    <definedName name="BExH1JFFHEBFX9BWJMNIA3N66R3Z" hidden="1">#REF!</definedName>
    <definedName name="BExH1MKSB12M7Z2VJ15VNY3Q2LN7" hidden="1">#REF!</definedName>
    <definedName name="BExH1NRXNXU0WLQASP81I62087ON" hidden="1">#REF!</definedName>
    <definedName name="BExH1QMD1UU8X5NZERDZ7OIP3IBI" hidden="1">#REF!</definedName>
    <definedName name="BExH1Z0GIUSVTF2H1G1I3PDGBNK2" hidden="1">#REF!</definedName>
    <definedName name="BExH225UTM6S9FW4MUDZS7F1PQSH" hidden="1">#REF!</definedName>
    <definedName name="BExH23271RF7AYZ542KHQTH68GQ7" hidden="1">#REF!</definedName>
    <definedName name="BExH2CCPXWU87OTAWSZE8G4KCG2D" hidden="1">#REF!</definedName>
    <definedName name="BExH2GJQR4JALNB314RY0LDI49VH" hidden="1">#REF!</definedName>
    <definedName name="BExH2JZR49T7644JFVE7B3N7RZM9" hidden="1">#REF!</definedName>
    <definedName name="BExH2KW3THJ4H36LJF4AKSQ19S77" hidden="1">#REF!</definedName>
    <definedName name="BExH2SZG5MJRQ71M8CVN8SOX2ZDL" hidden="1">#REF!</definedName>
    <definedName name="BExH2UHF0QTJG107MULYB16WBJM9" hidden="1">#REF!</definedName>
    <definedName name="BExH2VU17ZSQ6UMFZ9FOP753TT9E"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BPW245WVGA1K1DGTL1XWDCH" hidden="1">#REF!</definedName>
    <definedName name="BExH3E9HZ3QJCDZW7WI7YACFQCHE" hidden="1">#REF!</definedName>
    <definedName name="BExH3IRB6764RQ5HBYRLH6XCT29X" hidden="1">#REF!</definedName>
    <definedName name="BExH3JYIPMNDMO7VXT7PPOKKQHTF" hidden="1">#REF!</definedName>
    <definedName name="BExH4HTPYPQ91XIJ8IWIMHWOB0RA" hidden="1">#REF!</definedName>
    <definedName name="BExIG2U8V6RSB47SXLCQG3Q68YRO" hidden="1">#REF!</definedName>
    <definedName name="BExIG9FMY6OOSODNTWQJ2F28Y2FK" hidden="1">#REF!</definedName>
    <definedName name="BExIGAC1BCTJX27HU1C7LGP1E733" hidden="1">#REF!</definedName>
    <definedName name="BExIGJBO8R13LV7CZ7C1YCP974NN" hidden="1">#REF!</definedName>
    <definedName name="BExIGWT86FPOEYTI8GXCGU5Y3KGK" hidden="1">#REF!</definedName>
    <definedName name="BExIH51URLQJA6KNX5CJKIUIR5UQ" hidden="1">#REF!</definedName>
    <definedName name="BExIH9EE935MNX7807E2VCWM31JG" hidden="1">#REF!</definedName>
    <definedName name="BExIHBHXA7E7VUTBVHXXXCH3A5CL" hidden="1">#REF!</definedName>
    <definedName name="BExIHNMT9P59WY619GEWB1XONTAE" hidden="1">#REF!</definedName>
    <definedName name="BExIHNMTY8HBM7KQDSTMXEM6MHL4" hidden="1">#REF!</definedName>
    <definedName name="BExIHO32KH82GZQKYAPDEYBXDGCD" hidden="1">#REF!</definedName>
    <definedName name="BExIHPQCQTGEW8QOJVIQ4VX0P6DX" hidden="1">#REF!</definedName>
    <definedName name="BExIHU2VSXTKRMO3RHJI6RZ206Q5" hidden="1">#REF!</definedName>
    <definedName name="BExIHZ6ALVREAYK4T741OOLGXOZA" hidden="1">#REF!</definedName>
    <definedName name="BExII1KN91Q7DLW0UB7W2TJ5ACT9" hidden="1">#REF!</definedName>
    <definedName name="BExII20QQ1K3GHOPL1ZQX5SL618M" hidden="1">#REF!</definedName>
    <definedName name="BExII50LI8I0CDOOZEMIVHVA2V95" hidden="1">#REF!</definedName>
    <definedName name="BExII6YO6IEO642MG1DQ4ZUE84WZ" hidden="1">#REF!</definedName>
    <definedName name="BExIII20P1WBEIDBPYNU5QP3PLM8"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8Q4WWPTKVONF0FPLTD4L7CH" hidden="1">#REF!</definedName>
    <definedName name="BExIJ9MI8QNCVF6L1SK4ZWC4CPJ7"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JZP8AKK000EFDGK7KZ1YKRXT" hidden="1">#REF!</definedName>
    <definedName name="BExIKHTXPZR5A8OHB6HDP6QWDHAD" hidden="1">#REF!</definedName>
    <definedName name="BExIKIKZTSX8N5H312XA9EMJF7TP" hidden="1">#REF!</definedName>
    <definedName name="BExIKMMJOETSAXJYY1SIKM58LMA2" hidden="1">#REF!</definedName>
    <definedName name="BExIKRF6AQ6VOO9KCIWSM6FY8M7D" hidden="1">#REF!</definedName>
    <definedName name="BExIKTYZESFT3LC0ASFMFKSE0D1X" hidden="1">#REF!</definedName>
    <definedName name="BExIKWDBAUWUYNVY3N49ZWBP4W52" hidden="1">#REF!</definedName>
    <definedName name="BExIKXVA6M8K0PTRYAGXS666L335" hidden="1">#REF!</definedName>
    <definedName name="BExIL0PMZ2SXK9R6MLP43KBU1J2P" hidden="1">#REF!</definedName>
    <definedName name="BExIL45UAJTQCLO0PRR3OAT4FUN0" hidden="1">#REF!</definedName>
    <definedName name="BExILAAXRTRAD18K74M6MGUEEPUM" hidden="1">#REF!</definedName>
    <definedName name="BExILG5F338C0FFLMVOKMKF8X5ZP" hidden="1">#REF!</definedName>
    <definedName name="BExILGQTQM0HOD0BJI90YO7GOIN3" hidden="1">#REF!</definedName>
    <definedName name="BExILI8Z41WP1I83L06KGRLKLGUL" hidden="1">#REF!</definedName>
    <definedName name="BExILJ558DU4VWYTKQGUZWNZN6KS" hidden="1">#REF!</definedName>
    <definedName name="BExIM02UP3RCUWZ2RO86WO6595EZ" hidden="1">#REF!</definedName>
    <definedName name="BExIM50TAR37PP8PD9DKP5J8EDKI" hidden="1">#REF!</definedName>
    <definedName name="BExIM5RVXJY2O4OIPMG4TQ4AO9I6" localSheetId="7" hidden="1">Prod #REF!</definedName>
    <definedName name="BExIM5RVXJY2O4OIPMG4TQ4AO9I6" hidden="1">Prod #REF!</definedName>
    <definedName name="BExIM9DBUB7ZGF4B20FVUO9QGOX2" hidden="1">#REF!</definedName>
    <definedName name="BExIMGK9Z94TFPWWZFMD10HV0IF6" hidden="1">#REF!</definedName>
    <definedName name="BExIMGPLISOSBA2L5IWSN5RKNYTE" hidden="1">#REF!</definedName>
    <definedName name="BExIMIT427CJSYOCFG8JGTIJC8EC" hidden="1">#REF!</definedName>
    <definedName name="BExIMJEQ6EFKI2PU87XQ7EATGHD1" localSheetId="7" hidden="1">Prod #REF!</definedName>
    <definedName name="BExIMJEQ6EFKI2PU87XQ7EATGHD1" hidden="1">Prod #REF!</definedName>
    <definedName name="BExIMPEGKG18TELVC33T4OQTNBWC" hidden="1">#REF!</definedName>
    <definedName name="BExIMTAR1TFV3DP2D7HWECJEOYUG" hidden="1">#REF!</definedName>
    <definedName name="BExIN3SELWXIGE9EWSK9QJ3RHFPD" hidden="1">#REF!</definedName>
    <definedName name="BExIN4OR435DL1US13JQPOQK8GD5" hidden="1">#REF!</definedName>
    <definedName name="BExIN7DV8PASLVLSS9G15ZV4LC2I" hidden="1">#REF!</definedName>
    <definedName name="BExIN8FK0VJT3CRRWGRO3XE26YZS"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O0LTUXHB5NBBTZPBJZN8ODU" hidden="1">#REF!</definedName>
    <definedName name="BExINO0MM0VFZGX84AO4LV2VTJSL" hidden="1">#REF!</definedName>
    <definedName name="BExINP2H4KI05FRFV5PKZFE00HKO" hidden="1">#REF!</definedName>
    <definedName name="BExINV29DEBUV3LYJU8RRNU8J20K" hidden="1">#REF!</definedName>
    <definedName name="BExINVT50DNQFXWZEBLEC0HIJDBS" hidden="1">#REF!</definedName>
    <definedName name="BExINYT1S9HTKX12F6T1MBDFL53T" hidden="1">#REF!</definedName>
    <definedName name="BExINZELVWYGU876QUUZCIMXPBQC" hidden="1">#REF!</definedName>
    <definedName name="BExIO6WD7BXKQGPPL9ER1FBMDY6O" hidden="1">#REF!</definedName>
    <definedName name="BExIOCQUQHKUU1KONGSDOLQTQEIC" hidden="1">#REF!</definedName>
    <definedName name="BExIOEUDLMQULYKSXV94CO63QD9I"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OTZ65JHXCNZUCXK1LM5NVWDJ" localSheetId="7" hidden="1">Prod #REF!</definedName>
    <definedName name="BExIOTZ65JHXCNZUCXK1LM5NVWDJ" hidden="1">Prod #REF!</definedName>
    <definedName name="BExIOX9UKF8R87PUT6YCS1Y9G5G8" hidden="1">#REF!</definedName>
    <definedName name="BExIP3EYMLXYSYD644AIULVB4SM4" hidden="1">#REF!</definedName>
    <definedName name="BExIP7M1CBB7J6B18KQH7O787CQT"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G040Q08EWIWL6CAVR3GRI43" hidden="1">#REF!</definedName>
    <definedName name="BExIPKCNG2M6L73ES2UQI5310WB7" hidden="1">#REF!</definedName>
    <definedName name="BExIPKNFUDPDKOSH5GHDVNA8D66S" hidden="1">#REF!</definedName>
    <definedName name="BExIPLJTRJRKOL7VVP0PEP05W0QL" hidden="1">#REF!</definedName>
    <definedName name="BExIPR3CX2CZFY04PRUJHCAHDWR1" hidden="1">#REF!</definedName>
    <definedName name="BExIPYFR9Q89IRAL0HPOES7623H9"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APYDTTEORSIBEGEKVWAFU83" hidden="1">#REF!</definedName>
    <definedName name="BExIQBMDE1L6J4H27K1FMSHQKDSE" hidden="1">#REF!</definedName>
    <definedName name="BExIQCDFFALELXAMMR1ZQBGNV1HO" hidden="1">#REF!</definedName>
    <definedName name="BExIQCTILU1D6OD8XR0K44Z9OTI8" hidden="1">#REF!</definedName>
    <definedName name="BExIQE65LVXUOF3UZFO7SDHFJH22" hidden="1">#REF!</definedName>
    <definedName name="BExIQG9OO2KKBOWTMD1OXY36TEGA" hidden="1">#REF!</definedName>
    <definedName name="BExIQIII4MABGPDVFEBH294F5JBS" hidden="1">#REF!</definedName>
    <definedName name="BExIQX1XBB31HZTYEEVOBSE3C5A6" hidden="1">#REF!</definedName>
    <definedName name="BExIQYP5T1TPAQYW7QU1Q98BKX7W" hidden="1">#REF!</definedName>
    <definedName name="BExIR2ALYRP9FW99DK2084J7IIDC" hidden="1">#REF!</definedName>
    <definedName name="BExIR31JG3WPQZJRU6YPQH9Z2C3W" hidden="1">#REF!</definedName>
    <definedName name="BExIR8FQETPTQYW37DBVDWG3J4JW" hidden="1">#REF!</definedName>
    <definedName name="BExIR91BK8S9Y6TEDRHKEGWEH4VX" hidden="1">#REF!</definedName>
    <definedName name="BExIRRBGTY01OQOI3U5SW59RFDFI" hidden="1">#REF!</definedName>
    <definedName name="BExIRW44L86VN6LJ13H6XBFG4RL0"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J6WFYQKE0RGTDWHAWUAE1AP" hidden="1">#REF!</definedName>
    <definedName name="BExISM1JLV54A21A164IURMPGUMU" hidden="1">#REF!</definedName>
    <definedName name="BExISRFKJYUZ4AKW44IJF7RF9Y90" hidden="1">#REF!</definedName>
    <definedName name="BExIT1MK8TBAK3SNP36A8FKDQSOK" hidden="1">#REF!</definedName>
    <definedName name="BExIT2IT2V9GEHP8BOT7V4TQL64A" hidden="1">#REF!</definedName>
    <definedName name="BExITBNYANV2S8KD56GOGCKW393R" hidden="1">#REF!</definedName>
    <definedName name="BExIUB6GMB0SK1G4X7OS9A0AYW30" hidden="1">#REF!</definedName>
    <definedName name="BExIUD4OJGH65NFNQ4VMCE3R4J1X" hidden="1">#REF!</definedName>
    <definedName name="BExIUH67OVZ1EPVQYKGEWRLKWPH4" hidden="1">#REF!</definedName>
    <definedName name="BExIUI7VSY8P7BKIY4S2EEUZ8ZF6" hidden="1">#REF!</definedName>
    <definedName name="BExIULYTKJ6F74ZZ6GFR3H0502B9" hidden="1">#REF!</definedName>
    <definedName name="BExIUTB5OAAXYW0OFMP0PS40SPOB" hidden="1">#REF!</definedName>
    <definedName name="BExIUUT2MHIOV6R3WHA0DPM1KBKY" hidden="1">#REF!</definedName>
    <definedName name="BExIUXI7T2XUZCSZE9GKUIN8NC2X"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C6WZMHRBRGIBUVX0CO2RK05" hidden="1">#REF!</definedName>
    <definedName name="BExIVCXWL6H5LD9DHDIA4F5U9TQL" hidden="1">#REF!</definedName>
    <definedName name="BExIVHVWLE97GSYXI5MCGEPG5OPB" hidden="1">#REF!</definedName>
    <definedName name="BExIVMOIPSEWSIHIDDLOXESQ28A0" hidden="1">#REF!</definedName>
    <definedName name="BExIVNVNJX9BYDLC88NG09YF5XQ6" hidden="1">#REF!</definedName>
    <definedName name="BExIVO6HEPY4B0TXGQSO7XLABV84" hidden="1">#REF!</definedName>
    <definedName name="BExIVQVKLMGSRYT1LFZH0KUIA4OR" hidden="1">#REF!</definedName>
    <definedName name="BExIVYTFI35KNR2XSA6N8OJYUTUR"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ILIQ9E4XB730R3LT1NCIU28" hidden="1">#REF!</definedName>
    <definedName name="BExIWKE9MGIDWORBI43AWTUNYFAN" hidden="1">#REF!</definedName>
    <definedName name="BExIX2DMJCFY68X9XPKX7A9YBWQV" hidden="1">#REF!</definedName>
    <definedName name="BExIX34PM5DBTRHRQWP6PL6WIX88" hidden="1">#REF!</definedName>
    <definedName name="BExIX4S01VKH0V2KWQZGAY2FUFFS" hidden="1">#REF!</definedName>
    <definedName name="BExIX5OAP9KSUE5SIZCW9P39Q4WE" hidden="1">#REF!</definedName>
    <definedName name="BExIXGRJPVJMUDGSG7IHPXPNO69B" hidden="1">#REF!</definedName>
    <definedName name="BExIXLUYYE7UVKMLWMTJEGTBXPUX" hidden="1">#REF!</definedName>
    <definedName name="BExIXM5R87ZL3FHALWZXYCPHGX3E" hidden="1">#REF!</definedName>
    <definedName name="BExIXS036ZCKT2Z8XZKLZ8PFWQGL" hidden="1">#REF!</definedName>
    <definedName name="BExIXY5CF9PFM0P40AZ4U51TMWV0" hidden="1">#REF!</definedName>
    <definedName name="BExIYEXJBK8JDWIRSVV4RJSKZVV1" hidden="1">#REF!</definedName>
    <definedName name="BExIYI2RH0K4225XO970K2IQ1E79" hidden="1">#REF!</definedName>
    <definedName name="BExIYMPZ0KS2KOJFQAUQJ77L7701" hidden="1">#REF!</definedName>
    <definedName name="BExIYOO4P2NLI0GTES3GN8FDL0US" hidden="1">#REF!</definedName>
    <definedName name="BExIYP9Q6FV9T0R9G3UDKLS4TTYX" hidden="1">#REF!</definedName>
    <definedName name="BExIYRTCOZA1OQ7D46XDWMCW6RFR" hidden="1">#REF!</definedName>
    <definedName name="BExIYV9IL8RIZ5N7HRAI61LNAKD0" hidden="1">#REF!</definedName>
    <definedName name="BExIYWGO8TM50FL78TV3DZXQPDXX" hidden="1">#REF!</definedName>
    <definedName name="BExIYZGLDQ1TN7BIIN4RLDP31GIM" hidden="1">#REF!</definedName>
    <definedName name="BExIZ2WKEFOEDJKRX4ITO6ACX95P" hidden="1">#REF!</definedName>
    <definedName name="BExIZ4K0EZJK6PW3L8SVKTJFSWW9" hidden="1">#REF!</definedName>
    <definedName name="BExIZAECOEZGBAO29QMV14E6XDIV" hidden="1">#REF!</definedName>
    <definedName name="BExIZKVXYD5O2JBU81F2UFJZLLSI" hidden="1">#REF!</definedName>
    <definedName name="BExIZPZDHC8HGER83WHCZAHOX7LK" hidden="1">#REF!</definedName>
    <definedName name="BExIZSOI3NXQYT3GQ185BAF9IRIV" hidden="1">#REF!</definedName>
    <definedName name="BExIZY2PUZ0OF9YKK1B13IW0VS6G" hidden="1">#REF!</definedName>
    <definedName name="BExJ08KB42GOUC2P92D8UI7KEHKL" hidden="1">#REF!</definedName>
    <definedName name="BExJ08KBRR2XMWW3VZMPSQKXHZUH" hidden="1">#REF!</definedName>
    <definedName name="BExJ0DYJWXGE7DA39PYL3WM05U9O" hidden="1">#REF!</definedName>
    <definedName name="BExJ0JCRE7HP1J5ICCTGR58SY007" hidden="1">#REF!</definedName>
    <definedName name="BExJ0MY8SY5J5V50H3UKE78ODTVB" hidden="1">#REF!</definedName>
    <definedName name="BExJ0YC98G37ML4N8FLP8D95EFRF" hidden="1">#REF!</definedName>
    <definedName name="BExJ11MY9B0F7RFESFSORX1Z25QM" hidden="1">#REF!</definedName>
    <definedName name="BExKCCREBIWYDT3KYY47J6PKFUJC" hidden="1">#REF!</definedName>
    <definedName name="BExKCDYKAEV45AFXHVHZZ62E5BM3" hidden="1">#REF!</definedName>
    <definedName name="BExKDIF605EGPOBOGS96D5JY18QC" hidden="1">#REF!</definedName>
    <definedName name="BExKDJBKAJPY1RL4WY6D99TGYHCW" hidden="1">#REF!</definedName>
    <definedName name="BExKDKO0W4AGQO1V7K6Q4VM750FT" hidden="1">#REF!</definedName>
    <definedName name="BExKDLF10G7W77J87QWH3ZGLUCLW" hidden="1">#REF!</definedName>
    <definedName name="BExKDO45GL6PAZQR3PAOWFVA6WLZ" hidden="1">#REF!</definedName>
    <definedName name="BExKDSM0YWBSMVG1AYW5LOVNNRXR" hidden="1">#REF!</definedName>
    <definedName name="BExKE400P7WOFSUK628BT91CWB4H" hidden="1">#REF!</definedName>
    <definedName name="BExKEFE0I3MT6ZLC4T1L9465HKTN" hidden="1">#REF!</definedName>
    <definedName name="BExKEK6O5BVJP4VY02FY7JNAZ6BT" hidden="1">#REF!</definedName>
    <definedName name="BExKEKMRQLC0TPETMUVPBOHVEK6D" hidden="1">#REF!</definedName>
    <definedName name="BExKEKXK6E6QX339ELPXDIRZSJE0" hidden="1">#REF!</definedName>
    <definedName name="BExKEOOIBMP7N8033EY2CJYCBX6H" hidden="1">#REF!</definedName>
    <definedName name="BExKES9ZA5L22XTSO9Y8GAI2RIIH" hidden="1">#REF!</definedName>
    <definedName name="BExKEW0RR5LA3VC46A2BEOOMQE56" hidden="1">#REF!</definedName>
    <definedName name="BExKF02HYBPMKRSPJGAK1MWM2V4R" hidden="1">#REF!</definedName>
    <definedName name="BExKF0D4AQMMDS88KB6RG0AZEV6B"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7OB2UF5GNHICJECPX6IU8JT" hidden="1">#REF!</definedName>
    <definedName name="BExKG8KO0T2K2PJKN0MY59LZRPC0" hidden="1">#REF!</definedName>
    <definedName name="BExKG9H1YEITERRC1R10IT2PRNDV"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GVSTJOQ558MX1L7JPJMENESP" hidden="1">#REF!</definedName>
    <definedName name="BExKGWUGUAZ9RHGMMEHY6AG0GBZC" hidden="1">#REF!</definedName>
    <definedName name="BExKH0ANKNJUT5MEASVBDV24PB47" hidden="1">#REF!</definedName>
    <definedName name="BExKH3FTZ5VGTB86W9M4AB39R0G8" hidden="1">#REF!</definedName>
    <definedName name="BExKH3FV5U5O6XZM7STS3NZKQFGJ" hidden="1">#REF!</definedName>
    <definedName name="BExKH6L8BUEGZ1O7ZYFE7R04MJJV" hidden="1">#REF!</definedName>
    <definedName name="BExKHAMUH8NR3HRV0V6FHJE3ROLN" hidden="1">#REF!</definedName>
    <definedName name="BExKHCFKOWFHO2WW0N7Y5XDXEWAO" hidden="1">#REF!</definedName>
    <definedName name="BExKHIVLONZ46HLMR50DEXKEUNEP" hidden="1">#REF!</definedName>
    <definedName name="BExKHKDK2PRBCUJS8TEDP8K3VODQ" hidden="1">#REF!</definedName>
    <definedName name="BExKHOVEPG2DJKZZ9OH3HTITCVPE" hidden="1">#REF!</definedName>
    <definedName name="BExKHPM9XA0ADDK7TUR0N38EXWEP" hidden="1">#REF!</definedName>
    <definedName name="BExKHSM6SSFY0ZQGCUYSS4YRMGNB" hidden="1">#REF!</definedName>
    <definedName name="BExKI4076KXCDE5KXL79KT36OKLO" hidden="1">#REF!</definedName>
    <definedName name="BExKI703H6LLQ9SUAO1Q66RXBCFT"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U87ZKSOC2DYZWFK6SAK9I8E" hidden="1">#REF!</definedName>
    <definedName name="BExKIVA2FK8RNEC0KXBF7JTH9JIH" hidden="1">#REF!</definedName>
    <definedName name="BExKJ449HLYX2DJ9UF0H9GTPSQ73" hidden="1">#REF!</definedName>
    <definedName name="BExKJB0GGMI5YPC5W3F85ZBMUGFD"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JXSGM8D2K8TRRQNOLG5SDYMO"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L002TQQTZZ9BETERCDLUDV0K" hidden="1">#REF!</definedName>
    <definedName name="BExKLD6S9L66QYREYHBE5J44OK7X" hidden="1">#REF!</definedName>
    <definedName name="BExKLEZK32L28GYJWVO63BZ5E1JD" hidden="1">#REF!</definedName>
    <definedName name="BExKLGBZ8D7W1HW672WZB4ZK47TN" hidden="1">#REF!</definedName>
    <definedName name="BExKLLKVVHT06LA55JB2FC871DC5" hidden="1">#REF!</definedName>
    <definedName name="BExKLO4OJ4LE6YA3WZB02FDH4ZBC" hidden="1">#REF!</definedName>
    <definedName name="BExKLQ2RIPLX50TLAB3WRRYZ2HOF" hidden="1">#REF!</definedName>
    <definedName name="BExKLWYWL8HEKZRA5IGCCM60HYID" hidden="1">#REF!</definedName>
    <definedName name="BExKLX9OMIZRVELEESUGRFHXM0CU" hidden="1">#REF!</definedName>
    <definedName name="BExKMLE76KI86BKHRQNEI6BJQVHW" hidden="1">#REF!</definedName>
    <definedName name="BExKMT6P84FMMRW0C5DJ9P2UQQUF" hidden="1">#REF!</definedName>
    <definedName name="BExKMWBX4EH3EYJ07UFEM08NB40Z" hidden="1">#REF!</definedName>
    <definedName name="BExKN0875CDUQRB1K4RSFZHZ1MO0" hidden="1">#REF!</definedName>
    <definedName name="BExKNBGV2IR3S7M0BX4810KZB4V3" hidden="1">#REF!</definedName>
    <definedName name="BExKNCTBZTSY3MO42VU5PLV6YUHZ" hidden="1">#REF!</definedName>
    <definedName name="BExKNGV2YY749C42AQ2T9QNIE5C3" hidden="1">#REF!</definedName>
    <definedName name="BExKNM3TO8JLDR94J4BKF7TE6872" hidden="1">#REF!</definedName>
    <definedName name="BExKNOI4QFMH6MHXB06ALL9Q4O0F" hidden="1">#REF!</definedName>
    <definedName name="BExKNRCJLCZZKS1BDNBZ0QU7GIJ0" hidden="1">#REF!</definedName>
    <definedName name="BExKNV8UOHVWEHDJWI2WMJ9X6QHZ" hidden="1">#REF!</definedName>
    <definedName name="BExKNYJOELLTW2G78GG2TSS97L8T" hidden="1">#REF!</definedName>
    <definedName name="BExKNYUAYWR68YCUOIW6WYVNJ198" hidden="1">#REF!</definedName>
    <definedName name="BExKNZLD7UATC1MYRNJD8H2NH4KU" hidden="1">#REF!</definedName>
    <definedName name="BExKNZQUKQQG2Y97R74G4O4BJP1L" hidden="1">#REF!</definedName>
    <definedName name="BExKO06X0EAD3ABEG1E8PWLDWHBA" hidden="1">#REF!</definedName>
    <definedName name="BExKO0N2LS0IY76EUVG93ZSZIF8R" localSheetId="7" hidden="1">Prod #REF!</definedName>
    <definedName name="BExKO0N2LS0IY76EUVG93ZSZIF8R" hidden="1">Prod #REF!</definedName>
    <definedName name="BExKO2AHHSGNI1AZOIOW21KPXKPE" hidden="1">#REF!</definedName>
    <definedName name="BExKO2FXWJWC5IZLDN8JHYILQJ2N" hidden="1">#REF!</definedName>
    <definedName name="BExKO438WZ8FKOU00NURGFMOYXWN" hidden="1">#REF!</definedName>
    <definedName name="BExKO8VVSOKPPDDBLD2EQ8KAJIZW" hidden="1">#REF!</definedName>
    <definedName name="BExKOBVR6FBO1U02GWCHZEQEFC13" hidden="1">#REF!</definedName>
    <definedName name="BExKODIZGWW2EQD0FEYW6WK6XLCM" hidden="1">#REF!</definedName>
    <definedName name="BExKOEA1HY8RIY04636RSKF38SDX" hidden="1">#REF!</definedName>
    <definedName name="BExKOKKN1B1J78CH35D9HXWKYKHN" hidden="1">#REF!</definedName>
    <definedName name="BExKOMO6QQXCDKGFW09TA5YELWZ7" localSheetId="7" hidden="1">Prod #REF!</definedName>
    <definedName name="BExKOMO6QQXCDKGFW09TA5YELWZ7" hidden="1">Prod #REF!</definedName>
    <definedName name="BExKOPO2HPWVQGAKW8LOZMPIDEFG" hidden="1">#REF!</definedName>
    <definedName name="BExKOY7GESF3TAC9GYS8KAKYZDC2" hidden="1">#REF!</definedName>
    <definedName name="BExKPEZP0QTKOTLIMMIFSVTHQEEK" hidden="1">#REF!</definedName>
    <definedName name="BExKPLQJX0HJ8OTXBXH9IC9J2V0W" hidden="1">#REF!</definedName>
    <definedName name="BExKPN8C7GN36ZJZHLOB74LU6KT0" hidden="1">#REF!</definedName>
    <definedName name="BExKPNDTFVRMZVREZZHJY19E88R4" hidden="1">#REF!</definedName>
    <definedName name="BExKPX9VZ1J5021Q98K60HMPJU58" hidden="1">#REF!</definedName>
    <definedName name="BExKQBD082742R6CFSFX8RQ89B72" hidden="1">#REF!</definedName>
    <definedName name="BExKQGAYIM5F0Y5VUN2SOTS4AVAN" hidden="1">#REF!</definedName>
    <definedName name="BExKQJ01GRP9KX7BHWUGSV76KSSN" hidden="1">#REF!</definedName>
    <definedName name="BExKQJGAAWNM3NT19E9I0CQDBTU0" hidden="1">#REF!</definedName>
    <definedName name="BExKQM5GJ1ZN5REKFE7YVBQ0KXWF" hidden="1">#REF!</definedName>
    <definedName name="BExKQO3G0R230211GSQXEUMGOJJH" hidden="1">#REF!</definedName>
    <definedName name="BExKQOEA7HV9U5DH9C8JXFD62EKH" hidden="1">#REF!</definedName>
    <definedName name="BExKQQ71278061G7ZFYGPWOMOMY2" hidden="1">#REF!</definedName>
    <definedName name="BExKQR8O4PKTML13W0YUQSAIJP87" hidden="1">#REF!</definedName>
    <definedName name="BExKQROXFHOAXZAJ9P338TCB51AS" hidden="1">#REF!</definedName>
    <definedName name="BExKQTXRG3ECU8NT47UR7643LO5G" hidden="1">#REF!</definedName>
    <definedName name="BExKQVL7HPOIZ4FHANDFMVOJLEPR" hidden="1">#REF!</definedName>
    <definedName name="BExKR32XG1WY77WDT8KW9FJPGQTU" hidden="1">#REF!</definedName>
    <definedName name="BExKR62TW7BNFOQEJ3QHD1A6KDOM" hidden="1">#REF!</definedName>
    <definedName name="BExKR8RZSEHW184G0Z56B4EGNU72" hidden="1">#REF!</definedName>
    <definedName name="BExKRL2CKQNLR0UFZ2RPFAYGOZ72" hidden="1">#REF!</definedName>
    <definedName name="BExKRLNWKRIXAUZCS1BXX8QTWT65" hidden="1">#REF!</definedName>
    <definedName name="BExKRS3TU9ZISEFNAGIP4D2THSPK" hidden="1">#REF!</definedName>
    <definedName name="BExKRVUSQ6PA7ZYQSTEQL3X7PB9P" hidden="1">#REF!</definedName>
    <definedName name="BExKRX1Q306EBUR528K7XUIMHKM6" hidden="1">#REF!</definedName>
    <definedName name="BExKRY3KZ7F7RB2KH8HXSQ85IEQO" hidden="1">#REF!</definedName>
    <definedName name="BExKS1P2TQHAQ81Y9BYB997DLTC5" hidden="1">#REF!</definedName>
    <definedName name="BExKSA37DZTCK6H13HPIKR0ZFVL8" hidden="1">#REF!</definedName>
    <definedName name="BExKSAJ9PLFSAM5DGYLJ0LGWBOCJ" hidden="1">#REF!</definedName>
    <definedName name="BExKSFHEJYQU3MJ64AXH349TS3AS"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MDKVAO0A43CLVBQQD41BXOS" hidden="1">#REF!</definedName>
    <definedName name="BExKSR66M8VX6DOVY5XKESJ3UH2N"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G1K3NZTTFQW9QJSW4WSYM70" hidden="1">#REF!</definedName>
    <definedName name="BExKTGHU41U7OXQNLCH9L528CTKN" hidden="1">#REF!</definedName>
    <definedName name="BExKTQZGN8GI3XGSEXMPCCA3S19H" hidden="1">#REF!</definedName>
    <definedName name="BExKTUKYYU0F6TUW1RXV24LRAZFE" hidden="1">#REF!</definedName>
    <definedName name="BExKTY13PPBTNIGOV4X1KMMWAEMQ" hidden="1">#REF!</definedName>
    <definedName name="BExKU3FBLHQBIUTN6XEZW5GC9OG1" hidden="1">#REF!</definedName>
    <definedName name="BExKU4X42CBEQQCOHMAAWR8YXFUI" hidden="1">#REF!</definedName>
    <definedName name="BExKU82I99FEUIZLODXJDOJC96CQ" hidden="1">#REF!</definedName>
    <definedName name="BExKUDM0DFSCM3D91SH0XLXJSL18" hidden="1">#REF!</definedName>
    <definedName name="BExKUEIEGD9JH03Q4QGCL2ZVM2AQ" hidden="1">#REF!</definedName>
    <definedName name="BExKULEKJLA77AUQPDUHSM94Y76Z" hidden="1">#REF!</definedName>
    <definedName name="BExKUPASS3H5268MTUCTQGAWNU4C" hidden="1">#REF!</definedName>
    <definedName name="BExKV08R85MKI3MAX9E2HERNQUNL" hidden="1">#REF!</definedName>
    <definedName name="BExKV4AAUNNJL5JWD7PX6BFKVS6O" hidden="1">#REF!</definedName>
    <definedName name="BExKV8S497WD25N3LA72PSCGO8G3" hidden="1">#REF!</definedName>
    <definedName name="BExKVBH8YYI9E5I22PFV71UY3MXK"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QFH8IRLIHMHHZRGK40EDZ02" hidden="1">#REF!</definedName>
    <definedName name="BExKWXMGI03TYVUTSAMM6DVQG4HO" hidden="1">#REF!</definedName>
    <definedName name="BExKX2PVAIPKIQS1FYV3OCHSGI71" hidden="1">#REF!</definedName>
    <definedName name="BExM9NUG3Q31X01AI9ZJCZIX25CS" hidden="1">#REF!</definedName>
    <definedName name="BExM9OG182RP30MY23PG49LVPZ1C" hidden="1">#REF!</definedName>
    <definedName name="BExM9UQN0TIL2QB8BQX5YK9L7EW9" hidden="1">#REF!</definedName>
    <definedName name="BExMA64MW1S18NH8DCKPCCEI5KCB" hidden="1">#REF!</definedName>
    <definedName name="BExMAKYMJAT43SADNHP676IRSLWR" hidden="1">#REF!</definedName>
    <definedName name="BExMALEWFUEM8Y686IT03ECURUBR" hidden="1">#REF!</definedName>
    <definedName name="BExMAR3XSK6RSFLHP7ZX1EWGHASI" hidden="1">#REF!</definedName>
    <definedName name="BExMASB1H36144BAGKY65OVVXKBH" localSheetId="7" hidden="1">Prod #REF!</definedName>
    <definedName name="BExMASB1H36144BAGKY65OVVXKBH" hidden="1">Prod #REF!</definedName>
    <definedName name="BExMAXJS82ZJ8RS22VLE0V0LDUII" hidden="1">#REF!</definedName>
    <definedName name="BExMAXPARVDKMUBQIWDFVGM81KYG" hidden="1">#REF!</definedName>
    <definedName name="BExMB2HXQ4WW9UURE485J78ID5SQ" hidden="1">#REF!</definedName>
    <definedName name="BExMB2Y08ZQ6ES53Z1Z85LK1XPJG" hidden="1">#REF!</definedName>
    <definedName name="BExMB4QRS0R3MTB4CMUHFZ84LNZQ" hidden="1">#REF!</definedName>
    <definedName name="BExMBC35WKQY5CWQJLV4D05O6971" hidden="1">#REF!</definedName>
    <definedName name="BExMBDL5PU0ZT52DNZKE16T4MVFI" hidden="1">#REF!</definedName>
    <definedName name="BExMBEXLTHCYD9F1Q113PSFZ1XRS" hidden="1">#REF!</definedName>
    <definedName name="BExMBFTZV4Q1A5KG25C1N9PHQNSW" hidden="1">#REF!</definedName>
    <definedName name="BExMBHS6LTKIPUBY75D5KWMN4U2K" hidden="1">#REF!</definedName>
    <definedName name="BExMBI2ZEUOD44W9TCTLAPOAMV1A" hidden="1">#REF!</definedName>
    <definedName name="BExMBK6ISK3U7KHZKUJXIDKGF6VW" hidden="1">#REF!</definedName>
    <definedName name="BExMBYPQDG9AYDQ5E8IECVFREPO6" hidden="1">#REF!</definedName>
    <definedName name="BExMC5R82S07KSLMO7YA8CCU0ZAI" hidden="1">#REF!</definedName>
    <definedName name="BExMC8AZUTX8LG89K2JJR7ZG62XX" hidden="1">#REF!</definedName>
    <definedName name="BExMCA96YR10V72G2R0SCIKPZLIZ" hidden="1">#REF!</definedName>
    <definedName name="BExMCAPB2KR2CNKS8MYVWTH5MOT2" hidden="1">#REF!</definedName>
    <definedName name="BExMCB5JU5I2VQDUBS4O42BTEVKI" hidden="1">#REF!</definedName>
    <definedName name="BExMCFSQFSEMPY5IXDIRKZDASDBR" hidden="1">#REF!</definedName>
    <definedName name="BExMCM8SMFWU3Q93BYDVV6AMLYJ7" hidden="1">#REF!</definedName>
    <definedName name="BExMCMZOEYWVOOJ98TBHTTCS7XB8" hidden="1">#REF!</definedName>
    <definedName name="BExMCRSC61GNE2C255DR0NN6NYI0" hidden="1">#REF!</definedName>
    <definedName name="BExMCS8EF2W3FS9QADNKREYSI8P0" hidden="1">#REF!</definedName>
    <definedName name="BExMCUS7GSOM96J0HJ7EH0FFM2AC" hidden="1">#REF!</definedName>
    <definedName name="BExMCXMMDFHHNJDRURMCXF1DGUOM" hidden="1">#REF!</definedName>
    <definedName name="BExMCYTT6TVDWMJXO1NZANRTVNAN" hidden="1">#REF!</definedName>
    <definedName name="BExMD5F6IAV108XYJLXUO9HD0IT6" hidden="1">#REF!</definedName>
    <definedName name="BExMD963673NTBXBO0VDNBAG9YWM" hidden="1">#REF!</definedName>
    <definedName name="BExMDANV66W9T3XAXID40XFJ0J93" hidden="1">#REF!</definedName>
    <definedName name="BExMDBEXLQI7ML0BKLY8YIXEU3TR" hidden="1">#REF!</definedName>
    <definedName name="BExMDGD1KQP7NNR78X2ZX4FCBQ1S" hidden="1">#REF!</definedName>
    <definedName name="BExMDGIDVDRB40Q2OPPZ5MQG54YW" hidden="1">#REF!</definedName>
    <definedName name="BExMDIRDK0DI8P86HB7WPH8QWLSQ" hidden="1">#REF!</definedName>
    <definedName name="BExMDPI2FVMORSWDDCVAJ85WYAYO" hidden="1">#REF!</definedName>
    <definedName name="BExMDQ3NI3GV1A8JDHIRIL4YLESR" hidden="1">#REF!</definedName>
    <definedName name="BExMDUWAATB6AI7BI1UYVBD6BVVO" hidden="1">#REF!</definedName>
    <definedName name="BExMDUWB7VWHFFR266QXO46BNV2S" hidden="1">#REF!</definedName>
    <definedName name="BExMDVSO20ADTTVCKT513NZBKC0Q" hidden="1">#REF!</definedName>
    <definedName name="BExME0W2KA6J5JNVE5W9KETALFLI" hidden="1">#REF!</definedName>
    <definedName name="BExME2U47N8LZG0BPJ49ANY5QVV2" hidden="1">#REF!</definedName>
    <definedName name="BExME88DH5DUKMUFI9FNVECXFD2E" hidden="1">#REF!</definedName>
    <definedName name="BExME9A7MOGAK7YTTQYXP5DL6VYA" hidden="1">#REF!</definedName>
    <definedName name="BExMEAS4QFCXQO1GCALPJIL1FIHQ" hidden="1">#REF!</definedName>
    <definedName name="BExMEKTHIM47ERJ7ML7M759FF32G" hidden="1">#REF!</definedName>
    <definedName name="BExMEOV9YFRY5C3GDLU60GIX10BY" hidden="1">#REF!</definedName>
    <definedName name="BExMEY095ELVR1FY94CBBWCTD3ND" hidden="1">#REF!</definedName>
    <definedName name="BExMEY09ESM4H2YGKEQQRYUD114R" hidden="1">#REF!</definedName>
    <definedName name="BExMF15MM2YCQSB946U1RV59N3TI" hidden="1">#REF!</definedName>
    <definedName name="BExMF21TCE15UEM88580ZXF6JE8R" hidden="1">#REF!</definedName>
    <definedName name="BExMF4G4IUPQY1Y5GEY5N3E04CL6" hidden="1">#REF!</definedName>
    <definedName name="BExMF9UIGYMOAQK0ELUWP0S0HZZY" hidden="1">#REF!</definedName>
    <definedName name="BExMFDLBSWFMRDYJ2DZETI3EXKN2" hidden="1">#REF!</definedName>
    <definedName name="BExMFF39F7MECK1GOHF72DBHFDQG" hidden="1">#REF!</definedName>
    <definedName name="BExMFFJCU2N6QOC5V50II5WTLPAF" hidden="1">#REF!</definedName>
    <definedName name="BExMFH6SWBYCN98LEO4HJ8MYBMEV" hidden="1">#REF!</definedName>
    <definedName name="BExMFLDTMRTCHKA37LQW67BG8D5C" hidden="1">#REF!</definedName>
    <definedName name="BExMFQ102FN53YEFF1Q73O5PKTN2" hidden="1">#REF!</definedName>
    <definedName name="BExMFY4B5JW31L4PL9F4S16LTC8G" hidden="1">#REF!</definedName>
    <definedName name="BExMFY9SXLPMKG5QW0UD7WE0FUH1" hidden="1">#REF!</definedName>
    <definedName name="BExMG9NSK30KD01QX0UBN2VNRTG4" hidden="1">#REF!</definedName>
    <definedName name="BExMGFSWSVUC8O4EM6ZP6T82VC1A" hidden="1">#REF!</definedName>
    <definedName name="BExMGG3PFIHPHX7NXB7HDFI3N12L" hidden="1">#REF!</definedName>
    <definedName name="BExMGQQNXTE6R72CVAGB5A9IE3NX" hidden="1">#REF!</definedName>
    <definedName name="BExMH3H9TW5TJCNU5Z1EWXP3BAEP" hidden="1">#REF!</definedName>
    <definedName name="BExMHB9U2E52F5M747UKSV2DDHWG" hidden="1">#REF!</definedName>
    <definedName name="BExMHOWPB34KPZ76M2KIX2C9R2VB" hidden="1">#REF!</definedName>
    <definedName name="BExMHSSYC6KVHA3QDTSYPN92TWMI" hidden="1">#REF!</definedName>
    <definedName name="BExMHZE9TAQ48CB3ANVNMIWZ88MY" hidden="1">#REF!</definedName>
    <definedName name="BExMI0WA793SF41LQ40A28U8OXQY" hidden="1">#REF!</definedName>
    <definedName name="BExMI1SM6FOJNC6DB2UWVJIZAKDG" hidden="1">#REF!</definedName>
    <definedName name="BExMI3AJ9477KDL4T9DHET4LJJTW" hidden="1">#REF!</definedName>
    <definedName name="BExMI3QOZTYEQUF0SE6AK4HHWJO7"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KZ5EDDZDK5D6GTXJPH9XWND"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51XJZN31B84NVPI18J3CWTB" hidden="1">#REF!</definedName>
    <definedName name="BExMJA01LCAWUR1OX7H4E7JGNN3W" hidden="1">#REF!</definedName>
    <definedName name="BExMJNC8ZFB9DRFOJ961ZAJ8U3A8" hidden="1">#REF!</definedName>
    <definedName name="BExMJTBV8A3D31W2IQHP9RDFPPHQ" hidden="1">#REF!</definedName>
    <definedName name="BExMK0OA4CYPHQFXIOZFG5E4Y027" hidden="1">#REF!</definedName>
    <definedName name="BExMK2RTXN4QJWEUNX002XK8VQP8" hidden="1">#REF!</definedName>
    <definedName name="BExMKBGQDUZ8AWXYHA3QVMSDVZ3D" hidden="1">#REF!</definedName>
    <definedName name="BExMKBM1467553LDFZRRKVSHN374" hidden="1">#REF!</definedName>
    <definedName name="BExMKGK5FJUC0AU8MABRGDC5ZM70" hidden="1">#REF!</definedName>
    <definedName name="BExMKOI0IEYQSWL82F4MI37J9NZ3" hidden="1">#REF!</definedName>
    <definedName name="BExMKSJJWT37L8MW832DXLW29DS4"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4TZENMAF5QPF7ZJXW9DQF8N" hidden="1">#REF!</definedName>
    <definedName name="BExML5QGSWHLI18BGY4CGOTD3UWH" hidden="1">#REF!</definedName>
    <definedName name="BExML8VOI502ZSH5YCL668X64C25" hidden="1">#REF!</definedName>
    <definedName name="BExMLD2QGJ8C161GM4XVAZ5D5IZU" hidden="1">#REF!</definedName>
    <definedName name="BExMLO5Z61RE85X8HHX2G4IU3AZW" hidden="1">#REF!</definedName>
    <definedName name="BExMLVI7UORSHM9FMO8S2EI0TMTS" hidden="1">#REF!</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SH26G78RKGX67KWKMC9Y3T3" hidden="1">#REF!</definedName>
    <definedName name="BExMMTIXETA5VAKBSOFDD5SRU887" hidden="1">#REF!</definedName>
    <definedName name="BExMMV0P6P5YS3C35G0JYYHI7992" hidden="1">#REF!</definedName>
    <definedName name="BExMMZTDDCFDHK0GU54VF8EVH99F" hidden="1">#REF!</definedName>
    <definedName name="BExMMZYUFKSNPWMDHM3VU1BR905N" hidden="1">#REF!</definedName>
    <definedName name="BExMN4WQXH9S0BAVAPTHKMBIY2RP"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MQORTQG1HW9HLHB0V9MIWQV" localSheetId="7" hidden="1">Prod #REF!</definedName>
    <definedName name="BExMNMQORTQG1HW9HLHB0V9MIWQV" hidden="1">Prod #REF!</definedName>
    <definedName name="BExMNQ1J7QX20FWV4DQ41E6S4T2W" hidden="1">#REF!</definedName>
    <definedName name="BExMNQMY2IUP61KESI720VOMTAJ1" hidden="1">#REF!</definedName>
    <definedName name="BExMNR38HMPLWAJRQ9MMS3ZAZ9IU" hidden="1">#REF!</definedName>
    <definedName name="BExMNRDZULKJMVY2VKIIRM2M5A1M" hidden="1">#REF!</definedName>
    <definedName name="BExMNUZHMKFZ814RTA641MNKZ7HQ" hidden="1">#REF!</definedName>
    <definedName name="BExMNW6NIOK4PW2K16RX2DT8BCKP" hidden="1">#REF!</definedName>
    <definedName name="BExMO9IOWKTWHO8LQJJQI5P3INWY" hidden="1">#REF!</definedName>
    <definedName name="BExMOBROSOB1N56LVWIV22ML03VJ" hidden="1">#REF!</definedName>
    <definedName name="BExMOI29DOEK5R1A5QZPUDKF7N6T" hidden="1">#REF!</definedName>
    <definedName name="BExMOJ9GY6AQGI153FV703AE296H" hidden="1">#REF!</definedName>
    <definedName name="BExMP06Y7JRUYXTNBLZEZIIFMP8Z" hidden="1">#REF!</definedName>
    <definedName name="BExMP13C4XILCDPP8KPS9HUAIINH" hidden="1">#REF!</definedName>
    <definedName name="BExMPAJ5AJAXGKGK3F6H3ODS6RF4" hidden="1">#REF!</definedName>
    <definedName name="BExMPD2X55FFBVJ6CBUKNPROIOEU" hidden="1">#REF!</definedName>
    <definedName name="BExMPGTVPYQ1ACGV1RRRS5LYB125" hidden="1">#REF!</definedName>
    <definedName name="BExMPGZ848E38FUH1JBQN97DGWAT" hidden="1">#REF!</definedName>
    <definedName name="BExMPLBKFPJM4GF27I2D45X0U9QF"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PUWUFNHZKDRLPE9J5ZNS7BZX" hidden="1">#REF!</definedName>
    <definedName name="BExMPW9G6H18MMO7OUBRYMAZNGY6" hidden="1">#REF!</definedName>
    <definedName name="BExMQ41ZQNCI291UVV7EBWD8RXWS" hidden="1">#REF!</definedName>
    <definedName name="BExMQ4I3Q7F0BMPHSFMFW9TZ87UD" hidden="1">#REF!</definedName>
    <definedName name="BExMQ4SWDWI4N16AZ0T5CJ6HH8WC" hidden="1">#REF!</definedName>
    <definedName name="BExMQ71WHW50GVX45JU951AGPLFQ" hidden="1">#REF!</definedName>
    <definedName name="BExMQGXSLPT4A6N47LE6FBVHWBOF" hidden="1">#REF!</definedName>
    <definedName name="BExMQH3A87XIESRS3HMSN2O1BERM" hidden="1">#REF!</definedName>
    <definedName name="BExMQQTTQIQ5D9XX9ASI3RYAOKNJ" localSheetId="7" hidden="1">Prod #REF!</definedName>
    <definedName name="BExMQQTTQIQ5D9XX9ASI3RYAOKNJ" hidden="1">Prod #REF!</definedName>
    <definedName name="BExMQSBR7PL4KLB1Q4961QO45Y4G" hidden="1">#REF!</definedName>
    <definedName name="BExMQY6AV962KS4565CXAXQ6WBLR" hidden="1">#REF!</definedName>
    <definedName name="BExMR1MA4I1X77714ZEPUVC8W398" hidden="1">#REF!</definedName>
    <definedName name="BExMR461PQ6ZTC4LBU1EZCM7PALH" hidden="1">#REF!</definedName>
    <definedName name="BExMR4GUTFCN4RD7H81IOKECLEG3" hidden="1">#REF!</definedName>
    <definedName name="BExMR8YQHA7N77HGHY4Y6R30I3XT" hidden="1">#REF!</definedName>
    <definedName name="BExMRENOIARWRYOIVPDIEBVNRDO7" hidden="1">#REF!</definedName>
    <definedName name="BExMRP5C9V3XNIT2DRA9I6G73H2V" hidden="1">#REF!</definedName>
    <definedName name="BExMRPG54LNH7HRC92MBSUT6UL6L" hidden="1">#REF!</definedName>
    <definedName name="BExMRQHUEHGF2FS4LCB0THFELGDI" hidden="1">#REF!</definedName>
    <definedName name="BExMRRJNUMGRSDD5GGKKGEIZ6FTS" hidden="1">#REF!</definedName>
    <definedName name="BExMRU3ACIU0RD2BNWO55LH5U2BR" hidden="1">#REF!</definedName>
    <definedName name="BExMSHGVL7875UNVPLU134SH7JNW" hidden="1">#REF!</definedName>
    <definedName name="BExMSM9I7XZ0BC793Y8GWVJNG1V9" hidden="1">#REF!</definedName>
    <definedName name="BExMSQRCC40AP8BDUPL2I2DNC210" hidden="1">#REF!</definedName>
    <definedName name="BExO4J9LR712G00TVA82VNTG8O7H" hidden="1">#REF!</definedName>
    <definedName name="BExO4P9G3CC5P66YXQJ1MQZE3Q3L" hidden="1">#REF!</definedName>
    <definedName name="BExO4Q5T1IO39TUFXG41PZPWD8H5" hidden="1">#REF!</definedName>
    <definedName name="BExO55G2KVZ7MIJ30N827CLH0I2A" hidden="1">#REF!</definedName>
    <definedName name="BExO5A8PZD9EUHC5CMPU6N3SQ15L" hidden="1">#REF!</definedName>
    <definedName name="BExO5N9Z4AIEMI6CWXUIZGT09DFB" hidden="1">#REF!</definedName>
    <definedName name="BExO5R67LZ02UOAPMQ0DJ3CBOIWR" hidden="1">#REF!</definedName>
    <definedName name="BExO5RX9TEQI7Z4DLEPISP0XKMKV" hidden="1">#REF!</definedName>
    <definedName name="BExO5T4FVA98KXNOX98QZTYDIXTW" hidden="1">#REF!</definedName>
    <definedName name="BExO5XMAHL7CY3X0B1OPKZ28DCJ5" hidden="1">#REF!</definedName>
    <definedName name="BExO66LZJKY4PTQVREELI6POS4AY" hidden="1">#REF!</definedName>
    <definedName name="BExO6LLHCYTF7CIVHKAO0NMET14Q" hidden="1">#REF!</definedName>
    <definedName name="BExO7A0RAM8VLJ9WVOS0CNSGVOZA" hidden="1">#REF!</definedName>
    <definedName name="BExO7OUQS3XTUQ2LDKGQ8AAQ3OJJ" hidden="1">#REF!</definedName>
    <definedName name="BExO7QI6P8XKA9K5J7R45W7X0Q1F" hidden="1">#REF!</definedName>
    <definedName name="BExO7RUSODZC2NQZMT2AFSMV2ONF" hidden="1">#REF!</definedName>
    <definedName name="BExO7T7AR36XDA9IP6O86VE9QLKR" hidden="1">#REF!</definedName>
    <definedName name="BExO7W1PSMP8KLLJ6LI9QUDVQEVV" hidden="1">#REF!</definedName>
    <definedName name="BExO85HMYXZJ7SONWBKKIAXMCI3C" hidden="1">#REF!</definedName>
    <definedName name="BExO863922O4PBGQMUNEQKGN3K96" hidden="1">#REF!</definedName>
    <definedName name="BExO89ZIOXN0HOKHY24F7HDZ87UT" hidden="1">#REF!</definedName>
    <definedName name="BExO8A4T504Y4MWWT6J8NARHAQ9Q" hidden="1">#REF!</definedName>
    <definedName name="BExO8CDTBCABLEUD6PE2UM2EZ6C4" hidden="1">#REF!</definedName>
    <definedName name="BExO8IZ05ZG0XVOL3W41KBQE176A" hidden="1">#REF!</definedName>
    <definedName name="BExO8TM4L261JTCSQ24FHE73242J" hidden="1">#REF!</definedName>
    <definedName name="BExO8TM5V5CFSV5A13AYOWY4NGRS" hidden="1">#REF!</definedName>
    <definedName name="BExO8UTAGQWDBQZEEF4HUNMLQCVU"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A0690E6SJOYNIN4VPIK27T0A" localSheetId="7" hidden="1">Prod #REF!</definedName>
    <definedName name="BExOA0690E6SJOYNIN4VPIK27T0A" hidden="1">Prod #REF!</definedName>
    <definedName name="BExOA8PPAT6BFKDHD9OQK39O9RSG" hidden="1">#REF!</definedName>
    <definedName name="BExOAFR6JHRK4AP8O7TB9UDEAVJL" hidden="1">#REF!</definedName>
    <definedName name="BExOAGCX9ISY83KMXO02KFMKR8OW" hidden="1">#REF!</definedName>
    <definedName name="BExOAQ3GKCT7YZW1EMVU3EILSZL2" hidden="1">#REF!</definedName>
    <definedName name="BExOAQ3H5WM0XCD3E8NG0Q4Z6QWU" hidden="1">#REF!</definedName>
    <definedName name="BExOB886RIKYRO6D0LXJDAB2M84Z"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NNWXJI9Y0IQ9VT4NMZCB3SW" hidden="1">#REF!</definedName>
    <definedName name="BExOBOUXMP88KJY2BX2JLUJH5N0K" hidden="1">#REF!</definedName>
    <definedName name="BExOBP0FKQ4SVR59FB48UNLKCOR6" hidden="1">#REF!</definedName>
    <definedName name="BExOBYAVUCQ0IGM0Y6A75QHP0Q1A" hidden="1">#REF!</definedName>
    <definedName name="BExOBYLMYCYZ1NJLHJCPLA3PVKYK" hidden="1">#REF!</definedName>
    <definedName name="BExOBYLO8NTLBKV3569Y2UNNIV1K" hidden="1">#REF!</definedName>
    <definedName name="BExOC08Y6OIMB5N7XH5Q1IR1M20Q" hidden="1">#REF!</definedName>
    <definedName name="BExOC3UEHB1CZNINSQHZANWJYKR8" hidden="1">#REF!</definedName>
    <definedName name="BExOC7LCVAJC36Q60I8PKPCD0T1S" hidden="1">#REF!</definedName>
    <definedName name="BExOCBSF3XGO9YJ23LX2H78VOUR7" hidden="1">#REF!</definedName>
    <definedName name="BExOCKXFMOW6WPFEVX1I7R7FNDSS" hidden="1">#REF!</definedName>
    <definedName name="BExOCLOHM8GCGLS9IFN2YKCUUH6N" hidden="1">#REF!</definedName>
    <definedName name="BExOCQX7MZG1R6UPBHNGI606SL8K" hidden="1">#REF!</definedName>
    <definedName name="BExOCUTGUP1WTFQ31OEZVU8SEY4S" hidden="1">#REF!</definedName>
    <definedName name="BExOCV9QP3TKOV035S5DZO1MH8S0" localSheetId="7" hidden="1">Prod #REF!</definedName>
    <definedName name="BExOCV9QP3TKOV035S5DZO1MH8S0" hidden="1">Prod #REF!</definedName>
    <definedName name="BExOCYEXOB95DH5NOB0M5NOYX398" hidden="1">#REF!</definedName>
    <definedName name="BExOCZ5UNXWA6J5P0BRI5QPGTKEF" hidden="1">#REF!</definedName>
    <definedName name="BExOCZM412HC0QECYTNY980CQ9WJ" hidden="1">#REF!</definedName>
    <definedName name="BExOD4ERMDMFD8X1016N4EXOUR0S" hidden="1">#REF!</definedName>
    <definedName name="BExOD4PIJCCUV4ODGCRNZPGY1HCE" hidden="1">#REF!</definedName>
    <definedName name="BExOD55RS7BQUHRQ6H3USVGKR0P7" hidden="1">#REF!</definedName>
    <definedName name="BExODEWDDEABM4ZY3XREJIBZ8IVP" hidden="1">#REF!</definedName>
    <definedName name="BExODNLAA1L7WQ9ZQX6A1ZOXK9VR" hidden="1">#REF!</definedName>
    <definedName name="BExODZFEIWV26E8RFU7XQYX1J458" hidden="1">#REF!</definedName>
    <definedName name="BExOE89QWLYZ033JJYOXL9EN126C" hidden="1">#REF!</definedName>
    <definedName name="BExOEBKG55EROA2VL360A06LKASE" hidden="1">#REF!</definedName>
    <definedName name="BExOERG5LWXYYEN1DY1H2FWRJS9T" hidden="1">#REF!</definedName>
    <definedName name="BExOEV1S6JJVO5PP4BZ20SNGZR7D" hidden="1">#REF!</definedName>
    <definedName name="BExOEZJFB3SBIJ5V7TJ7Q6KLV1V9" hidden="1">#REF!</definedName>
    <definedName name="BExOF5ZJR1UJ9IQRGDTEZM7GPQX4" hidden="1">#REF!</definedName>
    <definedName name="BExOF64U5U9DVAAJ9W25W14L1N2T" hidden="1">#REF!</definedName>
    <definedName name="BExOF8DU54XXIIV975JU7J8N6AAT" hidden="1">#REF!</definedName>
    <definedName name="BExOFEDNCYI2TPTMQ8SJN3AW4YMF" hidden="1">#REF!</definedName>
    <definedName name="BExOFJH1W33H5R9GH680DNXTZ0ZN" hidden="1">#REF!</definedName>
    <definedName name="BExOFN2CCI1J0EUWG6CV07EKJOT7" hidden="1">#REF!</definedName>
    <definedName name="BExOFVLXVD6RVHSQO8KZOOACSV24" hidden="1">#REF!</definedName>
    <definedName name="BExOG1AZCK9QN09SNEN2DTTFFCLJ" hidden="1">#REF!</definedName>
    <definedName name="BExOG2SW3XOGP9VAPQ3THV3VWV12" hidden="1">#REF!</definedName>
    <definedName name="BExOG45DR9UTPATPY82KZ010KIW9"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GYVEAJFUXQVT8YQO2U7YT5OY" hidden="1">#REF!</definedName>
    <definedName name="BExOH2GVFOFXDG3YQK89NSKG7WJG" hidden="1">#REF!</definedName>
    <definedName name="BExOH7KB5HAPBB5K1Z3DIW5LCRSI" hidden="1">#REF!</definedName>
    <definedName name="BExOH9ICZ13C1LAW8OTYTR9S7ZP3" hidden="1">#REF!</definedName>
    <definedName name="BExOHBB43JS54D6MARIQR5PJNUDG"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HYZHB687S8YTMTN9M8Z5RAUS" hidden="1">#REF!</definedName>
    <definedName name="BExOI5A1OX5L44GQKK7K3U40UN0V" hidden="1">#REF!</definedName>
    <definedName name="BExOI5VMTHH7Y8MQQ1N635CHYI0P" hidden="1">#REF!</definedName>
    <definedName name="BExOI8F9RLNEBTY6BG6SRJ90TWZ3" hidden="1">#REF!</definedName>
    <definedName name="BExOIEVCP4Y6VDS23AK84MCYYHRT" hidden="1">#REF!</definedName>
    <definedName name="BExOIHPQIXR0NDR5WD01BZKPKEO3" hidden="1">#REF!</definedName>
    <definedName name="BExOIM7L0Z3LSII9P7ZTV4KJ8RMA" hidden="1">#REF!</definedName>
    <definedName name="BExOIN9ETPA87K6NINBIFRSWHK4C" hidden="1">#REF!</definedName>
    <definedName name="BExOIQK403W46IW3Q770JFRKBUOV" localSheetId="7" hidden="1">Prod #REF!</definedName>
    <definedName name="BExOIQK403W46IW3Q770JFRKBUOV" hidden="1">Prod #REF!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M0W6XGSW5MXPTTX0GNF6SFT" hidden="1">#REF!</definedName>
    <definedName name="BExOJQDDWM5L3S9T70HDDIH9PE3L" hidden="1">#REF!</definedName>
    <definedName name="BExOJXEUJJ9SYRJXKYYV2NCCDT2R" hidden="1">#REF!</definedName>
    <definedName name="BExOJZ29RHVKT8L0DAJK63MC9DK9" hidden="1">#REF!</definedName>
    <definedName name="BExOK0EQYM9JUMAGWOUN7QDH7VMZ" hidden="1">#REF!</definedName>
    <definedName name="BExOK4WLC69C83FJY9HAYJDI7YKR" hidden="1">#REF!</definedName>
    <definedName name="BExOK4WM9O7QNG6O57FOASI5QSN1" hidden="1">#REF!</definedName>
    <definedName name="BExOKCECQSFWA99RY6KEDPH30KT6" hidden="1">#REF!</definedName>
    <definedName name="BExOKDAQ31PVS0Q7NXOF66C24GYL" hidden="1">#REF!</definedName>
    <definedName name="BExOKKHOPWUVRJGQJ5ONR2U40JX8" hidden="1">#REF!</definedName>
    <definedName name="BExOKOORILT2LX9SABSPGKXJVU12" hidden="1">#REF!</definedName>
    <definedName name="BExOKTXMJP351VXKH8VT6SXUNIMF" hidden="1">#REF!</definedName>
    <definedName name="BExOKU8GMLOCNVORDE329819XN67" hidden="1">#REF!</definedName>
    <definedName name="BExOKVVO79TCPTJJU0KZE23VXNL2" localSheetId="7" hidden="1">Prod #REF!</definedName>
    <definedName name="BExOKVVO79TCPTJJU0KZE23VXNL2" hidden="1">Prod #REF!</definedName>
    <definedName name="BExOL0Z3Z7IAMHPB91EO2MF49U57" hidden="1">#REF!</definedName>
    <definedName name="BExOL7KH12VAR0LG741SIOJTLWFD" hidden="1">#REF!</definedName>
    <definedName name="BExOLB5SC7VD8OG53K8II93SAENQ" hidden="1">#REF!</definedName>
    <definedName name="BExOLD411QWFX4FN11349510DRJ8" hidden="1">#REF!</definedName>
    <definedName name="BExOLICXFHJLILCJVFMJE5MGGWKR" hidden="1">#REF!</definedName>
    <definedName name="BExOLOI0WJS3QC12I3ISL0D9AWOF" hidden="1">#REF!</definedName>
    <definedName name="BExOLYZNCQU9YFRCJTSR1R7098U7" hidden="1">#REF!</definedName>
    <definedName name="BExOLYZNG5RBD0BTS1OEZJNU92Q5" hidden="1">#REF!</definedName>
    <definedName name="BExOM1ZK0KRW4GN0HVAKCDRMCPY5" hidden="1">#REF!</definedName>
    <definedName name="BExOM3HIJ3UZPOKJI68KPBJAHPDC" hidden="1">#REF!</definedName>
    <definedName name="BExOM5VT82PK2MZWDIKSSOJ1VW0M" hidden="1">#REF!</definedName>
    <definedName name="BExOMBFCBGGM6KO5RX1LMJ0M22S4" hidden="1">#REF!</definedName>
    <definedName name="BExOMI672TH8VPB5MGW4I7CD339Q"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MXB0HGBX82S2WITAU7GN63WE" localSheetId="7" hidden="1">Prod #REF!</definedName>
    <definedName name="BExOMXB0HGBX82S2WITAU7GN63WE" hidden="1">Prod #REF!</definedName>
    <definedName name="BExON0AX35F2SI0UCVMGWGVIUNI3" hidden="1">#REF!</definedName>
    <definedName name="BExON1I1SDLTSOL62PQ1S9P5SHFV" hidden="1">#REF!</definedName>
    <definedName name="BExON41U4296DV3DPG6I5EF3OEYF" hidden="1">#REF!</definedName>
    <definedName name="BExON8UB96J8UZO1ZX4IVWLM8DGA" hidden="1">#REF!</definedName>
    <definedName name="BExONB3A7CO4YD8RB41PHC93BQ9M" hidden="1">#REF!</definedName>
    <definedName name="BExONFL4TFXSXWK3WNKGBKED9MO0" hidden="1">#REF!</definedName>
    <definedName name="BExONFQH6UUXF8V0GI4BRIST9RFO" hidden="1">#REF!</definedName>
    <definedName name="BExONH8F5JJPRU32QTHOXI7AF8WN" hidden="1">#REF!</definedName>
    <definedName name="BExONIL1EPN8W1SVF4S473NVT9G0" hidden="1">#REF!</definedName>
    <definedName name="BExONIL31DZWU7IFVN3VV0XTXJA1" hidden="1">#REF!</definedName>
    <definedName name="BExONJ1BU17R0F5A2UP1UGJBOGKS" hidden="1">#REF!</definedName>
    <definedName name="BExONM120TK8B6CQ336SF2GRCHW8" hidden="1">#REF!</definedName>
    <definedName name="BExONNZ9VMHVX3J6NLNJY7KZA61O" hidden="1">#REF!</definedName>
    <definedName name="BExONQ2RM87OIDU5GHZP85UBALUM" hidden="1">#REF!</definedName>
    <definedName name="BExONRQ1BAA4F3TXP2MYQ4YCZ09S" hidden="1">#REF!</definedName>
    <definedName name="BExONVBIXX436X1BG1TMAO4S9LD0" hidden="1">#REF!</definedName>
    <definedName name="BExONX9Q1U6SKQO91DJJ4WPWRW9I" hidden="1">#REF!</definedName>
    <definedName name="BExOO1WWIZSGB0YTGKESB45TSVMZ" hidden="1">#REF!</definedName>
    <definedName name="BExOO4B8FPAFYPHCTYTX37P1TQM5" hidden="1">#REF!</definedName>
    <definedName name="BExOO5NVWTPMUXISHYOJS5UXKO8D" hidden="1">#REF!</definedName>
    <definedName name="BExOOFP7QG4TBL7XI4JGKH0S0GQ8" hidden="1">#REF!</definedName>
    <definedName name="BExOOIULUDOJRMYABWV5CCL906X6" hidden="1">#REF!</definedName>
    <definedName name="BExOONY1MJ2NF67QRIFPJG1WBX31" hidden="1">#REF!</definedName>
    <definedName name="BExOORE1DP6UVW28XJX2VS05649B"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PJV0G43Z50LNI0UWME9NPU9S"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1X1RE71HCCMKWV64X8HPHR0R"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DI0250Q3S4XS2T3GOPKB3V8" hidden="1">#REF!</definedName>
    <definedName name="BExQ3O4W7QF8BOXTUT4IOGF6YKUD" hidden="1">#REF!</definedName>
    <definedName name="BExQ3PXOWSN8561ZR8IEY8ZASI3B" hidden="1">#REF!</definedName>
    <definedName name="BExQ3QOPSNHJXD039M3ZHP6ROE5C" hidden="1">#REF!</definedName>
    <definedName name="BExQ3TZF04IPY0B0UG9CQQ5736UA" hidden="1">#REF!</definedName>
    <definedName name="BExQ40Q2HFC15J0UQ3E94NSU12FE" hidden="1">#REF!</definedName>
    <definedName name="BExQ41BOL730OSEM60CEMAMP4ARQ" hidden="1">#REF!</definedName>
    <definedName name="BExQ42IU9MNDYLODP41DL6YTZMAR" hidden="1">#REF!</definedName>
    <definedName name="BExQ452HF7N1HYPXJXQ8WD6SOWUV" hidden="1">#REF!</definedName>
    <definedName name="BExQ499KBJ5W7A1G293A0K14EVQB" hidden="1">#REF!</definedName>
    <definedName name="BExQ4B7Q3NN5PZMR9C0YCQ9KMIUO" hidden="1">#REF!</definedName>
    <definedName name="BExQ4BTBSHPHVEDRCXC2ROW8PLFC" hidden="1">#REF!</definedName>
    <definedName name="BExQ4DGKF54SRKQUTUT4B1CZSS62" hidden="1">#REF!</definedName>
    <definedName name="BExQ4T74LQ5PYTV1MUQUW75A4BDY" hidden="1">#REF!</definedName>
    <definedName name="BExQ4XJHD7EJCNH7S1MJDZJ2MNWG" hidden="1">#REF!</definedName>
    <definedName name="BExQ5039ZCEWBUJHU682G4S89J03" hidden="1">#REF!</definedName>
    <definedName name="BExQ53U1WPQDQWX1BVV1GSXRBF6E" hidden="1">#REF!</definedName>
    <definedName name="BExQ56Z9W6YHZHRXOFFI8EFA7CDI" hidden="1">#REF!</definedName>
    <definedName name="BExQ5KX3Z668H1KUCKZ9J24HUQ1F" hidden="1">#REF!</definedName>
    <definedName name="BExQ5RIGD58IIJGFXU0FZXWFFT5S" hidden="1">#REF!</definedName>
    <definedName name="BExQ5SPMSOCJYLAY20NB5A6O32RE" hidden="1">#REF!</definedName>
    <definedName name="BExQ5T0ELUYWVK65N8YNWTOCMUJQ" hidden="1">#REF!</definedName>
    <definedName name="BExQ5UICMGTMK790KTLK49MAGXRC" hidden="1">#REF!</definedName>
    <definedName name="BExQ5VEQEIJO7YY80OJTA3XRQYJ9" hidden="1">#REF!</definedName>
    <definedName name="BExQ5YUUK9FD0QGTY4WD0W90O7OL" hidden="1">#REF!</definedName>
    <definedName name="BExQ63793YQ9BH7JLCNRIATIGTRG" hidden="1">#REF!</definedName>
    <definedName name="BExQ64EDDTUI5LGPLX8V6M00JUD8" hidden="1">#REF!</definedName>
    <definedName name="BExQ6BFWB3Y54ZST8K6DGGAG4YLS" hidden="1">#REF!</definedName>
    <definedName name="BExQ6CN1EF2UPZ57ZYMGK8TUJQSS" hidden="1">#REF!</definedName>
    <definedName name="BExQ6JJ6GQ820H268M24Q000VLS5" hidden="1">#REF!</definedName>
    <definedName name="BExQ6M2YXJ8AMRJF3QGHC40ADAHZ" hidden="1">#REF!</definedName>
    <definedName name="BExQ6M8B0X44N9TV56ATUVHGDI00" hidden="1">#REF!</definedName>
    <definedName name="BExQ6NKT7GLCK5DO3FT99FA0VH7Y" hidden="1">#REF!</definedName>
    <definedName name="BExQ6PIZEB3532T46HXOTSDMM8XR" hidden="1">#REF!</definedName>
    <definedName name="BExQ6POH065GV0I74XXVD0VUPBJW"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70VJPBCNIRCDFTZWPY8832" hidden="1">#REF!</definedName>
    <definedName name="BExQ7MY3U2Z1IZ71U5LJUD00VVB4" hidden="1">#REF!</definedName>
    <definedName name="BExQ7QZPJH40E9AG8L00ESX1WA3V" hidden="1">#REF!</definedName>
    <definedName name="BExQ7XL2Q1GVUFL1F9KK0K0EXMWG" hidden="1">#REF!</definedName>
    <definedName name="BExQ8469L3ZRZ3KYZPYMSJIDL7Y5" hidden="1">#REF!</definedName>
    <definedName name="BExQ84MJB94HL3BWRN50M4NCB6Z0" hidden="1">#REF!</definedName>
    <definedName name="BExQ852TY978XXWGG594SSINLFHN" hidden="1">#REF!</definedName>
    <definedName name="BExQ8583ZE00NW7T9OF11OT9IA14"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U95JXE2ZGDDWOEHH46ENO5L" hidden="1">#REF!</definedName>
    <definedName name="BExQ8UUP7KQWLXPL81ZMF3AC1K7V" hidden="1">#REF!</definedName>
    <definedName name="BExQ8ZCEDBOBJA3D9LDP5TU2WYGR" hidden="1">#REF!</definedName>
    <definedName name="BExQ94LAW6MAQBWY25WTBFV5PPZJ" hidden="1">#REF!</definedName>
    <definedName name="BExQ97QIPOSSRK978N8P234Y1XA4" hidden="1">#REF!</definedName>
    <definedName name="BExQ9DQATTM64NGUOQWM96CIR7J1" hidden="1">#REF!</definedName>
    <definedName name="BExQ9DVR0WJQK432BJFWT5WHPMRB"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9ZLYNFZCWYD734PXGNOJK02H"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ASOJNV9XNVT8U2FG2QP3I81H" hidden="1">#REF!</definedName>
    <definedName name="BExQBDICMZTSA1X73TMHNO4JSFLN" hidden="1">#REF!</definedName>
    <definedName name="BExQBEER6CRCRPSSL61S0OMH57ZA" hidden="1">#REF!</definedName>
    <definedName name="BExQBIGGY5TXI2FJVVZSLZ0LTZYH" hidden="1">#REF!</definedName>
    <definedName name="BExQBJI4OKI830O85UTYITZPN8P7" hidden="1">#REF!</definedName>
    <definedName name="BExQBM1RUSIQ85LLMM2159BYDPIP" hidden="1">#REF!</definedName>
    <definedName name="BExQBPSOZ47V81YAEURP0NQJNTJH" hidden="1">#REF!</definedName>
    <definedName name="BExQC5TWT21CGBKD0IHAXTIN2QB8" hidden="1">#REF!</definedName>
    <definedName name="BExQC94JL9F5GW4S8DQCAF4WB2DA" hidden="1">#REF!</definedName>
    <definedName name="BExQCI9M5F9BX0WO90T8KQKXJECZ" hidden="1">#REF!</definedName>
    <definedName name="BExQCKTD8AT0824LGWREXM1B5D1X" hidden="1">#REF!</definedName>
    <definedName name="BExQCNIHDK048CFW7E2AB9146D7N" hidden="1">#REF!</definedName>
    <definedName name="BExQD1WE38ACW3JYPPT46SFEVDJE" hidden="1">#REF!</definedName>
    <definedName name="BExQD571YWOXKR2SX85K5MKQ0AO2" hidden="1">#REF!</definedName>
    <definedName name="BExQDB6VCHN8PNX8EA6JNIEQ2JC2" hidden="1">#REF!</definedName>
    <definedName name="BExQDE1B6U2Q9B73KBENABP71YM1" hidden="1">#REF!</definedName>
    <definedName name="BExQDGQCN7ZW41QDUHOBJUGQAX40" hidden="1">#REF!</definedName>
    <definedName name="BExQDN101SDZG67MP60OD4WU5T6A" hidden="1">#REF!</definedName>
    <definedName name="BExQE6IAA3QFZ6TX9BXPJISLE0Q1" hidden="1">#REF!</definedName>
    <definedName name="BExQE8WLC35C9EXQX0WWT2S7WPOF" hidden="1">#REF!</definedName>
    <definedName name="BExQEBR6SYPP1PBIXIO2S6UACT8D" hidden="1">#REF!</definedName>
    <definedName name="BExQEC7BRIJ30PTU3UPFOIP2HPE3" hidden="1">#REF!</definedName>
    <definedName name="BExQEJUD5RQJ325ULPV2E4W8QAL6" hidden="1">#REF!</definedName>
    <definedName name="BExQELN3FS066GJW4E4XDDQXAKQ4" hidden="1">#REF!</definedName>
    <definedName name="BExQEMUA4HEFM4OVO8M8MA8PIAW1" hidden="1">#REF!</definedName>
    <definedName name="BExQEQ4XZQFIKUXNU9H7WE7AMZ1U" hidden="1">#REF!</definedName>
    <definedName name="BExQF00ZDAC842R706797DN4H4HE" hidden="1">#REF!</definedName>
    <definedName name="BExQF1OEB07CRAP6ALNNMJNJ3P2D" hidden="1">#REF!</definedName>
    <definedName name="BExQF3H5TE67BPPG7UQR2CWKVUIG" localSheetId="7" hidden="1">Prod #REF!</definedName>
    <definedName name="BExQF3H5TE67BPPG7UQR2CWKVUIG" hidden="1">Prod #REF!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MNOOBC2XE1R03V1MF8QJSDG" hidden="1">#REF!</definedName>
    <definedName name="BExQFNPE0JNBFPGM91B5GNSDG31N" hidden="1">#REF!</definedName>
    <definedName name="BExQFPNFKA36IAPS22LAUMBDI4KE" hidden="1">#REF!</definedName>
    <definedName name="BExQFPNKL9E1CMEDPM1XPKUD05CS" hidden="1">#REF!</definedName>
    <definedName name="BExQFPSWEMA8WBUZ4WK20LR13VSU" hidden="1">#REF!</definedName>
    <definedName name="BExQFQ3Q1IRGCCUNDWCBBM21W9DB" hidden="1">#REF!</definedName>
    <definedName name="BExQFSYA5R0AMUUFEGIPDY0UUKA4" localSheetId="7" hidden="1">Prod #REF!</definedName>
    <definedName name="BExQFSYA5R0AMUUFEGIPDY0UUKA4" hidden="1">Prod #REF!</definedName>
    <definedName name="BExQFVSPOSCCPF1TLJPIWYWYB8A9" hidden="1">#REF!</definedName>
    <definedName name="BExQFWJQXNQAW6LUMOEDS6KMJMYL" hidden="1">#REF!</definedName>
    <definedName name="BExQG8TYRD2G42UA5ZPCRLNKUDMX" hidden="1">#REF!</definedName>
    <definedName name="BExQGFKTOP6WGJAF2OI8PXQPMWT4" hidden="1">#REF!</definedName>
    <definedName name="BExQGMM9RZL83B2Z0ZZPHKUY6VTK" hidden="1">#REF!</definedName>
    <definedName name="BExQGO48J9MPCDQ96RBB9UN9AIGT" hidden="1">#REF!</definedName>
    <definedName name="BExQGSBB6MJWDW7AYWA0MSFTXKRR" hidden="1">#REF!</definedName>
    <definedName name="BExQH03TRLFFLOCR3VR74M35UACY" hidden="1">#REF!</definedName>
    <definedName name="BExQH0UURAJ13AVO5UI04HSRGVYW" hidden="1">#REF!</definedName>
    <definedName name="BExQH27BBDCUANTRZ3NNNEV7O1F9" hidden="1">#REF!</definedName>
    <definedName name="BExQH6ZZY0NR8SE48PSI9D0CU1TC" hidden="1">#REF!</definedName>
    <definedName name="BExQH9P2MCXAJOVEO4GFQT6MNW22" hidden="1">#REF!</definedName>
    <definedName name="BExQHCZSBYUY8OKKJXFYWKBBM6AH" hidden="1">#REF!</definedName>
    <definedName name="BExQHPKXZ1K33V2F90NZIQRZYIAW" hidden="1">#REF!</definedName>
    <definedName name="BExQHRDPMC8GTJGI9P0MV25O2KI4" hidden="1">#REF!</definedName>
    <definedName name="BExQHVF9KD06AG2RXUQJ9X4PVGX4" hidden="1">#REF!</definedName>
    <definedName name="BExQHZBHVN2L4HC7ACTR73T5OCV0" hidden="1">#REF!</definedName>
    <definedName name="BExQHZGZ5JZ4AE00IROC5LG5734F" hidden="1">#REF!</definedName>
    <definedName name="BExQHZX3XPBUQOUML02J3L2TG1K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T281Q1E6HHLEIC7LOYTR4F" hidden="1">#REF!</definedName>
    <definedName name="BExQIDUXFRRQTUP42M6V5KODFDPZ" hidden="1">#REF!</definedName>
    <definedName name="BExQIEWM4YHWE15RFGAT8AWBZ25Y" hidden="1">#REF!</definedName>
    <definedName name="BExQIII2YKNNBPUFZNOC88FK394S" hidden="1">#REF!</definedName>
    <definedName name="BExQIMZVUD07EIY6W223P3QPQY34" hidden="1">#REF!</definedName>
    <definedName name="BExQINW95C7N048P3U0KM5A2Q0VU" hidden="1">#REF!</definedName>
    <definedName name="BExQIS8O6R36CI01XRY9ISM99TW9" hidden="1">#REF!</definedName>
    <definedName name="BExQIVJB9MJ25NDUHTCVMSODJY2C" hidden="1">#REF!</definedName>
    <definedName name="BExQJ4DPBPFV2Q03RUPQSIK4KFNL" hidden="1">#REF!</definedName>
    <definedName name="BExQJ7IXTYN8ELZIUSOUURFAP5Z5" hidden="1">#REF!</definedName>
    <definedName name="BExQJBF7LAX128WR7VTMJC88ZLPG" hidden="1">#REF!</definedName>
    <definedName name="BExQJEVCKX6KZHNCLYXY7D0MX5KN" hidden="1">#REF!</definedName>
    <definedName name="BExQJIBCENFZ4FNIPQ8IC1PBMHA9" hidden="1">#REF!</definedName>
    <definedName name="BExQJJYSDX8B0J1QGF2HL071KKA3" hidden="1">#REF!</definedName>
    <definedName name="BExQJX019VWBQMW1HCV154DP9287" hidden="1">#REF!</definedName>
    <definedName name="BExQK1HV6SQQ7CP8H8IUKI9TYXTD" hidden="1">#REF!</definedName>
    <definedName name="BExQK1SODHG66277P2K5V2W6173O" hidden="1">#REF!</definedName>
    <definedName name="BExQK3LE5CSBW1E4H4KHW548FL2R" hidden="1">#REF!</definedName>
    <definedName name="BExQK4HSAMQYERH5SHZJMP421KLR" hidden="1">#REF!</definedName>
    <definedName name="BExQKG6LD6PLNDGNGO9DJXY865BR" hidden="1">#REF!</definedName>
    <definedName name="BExQKIA3IXSZH0V5RYG46E0JJ7M0" hidden="1">#REF!</definedName>
    <definedName name="BExQKWD7FKZDL0J6IQ0LOKRIXWI1" hidden="1">#REF!</definedName>
    <definedName name="BExQLE1TOW3A287TQB0AVWENT8O1" hidden="1">#REF!</definedName>
    <definedName name="BExRYOYB4A3E5F6MTROY69LR0PMG"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S02PDU3RIYDBR02EV6VUXEVN6" hidden="1">#REF!</definedName>
    <definedName name="BExS0ASQBKRTPDWFK0KUDFOS9LE5" hidden="1">#REF!</definedName>
    <definedName name="BExS0FW4OY0KQV8KYFL8SVE8CQBW" hidden="1">#REF!</definedName>
    <definedName name="BExS0GHQUF6YT0RU3TKDEO8CSJYB" hidden="1">#REF!</definedName>
    <definedName name="BExS0K8IHC45I78DMZBOJ1P13KQA" hidden="1">#REF!</definedName>
    <definedName name="BExS0UFCKI6Z4BDWL0C1TI1UZA8D" hidden="1">#REF!</definedName>
    <definedName name="BExS1348CTQ5O72UETVNFVZQAL8R" hidden="1">#REF!</definedName>
    <definedName name="BExS152A70KXC4ANYZBH8HB7LR7R" hidden="1">#REF!</definedName>
    <definedName name="BExS152B2LFCRAUHSLI5T6QRNII0" hidden="1">#REF!</definedName>
    <definedName name="BExS15IJV0WW662NXQUVT3FGP4ST" hidden="1">#REF!</definedName>
    <definedName name="BExS16PROWSNHW3MZQBGQNQU7S8R" hidden="1">#REF!</definedName>
    <definedName name="BExS194110MR25BYJI3CJ2EGZ8XT" hidden="1">#REF!</definedName>
    <definedName name="BExS1BNVGNSGD4EP90QL8WXYWZ66" hidden="1">#REF!</definedName>
    <definedName name="BExS1UE39N6NCND7MAARSBWXS6HU" hidden="1">#REF!</definedName>
    <definedName name="BExS1VQKWZC7SM0UY7BWIPST3VU3" hidden="1">#REF!</definedName>
    <definedName name="BExS226HTWL5WVC76MP5A1IBI8WD" hidden="1">#REF!</definedName>
    <definedName name="BExS26OI2QNNAH2WMDD95Z400048" hidden="1">#REF!</definedName>
    <definedName name="BExS2DF6B4ZUF3VZLI4G6LJ3BF38" hidden="1">#REF!</definedName>
    <definedName name="BExS2INX6TTI79CR9LAXBV0V8699" hidden="1">#REF!</definedName>
    <definedName name="BExS2OT61VXS58SSI0I90Z76DFCQ" hidden="1">#REF!</definedName>
    <definedName name="BExS2QB5FS5LYTFYO4BROTWG3OV5" hidden="1">#REF!</definedName>
    <definedName name="BExS2RIBMZPBDB3W6PKRNHUM06WI" hidden="1">#REF!</definedName>
    <definedName name="BExS2TLU1HONYV6S3ZD9T12D7CIG" hidden="1">#REF!</definedName>
    <definedName name="BExS318UV9I2FXPQQWUKKX00QLPJ" hidden="1">#REF!</definedName>
    <definedName name="BExS38AHQWKT950DKJR1SJAY5NKD" hidden="1">#REF!</definedName>
    <definedName name="BExS3BL7KZUM0PK7UW1Y6M98ZKXC" hidden="1">#REF!</definedName>
    <definedName name="BExS3JTU2J9M1FJVYVLVN7G1QLJK" localSheetId="7" hidden="1">Prod #REF!</definedName>
    <definedName name="BExS3JTU2J9M1FJVYVLVN7G1QLJK" hidden="1">Prod #REF!</definedName>
    <definedName name="BExS3LBS0SMTHALVM4NRI1BAV1NP" hidden="1">#REF!</definedName>
    <definedName name="BExS3MTQ75VBXDGEBURP6YT8RROE" hidden="1">#REF!</definedName>
    <definedName name="BExS3OH5XH1H0NEUDJGB0D1EF3C6" hidden="1">#REF!</definedName>
    <definedName name="BExS3OMGYO0DFN5186UFKEXZ2RX3" hidden="1">#REF!</definedName>
    <definedName name="BExS3SDERJ27OER67TIGOVZU13A2" hidden="1">#REF!</definedName>
    <definedName name="BExS3WV2VQ19L2A1DJ73AUFN7SRX" hidden="1">#REF!</definedName>
    <definedName name="BExS46R5WDNU5KL04FKY5LHJUCB8" hidden="1">#REF!</definedName>
    <definedName name="BExS4ASWKM93XA275AXHYP8AG6SU" hidden="1">#REF!</definedName>
    <definedName name="BExS4IAMWTT1CKFNHGN8SPWSD3QR" hidden="1">#REF!</definedName>
    <definedName name="BExS4JN3Y6SVBKILQK0R9HS45Y52" hidden="1">#REF!</definedName>
    <definedName name="BExS4P6S41O6Z6BED77U3GD9PNH1" hidden="1">#REF!</definedName>
    <definedName name="BExS4UFKWNI7QAX0PTOVVBUB0LP8" hidden="1">#REF!</definedName>
    <definedName name="BExS51H0N51UT0FZOPZRCF1GU063" hidden="1">#REF!</definedName>
    <definedName name="BExS54X72TJFC41FJK72MLRR2OO7" hidden="1">#REF!</definedName>
    <definedName name="BExS56KMJYGD74KDEWNT4B9SCK5B" hidden="1">#REF!</definedName>
    <definedName name="BExS57MA3YOMAA6AYBD6IWJ51NVZ" hidden="1">#REF!</definedName>
    <definedName name="BExS59F0PA1V2ZC7S5TN6IT41SXP" hidden="1">#REF!</definedName>
    <definedName name="BExS5BYO19H5ZKO75ERO60KF7DQH" hidden="1">#REF!</definedName>
    <definedName name="BExS5DRER9US6NXY9ATYT41KZII3" hidden="1">#REF!</definedName>
    <definedName name="BExS5L3TGB8JVW9ROYWTKYTUPW27" hidden="1">#REF!</definedName>
    <definedName name="BExS5SG3GBHVDR15MOYHV230A4BG" hidden="1">#REF!</definedName>
    <definedName name="BExS5TY0F5R1ZXIVJHAAVVG81G5H" hidden="1">#REF!</definedName>
    <definedName name="BExS5VAMVSP0R9BAQ077EVKYEKFW" hidden="1">#REF!</definedName>
    <definedName name="BExS6E6FVAZD65TDOIF4QT6R40Y3" hidden="1">#REF!</definedName>
    <definedName name="BExS6EMISO3GD56SBHV8ITF5CJXP" hidden="1">#REF!</definedName>
    <definedName name="BExS6GKQ96EHVLYWNJDWXZXUZW90" hidden="1">#REF!</definedName>
    <definedName name="BExS6ITKSZFRR01YD5B0F676SYN7" hidden="1">#REF!</definedName>
    <definedName name="BExS6IYVVGGZJXGGYPX7UNAQOB2X" hidden="1">#REF!</definedName>
    <definedName name="BExS6KGU63BUOXCPJ9TSCDS9ZY2T" hidden="1">#REF!</definedName>
    <definedName name="BExS6N0LI574IAC89EFW6CLTCQ33" hidden="1">#REF!</definedName>
    <definedName name="BExS6WRDBF3ST86ZOBBUL3GTCR11" hidden="1">#REF!</definedName>
    <definedName name="BExS6XNRKR0C3MTA0LV5B60UB908" hidden="1">#REF!</definedName>
    <definedName name="BExS79HUY1GAJJP4VMMZHU8UJI6O" hidden="1">#REF!</definedName>
    <definedName name="BExS7CC994FK4KB3PKD07Z2ENULB" hidden="1">#REF!</definedName>
    <definedName name="BExS7DU7IOWG5MHL28Z4KOM2V434" hidden="1">#REF!</definedName>
    <definedName name="BExS7G38ASJVTDO2IAPA36EB2SPF" hidden="1">#REF!</definedName>
    <definedName name="BExS7HQI0PBQNP39JUZ69RMC7M7N" hidden="1">#REF!</definedName>
    <definedName name="BExS7TKQYLRZGM93UY3ZJZJBQNFJ" hidden="1">#REF!</definedName>
    <definedName name="BExS7TVIHJQ54K2Q7S5TI60WWB6A" hidden="1">#REF!</definedName>
    <definedName name="BExS7Y2LNGVHSIBKC7C3R6X4LDR6" hidden="1">#REF!</definedName>
    <definedName name="BExS80RP8GCPNFHHGN85D3RLJQWW"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GSUS17UY50TEM2AWF36BR9Z" hidden="1">#REF!</definedName>
    <definedName name="BExS8HJRBVG0XI6PWA9KTMJZMQXK" hidden="1">#REF!</definedName>
    <definedName name="BExS8LQTNX922FCMI8FORKMV1ZCD" hidden="1">#REF!</definedName>
    <definedName name="BExS8PXVI1TAEUVMH3I5MMGJ9QAI" hidden="1">#REF!</definedName>
    <definedName name="BExS8R51C8RM2FS6V6IRTYO9GA4A" hidden="1">#REF!</definedName>
    <definedName name="BExS8T8JMH785I05GTM6S7X7GVX6" hidden="1">#REF!</definedName>
    <definedName name="BExS8W8G0X4RIQXAZCCLUM05FF9P" hidden="1">#REF!</definedName>
    <definedName name="BExS8WDX408F60MH1X9B9UZ2H4R7" hidden="1">#REF!</definedName>
    <definedName name="BExS8Z2W2QEC3MH0BZIYLDFQNUIP" hidden="1">#REF!</definedName>
    <definedName name="BExS92DKGRFFCIA9C0IXDOLO57EP" hidden="1">#REF!</definedName>
    <definedName name="BExS970VMB40OE1CEB7FR2ZHFGZ0"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OEOK0VS9VNMUGC3PWN8QO03" hidden="1">#REF!</definedName>
    <definedName name="BExS9RUNHR05MJ9S8H59814ROFRV" hidden="1">#REF!</definedName>
    <definedName name="BExS9S5GFH1UW1D7SPRI6FECPCNF" hidden="1">#REF!</definedName>
    <definedName name="BExS9WI0A6PSEB8N9GPXF2Z7MWHM" hidden="1">#REF!</definedName>
    <definedName name="BExS9YLIGD6HK7HPL51G957SVDZT" hidden="1">#REF!</definedName>
    <definedName name="BExSA5HP306TN9XJS0TU619DLRR7" hidden="1">#REF!</definedName>
    <definedName name="BExSAA4TQVBEW9YTSAC7IB9WGR0N" hidden="1">#REF!</definedName>
    <definedName name="BExSAAVWQOOIA6B3JHQVGP08HFEM" hidden="1">#REF!</definedName>
    <definedName name="BExSAFJ3IICU2M7QPVE4ARYMXZKX" hidden="1">#REF!</definedName>
    <definedName name="BExSAH6ID8OHX379UXVNGFO8J6KQ" hidden="1">#REF!</definedName>
    <definedName name="BExSAQBHIXGQRNIRGCJMBXUPCZQA" hidden="1">#REF!</definedName>
    <definedName name="BExSAT5WZEM6Z4GG7X374JPK349Y" hidden="1">#REF!</definedName>
    <definedName name="BExSAUTCT4P7JP57NOR9MTX33QJZ" hidden="1">#REF!</definedName>
    <definedName name="BExSAY9CA9TFXQ9M9FBJRGJO9T9E" hidden="1">#REF!</definedName>
    <definedName name="BExSB4JYKQ3MINI7RAYK5M8BLJDC" hidden="1">#REF!</definedName>
    <definedName name="BExSBIN2450X8JLW8KAMEJMDCPD7" hidden="1">#REF!</definedName>
    <definedName name="BExSBLHMDPAU7TLJHXOGAD2L0A74" hidden="1">#REF!</definedName>
    <definedName name="BExSBMOS41ZRLWYLOU29V6Y7YORR" hidden="1">#REF!</definedName>
    <definedName name="BExSBRBXXQMBU1TYDW1BXTEVEPRU" hidden="1">#REF!</definedName>
    <definedName name="BExSC3BHQFL2NCXPOKIFN0G1Y8IO" hidden="1">#REF!</definedName>
    <definedName name="BExSC54998WTZ21DSL0R8UN0Y9JH" hidden="1">#REF!</definedName>
    <definedName name="BExSC60N7WR9PJSNC9B7ORCX9NGY" hidden="1">#REF!</definedName>
    <definedName name="BExSC9M353D3EKCXI5GRYJZYPZYZ" hidden="1">#REF!</definedName>
    <definedName name="BExSCDT4RJEYEV51C8TPMNZ5DC9Q" hidden="1">#REF!</definedName>
    <definedName name="BExSCE99EZTILTTCE4NJJF96OYYM" hidden="1">#REF!</definedName>
    <definedName name="BExSCHUQZ2HFEWS54X67DIS8OSXZ" hidden="1">#REF!</definedName>
    <definedName name="BExSCOG41SKKG4GYU76WRWW1CTE6" hidden="1">#REF!</definedName>
    <definedName name="BExSCVC9P86YVFMRKKUVRV29MZXZ" hidden="1">#REF!</definedName>
    <definedName name="BExSD16RWPJ4BKJERNVKGA3W1V8N"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J5ZE3T46HSF6W0OXL80TXQG" hidden="1">#REF!</definedName>
    <definedName name="BExSDJRJIEBJB5NZ9ZTK2FCTHR2E" hidden="1">#REF!</definedName>
    <definedName name="BExSDP5Y04WWMX2WWRITWOX8R5I9" hidden="1">#REF!</definedName>
    <definedName name="BExSDQIESJADVTTZK7DUCVB5XJ9M" hidden="1">#REF!</definedName>
    <definedName name="BExSDSGM203BJTNS9MKCBX453HMD" hidden="1">#REF!</definedName>
    <definedName name="BExSDT20XUFXTDM37M148AXAP7HN" hidden="1">#REF!</definedName>
    <definedName name="BExSE5HVOMUQS0ZNMZHT54L72B5V" hidden="1">#REF!</definedName>
    <definedName name="BExSE8XVSTJHGHUYQQF4R0Q1B6U5" hidden="1">#REF!</definedName>
    <definedName name="BExSEE6SLPIYKBWMQVTT3YHTGUT2" hidden="1">#REF!</definedName>
    <definedName name="BExSEEHK1VLWD7JBV9SVVVIKQZ3I" hidden="1">#REF!</definedName>
    <definedName name="BExSEJKZLX37P3V33TRTFJ30BFRK" hidden="1">#REF!</definedName>
    <definedName name="BExSEP9UVOAI6TMXKNK587PQ3328" hidden="1">#REF!</definedName>
    <definedName name="BExSERZ34ETZF8OI93MYIVZX4RDV" hidden="1">#REF!</definedName>
    <definedName name="BExSF07QFLZCO4P6K6QF05XG7PH1" hidden="1">#REF!</definedName>
    <definedName name="BExSF0TAM8ZK7YQ52MHL8JK1EKHY" hidden="1">#REF!</definedName>
    <definedName name="BExSF6NSA3MLE2WJSOIAXL9CS9R2" hidden="1">#REF!</definedName>
    <definedName name="BExSFELNPJYUZX393PKWKNNZYV1N" hidden="1">#REF!</definedName>
    <definedName name="BExSFJ8ZAGQ63A4MVMZRQWLVRGQ5" hidden="1">#REF!</definedName>
    <definedName name="BExSFKQRST2S9KXWWLCXYLKSF4G1" hidden="1">#REF!</definedName>
    <definedName name="BExSFPOUQWD9VQZ8O45BHTG3T7X4" hidden="1">#REF!</definedName>
    <definedName name="BExSFVJ6QIGLSKWDVQMYXMYQTUB5" localSheetId="7" hidden="1">Prod #REF!</definedName>
    <definedName name="BExSFVJ6QIGLSKWDVQMYXMYQTUB5" hidden="1">Prod #REF!</definedName>
    <definedName name="BExSFYDRRTAZVPXRWUF5PDQ97WFF" hidden="1">#REF!</definedName>
    <definedName name="BExSFYOK1FF4EK0O25M57H13RM7C" hidden="1">#REF!</definedName>
    <definedName name="BExSFZVPFTXA3F0IJ2NGH1GXX9R7" hidden="1">#REF!</definedName>
    <definedName name="BExSG1860Z5W6IY1C9FMZ1J4N6IP" hidden="1">#REF!</definedName>
    <definedName name="BExSG84DLBTZFD2BYKFBQOPB5PRP"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EEWSM6V6B3J3F29MN7WAH14" hidden="1">#REF!</definedName>
    <definedName name="BExSGG7NIMKCIEQTNXKX0JKE4HO5" hidden="1">#REF!</definedName>
    <definedName name="BExSGJT4LF1CNH5RN5GZ373ISW9D"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4HLTQVL4MI545VJL4WFN9U2" hidden="1">#REF!</definedName>
    <definedName name="BExSH4HMJS0TXSYHRWJRFTJ7NOSN" hidden="1">#REF!</definedName>
    <definedName name="BExSHAHFHS7MMNJR8JPVABRGBVIT" hidden="1">#REF!</definedName>
    <definedName name="bexshdlb" hidden="1">#REF!</definedName>
    <definedName name="BExSHDS3RJMD6MEJ67RL63M0SEIC" hidden="1">#REF!</definedName>
    <definedName name="BExSHGH88QZWW4RNAX4YKAZ5JEBL" hidden="1">#REF!</definedName>
    <definedName name="BExSHOKK1OO3CX9Z28C58E5J1D9W" hidden="1">#REF!</definedName>
    <definedName name="BExSHQD8KYLTQGDXIRKCHQQ7MKIH" hidden="1">#REF!</definedName>
    <definedName name="BExSHUKBQVT2G9G0K9ORVIJO6TU8" hidden="1">#REF!</definedName>
    <definedName name="BExSHVGPIAHXI97UBLI9G4I4M29F" hidden="1">#REF!</definedName>
    <definedName name="BExSI0K2YL3HTCQAD8A7TR4QCUR6" hidden="1">#REF!</definedName>
    <definedName name="BExSIFUDNRWXWIWNGCCFOOD8WIAZ" hidden="1">#REF!</definedName>
    <definedName name="BExTTWD2PGX3Y9FR5F2MRNLY1DIY"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EN7KG4RKI61F8QGIHZEFR28" hidden="1">#REF!</definedName>
    <definedName name="BExTUJ53ANGZ3H1KDK4CR4Q0OD6P" hidden="1">#REF!</definedName>
    <definedName name="BExTUKXSZBM7C57G6NGLWGU4WOHY" hidden="1">#REF!</definedName>
    <definedName name="BExTUOOMC43GH95KQ1PJ86MN9XDF"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0O7U9A7ID7DNEY5FJS8IE6G" hidden="1">#REF!</definedName>
    <definedName name="BExTV67VIM8PV6KO253M4DUBJQLC" hidden="1">#REF!</definedName>
    <definedName name="BExTVELZCF2YA5L6F23BYZZR6WHF" hidden="1">#REF!</definedName>
    <definedName name="BExTVGPIQZ99YFXUC8OONUX5BD42" hidden="1">#REF!</definedName>
    <definedName name="BExTVTLH2E1SH7Z2XBYHUOQBWWLI" hidden="1">#REF!</definedName>
    <definedName name="BExTVTLHPNASTG4A50P5QLL7IQ90" hidden="1">#REF!</definedName>
    <definedName name="BExTVVZTD6IVVN5P1KCLNSTUS6AQ" hidden="1">#REF!</definedName>
    <definedName name="BExTVWAL77W7MKWXCU5U86DCM4IG" hidden="1">#REF!</definedName>
    <definedName name="BExTVZQLP9VFLEYQ9280W13X7E8K" hidden="1">#REF!</definedName>
    <definedName name="BExTWB4LA1PODQOH4LDTHQKBN16K" hidden="1">#REF!</definedName>
    <definedName name="BExTWFX8OYD9IX59PTP73YAC8O9G" hidden="1">#REF!</definedName>
    <definedName name="BExTWI0Q8AWXUA3ZN7I5V3QK2KM1" hidden="1">#REF!</definedName>
    <definedName name="BExTWI0R31187AOWYLZ1W1WNI84K" hidden="1">#REF!</definedName>
    <definedName name="BExTWJTGTEM42YMMOXES1DOPT9UG" hidden="1">#REF!</definedName>
    <definedName name="BExTWJTIA3WUW1PUWXAOP9O8NKLZ" hidden="1">#REF!</definedName>
    <definedName name="BExTWSYHBBCCSKRPH1ZE868D7HBM" localSheetId="7" hidden="1">Prod #REF!</definedName>
    <definedName name="BExTWSYHBBCCSKRPH1ZE868D7HBM" hidden="1">Prod #REF!</definedName>
    <definedName name="BExTWTERU1SE8R3LRC2C4HQMOIB1" hidden="1">#REF!</definedName>
    <definedName name="BExTWW95OX07FNA01WF5MSSSFQLX" hidden="1">#REF!</definedName>
    <definedName name="BExTX476KI0RNB71XI5TYMANSGBG" hidden="1">#REF!</definedName>
    <definedName name="BExTXJ6HBAIXMMWKZTJNFDYVZCAY" hidden="1">#REF!</definedName>
    <definedName name="BExTXR9Z6C26JG0LCNZQETU7PDNF" hidden="1">#REF!</definedName>
    <definedName name="BExTXT812NQT8GAEGH738U29BI0D" hidden="1">#REF!</definedName>
    <definedName name="BExTXWIP2TFPTQ76NHFOB72NICRZ" hidden="1">#REF!</definedName>
    <definedName name="BExTY1WXTBXUD0M1NWE12NMAUGCO" hidden="1">#REF!</definedName>
    <definedName name="BExTY5T62H651VC86QM4X7E28JVA" hidden="1">#REF!</definedName>
    <definedName name="BExTY8T41OBZ32MRCWT76H4XO1YE" hidden="1">#REF!</definedName>
    <definedName name="BExTYFP9RO4PYFC1C2OBRHK5H6JE" hidden="1">#REF!</definedName>
    <definedName name="BExTYHCJJ2NWRM1RV59FYR41534U" hidden="1">#REF!</definedName>
    <definedName name="BExTYKCEFJ83LZM95M1V7CSFQVEA" hidden="1">#REF!</definedName>
    <definedName name="BExTYPLA9N640MFRJJQPKXT7P88M" hidden="1">#REF!</definedName>
    <definedName name="BExTYWMSR4UBGT3TGKB11BL7LD21" hidden="1">#REF!</definedName>
    <definedName name="BExTZ7F71SNTOX4LLZCK5R9VUMIJ" hidden="1">#REF!</definedName>
    <definedName name="BExTZ8X5G9S3PA4FPSNK7T69W7QT" hidden="1">#REF!</definedName>
    <definedName name="BExTZ97Y0RMR8V5BI9F2H4MFB77O"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Y8TDV4U7FQL7O10G6VKWKPJ" hidden="1">#REF!</definedName>
    <definedName name="BExU02QNT4LT7H9JPUC4FXTLVGZT" hidden="1">#REF!</definedName>
    <definedName name="BExU091A10QVE7583Q5CAHW138RD" hidden="1">#REF!</definedName>
    <definedName name="BExU0BFJJQO1HJZKI14QGOQ6JROO" hidden="1">#REF!</definedName>
    <definedName name="BExU0FH5WTGW8MRFUFMDDSMJ6YQ5" hidden="1">#REF!</definedName>
    <definedName name="BExU0FMLYKBHXH0JHAD0FA64EF92" hidden="1">#REF!</definedName>
    <definedName name="BExU0GDOIL9U33QGU9ZU3YX3V1I4" hidden="1">#REF!</definedName>
    <definedName name="BExU0HKTO8WJDQDWRTUK5TETM3HS" hidden="1">#REF!</definedName>
    <definedName name="BExU0MISO6XEB3FDQA18TJTSD68R" hidden="1">#REF!</definedName>
    <definedName name="BExU0MTJQPE041ZN7H8UKGV6MZT7" hidden="1">#REF!</definedName>
    <definedName name="BExU0QKCV6BFACCH9QOXCHMNR84E" hidden="1">#REF!</definedName>
    <definedName name="BExU0XB6XCXI4SZ92YEUFMW4TAXF"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DN4RELJSQTQUF8YK7BNGXKO" hidden="1">#REF!</definedName>
    <definedName name="BExU1EJJKD6W4ICQRUM6F8J16YCX"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TZA66JXX9FXLNTEDUUZJ60U" hidden="1">#REF!</definedName>
    <definedName name="BExU1VRURIWWVJ95O40WA23LMTJD" hidden="1">#REF!</definedName>
    <definedName name="BExU24BGCQK1T0UO7CGQ3L2AFYUM" hidden="1">#REF!</definedName>
    <definedName name="BExU2941Z7GTMQ5O1VVPEU7YRR7P" hidden="1">#REF!</definedName>
    <definedName name="BExU2JAY4EXVN2IOYAEY3MDC5MAW" hidden="1">#REF!</definedName>
    <definedName name="BExU2M5CK6XK55UIHDVYRXJJJRI4" hidden="1">#REF!</definedName>
    <definedName name="BExU2TXVT25ZTOFQAF6CM53Z1RLF" hidden="1">#REF!</definedName>
    <definedName name="BExU2XZLYIU19G7358W5T9E87AFR" hidden="1">#REF!</definedName>
    <definedName name="BExU34QBDT497MEKSWJ7R5NPSRT6" hidden="1">#REF!</definedName>
    <definedName name="BExU3B66MCKJFSKT3HL8B5EJGVX0" hidden="1">#REF!</definedName>
    <definedName name="BExU3BX953F5H15V9Y6WB4DE2ML1" hidden="1">#REF!</definedName>
    <definedName name="BExU3D9R4DRJADX0E7E2OZ3T6J9D" hidden="1">#REF!</definedName>
    <definedName name="BExU3HX1IEJGNDJI6N6CLR8ZJK9D" hidden="1">#REF!</definedName>
    <definedName name="BExU3QWQVA35KFNEQYRLU0ZG2TZ0" hidden="1">#REF!</definedName>
    <definedName name="BExU3UNI9NR1RNZR07NSLSZMDOQQ" hidden="1">#REF!</definedName>
    <definedName name="BExU401R18N6XKZKL7CNFOZQCM14" hidden="1">#REF!</definedName>
    <definedName name="BExU42QU2LGC6NI3PNM3SKD5ZIBF"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I6G1IH7E1FCX7QR71XAUKBE" hidden="1">#REF!</definedName>
    <definedName name="BExU4L101H2KQHVKCKQ4PBAWZV6K" hidden="1">#REF!</definedName>
    <definedName name="BExU4MIZMMFZZWTK4WHGFZSMWPS8" hidden="1">#REF!</definedName>
    <definedName name="BExU4NA00RRRBGRT6TOB0MXZRCRZ" hidden="1">#REF!</definedName>
    <definedName name="BExU4XWZRGDFLCPK6HI2B3EXIQNU" hidden="1">#REF!</definedName>
    <definedName name="BExU51IFNZXPBDES28457LR8X60M" hidden="1">#REF!</definedName>
    <definedName name="BExU529CJ5AWHU0WNPZUYLVVT9GO" hidden="1">#REF!</definedName>
    <definedName name="BExU529I6YHVOG83TJHWSILIQU1S" hidden="1">#REF!</definedName>
    <definedName name="BExU57YCIKPRD8QWL6EU0YR3NG3J" hidden="1">#REF!</definedName>
    <definedName name="BExU5C031WO0TT1TPRL6NW72KDOD" hidden="1">#REF!</definedName>
    <definedName name="BExU5DSTBWXLN6E59B757KRWRI6E" hidden="1">#REF!</definedName>
    <definedName name="BExU5GSPM37X6HBGZK8V6KD1BNE1" hidden="1">#REF!</definedName>
    <definedName name="BExU5H8SW98BV9VB9LOC8U1ET1V7" hidden="1">#REF!</definedName>
    <definedName name="BExU5N8L0E2WDEBA4ITD4A8FT8ON" hidden="1">#REF!</definedName>
    <definedName name="BExU5TDWM8NNDHYPQ7OQODTQ368A" hidden="1">#REF!</definedName>
    <definedName name="BExU5VBXNU78IMV7PNC1DWRDMV8H" hidden="1">#REF!</definedName>
    <definedName name="BExU5X4OX1V1XHS6WSSORVQPP6Z3" hidden="1">#REF!</definedName>
    <definedName name="BExU5XVPARTFMRYHNUTBKDIL4UJN" hidden="1">#REF!</definedName>
    <definedName name="BExU64ME6FDWTLG1IYX8J3XBL2TQ" hidden="1">#REF!</definedName>
    <definedName name="BExU66KMFBAP8JCVG9VM1RD1TNFF" hidden="1">#REF!</definedName>
    <definedName name="BExU67BIP4IDGLTCZMUKNEA7DFWZ" hidden="1">#REF!</definedName>
    <definedName name="BExU68IOM3CB3TACNAE9565TW7SH" hidden="1">#REF!</definedName>
    <definedName name="BExU6AM82KN21E82HMWVP3LWP9IL" hidden="1">#REF!</definedName>
    <definedName name="BExU6FEU1MRHU98R9YOJC5OKUJ6L" hidden="1">#REF!</definedName>
    <definedName name="BExU6KIAJ663Y8W8QMU4HCF183DF" hidden="1">#REF!</definedName>
    <definedName name="BExU6KT19B4PG6SHXFBGBPLM66KT" hidden="1">#REF!</definedName>
    <definedName name="BExU6MWL30NHY8I1G97R2SU1TD1Y" hidden="1">#REF!</definedName>
    <definedName name="BExU6PAVKIOAIMQ9XQIHHF1SUAGO" hidden="1">#REF!</definedName>
    <definedName name="BExU6WXXC7SSQDMHSLUN5C2V4IYX" hidden="1">#REF!</definedName>
    <definedName name="BExU6XJKEC7NAQJ44HT5EEGOINM4" hidden="1">#REF!</definedName>
    <definedName name="BExU73387E74XE8A9UKZLZNJYY65" hidden="1">#REF!</definedName>
    <definedName name="BExU76ZHCJM8I7VSICCMSTC33O6U" hidden="1">#REF!</definedName>
    <definedName name="BExU77L1ZM2BRJB4M5RWTLREPRBO" hidden="1">#REF!</definedName>
    <definedName name="BExU7BBTUF8BQ42DSGM94X5TG5GF" hidden="1">#REF!</definedName>
    <definedName name="BExU7DVMNLPZ8DIZKTOS0GLZESXN" hidden="1">#REF!</definedName>
    <definedName name="BExU7HH4EAHFQHT4AXKGWAWZP3I0" hidden="1">#REF!</definedName>
    <definedName name="BExU7MF1ZVPDHOSMCAXOSYICHZ4I" hidden="1">#REF!</definedName>
    <definedName name="BExU7O2BJ6D5YCKEL6FD2EFCWYRX" hidden="1">#REF!</definedName>
    <definedName name="BExU7Q0JS9YIUKUPNSSAIDK2KJAV" hidden="1">#REF!</definedName>
    <definedName name="BExU7VUWIK7942LR3XULMKX3BJWZ" hidden="1">#REF!</definedName>
    <definedName name="BExU80I6AE5OU7P7F5V7HWIZBJ4P" hidden="1">#REF!</definedName>
    <definedName name="BExU85AUW6RSKQIVXFO60KKE5T20" hidden="1">#REF!</definedName>
    <definedName name="BExU86NB26MCPYIISZ36HADONGT2" hidden="1">#REF!</definedName>
    <definedName name="BExU885EZZNSZV3GP298UJ8LB7OL" hidden="1">#REF!</definedName>
    <definedName name="BExU89XZ24NAEGSD8GN6NKO3596G" hidden="1">#REF!</definedName>
    <definedName name="BExU8FSAUP9TUZ1NO9WXK80QPHWV" hidden="1">#REF!</definedName>
    <definedName name="BExU8FSGATXULCM675VF1KYAHGP1" hidden="1">#REF!</definedName>
    <definedName name="BExU8KFLAN778MBN93NYZB0FV30G" hidden="1">#REF!</definedName>
    <definedName name="BExU8S2O68RLH6LUDGJKFXMKKE5J" hidden="1">#REF!</definedName>
    <definedName name="BExU8UX9JX3XLB47YZ8GFXE0V7R2" hidden="1">#REF!</definedName>
    <definedName name="BExU8V2QEONF9R0X2D3R15MZ0GVY" hidden="1">#REF!</definedName>
    <definedName name="BExU900OHCCJQSB0ZINNO8O9U5LQ" hidden="1">#REF!</definedName>
    <definedName name="BExU91DC3DGKPZD6LTER2IRTF89C" hidden="1">#REF!</definedName>
    <definedName name="BExU959LS5JQWNS6R2CS9U3O6TS2" hidden="1">#REF!</definedName>
    <definedName name="BExU96M1J7P9DZQ3S9H0C12KGYTW" hidden="1">#REF!</definedName>
    <definedName name="BExU9AD09SEKX2Y02GBYM6GDDMIV" hidden="1">#REF!</definedName>
    <definedName name="BExU9B98E0WUJ89KDTIKL2K0JEM7" hidden="1">#REF!</definedName>
    <definedName name="BExU9F05OR1GZ3057R6UL3WPEIYI" hidden="1">#REF!</definedName>
    <definedName name="BExU9GCSO5YILIKG6VAHN13DL75K" hidden="1">#REF!</definedName>
    <definedName name="BExU9IQY4OMP4PP6OPIU3YV9J43N" localSheetId="7" hidden="1">Prod #REF!</definedName>
    <definedName name="BExU9IQY4OMP4PP6OPIU3YV9J43N" hidden="1">Prod #REF!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DMAGO1YLJYH4RF9CN0H9NMV" hidden="1">#REF!</definedName>
    <definedName name="BExUAF9PLFF7UL6X4RSSNFQGYJUM" hidden="1">#REF!</definedName>
    <definedName name="BExUAFV4JMBSM2SKBQL9NHL0NIBS" hidden="1">#REF!</definedName>
    <definedName name="BExUAMWQODKBXMRH1QCMJLJBF8M7" hidden="1">#REF!</definedName>
    <definedName name="BExUAOEP61W55A2X6NYNIXSSCHMX" hidden="1">#REF!</definedName>
    <definedName name="BExUAWY4MT6UJWADZL6ZLG53RMBR" hidden="1">#REF!</definedName>
    <definedName name="BExUAX8WS5OPVLCDXRGKTU2QMTFO" hidden="1">#REF!</definedName>
    <definedName name="BExUB33FJHDI3XKPQSVL75HO9RQ3" hidden="1">#REF!</definedName>
    <definedName name="BExUB3JHDL430WKBOVB9KNTSWU3Q"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BN64LPXX4Z738WO97YQ5MXMX" hidden="1">#REF!</definedName>
    <definedName name="BExUBNRVHXRIJBHKA2TWL10IFYUF" hidden="1">#REF!</definedName>
    <definedName name="BExUBO2IQKK80J458CRGKIEOHZY2" localSheetId="7" hidden="1">Prod #REF!</definedName>
    <definedName name="BExUBO2IQKK80J458CRGKIEOHZY2" hidden="1">Prod #REF!</definedName>
    <definedName name="BExUBPV8GB3LLCKQZCK9OFOFPN4G" hidden="1">#REF!</definedName>
    <definedName name="BExUC5WK152JKDSYW4FZUFHSS6MB" hidden="1">#REF!</definedName>
    <definedName name="BExUC623BDYEODBN0N4DO6PJQ7NU" hidden="1">#REF!</definedName>
    <definedName name="BExUC8WH8TCKBB5313JGYYQ1WFLT" hidden="1">#REF!</definedName>
    <definedName name="BExUCAEGQZ6PB4AG64761OAR17RY" hidden="1">#REF!</definedName>
    <definedName name="BExUCEANRYE8R4MH629IDYRI71B4" hidden="1">#REF!</definedName>
    <definedName name="BExUCFCDK6SPH86I6STXX8X3WMC4" hidden="1">#REF!</definedName>
    <definedName name="BExUCLC6AQ5KR6LXSAXV4QQ8ASVG" hidden="1">#REF!</definedName>
    <definedName name="BExUD4IOJ12X3PJG5WXNNGDRCKAP" hidden="1">#REF!</definedName>
    <definedName name="BExUD9WX9BWK72UWVSLYZJLAY5VY" hidden="1">#REF!</definedName>
    <definedName name="BExUDBEUJH9IACZDBL1VAUWPG0QW" hidden="1">#REF!</definedName>
    <definedName name="BExUDC5XINL63U5WT4UM9MYZQ3ST" hidden="1">#REF!</definedName>
    <definedName name="BExUDEV0CYVO7Y5IQQBEJ6FUY9S6" hidden="1">#REF!</definedName>
    <definedName name="BExUDL05R5XDWXVC63M1R3KDE5M0" hidden="1">#REF!</definedName>
    <definedName name="BExUDQ3JPLF15XXZMZ6T43VLXCV3" hidden="1">#REF!</definedName>
    <definedName name="BExUDWOXQGIZW0EAIIYLQUPXF8YV" hidden="1">#REF!</definedName>
    <definedName name="BExUDXAIC17W1FUU8Z10XUAVB7CS" hidden="1">#REF!</definedName>
    <definedName name="BExUDXW310TAWTP72ORAF2GBB6IA"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EOBLYAK9MOMLS5JANXRTF18" hidden="1">#REF!</definedName>
    <definedName name="BExVR15ITEN8TF2H5MGLG77YNGFE" hidden="1">#REF!</definedName>
    <definedName name="BExVR8NAH73TVNEQ6TXX8GAYA4RX" hidden="1">#REF!</definedName>
    <definedName name="BExVRJQIB4TRQOLSVGFDFTHVE4CU" hidden="1">#REF!</definedName>
    <definedName name="BExVS6TAND82CBJNY4L4SO9LKEMV" hidden="1">#REF!</definedName>
    <definedName name="BExVSL787C8E4HFQZ2NVLT35I2XV" hidden="1">#REF!</definedName>
    <definedName name="BExVSTFTVV14SFGHQUOJL5SQ5TX9" hidden="1">#REF!</definedName>
    <definedName name="BExVT1DV8ATTMBKGUW1Z84RIPH1M"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NESHPVG0A0KZ7BRX26MS0PF" hidden="1">#REF!</definedName>
    <definedName name="BExVTTJVTNRSBHBTUZ78WG2JM5MK" hidden="1">#REF!</definedName>
    <definedName name="BExVTUAYUR922VXBNO4MN569BULR" hidden="1">#REF!</definedName>
    <definedName name="BExVTW3OZ04QHKTFPPDM5JDNT6C1" hidden="1">#REF!</definedName>
    <definedName name="BExVTXLMYR87BC04D1ERALPUFVPG" hidden="1">#REF!</definedName>
    <definedName name="BExVU6QMM5J49S1312H8AMNK3Y8U" hidden="1">#REF!</definedName>
    <definedName name="BExVUL9V3H8ZF6Y72LQBBN639YAA" hidden="1">#REF!</definedName>
    <definedName name="BExVUPGX7MT8221F6IW4C4TPWXTL" hidden="1">#REF!</definedName>
    <definedName name="BExVV5T14N2HZIK7HQ4P2KG09U0J" hidden="1">#REF!</definedName>
    <definedName name="BExVV7R410VYLADLX9LNG63ID6H1" hidden="1">#REF!</definedName>
    <definedName name="BExVVA033OB71P301YYKYS90S2LK"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VWRYRXK1OSVL46XVM65UPCZU" hidden="1">#REF!</definedName>
    <definedName name="BExVW3YV5XGIVJ97UUPDJGJ2P15B" hidden="1">#REF!</definedName>
    <definedName name="BExVW5X571GEYR5SCU1Z2DHKWM79" hidden="1">#REF!</definedName>
    <definedName name="BExVW6YTKA098AF57M4PHNQ54XMH" hidden="1">#REF!</definedName>
    <definedName name="BExVW8M7CTERQCZ4GEDY70YLIMQA" hidden="1">#REF!</definedName>
    <definedName name="BExVWF2AAKF2BQ6WKP8IYGOGMKFH" hidden="1">#REF!</definedName>
    <definedName name="BExVWINKCH0V0NUWH363SMXAZE62" hidden="1">#REF!</definedName>
    <definedName name="BExVWUCDETAJYCYRE1KBOF25LYUO" hidden="1">#REF!</definedName>
    <definedName name="BExVWYU8EK669NP172GEIGCTVPPA" hidden="1">#REF!</definedName>
    <definedName name="BExVX3HJPV9ZPAY12RMBV261NE68" hidden="1">#REF!</definedName>
    <definedName name="BExVX3MVJ0GHWPP1EL59ZQNKMX0B" hidden="1">#REF!</definedName>
    <definedName name="BExVX3XN2DRJKL8EDBIG58RYQ36R" hidden="1">#REF!</definedName>
    <definedName name="BExVX6HGOKX70M2ARK4APNB2I9TZ" hidden="1">#REF!</definedName>
    <definedName name="BExVXDZ63PUART77BBR5SI63TPC6" hidden="1">#REF!</definedName>
    <definedName name="BExVXHKI6LFYMGWISMPACMO247HL"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7N7APOSX562C86T41J73BNN" hidden="1">#REF!</definedName>
    <definedName name="BExVY7XZS7ZEEEI66TWUYUKRGMHJ" hidden="1">#REF!</definedName>
    <definedName name="BExVY954UOEVQEIC5OFO4NEWVKAQ" hidden="1">#REF!</definedName>
    <definedName name="BExVYF4YNME2PI04YK8JH2ZKDISS" hidden="1">#REF!</definedName>
    <definedName name="BExVYHDYIV5397LC02V4FEP8VD6W" hidden="1">#REF!</definedName>
    <definedName name="BExVYOVIZDA18YIQ0A30Q052PCAK" hidden="1">#REF!</definedName>
    <definedName name="BExVYPH9TG961PEU3PKPMBLVMA8F" hidden="1">#REF!</definedName>
    <definedName name="BExVYPXD6TFOFZWBBMQHVN9VU9UH" hidden="1">#REF!</definedName>
    <definedName name="BExVYQIXPEM6J4JVP78BRHIC05PV" hidden="1">#REF!</definedName>
    <definedName name="BExVYVGWN7SONLVDH9WJ2F1JS264" hidden="1">#REF!</definedName>
    <definedName name="BExVZ9EO732IK6MNMG17Y1EFTJQC" hidden="1">#REF!</definedName>
    <definedName name="BExVZA5KZO99HVTKI0GMVP896VZK" hidden="1">#REF!</definedName>
    <definedName name="BExVZB1Y5J4UL2LKK0363EU7GIJ1" hidden="1">#REF!</definedName>
    <definedName name="BExVZESW4KWQ72XZ6AAT3JSAGMMO" hidden="1">#REF!</definedName>
    <definedName name="BExVZJQVO5LQ0BJH5JEN5NOBIAF6" hidden="1">#REF!</definedName>
    <definedName name="BExVZNXWS91RD7NXV5NE2R3C8WW7" hidden="1">#REF!</definedName>
    <definedName name="BExW0386REQRCQCVT9BCX80UPTRY" hidden="1">#REF!</definedName>
    <definedName name="BExW08X7MUCAUZUT84HH2K0HG8JM" hidden="1">#REF!</definedName>
    <definedName name="BExW0FYP4WXY71CYUG40SUBG9UWU" hidden="1">#REF!</definedName>
    <definedName name="BExW0HBAR94L0RTT4FLGEJ88FO94" hidden="1">#REF!</definedName>
    <definedName name="BExW0HBC1RMZ2GDGOGDTNAOOFO74" hidden="1">#REF!</definedName>
    <definedName name="BExW0PJY0QT1YYHEOQPDHHNJJOC5" hidden="1">#REF!</definedName>
    <definedName name="BExW0RI61B4VV0ARXTFVBAWRA1C5" hidden="1">#REF!</definedName>
    <definedName name="BExW0ZFZK22WVH1ET2MVEUVKIIWF" hidden="1">#REF!</definedName>
    <definedName name="BExW1BVUYQTKMOR56MW7RVRX4L1L" hidden="1">#REF!</definedName>
    <definedName name="BExW1F1220628FOMTW5UAATHRJHK" hidden="1">#REF!</definedName>
    <definedName name="BExW1L0UXVLCNL1K4LNIGTXHU02G" hidden="1">#REF!</definedName>
    <definedName name="BExW1TKA0Z9OP2DTG50GZR5EG8C7" hidden="1">#REF!</definedName>
    <definedName name="BExW1U0JLKQ094DW5MMOI8UHO09V" hidden="1">#REF!</definedName>
    <definedName name="BExW1VD5QWJZMZM69YEYYSH6V0XO" hidden="1">#REF!</definedName>
    <definedName name="BExW22PGTQTO5C5TK1RQUWPR4X8X" hidden="1">#REF!</definedName>
    <definedName name="BExW27CKTHXIQCUL3RSLAFEQV8VT" hidden="1">#REF!</definedName>
    <definedName name="BExW283NP9D366XFPXLGSCI5UB0L" hidden="1">#REF!</definedName>
    <definedName name="BExW29WF535OHEG91SW5OF7MQBU2" hidden="1">#REF!</definedName>
    <definedName name="BExW2H3C8WJSBW5FGTFKVDVJC4CL" hidden="1">#REF!</definedName>
    <definedName name="BExW2IL53U2O1TVQT6AHBCSSQMJH" hidden="1">#REF!</definedName>
    <definedName name="BExW2MSCKPGF5K3I7TL4KF5ISUOL" hidden="1">#REF!</definedName>
    <definedName name="BExW2SMO90FU9W8DVVES6Q4E6BZR" hidden="1">#REF!</definedName>
    <definedName name="BExW2UQ7F90QV8FM3M24NW49L40H" hidden="1">#REF!</definedName>
    <definedName name="BExW2X9T3PCZ1J6FAYPKT01RO26B" hidden="1">#REF!</definedName>
    <definedName name="BExW2XFANFMHB3BGDBTV3XNCNR3Q" hidden="1">#REF!</definedName>
    <definedName name="BExW2YBOMQICRGMNM974HASL9T1F" hidden="1">#REF!</definedName>
    <definedName name="BExW2YMH3TFQ8S3GR9DD90W2THNT" hidden="1">#REF!</definedName>
    <definedName name="BExW32TJ2UOVV0PJ1ZW7YU9A27IC" hidden="1">#REF!</definedName>
    <definedName name="BExW35YV9V70DFOPLUGI2W7IYOU2"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N77Q1NP2PH28O04O0YU8X8M" hidden="1">#REF!</definedName>
    <definedName name="BExW3T1K638HT5E0Y8MMK108P5JT" hidden="1">#REF!</definedName>
    <definedName name="BExW3TCC2OS0OQNUWT646DYD9GGA" hidden="1">#REF!</definedName>
    <definedName name="BExW3UOXTPY17SJBEYN35N91CIZI" hidden="1">#REF!</definedName>
    <definedName name="BExW4217ZHL9VO39POSTJOD090WU" hidden="1">#REF!</definedName>
    <definedName name="BExW474MBSEYMCWSY9T6LY31CQXJ" hidden="1">#REF!</definedName>
    <definedName name="BExW4GPW71EBF8XPS2QGVQHBCDX3" hidden="1">#REF!</definedName>
    <definedName name="BExW4JF0I1Z2KMZ5KJENUVROTQRK" hidden="1">#REF!</definedName>
    <definedName name="BExW4JKC5837JBPCOJV337ZVYYY3" hidden="1">#REF!</definedName>
    <definedName name="BExW4L7R1NVUKEQSVWZPXWCI6NVN" hidden="1">#REF!</definedName>
    <definedName name="BExW4QR9FV9MP5K610THBSM51RYO" hidden="1">#REF!</definedName>
    <definedName name="BExW4S980QVHHT7SZ0CMVH1Z25PN" hidden="1">#REF!</definedName>
    <definedName name="BExW4W5HHUEZ3O9DYN9KJZWC1FEL" hidden="1">#REF!</definedName>
    <definedName name="BExW4YJRWZX7LN9N1OUXQT22O3CO" hidden="1">#REF!</definedName>
    <definedName name="BExW4Z029R9E19ZENN3WEA3VDAD1" hidden="1">#REF!</definedName>
    <definedName name="BExW54EBTXGONPDZHWONUNEX3AC2" hidden="1">#REF!</definedName>
    <definedName name="BExW5AZNT6IAZGNF2C879ODHY1B8" hidden="1">#REF!</definedName>
    <definedName name="BExW5EFO6R6U4UQLT4G2G4W9SX94" hidden="1">#REF!</definedName>
    <definedName name="BExW5WPU27WD4NWZOT0ZEJIDLX5J" hidden="1">#REF!</definedName>
    <definedName name="BExW5X64UZDAB8GEIIQBWQV66NV9" hidden="1">#REF!</definedName>
    <definedName name="BExW61NYOHBXEBCZ80ZJTB38E7BS" hidden="1">#REF!</definedName>
    <definedName name="BExW64T5GUYKW4V1314DJGUR4ABG"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6HJMDVIQ45IVP6SKOWXSV962" hidden="1">#REF!</definedName>
    <definedName name="BExW6QE0VJ5RRAQZB4SWWF8JTHCL" hidden="1">#REF!</definedName>
    <definedName name="BExW6WJ2VW51JNF32JZF98WJDRR3" hidden="1">#REF!</definedName>
    <definedName name="BExW6Z88NM1L0TODWPI6VHSCM27J" localSheetId="7" hidden="1">Prod #REF!</definedName>
    <definedName name="BExW6Z88NM1L0TODWPI6VHSCM27J" hidden="1">Prod #REF!</definedName>
    <definedName name="BExW74MG1WIOS7FRGX4CXWYNPZV1" hidden="1">#REF!</definedName>
    <definedName name="BExW782LBJUIVCV6ACRLJBIKVJFQ" hidden="1">#REF!</definedName>
    <definedName name="BExW794A74Z5F2K8LVQLD6VSKXUE" hidden="1">#REF!</definedName>
    <definedName name="BExW7LENGYZITAODUM1H4E3HU7VS" hidden="1">#REF!</definedName>
    <definedName name="BExW7NSY9CQA1O23DAZ9TYTC0PAO" hidden="1">#REF!</definedName>
    <definedName name="BExW7Q79RJWXCSWJIY4GLGGQXX5G" hidden="1">#REF!</definedName>
    <definedName name="BExW82XROMNDCLKKMI0HMTPBUK3G" hidden="1">#REF!</definedName>
    <definedName name="BExW89DT2OUQ24LOFUS7BMP44P4B" hidden="1">#REF!</definedName>
    <definedName name="BExW8K0SSIPSKBVP06IJ71600HJZ" hidden="1">#REF!</definedName>
    <definedName name="BExW8NM8DJJESE7GF7VGTO2XO6P1" hidden="1">#REF!</definedName>
    <definedName name="BExW8NX0J3OAUGUSV6RSVRVZAT2J"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G39X58B5FGJEE8EY65TJ80A" hidden="1">#REF!</definedName>
    <definedName name="BExW9JZK2CSFMKED1TX7YD9FRDO3" hidden="1">#REF!</definedName>
    <definedName name="BExW9POK1KIOI0ALS5MZIKTDIYMA" hidden="1">#REF!</definedName>
    <definedName name="BExW9TVLB7OIHTG98I7I4EXBL61S" hidden="1">#REF!</definedName>
    <definedName name="BExXLDE6PN4ESWT3LXJNQCY94NE4" hidden="1">#REF!</definedName>
    <definedName name="BExXLDOYNIS8GLKISUIBXIOW06CA"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65Z2SPQXGMJR0V7JUCCL9Q3" hidden="1">#REF!</definedName>
    <definedName name="BExXMA28M8SH7MKIGETSDA72WUIZ" hidden="1">#REF!</definedName>
    <definedName name="BExXMOLHIAHDLFSA31PUB36SC3I9" hidden="1">#REF!</definedName>
    <definedName name="BExXMT8T5Z3M2JBQN65X2LKH0YQI" hidden="1">#REF!</definedName>
    <definedName name="BExXMWJGJIM061JVNACECO7TQDP2" hidden="1">#REF!</definedName>
    <definedName name="BExXN0VUIB5V8BZKQH18NT3G7NW3" localSheetId="7" hidden="1">Prod #REF!</definedName>
    <definedName name="BExXN0VUIB5V8BZKQH18NT3G7NW3" hidden="1">Prod #REF!</definedName>
    <definedName name="BExXN1XNO7H60M9X1E7EVWFJDM5N" hidden="1">#REF!</definedName>
    <definedName name="BExXN22ZOTIW49GPLWFYKVM90FNZ" hidden="1">#REF!</definedName>
    <definedName name="BExXN4C031W9DK73MJHKL8YT1QA8" hidden="1">#REF!</definedName>
    <definedName name="BExXN6QAP8UJQVN4R4BQKPP4QK35" hidden="1">#REF!</definedName>
    <definedName name="BExXNBOA39T2X6Y5Y5GZ5DDNA1AX" hidden="1">#REF!</definedName>
    <definedName name="BExXND6872VJ3M2PGT056WQMWBHD" hidden="1">#REF!</definedName>
    <definedName name="BExXNG0ROWLPUXN9MKBPNK1T1KUX" hidden="1">#REF!</definedName>
    <definedName name="BExXNH7XWBS4WLQYK0T26F58BP7S" hidden="1">#REF!</definedName>
    <definedName name="BExXNPM24UN2PGVL9D1TUBFRIKR4" hidden="1">#REF!</definedName>
    <definedName name="BExXNRUWHTVKJZUNKVBFHLNVSDV2" hidden="1">#REF!</definedName>
    <definedName name="BExXNSLYWITH4246M4YVOUIV04ZJ" hidden="1">#REF!</definedName>
    <definedName name="BExXNWYB165VO9MHARCL5WLCHWS0" hidden="1">#REF!</definedName>
    <definedName name="BExXO1G5TG80TSHNS86X0DXO6YHY" hidden="1">#REF!</definedName>
    <definedName name="BExXO278QHQN8JDK5425EJ615ECC" hidden="1">#REF!</definedName>
    <definedName name="BExXO6E9ABFOYA2LVN6RLW4BO9G6" hidden="1">#REF!</definedName>
    <definedName name="BExXO6ZP85325PSLSXWM38N73O6V" hidden="1">#REF!</definedName>
    <definedName name="BExXOBHOP0WGFHI2Y9AO4L440UVQ" hidden="1">#REF!</definedName>
    <definedName name="BExXOHSAD2NSHOLLMZ2JWA4I3I1R" hidden="1">#REF!</definedName>
    <definedName name="BExXOJQBVBDGLVEYZAE7AL8F0VWX" hidden="1">#REF!</definedName>
    <definedName name="BExXOMQ9421Y32TZ81U6YGIP35QU" hidden="1">#REF!</definedName>
    <definedName name="BExXOYPTO9UKRL46OVS80V7RAOAN" hidden="1">#REF!</definedName>
    <definedName name="BExXP80B5FGA00JCM7UXKPI3PB7Y" hidden="1">#REF!</definedName>
    <definedName name="BExXP85M4WXYVN1UVHUTOEKEG5XS" hidden="1">#REF!</definedName>
    <definedName name="BExXPDUMN4B85QFXGPSJPII52QR3" hidden="1">#REF!</definedName>
    <definedName name="BExXPELOTHOAG0OWILLAH94OZV5J" hidden="1">#REF!</definedName>
    <definedName name="BExXPS31W1VD2NMIE4E37LHVDF0L" hidden="1">#REF!</definedName>
    <definedName name="BExXPUMU4BLFWI2L0MHMM5F3OUPL" hidden="1">#REF!</definedName>
    <definedName name="BExXPV3442EDLPU1G8WP9NRT84B9" hidden="1">#REF!</definedName>
    <definedName name="BExXPZKYEMVF5JOC14HYOOYQK6JK" hidden="1">#REF!</definedName>
    <definedName name="BExXQ06J7OF0O2FO4WR0QK93RJ17"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PNAFE4M6C2HYRCQNIU9D31" hidden="1">#REF!</definedName>
    <definedName name="BExXQIRBLQSLAJTFL7224FCFUTKH" hidden="1">#REF!</definedName>
    <definedName name="BExXQJIEF5R3QQ6D8HO3NGPU0IQC" hidden="1">#REF!</definedName>
    <definedName name="BExXQMYEOGRO69K9BLZF14USRMVP" hidden="1">#REF!</definedName>
    <definedName name="BExXQOGCS25KH9VB61OEVTG6EMS3" hidden="1">#REF!</definedName>
    <definedName name="BExXQS1SGPIQX0ESRMCECOYMUQQJ" hidden="1">#REF!</definedName>
    <definedName name="BExXQSSODAJAJ9BWARSQMLK8SKTQ" hidden="1">#REF!</definedName>
    <definedName name="BExXQU00K9ER4I1WM7T9J0W1E7ZC" hidden="1">#REF!</definedName>
    <definedName name="BExXQU00KOR7XLM8B13DGJ1MIQDY" hidden="1">#REF!</definedName>
    <definedName name="BExXQVSQD75E6MTYN0IXT4OK269O"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HIY77F53DUYX7CMZPXGRDAG" hidden="1">#REF!</definedName>
    <definedName name="BExXRIFB4QQ87QIGA9AG0NXP577K" hidden="1">#REF!</definedName>
    <definedName name="BExXRIQ2JF2CVTRDQX2D9SPH7FTN" hidden="1">#REF!</definedName>
    <definedName name="BExXRO4A6VUH1F4XV8N1BRJ4896W" hidden="1">#REF!</definedName>
    <definedName name="BExXRO9N1SNJZGKD90P4K7FU1J0P" hidden="1">#REF!</definedName>
    <definedName name="BExXRR9JGVMAKD0Q2MHQ0HMKK1G1"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CERESWLINWOB18GMB1P7QB" hidden="1">#REF!</definedName>
    <definedName name="BExXSBSP1TOY051HSPEPM0AEIO2M" hidden="1">#REF!</definedName>
    <definedName name="BExXSBY0S70HRJ1R0POASBK3RJTG"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HLRNL82GN7KZY3TOLO508N7" hidden="1">#REF!</definedName>
    <definedName name="BExXTINEGPKZ75DCUCEF3QOV6OES" hidden="1">#REF!</definedName>
    <definedName name="BExXTKAV4Y4JQ7D62LKGD89F9WMF"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SJGHY3I15SQ2OUXVN9B77FK" hidden="1">#REF!</definedName>
    <definedName name="BExXTYJAD0XP7A06D8TK8QWT2AWJ" hidden="1">#REF!</definedName>
    <definedName name="BExXTZKZ4CG92ZQLIRKEXXH9BFIR" hidden="1">#REF!</definedName>
    <definedName name="BExXU12X5DNEIGE2YB8618YMUDYG"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UZP27BP21P6TZREPAM5PIJL2" localSheetId="7" hidden="1">Prod #REF!</definedName>
    <definedName name="BExXUZP27BP21P6TZREPAM5PIJL2" hidden="1">Prod #REF!</definedName>
    <definedName name="BExXV0QWO5VQZ91N6IP1TPKOK2CJ" hidden="1">#REF!</definedName>
    <definedName name="BExXV1HWKTB46UXT08JLMPP8P4SP" hidden="1">#REF!</definedName>
    <definedName name="BExXV2JM9UIL5MGHOPRJHNUJ4F3C" hidden="1">#REF!</definedName>
    <definedName name="BExXV6FWG4H3S2QEUJZYIXILNGJ7" hidden="1">#REF!</definedName>
    <definedName name="BExXV88NHVAAKAA1LSLTN3876DGL" hidden="1">#REF!</definedName>
    <definedName name="BExXVK87BMMO6LHKV0CFDNIQVIBS" hidden="1">#REF!</definedName>
    <definedName name="BExXVKZ9WXPGL6IVY6T61IDD771I" hidden="1">#REF!</definedName>
    <definedName name="BExXW0K72T1Y8K1I4VZT87UY9S2G" hidden="1">#REF!</definedName>
    <definedName name="BExXW27MMXHXUXX78SDTBE1JYTHT" hidden="1">#REF!</definedName>
    <definedName name="BExXW2YIM2MYBSHRIX0RP9D4PRMN" hidden="1">#REF!</definedName>
    <definedName name="BExXWBNE4KTFSXKVSRF6WX039WPB" hidden="1">#REF!</definedName>
    <definedName name="BExXWCEFPM2UFC3LC37H8GSMA5GA" hidden="1">#REF!</definedName>
    <definedName name="BExXWFP5AYE7EHYTJWBZSQ8PQ0YX" hidden="1">#REF!</definedName>
    <definedName name="BExXWJW07E9EL95WAJJPP54ARIGX"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D9EGFDWJA3KL49OLRJEO05H" hidden="1">#REF!</definedName>
    <definedName name="BExXXH5N3NKBQ7BCJPJTBF8CYM2Q" hidden="1">#REF!</definedName>
    <definedName name="BExXXKWLM4D541BH6O8GOJMHFHMW" hidden="1">#REF!</definedName>
    <definedName name="BExXXP8ZVKZR9UM51PLR3TYBQBLJ" hidden="1">#REF!</definedName>
    <definedName name="BExXXPPA1Q87XPI97X0OXCPBPDON" hidden="1">#REF!</definedName>
    <definedName name="BExXXUHRA9F54SLR9507HZUW1PSK" hidden="1">#REF!</definedName>
    <definedName name="BExXXVUDA98IZTQ6MANKU4MTTDVR" hidden="1">#REF!</definedName>
    <definedName name="BExXXZQNZY6IZI45DJXJK0MQZWA7" hidden="1">#REF!</definedName>
    <definedName name="BExXY0SAZOPJMDG9GOR625UDCCS8" hidden="1">#REF!</definedName>
    <definedName name="BExXY2FR7PFLXNGA6J0Z6IQF8TYJ" hidden="1">#REF!</definedName>
    <definedName name="BExXY5QFG6QP94SFT3935OBM8Y4K" hidden="1">#REF!</definedName>
    <definedName name="BExXY617OY30KBCWTL615NJ0ZBE8" hidden="1">#REF!</definedName>
    <definedName name="BExXY7TYEBFXRYUYIFHTN65RJ8EW" hidden="1">#REF!</definedName>
    <definedName name="BExXYLBHANUXC5FCTDDTGOVD3GQS" hidden="1">#REF!</definedName>
    <definedName name="BExXYM7UB6PRFMV7YU166AZ19L60" hidden="1">#REF!</definedName>
    <definedName name="BExXYMNYAYH3WA2ZCFAYKZID9ZCI" hidden="1">#REF!</definedName>
    <definedName name="BExXYMNZ1UAZUBWV7D9IP3JGR5E5" hidden="1">#REF!</definedName>
    <definedName name="BExXYRB9RTA6OCUY25RJ5HQVG7EF" hidden="1">#REF!</definedName>
    <definedName name="BExXYYT12SVN2VDMLVNV4P3ISD8T" hidden="1">#REF!</definedName>
    <definedName name="BExXZ3WEYVVV9XKKD5E86QEX5U57" hidden="1">#REF!</definedName>
    <definedName name="BExXZ4CKWN3R9HA311KINBA3R2K4" hidden="1">#REF!</definedName>
    <definedName name="BExXZ6QU5C0UMWY7U4BHVZNIPANK" hidden="1">#REF!</definedName>
    <definedName name="BExXZEDWUYH25UZMW2QU2RXFILJE" hidden="1">#REF!</definedName>
    <definedName name="BExXZFVV4YB42AZ3H1I40YG3JAPU" hidden="1">#REF!</definedName>
    <definedName name="BExXZHJ9T2JELF12CHHGD54J1B0C" hidden="1">#REF!</definedName>
    <definedName name="BExXZM14XID3OAA88OURJ7QSZW1E" hidden="1">#REF!</definedName>
    <definedName name="BExXZNJ2X1TK2LRK5ZY3MX49H5T7" hidden="1">#REF!</definedName>
    <definedName name="BExXZOVPCEP495TQSON6PSRQ8XCY" hidden="1">#REF!</definedName>
    <definedName name="BExXZXKH7NBARQQAZM69Z57IH1MM" hidden="1">#REF!</definedName>
    <definedName name="BExY05T95YHBLI9ZYWFFT2O2B871" hidden="1">#REF!</definedName>
    <definedName name="BExY07WSDH5QEVM7BJXJK2ZRAI1O" hidden="1">#REF!</definedName>
    <definedName name="BExY0C3UBVC4M59JIRXVQ8OWAJC1" hidden="1">#REF!</definedName>
    <definedName name="BExY0ESXLC0TZJG0Z9EOY29FZD9J"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0YQDULTY26I098432GRPIXTM" hidden="1">#REF!</definedName>
    <definedName name="BExY11FH9TXHERUYGG8FE50U7H7J" hidden="1">#REF!</definedName>
    <definedName name="BExY180UKNW5NIAWD6ZUYTFEH8QS" hidden="1">#REF!</definedName>
    <definedName name="BExY1DPTV4LSY9MEOUGXF8X052NA" hidden="1">#REF!</definedName>
    <definedName name="BExY1FIMLW9L499KIE7ZJ706UYLM" hidden="1">#REF!</definedName>
    <definedName name="BExY1GK9ELBEKDD7O6HR6DUO8YGO" hidden="1">#REF!</definedName>
    <definedName name="BExY1NWOXXFV9GGZ3PX444LZ8TVX" hidden="1">#REF!</definedName>
    <definedName name="BExY1ONMI973LYH6W67SZIDXWDA0" hidden="1">#REF!</definedName>
    <definedName name="BExY1UCL0RND63LLSM9X5SFRG117" hidden="1">#REF!</definedName>
    <definedName name="BExY1WAT3937L08HLHIRQHMP2A3H"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GTU9MEIE9BS3TZGLC75K6SO" hidden="1">#REF!</definedName>
    <definedName name="BExY2IXBR1SGYZH08T7QHKEFS8HA" hidden="1">#REF!</definedName>
    <definedName name="BExY2MOA4TMD23H3BBGYT31630RU" hidden="1">#REF!</definedName>
    <definedName name="BExY2Q4B5FUDA5VU4VRUHX327QN0" hidden="1">#REF!</definedName>
    <definedName name="BExY3BUHF49HBMC20Z30YPLFCPS7" hidden="1">#REF!</definedName>
    <definedName name="BExY3C59PDF2BON135CH8LLYNO9W" hidden="1">#REF!</definedName>
    <definedName name="BExY3FAME3HIN2RXBJJ7BFZOQELW" hidden="1">#REF!</definedName>
    <definedName name="BExY3HOSK7YI364K15OX70AVR6F1" hidden="1">#REF!</definedName>
    <definedName name="BExY3JXT10HDV8IRQXYNHEEU49VD" hidden="1">#REF!</definedName>
    <definedName name="BExY3PS9FF16S8QWSYU89GM4E8VB" hidden="1">#REF!</definedName>
    <definedName name="BExY3T89AUR83SOAZZ3OMDEJDQ39" hidden="1">#REF!</definedName>
    <definedName name="BExY3YMHKXSM8ZA6J2QVK2F5QV01" hidden="1">#REF!</definedName>
    <definedName name="BExY4ARICG7R1ZRBYU8LJWR2KN4V" hidden="1">#REF!</definedName>
    <definedName name="BExY4DRA1NB56I6KHB22C0U0NKPH" hidden="1">#REF!</definedName>
    <definedName name="BExY4MG771JQ84EMIVB6HQGGHZY7" hidden="1">#REF!</definedName>
    <definedName name="BExY4PQUTBYZGBCOH80JJH5VLRD6" hidden="1">#REF!</definedName>
    <definedName name="BExY4PWCSFB8P3J3TBQB2MD67263" hidden="1">#REF!</definedName>
    <definedName name="BExY4RZW3KK11JLYBA4DWZ92M6LQ" hidden="1">#REF!</definedName>
    <definedName name="BExY4SW8AV0ZS8G2TZLIRJTOBSGD"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BXBLQUW4SOF44M3WMGHRNE2" hidden="1">#REF!</definedName>
    <definedName name="BExY5DF9MS25IFNWGJ1YAS5MDN8R" hidden="1">#REF!</definedName>
    <definedName name="BExY5ERVGL3UM2MGT8LJ0XPKTZEK" hidden="1">#REF!</definedName>
    <definedName name="BExY5EX6NJFK8W754ZVZDN5DS04K" hidden="1">#REF!</definedName>
    <definedName name="BExY5KGVPTUKXVEQ5VWI4L43A60Z" hidden="1">#REF!</definedName>
    <definedName name="BExY5S3XD1NJT109CV54IFOHVLQ6" hidden="1">#REF!</definedName>
    <definedName name="BExY5TB2VAI3GHKCPXMCVIOM8B8W"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IZ9O6UYEWCB0B81SAZADRPV8" hidden="1">#REF!</definedName>
    <definedName name="BExZJ7I9T8XU4MZRKJ1VVU76V2LZ" hidden="1">#REF!</definedName>
    <definedName name="BExZJA22HQFUO0AXG89KJGS2WE03" hidden="1">#REF!</definedName>
    <definedName name="BExZJDNK1LFFSZ5UIE0ZQBL8IPZA" hidden="1">#REF!</definedName>
    <definedName name="BExZJMY170JCUU1RWASNZ1HJPRTA" hidden="1">#REF!</definedName>
    <definedName name="BExZJOQR77H0P4SUKVYACDCFBBXO" hidden="1">#REF!</definedName>
    <definedName name="BExZJS6RG34ODDY9HMZ0O34MEMSB" hidden="1">#REF!</definedName>
    <definedName name="BExZJU4ZJUO53Z0ZDKXRX3KI682X" hidden="1">#REF!</definedName>
    <definedName name="BExZK34NR4BAD7HJAP7SQ926UQP3" hidden="1">#REF!</definedName>
    <definedName name="BExZK3FGPHH5H771U7D5XY7XBS6E" hidden="1">#REF!</definedName>
    <definedName name="BExZK8IX11TQNENLK8PY6077EWQ7" hidden="1">#REF!</definedName>
    <definedName name="BExZKGRIH1C8XY2R7Z1LHBXCBRJC" hidden="1">#REF!</definedName>
    <definedName name="BExZKHYORG3O8C772XPFHM1N8T80" hidden="1">#REF!</definedName>
    <definedName name="BExZKJRF2IRR57DG9CLC7MSHWNNN" hidden="1">#REF!</definedName>
    <definedName name="BExZKMGHW7196OK79RMO1DOJNC87" hidden="1">#REF!</definedName>
    <definedName name="BExZKTNI23YN8J01CD1ZY6BAJDH9" hidden="1">#REF!</definedName>
    <definedName name="BExZKTNI7G06SAKOEP3ON8PQBRZ8" hidden="1">#REF!</definedName>
    <definedName name="BExZKV5GYXO0X760SBD9TWTIQHGI" hidden="1">#REF!</definedName>
    <definedName name="BExZL6E4YVXRUN7ZGF2BIGIXFR8K" hidden="1">#REF!</definedName>
    <definedName name="BExZLCDWOXSAL3E45Y87GOH1NUUX" hidden="1">#REF!</definedName>
    <definedName name="BExZLGVLMKTPFXG42QYT0PO81G7F" hidden="1">#REF!</definedName>
    <definedName name="BExZLHRZMB1LAT56CZDZRRPS2Q5E" hidden="1">#REF!</definedName>
    <definedName name="BExZLKMK7LRK14S09WLMH7MXSQXM" hidden="1">#REF!</definedName>
    <definedName name="BExZLT5ZPFGYISDYWOPOK90JLRBR" hidden="1">#REF!</definedName>
    <definedName name="BExZM1EM2PALE78K0D3T9EWW0CRH"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OXNNDA9CH3QRBQVIJTQEL73" hidden="1">#REF!</definedName>
    <definedName name="BExZMV2SIZZZ6RCYJ72OG623AH60" hidden="1">#REF!</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H3VISFF4NQI11BZDP5IQ7VG" hidden="1">#REF!</definedName>
    <definedName name="BExZNIB2Z0PW4MJVTRVEDQX8NTGC" hidden="1">#REF!</definedName>
    <definedName name="BExZNJ1Y8RSOGU7HCLNI4JJ9WA8U" hidden="1">#REF!</definedName>
    <definedName name="BExZNJYCFYVMAOI62GB2BABK1ELE" hidden="1">#REF!</definedName>
    <definedName name="BExZNLGA6JOTX2HN92PS4KVIUAV7" hidden="1">#REF!</definedName>
    <definedName name="BExZNT3IENBP4PJ3O1VRGS96XB1T" hidden="1">#REF!</definedName>
    <definedName name="BExZNUFZ8BS3C2IC37X8BIEEMZ00"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BO9NYLGVJQ31LVQ9XS2ZT4N" hidden="1">#REF!</definedName>
    <definedName name="BExZOEIVPQXLMQIOFZKVB6QU4PL2" hidden="1">#REF!</definedName>
    <definedName name="BExZOETNB1CJ3Y2RKLI1ZK0S8Z6H" hidden="1">#REF!</definedName>
    <definedName name="BExZOGBLV9VKIJSZA9FTH6F6I902"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FU3AP7RASS5X21Q6MTP5DI1" hidden="1">#REF!</definedName>
    <definedName name="BExZPI8FF385ICMUSDF0O0IR947C" hidden="1">#REF!</definedName>
    <definedName name="BExZPLTWUOLLECQLSVUB8W0W41K8" hidden="1">#REF!</definedName>
    <definedName name="BExZPQ0XY507N8FJMVPKCTK8HC9H" hidden="1">#REF!</definedName>
    <definedName name="BExZPUO3WXZZLJS5CMNV98Z7IUYV" hidden="1">#REF!</definedName>
    <definedName name="BExZPWBJ4H8RND8XVKNCJ474L2J6" hidden="1">#REF!</definedName>
    <definedName name="BExZQ37OVBR25U32CO2YYVPZOMR5" hidden="1">#REF!</definedName>
    <definedName name="BExZQ3IHNAFF2HI20IH754T349LH" hidden="1">#REF!</definedName>
    <definedName name="BExZQ3NT7H06VO0AR48WHZULZB93" hidden="1">#REF!</definedName>
    <definedName name="BExZQ5M0ABP3OP14S4ZVVYOGHTLL" hidden="1">#REF!</definedName>
    <definedName name="BExZQ7PJU07SEJMDX18U9YVDC2GU" hidden="1">#REF!</definedName>
    <definedName name="BExZQ97GRS1JT451BUNZG7OVGF7Q" hidden="1">#REF!</definedName>
    <definedName name="BExZQBR38M00I811J4ZSIT138NJT" hidden="1">#REF!</definedName>
    <definedName name="BExZQIHTGHK7OOI2Y2PN3JYBY82I" hidden="1">#REF!</definedName>
    <definedName name="BExZQJJMGU5MHQOILGXGJPAQI5XI"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GNSUPG6TBX2L292MP1PLVMU" hidden="1">#REF!</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RYN6TKLS1N70DLRI2IKWN37Q" hidden="1">#REF!</definedName>
    <definedName name="BExZS1CBTC8QC8S2HIB93A2TPFQA" hidden="1">#REF!</definedName>
    <definedName name="BExZS2OY9JTSSP01ZQ6V2T2LO5R9" hidden="1">#REF!</definedName>
    <definedName name="BExZSI9USDLZAN8LI8M4YYQL24GZ" hidden="1">#REF!</definedName>
    <definedName name="BExZSS0LA2JY4ZLJ1Z5YCMLJJZCH" hidden="1">#REF!</definedName>
    <definedName name="BExZSYRAL38T8SFTHLEC94VZAPTB" hidden="1">#REF!</definedName>
    <definedName name="BExZSZ21VX9ESDG8PFXHDLT82KLO" hidden="1">#REF!</definedName>
    <definedName name="BExZT099CSLD6DJMIKJKIXDO8GD5" hidden="1">#REF!</definedName>
    <definedName name="BExZT0PI7KLDGTW150TMETG114YH" hidden="1">#REF!</definedName>
    <definedName name="BExZT21YV9Z3SO6J4CH8BPZDE6EL" hidden="1">#REF!</definedName>
    <definedName name="BExZT4G9XWEXQ18D0PEKSEHI6WID" hidden="1">#REF!</definedName>
    <definedName name="BExZTAQV2QVSZY5Y3VCCWUBSBW9P" hidden="1">#REF!</definedName>
    <definedName name="BExZTC8S1L60TW34BLBQLDKD9RH4" hidden="1">#REF!</definedName>
    <definedName name="BExZTCP3AS1RQUH3NNZGOJY7ORHW" hidden="1">#REF!</definedName>
    <definedName name="BExZTG53DGYGMT7RSVFQNLCSLZ10"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TYQ1JEJ7OY2XU5OVPIV2ST7B"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SJZU49WES7TCI0N0HW4M5" hidden="1">#REF!</definedName>
    <definedName name="BExZUSZT5496UMBP4LFSLTR1GVEW" hidden="1">#REF!</definedName>
    <definedName name="BExZUT54340I38GVCV79EL116WR0" hidden="1">#REF!</definedName>
    <definedName name="BExZUYDULCX65H9OZ9JHPBNKF3MI" hidden="1">#REF!</definedName>
    <definedName name="BExZV2QD5ZDK3AGDRULLA7JB46C3" hidden="1">#REF!</definedName>
    <definedName name="BExZV4OFC4E044NV2AK8G2UA1XAF" hidden="1">#REF!</definedName>
    <definedName name="BExZVBQ29OM0V8XAL3HL0JIM0MMU" hidden="1">#REF!</definedName>
    <definedName name="BExZVCRRWDAEMKOMWLKW8Y589BTB" hidden="1">#REF!</definedName>
    <definedName name="BExZVEPYS6HYXG8RN9GMWZTHDEMK" hidden="1">#REF!</definedName>
    <definedName name="BExZVLM4T9ORS4ZWHME46U4Q103C" hidden="1">#REF!</definedName>
    <definedName name="BExZVM7OZWPPRH5YQW50EYMMIW1A" hidden="1">#REF!</definedName>
    <definedName name="BExZVNK6AFZPR09CHAM7RPC1SM9U" hidden="1">#REF!</definedName>
    <definedName name="BExZVPYGX2C5OSHMZ6F0KBKZ6B1S" hidden="1">#REF!</definedName>
    <definedName name="BExZVW92BIGOE7S7BGNAK369OBAA" hidden="1">#REF!</definedName>
    <definedName name="BExZW5UARC8W9AQNLJX2I5WQWS5F" hidden="1">#REF!</definedName>
    <definedName name="BExZW7HRGN6A9YS41KI2B2UUMJ7X" hidden="1">#REF!</definedName>
    <definedName name="BExZW8ZPNV43UXGOT98FDNIBQHZY" hidden="1">#REF!</definedName>
    <definedName name="BExZWH8C44HGC9BUVJBLD9AW3QC5" hidden="1">#REF!</definedName>
    <definedName name="BExZWKZ5N3RDXU8MZ8HQVYYD8O0F" hidden="1">#REF!</definedName>
    <definedName name="BExZWO4ITR24TI60TY7ZB4VTJJ3K" hidden="1">#REF!</definedName>
    <definedName name="BExZWSMC9T48W74GFGQCIUJ8ZPP3" hidden="1">#REF!</definedName>
    <definedName name="BExZWTO13WI5HYOD923V9HWRJYKJ" hidden="1">#REF!</definedName>
    <definedName name="BExZWUF2V4HY3HI8JN9ZVPRWK1H3" hidden="1">#REF!</definedName>
    <definedName name="BExZWX45URTK9KYDJHEXL1OTZ833" hidden="1">#REF!</definedName>
    <definedName name="BExZX0EWQEZO86WDAD9A4EAEZ012" hidden="1">#REF!</definedName>
    <definedName name="BExZX1WSR48BBWSFW7QP7EUMPQM7" hidden="1">#REF!</definedName>
    <definedName name="BExZX2T6ZT2DZLYSDJJBPVIT5OK2" hidden="1">#REF!</definedName>
    <definedName name="BExZX8I6XYE9MJFC5JUG3ZJE9YCS" hidden="1">#REF!</definedName>
    <definedName name="BExZXLOSQQYMBRFQ9V2M8QL1BNI8"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A4YA3LROELPDUCJ8SP9YM0" hidden="1">#REF!</definedName>
    <definedName name="BExZXYQ7U5G08FQGUIGYT14QCBOF" hidden="1">#REF!</definedName>
    <definedName name="BExZY02V77YJBMODJSWZOYCMPS5X" hidden="1">#REF!</definedName>
    <definedName name="BExZY49QRZIR6CA41LFA9LM6EULU" hidden="1">#REF!</definedName>
    <definedName name="BExZY50S4HHNUTV4EYWJPKZDW6AD" hidden="1">#REF!</definedName>
    <definedName name="BExZZ24YQOBUJTDPVU4JE2DI81OU" hidden="1">#REF!</definedName>
    <definedName name="BExZZ2FQA9A8C7CJKMEFQ9VPSLCE" hidden="1">#REF!</definedName>
    <definedName name="BExZZC6HAIITD2LG9VYL7VF2213L" hidden="1">#REF!</definedName>
    <definedName name="BExZZCHAVHW8C2H649KRGVQ0WVRT" hidden="1">#REF!</definedName>
    <definedName name="BExZZTK54OTLF2YB68BHGOS27GEN" hidden="1">#REF!</definedName>
    <definedName name="BExZZX5LNMXWHX5WKP9XRZI1YZA1" hidden="1">#REF!</definedName>
    <definedName name="BExZZXB3JQQG4SIZS4MRU6NNW7HI" hidden="1">#REF!</definedName>
    <definedName name="BExZZZEMIIFKMLLV4DJKX5TB9R5V" hidden="1">#REF!</definedName>
    <definedName name="bjajhba" hidden="1">#REF!</definedName>
    <definedName name="bjhahbg" hidden="1">#REF!</definedName>
    <definedName name="bjsjbna" hidden="1">#REF!</definedName>
    <definedName name="BLPH1" hidden="1">#REF!</definedName>
    <definedName name="BLPH15" hidden="1">#REF!</definedName>
    <definedName name="BLPH16"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n" hidden="1">{#N/A,#N/A,FALSE,"EARNINGS";#N/A,#N/A,FALSE,"BALANCE";#N/A,#N/A,FALSE,"CASHFLOW"}</definedName>
    <definedName name="CA" hidden="1">#REF!</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250B349A_opts" hidden="1">"2, 1, 1, True, 2, False, False, , 0, False, False, 1, 1"</definedName>
    <definedName name="cb_sChart250B5702_opts" hidden="1">"2, 1, 1, False, 2, False, False, , 0, False, False, 1, 1"</definedName>
    <definedName name="cb_sChart250B585D_opts" hidden="1">"2, 1, 1, True, 2, False, False, , 0, False, False, 1, 1"</definedName>
    <definedName name="CBWorkbookPriority" hidden="1">-1736091703</definedName>
    <definedName name="CCCC" hidden="1">#REF!</definedName>
    <definedName name="cccccccccccccccc"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ccccccccccccccccccccccccccccccc"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cdcdcd"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CF_Corp_GA_Actuals">'[1]LTO Board View (Actuals)'!$E$279:$AB$279</definedName>
    <definedName name="CF_Corp_SGA_Budget">'[1]LTO Accounting View'!#REF!</definedName>
    <definedName name="CFValue" hidden="1">{#N/A,#N/A,FALSE,"EARNINGS";#N/A,#N/A,FALSE,"BALANCE";#N/A,#N/A,FALSE,"CASHFLOW"}</definedName>
    <definedName name="CHACA" hidden="1">#REF!</definedName>
    <definedName name="ChangeRange" hidden="1">#REF!</definedName>
    <definedName name="CIQWBGuid" hidden="1">"Mobility Scratch Model v06.xlsx"</definedName>
    <definedName name="CIQWBInfo" hidden="1">"{ ""CIQVersion"":""9.45.614.5792"" }"</definedName>
    <definedName name="COGS_Actuals">'[1]LTO Board View (Actuals)'!$E$250:$AB$250</definedName>
    <definedName name="Collection_Rate_Actuals">'[1]LTO Board View (Actuals)'!$E$67:$AB$67</definedName>
    <definedName name="Constantes" hidden="1">{#N/A,#N/A,FALSE,"CARATULA";#N/A,#N/A,FALSE,"GRAF-VTSTOT-N$";#N/A,#N/A,FALSE,"graf-vts-tot-mil-corr-std";#N/A,#N/A,FALSE,"OPERACION";#N/A,#N/A,FALSE,"opn-prod-conversion";#N/A,#N/A,FALSE,"MERMA_Y_DEVOL";#N/A,#N/A,FALSE,"MARGRAF";#N/A,#N/A,FALSE,"EDORESULT";#N/A,#N/A,FALSE,"REC_HUM2"}</definedName>
    <definedName name="Constantes1" hidden="1">{#N/A,#N/A,FALSE,"CARATULA";#N/A,#N/A,FALSE,"GRAF-VTSTOT-N$";#N/A,#N/A,FALSE,"graf-vts-tot-mil-corr-std";#N/A,#N/A,FALSE,"OPERACION";#N/A,#N/A,FALSE,"opn-prod-conversion";#N/A,#N/A,FALSE,"MERMA_Y_DEVOL";#N/A,#N/A,FALSE,"MARGRAF";#N/A,#N/A,FALSE,"EDORESULT";#N/A,#N/A,FALSE,"REC_HUM2"}</definedName>
    <definedName name="ContentsHelp" hidden="1">#REF!</definedName>
    <definedName name="CreateTable" hidden="1">#REF!</definedName>
    <definedName name="Cross_Functional_GA_Budget">'[1]LTO Accounting View'!#REF!</definedName>
    <definedName name="Cross_Functional_SGA_Actuals">'[1]LTO Board View (Actuals)'!$E$276:$AB$276</definedName>
    <definedName name="DA_Actuals">'[1]LTO Board View (Actuals)'!$E$289:$AB$289</definedName>
    <definedName name="DA_Budget">'[1]LTO Accounting View'!#REF!</definedName>
    <definedName name="dadadad"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CF" hidden="1">{#N/A,#N/A,FALSE,"DCF Summary";#N/A,#N/A,FALSE,"Casema";#N/A,#N/A,FALSE,"Casema NoTel";#N/A,#N/A,FALSE,"UK";#N/A,#N/A,FALSE,"RCF";#N/A,#N/A,FALSE,"Intercable CZ";#N/A,#N/A,FALSE,"Interkabel P"}</definedName>
    <definedName name="DCF2006US" hidden="1">{#N/A,#N/A,FALSE,"EARNINGS";#N/A,#N/A,FALSE,"BALANCE";#N/A,#N/A,FALSE,"CASHFLOW"}</definedName>
    <definedName name="ddd" hidden="1">{#N/A,#N/A,TRUE,"Flash";#N/A,#N/A,TRUE,"Stock";#N/A,#N/A,TRUE,"Maintenance";#N/A,#N/A,TRUE,"Income Statement local";#N/A,#N/A,TRUE,"Variance"}</definedName>
    <definedName name="DDDDD" hidden="1">#REF!</definedName>
    <definedName name="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ddddccccccccccc"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fffffffffffffffff"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ddddssssssaaaaaaaaaa"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ee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d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dwwd" hidden="1">{#N/A,#N/A,FALSE,"Flash"}</definedName>
    <definedName name="dede"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ededee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eded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edsesese"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eleteme1" hidden="1">{#N/A,#N/A,FALSE,"Summary";#N/A,#N/A,FALSE,"CF";#N/A,#N/A,FALSE,"P&amp;L";#N/A,#N/A,FALSE,"BS";#N/A,#N/A,FALSE,"Returns";#N/A,#N/A,FALSE,"Assumptions";#N/A,#N/A,FALSE,"Analysis"}</definedName>
    <definedName name="deleteme3" hidden="1">{#N/A,#N/A,FALSE,"Summary";#N/A,#N/A,FALSE,"CF";#N/A,#N/A,FALSE,"P&amp;L";"summary",#N/A,FALSE,"Returns";#N/A,#N/A,FALSE,"BS";"summary",#N/A,FALSE,"Analysis";#N/A,#N/A,FALSE,"Assumptions"}</definedName>
    <definedName name="DeleteRange" hidden="1">#REF!</definedName>
    <definedName name="DeleteTable" hidden="1">#REF!</definedName>
    <definedName name="dererrr"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e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ETALLES" hidden="1">#REF!</definedName>
    <definedName name="dfbh" hidden="1">#REF!</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f" hidden="1">{#N/A,#N/A,FALSE,"CARATULA";#N/A,#N/A,FALSE,"GRAF-VTSTOT-N$";#N/A,#N/A,FALSE,"graf-vts-tot-mil-corr-std";#N/A,#N/A,FALSE,"OPERACION";#N/A,#N/A,FALSE,"opn-prod-conversion";#N/A,#N/A,FALSE,"MERMA_Y_DEVOL";#N/A,#N/A,FALSE,"MARGRAF";#N/A,#N/A,FALSE,"EDORESULT";#N/A,#N/A,FALSE,"REC_HUM2"}</definedName>
    <definedName name="dffffffffffffffffffffffffffffff"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ffffffffffffffffffffffffffffffffffff"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FGHFG" hidden="1">#REF!</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{"mgmt forecast",#N/A,FALSE,"Mgmt Forecast";"dcf table",#N/A,FALSE,"Mgmt Forecast";"sensitivity",#N/A,FALSE,"Mgmt Forecast";"table inputs",#N/A,FALSE,"Mgmt Forecast";"calculations",#N/A,FALSE,"Mgmt Forecast"}</definedName>
    <definedName name="dghd" hidden="1">#REF!</definedName>
    <definedName name="dh" hidden="1">{#N/A,#N/A,FALSE,"Antony Financials";#N/A,#N/A,FALSE,"Cowboy Financials";#N/A,#N/A,FALSE,"Combined";#N/A,#N/A,FALSE,"Valuematrix";#N/A,#N/A,FALSE,"DCFAntony";#N/A,#N/A,FALSE,"DCFCowboy";#N/A,#N/A,FALSE,"DCFCombined"}</definedName>
    <definedName name="DHGGFH" hidden="1">#REF!</definedName>
    <definedName name="Dinorah"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irect_Business_Line_SGA_Budget">'[1]LTO Accounting View'!#REF!</definedName>
    <definedName name="Direct_Business_Lines_SGA_Actuals">'[1]LTO Board View (Actuals)'!$E$273:$AB$273</definedName>
    <definedName name="DI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j" hidden="1">{#N/A,#N/A,FALSE,"CreditStat";#N/A,#N/A,FALSE,"SPbrkup";#N/A,#N/A,FALSE,"MerSPsyn";#N/A,#N/A,FALSE,"MerSPwKCsyn";#N/A,#N/A,FALSE,"MerSPwKCsyn (2)";#N/A,#N/A,FALSE,"CreditStat (2)"}</definedName>
    <definedName name="dooooooooooooooooo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OS" hidden="1">{#N/A,#N/A,FALSE,"CARATULA";#N/A,#N/A,FALSE,"GRAF-VTSTOT-N$";#N/A,#N/A,FALSE,"graf-vts-tot-mil-corr-std";#N/A,#N/A,FALSE,"OPERACION";#N/A,#N/A,FALSE,"opn-prod-conversion";#N/A,#N/A,FALSE,"MERMA_Y_DEVOL";#N/A,#N/A,FALSE,"MARGRAF";#N/A,#N/A,FALSE,"EDORESULT";#N/A,#N/A,FALSE,"REC_HUM2"}</definedName>
    <definedName name="drc" hidden="1">#N/A</definedName>
    <definedName name="dsdddd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dsd"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dsdeweded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sd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dsdsd"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dsd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dsdsds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sdsdsd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dsdsdsdsd"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e3eeeeeeee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sede"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pppppppp"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s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d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ss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dx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eeeeeeee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eeeeeeeeeeeee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eeeeeeeeeeeeeeeeeee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eeeeeeeeeeeeeeeeeeeee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eer4r"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Eliminations">#REF!</definedName>
    <definedName name="er" hidden="1">{#N/A,#N/A,FALSE,"Flash"}</definedName>
    <definedName name="erase2" hidden="1">{#N/A,#N/A,FALSE,"Summary";#N/A,#N/A,FALSE,"CF";#N/A,#N/A,FALSE,"P&amp;L";#N/A,#N/A,FALSE,"BS";#N/A,#N/A,FALSE,"Returns";#N/A,#N/A,FALSE,"Assumptions";#N/A,#N/A,FALSE,"Analysis"}</definedName>
    <definedName name="erase3" hidden="1">{#N/A,#N/A,FALSE,"Summary";#N/A,#N/A,FALSE,"CF";#N/A,#N/A,FALSE,"P&amp;L";"summary",#N/A,FALSE,"Returns";#N/A,#N/A,FALSE,"BS";"summary",#N/A,FALSE,"Analysis";#N/A,#N/A,FALSE,"Assumptions"}</definedName>
    <definedName name="erika" hidden="1">#REF!</definedName>
    <definedName name="ert" hidden="1">#REF!</definedName>
    <definedName name="erte" hidden="1">#REF!</definedName>
    <definedName name="ertuy" hidden="1">#REF!</definedName>
    <definedName name="ESTANDAR" hidden="1">#REF!</definedName>
    <definedName name="ESTE"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ev.Calculation" hidden="1">-4135</definedName>
    <definedName name="ev.Initialized" hidden="1">FALSE</definedName>
    <definedName name="EV_Origination_Actuals">'[1]LTO Board View (Actuals)'!$E$19:$AB$19</definedName>
    <definedName name="ewewewewew"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fdjjjjjjjjjjjjjjj"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fdshgs" hidden="1">{#N/A,#N/A,FALSE,"Flash"}</definedName>
    <definedName name="FEB" hidden="1">#REF!</definedName>
    <definedName name="ff" hidden="1">{"djcash",#N/A,FALSE,"DJann";"djinc",#N/A,FALSE,"DJann";"djtaxes",#N/A,FALSE,"DJann";"djbuspub",#N/A,FALSE,"DJann";"djwall",#N/A,FALSE,"DJann";"djcompprs",#N/A,FALSE,"DJann";"djteler",#N/A,FALSE,"DJann"}</definedName>
    <definedName name="fff" hidden="1">{#N/A,#N/A,FALSE,"DCF Summary";#N/A,#N/A,FALSE,"Casema";#N/A,#N/A,FALSE,"Casema NoTel";#N/A,#N/A,FALSE,"UK";#N/A,#N/A,FALSE,"RCF";#N/A,#N/A,FALSE,"Intercable CZ";#N/A,#N/A,FALSE,"Interkabel P"}</definedName>
    <definedName name="fffffff"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fffffffffffffff"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fg" hidden="1">{#N/A,#N/A,FALSE,"Flash"}</definedName>
    <definedName name="Figure" localSheetId="13" hidden="1">#REF!</definedName>
    <definedName name="Figure" hidden="1">#REF!</definedName>
    <definedName name="Form_P_1_FooterType" hidden="1">"EXTERNAL"</definedName>
    <definedName name="Form_P1_FooterType" hidden="1">"EXTERNAL"</definedName>
    <definedName name="Form_P2_FooterType" hidden="1">"EXTERNAL"</definedName>
    <definedName name="France_FooterType" hidden="1">"EXTERNAL"</definedName>
    <definedName name="gasgahwera" hidden="1">#REF!</definedName>
    <definedName name="Germany_FooterType" hidden="1">"EXTERNAL"</definedName>
    <definedName name="gfh" hidden="1">#REF!</definedName>
    <definedName name="gg" hidden="1">{#N/A,#N/A,FALSE,"EARNINGS";#N/A,#N/A,FALSE,"BALANCE";#N/A,#N/A,FALSE,"CASHFLOW"}</definedName>
    <definedName name="ggg" hidden="1">{"'1998 New March Update'!$A$1:$O$71"}</definedName>
    <definedName name="GGGGG" hidden="1">#REF!</definedName>
    <definedName name="GGGGGG" hidden="1">#REF!</definedName>
    <definedName name="gh" hidden="1">{#N/A,#N/A,FALSE,"CreditStat";#N/A,#N/A,FALSE,"SPbrkup";#N/A,#N/A,FALSE,"MerSPsyn";#N/A,#N/A,FALSE,"MerSPwKCsyn";#N/A,#N/A,FALSE,"MerSPwKCsyn (2)";#N/A,#N/A,FALSE,"CreditStat (2)"}</definedName>
    <definedName name="GIN"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A"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A2" hidden="1">{#N/A,#N/A,FALSE,"CARATULA";#N/A,#N/A,FALSE,"GRAF-VTSTOT-N$";#N/A,#N/A,FALSE,"graf-vts-tot-mil-corr-std";#N/A,#N/A,FALSE,"OPERACION";#N/A,#N/A,FALSE,"opn-prod-conversion";#N/A,#N/A,FALSE,"MERMA_Y_DEVOL";#N/A,#N/A,FALSE,"MARGRAF";#N/A,#N/A,FALSE,"EDORESULT";#N/A,#N/A,FALSE,"REC_HUM2"}</definedName>
    <definedName name="GINA3"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a34"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A4" hidden="1">{#N/A,#N/A,FALSE,"CARATULA";#N/A,#N/A,FALSE,"GRAF-VTSTOT-N$";#N/A,#N/A,FALSE,"graf-vts-tot-mil-corr-std";#N/A,#N/A,FALSE,"OPERACION";#N/A,#N/A,FALSE,"opn-prod-conversion";#N/A,#N/A,FALSE,"MERMA_Y_DEVOL";#N/A,#N/A,FALSE,"MARGRAF";#N/A,#N/A,FALSE,"EDORESULT";#N/A,#N/A,FALSE,"REC_HUM2"}</definedName>
    <definedName name="GINI"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IS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ITA"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ITTI"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NA"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GINNI" hidden="1">{#N/A,#N/A,FALSE,"CARATULA";#N/A,#N/A,FALSE,"GRAF-VTSTOT-N$";#N/A,#N/A,FALSE,"graf-vts-tot-mil-corr-std";#N/A,#N/A,FALSE,"OPERACION";#N/A,#N/A,FALSE,"opn-prod-conversion";#N/A,#N/A,FALSE,"MERMA_Y_DEVOL";#N/A,#N/A,FALSE,"MARGRAF";#N/A,#N/A,FALSE,"EDORESULT";#N/A,#N/A,FALSE,"REC_HUM2"}</definedName>
    <definedName name="GINNISIMA" hidden="1">{#N/A,#N/A,FALSE,"CARATULA";#N/A,#N/A,FALSE,"GRAF-VTSTOT-N$";#N/A,#N/A,FALSE,"graf-vts-tot-mil-corr-std";#N/A,#N/A,FALSE,"OPERACION";#N/A,#N/A,FALSE,"opn-prod-conversion";#N/A,#N/A,FALSE,"MERMA_Y_DEVOL";#N/A,#N/A,FALSE,"MARGRAF";#N/A,#N/A,FALSE,"EDORESULT";#N/A,#N/A,FALSE,"REC_HUM2"}</definedName>
    <definedName name="GIORGIA" hidden="1">{#N/A,#N/A,FALSE,"CARATULA";#N/A,#N/A,FALSE,"GRAF-VTSTOT-N$";#N/A,#N/A,FALSE,"graf-vts-tot-mil-corr-std";#N/A,#N/A,FALSE,"OPERACION";#N/A,#N/A,FALSE,"opn-prod-conversion";#N/A,#N/A,FALSE,"MERMA_Y_DEVOL";#N/A,#N/A,FALSE,"MARGRAF";#N/A,#N/A,FALSE,"EDORESULT";#N/A,#N/A,FALSE,"REC_HUM2"}</definedName>
    <definedName name="Girokreditering"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lideChartMarker" hidden="1">"Chart!A1"</definedName>
    <definedName name="GlideDataMarker" hidden="1">"Data!A1"</definedName>
    <definedName name="GlideHiddenMarker" hidden="1">"Costcurvedata!A1"</definedName>
    <definedName name="GlideMaxCharts" hidden="1">7</definedName>
    <definedName name="GNIG" hidden="1">{#N/A,#N/A,FALSE,"CARATULA";#N/A,#N/A,FALSE,"GRAF-VTSTOT-N$";#N/A,#N/A,FALSE,"graf-vts-tot-mil-corr-std";#N/A,#N/A,FALSE,"OPERACION";#N/A,#N/A,FALSE,"opn-prod-conversion";#N/A,#N/A,FALSE,"MERMA_Y_DEVOL";#N/A,#N/A,FALSE,"MARGRAF";#N/A,#N/A,FALSE,"EDORESULT";#N/A,#N/A,FALSE,"REC_HUM2"}</definedName>
    <definedName name="gty" hidden="1">#REF!</definedName>
    <definedName name="haharega" hidden="1">#REF!</definedName>
    <definedName name="help2" hidden="1">#N/A</definedName>
    <definedName name="help3" hidden="1">#N/A</definedName>
    <definedName name="help4" hidden="1">#N/A</definedName>
    <definedName name="help5" hidden="1">#N/A</definedName>
    <definedName name="help6" hidden="1">#N/A</definedName>
    <definedName name="help7" hidden="1">#N/A</definedName>
    <definedName name="HEV_Origination_Actuals">'[1]LTO Board View (Actuals)'!$E$18:$AB$18</definedName>
    <definedName name="hgh" hidden="1">{#N/A,#N/A,FALSE,"Income Statement";#N/A,#N/A,FALSE,"Flash";#N/A,#N/A,FALSE,"Pulp";#N/A,#N/A,FALSE,"Stock";#N/A,#N/A,FALSE,"Paper Balance"}</definedName>
    <definedName name="hn.Delete015" hidden="1">#REF!,#REF!,#REF!,#REF!,#REF!</definedName>
    <definedName name="hn.ModelVersion" hidden="1">1</definedName>
    <definedName name="hn.NoUpload" hidden="1">0</definedName>
    <definedName name="hshsh" hidden="1">{#N/A,#N/A,FALSE,"CARATULA";#N/A,#N/A,FALSE,"GRAF-VTSTOT-N$";#N/A,#N/A,FALSE,"graf-vts-tot-mil-corr-std";#N/A,#N/A,FALSE,"OPERACION";#N/A,#N/A,FALSE,"opn-prod-conversion";#N/A,#N/A,FALSE,"MERMA_Y_DEVOL";#N/A,#N/A,FALSE,"MARGRAF";#N/A,#N/A,FALSE,"EDORESULT";#N/A,#N/A,FALSE,"REC_HUM2"}</definedName>
    <definedName name="HTML_CodePage" hidden="1">1252</definedName>
    <definedName name="HTML_Control" hidden="1">{"'A21005'!$A$3:$M$5"}</definedName>
    <definedName name="HTML_Description" hidden="1">""</definedName>
    <definedName name="HTML_Email" hidden="1">""</definedName>
    <definedName name="HTML_Header" hidden="1">"A21005"</definedName>
    <definedName name="HTML_LastUpdate" hidden="1">"31/08/00"</definedName>
    <definedName name="HTML_LineAfter" hidden="1">TRUE</definedName>
    <definedName name="HTML_LineBefore" hidden="1">TRUE</definedName>
    <definedName name="HTML_Name" hidden="1">"Gerencia Llanos"</definedName>
    <definedName name="HTML_OBDlg2" hidden="1">TRUE</definedName>
    <definedName name="HTML_OBDlg3" hidden="1">TRUE</definedName>
    <definedName name="HTML_OBDlg4" hidden="1">TRUE</definedName>
    <definedName name="HTML_OS" hidden="1">0</definedName>
    <definedName name="HTML_PathFile" hidden="1">"C:\Mis documentos\HTML.htm"</definedName>
    <definedName name="HTML_PathTemplate" hidden="1">"C:\OPERACIONES\HTML.htm"</definedName>
    <definedName name="HTML_Title" hidden="1">"FORMATO-1"</definedName>
    <definedName name="ICE_Origination_Actuals">'[1]LTO Board View (Actuals)'!$E$17:$AB$17</definedName>
    <definedName name="inpamex"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Interest_Expense_Actuals">'[1]LTO Board View (Actuals)'!$E$225:$AB$225</definedName>
    <definedName name="Interest_Expense_Budget">'[1]LTO Accounting View'!#REF!</definedName>
    <definedName name="Interest_Income_Actuals">'[1]LTO Board View (Actuals)'!$E$224:$AB$224</definedName>
    <definedName name="Interest_Income_Budget">'[1]LTO Accounting View'!#REF!</definedName>
    <definedName name="Inventory_MXNm_Actuals">'[1]LTO Board View (Actuals)'!$E$104:$AB$104</definedName>
    <definedName name="Inventory_MXNm_Budget">'[1]LTO Accounting View'!#REF!</definedName>
    <definedName name="Inventory_Vehicles_Actuals">'[1]LTO Board View (Actuals)'!$E$89:$AB$89</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EST" hidden="1">"c399"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43873.6284606481</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39646.5868634259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Italy_FooterType" hidden="1">"EXTERNAL"</definedName>
    <definedName name="IT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IUIOUUOI" hidden="1">#REF!</definedName>
    <definedName name="jazz"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h" hidden="1">{#N/A,#N/A,FALSE,"CreditStat";#N/A,#N/A,FALSE,"SPbrkup";#N/A,#N/A,FALSE,"MerSPsyn";#N/A,#N/A,FALSE,"MerSPwKCsyn";#N/A,#N/A,FALSE,"MerSPwKCsyn (2)";#N/A,#N/A,FALSE,"CreditStat (2)"}</definedName>
    <definedName name="jjjjjjjjj"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jjkg" hidden="1">#REF!</definedName>
    <definedName name="jkljkl" hidden="1">{"'A21005'!$A$3:$M$5"}</definedName>
    <definedName name="JUMBOEXP"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keykey" localSheetId="13" hidden="1">#REF!</definedName>
    <definedName name="keykey" hidden="1">#REF!</definedName>
    <definedName name="kikikiii"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kjhkjh" hidden="1">{#N/A,#N/A,FALSE,"ORIX CSC"}</definedName>
    <definedName name="kkkkkkkkkkkkkk"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klklklklklklklklk"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ksksksksks" hidden="1">{#N/A,#N/A,FALSE,"CARATULA";#N/A,#N/A,FALSE,"GRAF-VTSTOT-N$";#N/A,#N/A,FALSE,"graf-vts-tot-mil-corr-std";#N/A,#N/A,FALSE,"OPERACION";#N/A,#N/A,FALSE,"opn-prod-conversion";#N/A,#N/A,FALSE,"MERMA_Y_DEVOL";#N/A,#N/A,FALSE,"MARGRAF";#N/A,#N/A,FALSE,"EDORESULT";#N/A,#N/A,FALSE,"REC_HUM2"}</definedName>
    <definedName name="limcount" hidden="1">1</definedName>
    <definedName name="lk" hidden="1">{#N/A,#N/A,FALSE,"CARATULA";#N/A,#N/A,FALSE,"GRAF-VTSTOT-N$";#N/A,#N/A,FALSE,"graf-vts-tot-mil-corr-std";#N/A,#N/A,FALSE,"OPERACION";#N/A,#N/A,FALSE,"opn-prod-conversion";#N/A,#N/A,FALSE,"MERMA_Y_DEVOL";#N/A,#N/A,FALSE,"MARGRAF";#N/A,#N/A,FALSE,"EDORESULT";#N/A,#N/A,FALSE,"REC_HUM2"}</definedName>
    <definedName name="lkjlj"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llllllllll" hidden="1">#REF!</definedName>
    <definedName name="lllllllllllll"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LLR_Actuals">'[1]LTO Board View (Actuals)'!$E$318:$AB$318</definedName>
    <definedName name="LLR_PL_Actuals">'[1]LTO Board View (Actuals)'!$E$231:$AB$231</definedName>
    <definedName name="LLR_PL_Budget">'[1]LTO Accounting View'!#REF!</definedName>
    <definedName name="M_PlaceofPath" hidden="1">"F:\CMOTZ\excel\ati\ATI_VDF.XLS"</definedName>
    <definedName name="Maintenance_Budget">'[1]LTO Accounting View'!#REF!</definedName>
    <definedName name="manuel777"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marconi"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masse"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MC_OIC" hidden="1">{"Purchase 100 Cash",#N/A,FALSE,"Deal 1";#N/A,#N/A,FALSE,"Deal 1b"}</definedName>
    <definedName name="MerrillPrintIt" hidden="1">#REF!</definedName>
    <definedName name="MLNK0641d49c7335468a90cf5df63bd8586b" hidden="1">#REF!</definedName>
    <definedName name="MLNK06c2bc7b149843e58c648e5196e406e0" localSheetId="8" hidden="1">#REF!</definedName>
    <definedName name="MLNK06c2bc7b149843e58c648e5196e406e0" localSheetId="13" hidden="1">#REF!</definedName>
    <definedName name="MLNK06c2bc7b149843e58c648e5196e406e0" hidden="1">#REF!</definedName>
    <definedName name="MLNK071b85b92c004030b8f418740ca172d1" hidden="1">#REF!</definedName>
    <definedName name="MLNK0ed91e1f06be49f5b8d895ab693c852a" hidden="1">#REF!</definedName>
    <definedName name="MLNK10ebaa608fc24f5f879e0b7ab99d9512" hidden="1">#REF!</definedName>
    <definedName name="MLNK18ce6ef746b9472c9a5d0ccd8b484ad9" hidden="1">#REF!</definedName>
    <definedName name="MLNK1a7700fcc8d94f38a34ded101b905f3d" hidden="1">#REF!</definedName>
    <definedName name="MLNK1a82b6b81b90459788040c3a642b014c" hidden="1">#REF!</definedName>
    <definedName name="MLNK1afbe8fa71c24d1194d965bd94146ca1" hidden="1">#REF!</definedName>
    <definedName name="MLNK1b1e98e00cf2456797e5fb7170815e74" localSheetId="0" hidden="1">'[1]Board Tabs Outputs'!#REF!</definedName>
    <definedName name="MLNK1b1e98e00cf2456797e5fb7170815e74" hidden="1">'Board Tabs Outputs'!#REF!</definedName>
    <definedName name="MLNK1d0d64559ee44f1386af54929429c6ca" hidden="1">#REF!</definedName>
    <definedName name="MLNK1dedd0c17f404cc4b5375b1f766ce1e6" hidden="1">#REF!</definedName>
    <definedName name="MLNK1e61cbd0da19439e895a89be282b4b0d" hidden="1">#REF!</definedName>
    <definedName name="MLNK1eb0699807a944bb8ad59fbb830407cc" hidden="1">'Board Tabs Outputs'!$1:$1048576</definedName>
    <definedName name="MLNK20873db0b610461384b660d952de9a2e" hidden="1">'[1]Operative &amp; Financial Metrics'!#REF!</definedName>
    <definedName name="MLNK20e403e0e79e4a789debc5ba80271743" localSheetId="13" hidden="1">#REF!</definedName>
    <definedName name="MLNK20e403e0e79e4a789debc5ba80271743" hidden="1">#REF!</definedName>
    <definedName name="MLNK21016942331f47d9add24b2d944f2abd" hidden="1">#REF!</definedName>
    <definedName name="MLNK21793e9bcb1a48488d3ac6d0c05bf939" hidden="1">#REF!</definedName>
    <definedName name="MLNK2524e4964fc742f4a91b9eb054540424" localSheetId="13" hidden="1">#REF!</definedName>
    <definedName name="MLNK2524e4964fc742f4a91b9eb054540424" hidden="1">#REF!</definedName>
    <definedName name="MLNK2766de59eed04cfb81c15115896997a7" hidden="1">#REF!</definedName>
    <definedName name="MLNK2cc9c4b111314580977c488d933186c3" hidden="1">#REF!</definedName>
    <definedName name="MLNK2dfcfee190684730a4834c16c24a6441" hidden="1">#REF!</definedName>
    <definedName name="MLNK32fada196d034d5e8c072ed479f680ec" localSheetId="13" hidden="1">#REF!</definedName>
    <definedName name="MLNK32fada196d034d5e8c072ed479f680ec" hidden="1">#REF!</definedName>
    <definedName name="MLNK3721a308afc44e4699ed5a13bf68f5d3" hidden="1">#REF!</definedName>
    <definedName name="MLNK372245015d244289826a115061fba7ec" localSheetId="13" hidden="1">#REF!</definedName>
    <definedName name="MLNK372245015d244289826a115061fba7ec" hidden="1">#REF!</definedName>
    <definedName name="MLNK39c80560ca014142a226f0e59a326ab7" hidden="1">#REF!</definedName>
    <definedName name="MLNK3a7e0d5ba4da4c169f28bd43441f070a" localSheetId="13" hidden="1">#REF!</definedName>
    <definedName name="MLNK3a7e0d5ba4da4c169f28bd43441f070a" hidden="1">#REF!</definedName>
    <definedName name="MLNK3ae67f88091f48dea6c91870ebedde42" hidden="1">#REF!</definedName>
    <definedName name="MLNK3f3e22ede6ea48c498cdd5c3bd266e62" hidden="1">#REF!</definedName>
    <definedName name="MLNK40a7855d86654a5095c708bdce6afa6d" hidden="1">#REF!</definedName>
    <definedName name="MLNK41e819989e90434b919fcee418c500ca" localSheetId="13" hidden="1">#REF!</definedName>
    <definedName name="MLNK41e819989e90434b919fcee418c500ca" hidden="1">#REF!</definedName>
    <definedName name="MLNK451437e6e2a74cdda78ba741780ceca8" hidden="1">#REF!</definedName>
    <definedName name="MLNK4e600dea5dd148e29587d14b9f85c763" hidden="1">#REF!</definedName>
    <definedName name="MLNK5306df7ebedd470182a2b8a0dd9fad6d" localSheetId="13" hidden="1">#REF!</definedName>
    <definedName name="MLNK5306df7ebedd470182a2b8a0dd9fad6d" hidden="1">#REF!</definedName>
    <definedName name="MLNK54b434edb7154b8fb51410dcd1e3d09c" localSheetId="13" hidden="1">#REF!</definedName>
    <definedName name="MLNK54b434edb7154b8fb51410dcd1e3d09c" hidden="1">#REF!</definedName>
    <definedName name="MLNK5b6447fa9e744a4086ea63dadbd6370d" hidden="1">'Board Tabs Outputs'!#REF!</definedName>
    <definedName name="MLNK5b7f6d7483684e46b30979980d45f263" hidden="1">#REF!</definedName>
    <definedName name="MLNK5dba9a85156747f0995c72a77af84817" localSheetId="8" hidden="1">'Board Tabs Outputs'!$1:$1048576</definedName>
    <definedName name="MLNK5dba9a85156747f0995c72a77af84817" localSheetId="3" hidden="1">Scenarios!$1:$1048576</definedName>
    <definedName name="MLNK5dba9a85156747f0995c72a77af84817" hidden="1">#REF!</definedName>
    <definedName name="MLNK6229ada643244cab85f07cd6a79fb1cd" localSheetId="13" hidden="1">#REF!</definedName>
    <definedName name="MLNK6229ada643244cab85f07cd6a79fb1cd" hidden="1">#REF!</definedName>
    <definedName name="MLNK63c27b03474d4d5fbf5d6e11328c31ab" hidden="1">#REF!</definedName>
    <definedName name="MLNK65bb46542de84e68961b37f50ac7c0c3" hidden="1">#REF!</definedName>
    <definedName name="MLNK67764138c51b437ba881e18cf6245bee" hidden="1">#REF!</definedName>
    <definedName name="MLNK67b62efb550a4dc19d813c1aa7d5bdec" hidden="1">#REF!</definedName>
    <definedName name="MLNK6a0353f5f06448eba71573698fd51494" hidden="1">#REF!</definedName>
    <definedName name="MLNK6b267a0e5ef5472898962ecfdf796164" hidden="1">#REF!</definedName>
    <definedName name="MLNK6ee8b06114de470ba147b7b4659e868f" hidden="1">#REF!</definedName>
    <definedName name="MLNK6fb40075b4fd4525b4da07d4eeaa0d0c" hidden="1">#REF!</definedName>
    <definedName name="MLNK711a64db5f314dfa9c144811226e38ea" hidden="1">#REF!</definedName>
    <definedName name="MLNK7195a033db374cf5a0a5d54200e1d154" localSheetId="8" hidden="1">#REF!</definedName>
    <definedName name="MLNK7195a033db374cf5a0a5d54200e1d154" hidden="1">#REF!</definedName>
    <definedName name="MLNK817f6dd02c464bdfb6a8dd242ada409f" hidden="1">#REF!</definedName>
    <definedName name="MLNK8822c941343d4c06b77650a6aabc9bb7" hidden="1">#REF!</definedName>
    <definedName name="MLNK961444f168de453a811312555ebf5a95" hidden="1">#REF!</definedName>
    <definedName name="MLNK968ca1950ada42c79c4ede39c06a7a99" localSheetId="8" hidden="1">#REF!</definedName>
    <definedName name="MLNK968ca1950ada42c79c4ede39c06a7a99" localSheetId="13" hidden="1">#REF!</definedName>
    <definedName name="MLNK968ca1950ada42c79c4ede39c06a7a99" hidden="1">#REF!</definedName>
    <definedName name="MLNK973dcd5e4b5b49c6a83fc94500bc0b41" hidden="1">#REF!</definedName>
    <definedName name="MLNK990095e435214304bd585c63289140d4" localSheetId="8" hidden="1">#REF!</definedName>
    <definedName name="MLNK990095e435214304bd585c63289140d4" localSheetId="13" hidden="1">#REF!</definedName>
    <definedName name="MLNK990095e435214304bd585c63289140d4" hidden="1">#REF!</definedName>
    <definedName name="MLNK9901ff243b304a6db62adaa074506529" hidden="1">#REF!</definedName>
    <definedName name="MLNK9aade59c30544ce0a094b032924a6f56" hidden="1">#REF!</definedName>
    <definedName name="MLNK9bef9e0919e949b8a6a9f2ac7b6d486d" hidden="1">#REF!</definedName>
    <definedName name="MLNKa1fb504578ec4e7aad58f781e809a962" hidden="1">#REF!</definedName>
    <definedName name="MLNKa47f2a6ab45c43598b5164ee5b5e4e9c" localSheetId="8" hidden="1">'Board Tabs Outputs'!#REF!</definedName>
    <definedName name="MLNKa47f2a6ab45c43598b5164ee5b5e4e9c" localSheetId="3" hidden="1">Scenarios!#REF!</definedName>
    <definedName name="MLNKa47f2a6ab45c43598b5164ee5b5e4e9c" hidden="1">#REF!</definedName>
    <definedName name="MLNKa6ffd424942245e6884c811ea8bf02e2" hidden="1">#REF!</definedName>
    <definedName name="MLNKa7685cce0731484192bf8880bcfd501c" hidden="1">#REF!</definedName>
    <definedName name="MLNKa7d158522f9743bb96d7dcf5dbeea5cc" localSheetId="8" hidden="1">'Board Tabs Outputs'!#REF!</definedName>
    <definedName name="MLNKa7d158522f9743bb96d7dcf5dbeea5cc" localSheetId="3" hidden="1">Scenarios!#REF!</definedName>
    <definedName name="MLNKa7d158522f9743bb96d7dcf5dbeea5cc" localSheetId="13" hidden="1">#REF!</definedName>
    <definedName name="MLNKa7d158522f9743bb96d7dcf5dbeea5cc" hidden="1">#REF!</definedName>
    <definedName name="MLNKa7f058a353744ca1981e005a4fa9396d" hidden="1">#REF!</definedName>
    <definedName name="MLNKa7f945d67d4a4bc38bf45e1adce36ac6" hidden="1">#REF!</definedName>
    <definedName name="MLNKa837769fd4e44ca9945ff6b15fd561b3" hidden="1">#REF!</definedName>
    <definedName name="MLNKadb35da01312497aaac888a9f1f30e24" hidden="1">#REF!</definedName>
    <definedName name="MLNKb27507a1ce6b48999bcb310308161433" hidden="1">#REF!</definedName>
    <definedName name="MLNKb2e1632669a6438f8e268c2d059a77ce" hidden="1">#REF!</definedName>
    <definedName name="MLNKb58f9d30be5640c6a48e1fa0a5829ee5" hidden="1">#REF!</definedName>
    <definedName name="MLNKbce6cd92a0224dbe88c7c01b61101436" hidden="1">#REF!</definedName>
    <definedName name="MLNKc18e6091e0ad48588d728a3b8bf80499" localSheetId="0" hidden="1">'[1]Board Tabs Outputs'!#REF!</definedName>
    <definedName name="MLNKc18e6091e0ad48588d728a3b8bf80499" hidden="1">'Board Tabs Outputs'!#REF!</definedName>
    <definedName name="MLNKc707f4cb295d43069c1b17d7155cfb9c" hidden="1">#REF!</definedName>
    <definedName name="MLNKd05eb421cc6f4f57878c3a091d6a2a44" localSheetId="13" hidden="1">#REF!</definedName>
    <definedName name="MLNKd05eb421cc6f4f57878c3a091d6a2a44" hidden="1">#REF!</definedName>
    <definedName name="MLNKd1a426b07b754e979948acd39b80f277" localSheetId="8" hidden="1">#REF!</definedName>
    <definedName name="MLNKd1a426b07b754e979948acd39b80f277" localSheetId="13" hidden="1">#REF!</definedName>
    <definedName name="MLNKd1a426b07b754e979948acd39b80f277" hidden="1">#REF!</definedName>
    <definedName name="MLNKd2941fd7a95c4ef18f5099611b678ac5" hidden="1">#REF!</definedName>
    <definedName name="MLNKd8c24124e02c40778884ad659f5c5f05" localSheetId="13" hidden="1">#REF!</definedName>
    <definedName name="MLNKd8c24124e02c40778884ad659f5c5f05" hidden="1">#REF!</definedName>
    <definedName name="MLNKda368bfca1c04736b0dd7ca792efe1ef" hidden="1">#REF!</definedName>
    <definedName name="MLNKdf10018ab4924ca988dabb6cbeb8eb1f" hidden="1">#REF!</definedName>
    <definedName name="MLNKdf357667ce42494589738602bf3c70c8" hidden="1">#REF!</definedName>
    <definedName name="MLNKe24fb95fe0074dedaf851c70be8bca15" hidden="1">#REF!</definedName>
    <definedName name="MLNKe5e5417e07a84dd781ad457ef230788e" localSheetId="13" hidden="1">#REF!</definedName>
    <definedName name="MLNKe5e5417e07a84dd781ad457ef230788e" hidden="1">#REF!</definedName>
    <definedName name="MLNKecfd1d737d2e4019ab696775921d1eef" hidden="1">#REF!</definedName>
    <definedName name="MLNKeea763c98cff426d97df488118c17a63" hidden="1">#REF!</definedName>
    <definedName name="MLNKef030b0c5f2346b58648b2ccf1426d5e" hidden="1">#REF!</definedName>
    <definedName name="MLNKef841eb8e505454d9e8ffe0ebdd97975" hidden="1">#REF!</definedName>
    <definedName name="MLNKf4b3c90c1e9b452e886f4128ee807fe3" hidden="1">#REF!</definedName>
    <definedName name="MLNKf69ca328ea2b4a019d62344730a5f84a" localSheetId="13" hidden="1">#REF!</definedName>
    <definedName name="MLNKf69ca328ea2b4a019d62344730a5f84a" hidden="1">#REF!</definedName>
    <definedName name="MLNKfcdfe35262fe4893bed944328538560b" hidden="1">#REF!</definedName>
    <definedName name="MLNKfd9831f621134704aa541a3665d1e36a" hidden="1">#REF!</definedName>
    <definedName name="ModelS">#REF!</definedName>
    <definedName name="Month">Validations!$J$6:$J$16</definedName>
    <definedName name="MOut" hidden="1">{"CSC_1",#N/A,FALSE,"CSC Outputs";"CSC_2",#N/A,FALSE,"CSC Outputs"}</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_Income_Actuals">'[1]LTO Board View (Actuals)'!$E$296:$AB$296</definedName>
    <definedName name="Net_Income_Ex.Corp_Actuals">'[1]LTO Board View (Actuals)'!$E$298:$AB$298</definedName>
    <definedName name="Net_Operating_Revenue_Actuals">'[1]LTO Board View (Actuals)'!$E$246:$AB$246</definedName>
    <definedName name="Netherlands_FooterType" hidden="1">"EXTERNAL"</definedName>
    <definedName name="New" hidden="1">{"djcash",#N/A,FALSE,"DJann";"djinc",#N/A,FALSE,"DJann";"djtaxes",#N/A,FALSE,"DJann";"djbuspub",#N/A,FALSE,"DJann";"djwall",#N/A,FALSE,"DJann";"djcompprs",#N/A,FALSE,"DJann";"djteler",#N/A,FALSE,"DJann"}</definedName>
    <definedName name="NewRange" hidden="1">#REF!</definedName>
    <definedName name="new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nn" hidden="1">{#N/A,#N/A,FALSE,"EARNINGS";#N/A,#N/A,FALSE,"BALANCE";#N/A,#N/A,FALSE,"CASHFLOW"}</definedName>
    <definedName name="Nominal_Interest_Rate_Actuals">'[1]LTO Board View (Actuals)'!$E$172:$AB$172</definedName>
    <definedName name="Non_Operating_Rev_Exp_Actuals">'[1]LTO Board View (Actuals)'!$E$284:$AB$284</definedName>
    <definedName name="Norway_FooterType" hidden="1">"EXTERNAL"</definedName>
    <definedName name="NY" hidden="1">{#N/A,#N/A,FALSE,"Pulp";#N/A,#N/A,FALSE,"Stock";#N/A,#N/A,FALSE,"Paper Balance";#N/A,#N/A,FALSE,"Income Statement"}</definedName>
    <definedName name="OCT" hidden="1">{#N/A,#N/A,FALSE,"CARATULA";#N/A,#N/A,FALSE,"GRAF-VTSTOT-N$";#N/A,#N/A,FALSE,"graf-vts-tot-mil-corr-std";#N/A,#N/A,FALSE,"OPERACION";#N/A,#N/A,FALSE,"opn-prod-conversion";#N/A,#N/A,FALSE,"MERMA_Y_DEVOL";#N/A,#N/A,FALSE,"MARGRAF";#N/A,#N/A,FALSE,"EDORESULT";#N/A,#N/A,FALSE,"REC_HUM2"}</definedName>
    <definedName name="OCTU" hidden="1">{#N/A,#N/A,FALSE,"CARATULA";#N/A,#N/A,FALSE,"GRAF-VTSTOT-N$";#N/A,#N/A,FALSE,"graf-vts-tot-mil-corr-std";#N/A,#N/A,FALSE,"OPERACION";#N/A,#N/A,FALSE,"opn-prod-conversion";#N/A,#N/A,FALSE,"MERMA_Y_DEVOL";#N/A,#N/A,FALSE,"MARGRAF";#N/A,#N/A,FALSE,"EDORESULT";#N/A,#N/A,FALSE,"REC_HUM2"}</definedName>
    <definedName name="oo" hidden="1">#REF!</definedName>
    <definedName name="ooo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oooo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ooooooo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ooooooooooo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opi" hidden="1">#REF!</definedName>
    <definedName name="oppppp"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Origination_Actuals">'[1]LTO Board View (Actuals)'!$E$16:$AB$16</definedName>
    <definedName name="Other_Operating_Rev.Exp_Budget">'[1]LTO Accounting View'!#REF!</definedName>
    <definedName name="Other_Operating_Revenue_Actuals">'[1]LTO Board View (Actuals)'!$E$244:$AB$244</definedName>
    <definedName name="OTROS" hidden="1">{#N/A,#N/A,FALSE,"CARATULA";#N/A,#N/A,FALSE,"GRAF-VTSTOT-N$";#N/A,#N/A,FALSE,"graf-vts-tot-mil-corr-std";#N/A,#N/A,FALSE,"OPERACION";#N/A,#N/A,FALSE,"opn-prod-conversion";#N/A,#N/A,FALSE,"MERMA_Y_DEVOL";#N/A,#N/A,FALSE,"MARGRAF";#N/A,#N/A,FALSE,"EDORESULT";#N/A,#N/A,FALSE,"REC_HUM2"}</definedName>
    <definedName name="pal"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al_Workbook_GUID" hidden="1">"P1H6R1B74UANAH2ZL61HSKT5"</definedName>
    <definedName name="parr" hidden="1">{#VALUE!,#N/A,FALSE,0;#N/A,#N/A,FALSE,0;#N/A,#N/A,FALSE,0}</definedName>
    <definedName name="Past_Due_Portfolio_Actuals">'[1]LTO Board View (Actuals)'!$E$317:$AB$317</definedName>
    <definedName name="PLog" hidden="1">{"'1998 New March Update'!$A$1:$O$71"}</definedName>
    <definedName name="po" hidden="1">{#N/A,#N/A,FALSE,"CARATULA";#N/A,#N/A,FALSE,"GRAF-VTSTOT-N$";#N/A,#N/A,FALSE,"graf-vts-tot-mil-corr-std";#N/A,#N/A,FALSE,"OPERACION";#N/A,#N/A,FALSE,"opn-prod-conversion";#N/A,#N/A,FALSE,"MERMA_Y_DEVOL";#N/A,#N/A,FALSE,"MARGRAF";#N/A,#N/A,FALSE,"EDORESULT";#N/A,#N/A,FALSE,"REC_HUM2"}</definedName>
    <definedName name="pooooo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ooooooooooo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opopopopo"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ortfolio_Actuals">'[1]LTO Board View (Actuals)'!$E$316:$AB$316</definedName>
    <definedName name="POZO" hidden="1">"M:\Datos\PRESUPUESTO Vs GASTOS\DB EJECUCION  PvsG-0SM.mdb"</definedName>
    <definedName name="pp" hidden="1">{#N/A,#N/A,FALSE,"CARATULA";#N/A,#N/A,FALSE,"GRAF-VTSTOT-N$";#N/A,#N/A,FALSE,"graf-vts-tot-mil-corr-std";#N/A,#N/A,FALSE,"OPERACION";#N/A,#N/A,FALSE,"opn-prod-conversion";#N/A,#N/A,FALSE,"MERMA_Y_DEVOL";#N/A,#N/A,FALSE,"MARGRAF";#N/A,#N/A,FALSE,"EDORESULT";#N/A,#N/A,FALSE,"REC_HUM2"}</definedName>
    <definedName name="pp´" hidden="1">{#N/A,#N/A,FALSE,"CARATULA";#N/A,#N/A,FALSE,"GRAF-VTSTOT-N$";#N/A,#N/A,FALSE,"graf-vts-tot-mil-corr-std";#N/A,#N/A,FALSE,"OPERACION";#N/A,#N/A,FALSE,"opn-prod-conversion";#N/A,#N/A,FALSE,"MERMA_Y_DEVOL";#N/A,#N/A,FALSE,"MARGRAF";#N/A,#N/A,FALSE,"EDORESULT";#N/A,#N/A,FALSE,"REC_HUM2"}</definedName>
    <definedName name="ppo" hidden="1">{#N/A,#N/A,FALSE,"Flash"}</definedName>
    <definedName name="PPPP" hidden="1">#REF!</definedName>
    <definedName name="pppppppppp"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ppppppppppp"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pppppppppppppp" hidden="1">{#N/A,#N/A,FALSE,"CARATULA";#N/A,#N/A,FALSE,"GRAF-VTSTOT-N$";#N/A,#N/A,FALSE,"graf-vts-tot-mil-corr-std";#N/A,#N/A,FALSE,"OPERACION";#N/A,#N/A,FALSE,"opn-prod-conversion";#N/A,#N/A,FALSE,"MERMA_Y_DEVOL";#N/A,#N/A,FALSE,"MARGRAF";#N/A,#N/A,FALSE,"EDORESULT";#N/A,#N/A,FALSE,"REC_HUM2"}</definedName>
    <definedName name="PPT" hidden="1">#REF!</definedName>
    <definedName name="PREM2" hidden="1">#REF!</definedName>
    <definedName name="Print_CSC_Report_2" hidden="1">{"CSC_1",#N/A,FALSE,"CSC Outputs";"CSC_2",#N/A,FALSE,"CSC Outputs"}</definedName>
    <definedName name="p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UIOIIOU" hidden="1">#REF!</definedName>
    <definedName name="qqq" hidden="1">{#N/A,#N/A,FALSE,"Pulp";#N/A,#N/A,FALSE,"Stock";#N/A,#N/A,FALSE,"Paper Balance";#N/A,#N/A,FALSE,"Income Statement"}</definedName>
    <definedName name="Quarters">Validations!$K$6:$K$16</definedName>
    <definedName name="qwe" hidden="1">#REF!</definedName>
    <definedName name="qwer" hidden="1">#REF!</definedName>
    <definedName name="Recovered_Vehicles_Actuals">'[1]LTO Board View (Actuals)'!$E$75:$AB$75</definedName>
    <definedName name="Recovered_Vehicles_MXNm_Actuals">'[1]LTO Board View (Actuals)'!$E$84:$AB$84</definedName>
    <definedName name="RedefinePrintTableRange" hidden="1">#REF!</definedName>
    <definedName name="Renewal_Rate_Actuals">'[1]LTO Board View (Actuals)'!$E$120:$AB$120</definedName>
    <definedName name="Renewals_Actuals">'[1]LTO Board View (Actuals)'!$E$117:$AB$117</definedName>
    <definedName name="ReportPage1" hidden="1">{"Annual_Income",#N/A,FALSE,"Report Page";"Balance_Cash_Flow",#N/A,FALSE,"Report Page";"Quarterly_Income",#N/A,FALSE,"Report Page"}</definedName>
    <definedName name="retrt" hidden="1">{#N/A,#N/A,FALSE,"Pulp";#N/A,#N/A,FALSE,"Stock";#N/A,#N/A,FALSE,"Paper Balance";#N/A,#N/A,FALSE,"Income Statement"}</definedName>
    <definedName name="rew" hidden="1">{#N/A,#N/A,FALSE,"Flash"}</definedName>
    <definedName name="rgg" hidden="1">{#N/A,#N/A,FALSE,"Income Statement";#N/A,#N/A,FALSE,"Flash";#N/A,#N/A,FALSE,"Pulp";#N/A,#N/A,FALSE,"Stock";#N/A,#N/A,FALSE,"Paper Balance"}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ppppppppppppppppp"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RR" hidden="1">#REF!</definedName>
    <definedName name="RRRR" hidden="1">#REF!</definedName>
    <definedName name="rtetret" hidden="1">{#N/A,#N/A,TRUE,"Flash";#N/A,#N/A,TRUE,"Stock";#N/A,#N/A,TRUE,"Maintenance";#N/A,#N/A,TRUE,"Income Statement local";#N/A,#N/A,TRUE,"Variance"}</definedName>
    <definedName name="rtrtt" hidden="1">{#N/A,#N/A,FALSE,"Flash"}</definedName>
    <definedName name="RTTYET" hidden="1">#REF!</definedName>
    <definedName name="sads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APBEXdnldView" hidden="1">"DG9CWC63DY6YN1DPZIQPTVISF"</definedName>
    <definedName name="SAPBEXhrIndnt" hidden="1">"Wide"</definedName>
    <definedName name="SAPBEXrevision" hidden="1">1</definedName>
    <definedName name="SAPBEXsysID" hidden="1">"BWP"</definedName>
    <definedName name="SAPBEXwbID" hidden="1">"4ETP85LWC1UYG1XE7QJFRT8JU"</definedName>
    <definedName name="SAPsysID" hidden="1">"708C5W7SBKP804JT78WJ0JNKI"</definedName>
    <definedName name="SAPwbID" hidden="1">"ARS"</definedName>
    <definedName name="sasa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asasasa"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asasasasasasa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asaswsw"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dd"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ddddddddddd" hidden="1">{#N/A,#N/A,FALSE,"CARATULA";#N/A,#N/A,FALSE,"GRAF-VTSTOT-N$";#N/A,#N/A,FALSE,"graf-vts-tot-mil-corr-std";#N/A,#N/A,FALSE,"OPERACION";#N/A,#N/A,FALSE,"opn-prod-conversion";#N/A,#N/A,FALSE,"MERMA_Y_DEVOL";#N/A,#N/A,FALSE,"MARGRAF";#N/A,#N/A,FALSE,"EDORESULT";#N/A,#N/A,FALSE,"REC_HUM2"}</definedName>
    <definedName name="sd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d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dddddd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dddddds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dddddeeeeeee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eedc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f" hidden="1">{#N/A,#N/A,FALSE,"Contribution Analysis"}</definedName>
    <definedName name="sdfg" hidden="1">#REF!</definedName>
    <definedName name="sdññññññ"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s" hidden="1">#REF!</definedName>
    <definedName name="sdsd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sds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sdsd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dsdsdsd"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dsdsdsd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dsdseweee"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dseesse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eb" hidden="1">#REF!</definedName>
    <definedName name="Selected_Date">'[1]LTO Board View (Actuals)'!$J$2</definedName>
    <definedName name="sencount" hidden="1">2</definedName>
    <definedName name="SEP" hidden="1">{#N/A,#N/A,FALSE,"CARATULA";#N/A,#N/A,FALSE,"GRAF-VTSTOT-N$";#N/A,#N/A,FALSE,"graf-vts-tot-mil-corr-std";#N/A,#N/A,FALSE,"OPERACION";#N/A,#N/A,FALSE,"opn-prod-conversion";#N/A,#N/A,FALSE,"MERMA_Y_DEVOL";#N/A,#N/A,FALSE,"MARGRAF";#N/A,#N/A,FALSE,"EDORESULT";#N/A,#N/A,FALSE,"REC_HUM2"}</definedName>
    <definedName name="sesesese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fdf" hidden="1">#REF!</definedName>
    <definedName name="sfdg" hidden="1">{#N/A,#N/A,FALSE,"A&amp;E";#N/A,#N/A,FALSE,"HighTop";#N/A,#N/A,FALSE,"JG";#N/A,#N/A,FALSE,"RI";#N/A,#N/A,FALSE,"woHT";#N/A,#N/A,FALSE,"woHT&amp;JG"}</definedName>
    <definedName name="SGA_Actuals">'[1]LTO Board View (Actuals)'!$E$280:$AB$280</definedName>
    <definedName name="Shareholders_Equity_Actuals">'[1]LTO Board View (Actuals)'!$E$351:$AB$351</definedName>
    <definedName name="sjjjjjjjjjjjjjj"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k" hidden="1">{#N/A,#N/A,FALSE,"A&amp;E";#N/A,#N/A,FALSE,"HighTop";#N/A,#N/A,FALSE,"JG";#N/A,#N/A,FALSE,"RI";#N/A,#N/A,FALSE,"woHT";#N/A,#N/A,FALSE,"woHT&amp;JG"}</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lhs2" hidden="1">#REF!</definedName>
    <definedName name="solver_lhs3" hidden="1">#REF!</definedName>
    <definedName name="solver_lhs4" hidden="1">#REF!</definedName>
    <definedName name="solver_nsim" hidden="1">1</definedName>
    <definedName name="solver_nssim" hidden="1">-1</definedName>
    <definedName name="solver_ntri" hidden="1">1000</definedName>
    <definedName name="solver_rel10" hidden="1">3</definedName>
    <definedName name="solver_rel11" hidden="1">1</definedName>
    <definedName name="solver_rel12" hidden="1">1</definedName>
    <definedName name="solver_rel13" hidden="1">1</definedName>
    <definedName name="solver_rel14" hidden="1">3</definedName>
    <definedName name="solver_rel2" hidden="1">1</definedName>
    <definedName name="solver_rel3" hidden="1">1</definedName>
    <definedName name="solver_rel4" hidden="1">1</definedName>
    <definedName name="solver_rel5" hidden="1">1</definedName>
    <definedName name="solver_rel6" hidden="1">3</definedName>
    <definedName name="solver_rel7" hidden="1">1</definedName>
    <definedName name="solver_rel8" hidden="1">3</definedName>
    <definedName name="solver_rel9" hidden="1">1</definedName>
    <definedName name="solver_rgen" hidden="1">1</definedName>
    <definedName name="solver_rhs1" hidden="1">230</definedName>
    <definedName name="solver_rhs10" hidden="1">200</definedName>
    <definedName name="solver_rhs11" hidden="1">245</definedName>
    <definedName name="solver_rhs12" hidden="1">6</definedName>
    <definedName name="solver_rhs13" hidden="1">5</definedName>
    <definedName name="solver_rhs14" hidden="1">30</definedName>
    <definedName name="solver_rhs2" hidden="1">18</definedName>
    <definedName name="solver_rhs3" hidden="1">18</definedName>
    <definedName name="solver_rhs4" hidden="1">10</definedName>
    <definedName name="solver_rhs5" hidden="1">35</definedName>
    <definedName name="solver_rhs6" hidden="1">20</definedName>
    <definedName name="solver_rhs7" hidden="1">35</definedName>
    <definedName name="solver_rhs8" hidden="1">30</definedName>
    <definedName name="solver_rhs9" hidden="1">210</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q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sdd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dd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aada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dsdsdsds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dsdsd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eeeeeeeeee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ddddddddddddd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dd"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sssssssssssssss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sssssssssssssssssssssssssssssssss"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Sweden_FooterType" hidden="1">"EXTERNAL"</definedName>
    <definedName name="Taxes_Actuals">'[1]LTO Board View (Actuals)'!$E$294:$AB$294</definedName>
    <definedName name="Taxes_Budget">'[1]LTO Accounting View'!#REF!</definedName>
    <definedName name="tell" hidden="1">#N/A</definedName>
    <definedName name="tell2" hidden="1">#N/A</definedName>
    <definedName name="tell3" hidden="1">#N/A</definedName>
    <definedName name="Terminations_Actuals">'[1]LTO Board View (Actuals)'!$E$118:$AB$118</definedName>
    <definedName name="testing"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ing1"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ing2"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ing3"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ing4"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sd" hidden="1">#REF!</definedName>
    <definedName name="trt" hidden="1">{#N/A,#N/A,FALSE,"Pulp";#N/A,#N/A,FALSE,"Stock";#N/A,#N/A,FALSE,"Paper Balance";#N/A,#N/A,FALSE,"Income Statement"}</definedName>
    <definedName name="trtr" hidden="1">{#N/A,#N/A,FALSE,"EARNINGS";#N/A,#N/A,FALSE,"BALANCE";#N/A,#N/A,FALSE,"CASHFLOW"}</definedName>
    <definedName name="try" hidden="1">#REF!</definedName>
    <definedName name="TTTTTT" hidden="1">#REF!</definedName>
    <definedName name="tttttttttttttttt"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YTRRE" hidden="1">#REF!</definedName>
    <definedName name="UK_FooterType" hidden="1">"EXTERNAL"</definedName>
    <definedName name="UOUIPPO" hidden="1">#REF!</definedName>
    <definedName name="uuuuuuuuuu"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vv"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wem"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r" hidden="1">#REF!</definedName>
    <definedName name="wewewe"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win.gary" hidden="1">{#N/A,#N/A,FALSE,"Combo-Ass ";#N/A,#N/A,FALSE,"Combo-AD sum";#N/A,#N/A,FALSE,"Combo-Syn Sens";#N/A,#N/A,FALSE,"Combo-Contr";#N/A,#N/A,FALSE,"Combo-Credit Sum";#N/A,#N/A,FALSE,"Combo-Credit";#N/A,#N/A,FALSE,"Combo-AD";#N/A,#N/A,FALSE,"Combo-AD CF"}</definedName>
    <definedName name="wrn" hidden="1">{#N/A,#N/A,FALSE,"DCF Summary";#N/A,#N/A,FALSE,"Casema";#N/A,#N/A,FALSE,"Casema NoTel";#N/A,#N/A,FALSE,"UK";#N/A,#N/A,FALSE,"RCF";#N/A,#N/A,FALSE,"Intercable CZ";#N/A,#N/A,FALSE,"Interkabel P"}</definedName>
    <definedName name="wrn.AcqState."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Val." hidden="1">{#N/A,#N/A,FALSE,"Acq-Val";#N/A,#N/A,FALSE,"Acq-Mult Val"}</definedName>
    <definedName name="wrn.all." hidden="1">{"cf",#N/A,FALSE,"Annual";"is",#N/A,FALSE,"Annual";"geo",#N/A,FALSE,"Annual";"jwt",#N/A,FALSE,"Annual";"om",#N/A,FALSE,"Annual";"other",#N/A,FALSE,"Annual";"omcontd",#N/A,FALSE,"Annual"}</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Back._.Page." hidden="1">{"Back Page",#N/A,FALSE,"Front and Back"}</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ider." hidden="1">{#N/A,#N/A,FALSE,"Cider Segment";#N/A,#N/A,FALSE,"Bulmers";#N/A,#N/A,FALSE,"Ritz";#N/A,#N/A,FALSE,"Stag";#N/A,#N/A,FALSE,"Cider Others"}</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cast." hidden="1">{"EPS_one",#N/A,FALSE,"96-02 EPS";"EPS_two",#N/A,FALSE,"96-02 EPS";"Newrev_one",#N/A,FALSE,"New rev 97 - 02";"Newrev_two",#N/A,FALSE,"New rev 97 - 02";"cable_one",#N/A,FALSE,"cable 96-02";"cable_two",#N/A,FALSE,"cable 96-02";"data.page",#N/A,FALSE,"Data_page"}</definedName>
    <definedName name="wrn.Complete." hidden="1">{#N/A,#N/A,TRUE,"DCF Summary";#N/A,#N/A,TRUE,"Casema";#N/A,#N/A,TRUE,"UK";#N/A,#N/A,TRUE,"RCF";#N/A,#N/A,TRUE,"Intercable CZ";#N/A,#N/A,TRUE,"Interkabel P";#N/A,#N/A,TRUE,"LBO-Total";#N/A,#N/A,TRUE,"LBO-Casema"}</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olidated._.Set." hidden="1">{"Consolidated IS w Ratios",#N/A,FALSE,"Consolidated";"Consolidated CF",#N/A,FALSE,"Consolidated";"Consolidated DCF",#N/A,FALSE,"Consolidated"}</definedName>
    <definedName name="wrn.CSC2" hidden="1">{"page1",#N/A,TRUE,"CSC";"page2",#N/A,TRUE,"CSC"}</definedName>
    <definedName name="wrn.CUPID." hidden="1">{"Guide",#N/A,FALSE,"Guidant";"Boston Sci",#N/A,FALSE,"Boston Scientific";"Medtro",#N/A,FALSE,"Medtronic";"St. Jude",#N/A,FALSE,"St. Jude";"Pfi",#N/A,FALSE,"Pfizer";"Bard",#N/A,FALSE,"Bard";"Johns",#N/A,FALSE,"Johnson"}</definedName>
    <definedName name="wrn.Dalmatian._.Data." hidden="1">{"Standard",#N/A,FALSE,"Dal H Inc Stmt";"Standard",#N/A,FALSE,"Dal H Bal Sht";"Standard",#N/A,FALSE,"Dal H CFs"}</definedName>
    <definedName name="wrn.database." hidden="1">{"subs",#N/A,FALSE,"database ";"proportional",#N/A,FALSE,"database "}</definedName>
    <definedName name="wrn.DCF._.Only." hidden="1">{#N/A,#N/A,FALSE,"DCF Summary";#N/A,#N/A,FALSE,"Casema";#N/A,#N/A,FALSE,"Casema NoTel";#N/A,#N/A,FALSE,"UK";#N/A,#N/A,FALSE,"RCF";#N/A,#N/A,FALSE,"Intercable CZ";#N/A,#N/A,FALSE,"Interkabel P"}</definedName>
    <definedName name="wrn.Detailed._.P._.and._.L." hidden="1">{"P and L Detail Page 1",#N/A,FALSE,"Data";"P and L Detail Page 2",#N/A,FALSE,"Data"}</definedName>
    <definedName name="wrn.djall." hidden="1">{"djcash",#N/A,FALSE,"DJann";"djinc",#N/A,FALSE,"DJann";"djtaxes",#N/A,FALSE,"DJann";"djbuspub",#N/A,FALSE,"DJann";"djwall",#N/A,FALSE,"DJann";"djcompprs",#N/A,FALSE,"DJann";"djteler",#N/A,FALSE,"DJann"}</definedName>
    <definedName name="wrn.Eagle." hidden="1">{#N/A,#N/A,FALSE,"Historical";#N/A,#N/A,FALSE,"EPS-Purchase";#N/A,#N/A,FALSE,"EPS-Pool";#N/A,#N/A,FALSE,"DCF";"Market Share",#N/A,FALSE,"Revenue";"Revenue",#N/A,FALSE,"Revenue"}</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urope._.Base." hidden="1">{"Eur Base Top",#N/A,FALSE,"Europe Base";"Eur Base Bottom",#N/A,FALSE,"Europe Base"}</definedName>
    <definedName name="wrn.Europe._.Set." hidden="1">{"IS w Ratios",#N/A,FALSE,"Europe";"PF CF Europe",#N/A,FALSE,"Europe";"DCF Eur Matrix",#N/A,FALSE,"Europe"}</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ports." hidden="1">{#N/A,#N/A,FALSE,"Exports";#N/A,#N/A,FALSE,"Carolans";#N/A,#N/A,FALSE,"Irish Mist";#N/A,#N/A,FALSE,"Tullamore Dew";#N/A,#N/A,FALSE,"Other Brands Exports";#N/A,#N/A,FALSE,"Frangelico";#N/A,#N/A,FALSE,"Mondoro";#N/A,#N/A,FALSE,"Aperol";#N/A,#N/A,FALSE,"Others Exports"}</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ar._.East._.Set." hidden="1">{"IS FE with Ratios",#N/A,FALSE,"Far East";"PF CF Far East",#N/A,FALSE,"Far East";"DCF Far East Matrix",#N/A,FALSE,"Far East"}</definedName>
    <definedName name="wrn.FCB." hidden="1">{"FCB_ALL",#N/A,FALSE,"FCB"}</definedName>
    <definedName name="wrn.fcb2" hidden="1">{"FCB_ALL",#N/A,FALSE,"FCB"}</definedName>
    <definedName name="wrn.FE._.Sensitivity." hidden="1">{"Far East Top",#N/A,FALSE,"FE Model";"Far East Mid",#N/A,FALSE,"FE Model";"Far East Base",#N/A,FALSE,"FE Model"}</definedName>
    <definedName name="wrn.Financial._.Output." hidden="1">{"P and L",#N/A,FALSE,"Financial Output";"Cashflow",#N/A,FALSE,"Financial Output";"Balance Sheet",#N/A,FALSE,"Financial Output"}</definedName>
    <definedName name="wrn.Financials._.DCF." hidden="1">{"Standard",#N/A,FALSE,"Lab H Inc Stmt";"Standard",#N/A,FALSE,"Lab H Bal Sht";"Standard",#N/A,FALSE,"Lab H CFs";"Standard",#N/A,FALSE,"Lab P Inc Stmt";"Standard",#N/A,FALSE,"Lab P CFs Base";"Standard",#N/A,FALSE,"Lab DCF Base";"Standard",#N/A,FALSE,"DCF Sum"}</definedName>
    <definedName name="wrn.Five._.Year._.Record." hidden="1">{"Five Year Record",#N/A,FALSE,"Front and Back"}</definedName>
    <definedName name="wrn.Flash." hidden="1">{#N/A,#N/A,FALSE,"Summary Mills";#N/A,#N/A,FALSE,"Summary Production";#N/A,#N/A,FALSE,"Summary MR Sales";#N/A,#N/A,FALSE,"Net Sales";#N/A,#N/A,FALSE,"Summary OP"}</definedName>
    <definedName name="wrn.Flashreport." hidden="1">{"Flash_Summary",#N/A,TRUE,"Toilet";"Flash_Pulp",#N/A,TRUE,"Toilet";"Flash_Paper",#N/A,TRUE,"Paper";"Flash_Tissue",#N/A,TRUE,"Toilet";"Flash_Hanky",#N/A,TRUE,"Toilet";"Flash_Kiro",#N/A,TRUE,"Toilet";"Flash_Toilet",#N/A,TRUE,"Toilet"}</definedName>
    <definedName name="wrn.Front._.Page." hidden="1">{"Front Page",#N/A,FALSE,"Front and Back"}</definedName>
    <definedName name="wrn.Full." hidden="1">{#N/A,#N/A,FALSE,"Summary";#N/A,#N/A,FALSE,"CF";#N/A,#N/A,FALSE,"P&amp;L";#N/A,#N/A,FALSE,"BS";#N/A,#N/A,FALSE,"Returns";#N/A,#N/A,FALSE,"Assumptions";#N/A,#N/A,FALSE,"Analysis"}</definedName>
    <definedName name="wrn.Full._.report." hidden="1">{"multiple",#N/A,FALSE,"client (2)";"margins",#N/A,FALSE,"client (2)";"data",#N/A,FALSE,"client (2)";"multiple",#N/A,FALSE,"client";"margins",#N/A,FALSE,"client";"data",#N/A,FALSE,"client"}</definedName>
    <definedName name="wrn.GCIall." hidden="1">{"gcicash",#N/A,FALSE,"GCIINC";"gciinc",#N/A,FALSE,"GCIINC";"gciexclusa",#N/A,FALSE,"GCIINC";"usatdy",#N/A,FALSE,"GCIINC"}</definedName>
    <definedName name="wrn.Geographic._.Trends." hidden="1">{"Geographic P1",#N/A,FALSE,"Division &amp; Geog"}</definedName>
    <definedName name="wrn.Holzdispo." hidden="1">{"Holzdispo_1",#N/A,FALSE,"Holz-Dispo";"Holzdispo_2",#N/A,FALSE,"Holz-Dispo";"Holzdispo_3",#N/A,FALSE,"Holz-Dispo";"Grafik_Holzdispo",#N/A,FALSE,"Holz-Dispo"}</definedName>
    <definedName name="wrn.Income._.Statement." hidden="1">{#N/A,#N/A,FALSE,"Report Print"}</definedName>
    <definedName name="wrn.international." hidden="1">{"sweden",#N/A,FALSE,"Sweden";"germany",#N/A,FALSE,"Germany";"portugal",#N/A,FALSE,"Portugal";"belgium",#N/A,FALSE,"Belgium";"japan",#N/A,FALSE,"Japan ";"italy",#N/A,FALSE,"Italy";"spain",#N/A,FALSE,"Spain";"korea",#N/A,FALSE,"Korea"}</definedName>
    <definedName name="wrn.IPIX." hidden="1">{#N/A,#N/A,FALSE,"Report Print"}</definedName>
    <definedName name="wrn.Italy." hidden="1">{#N/A,#N/A,FALSE,"Italy";#N/A,#N/A,FALSE,"Aperol Italy";#N/A,#N/A,FALSE,"Aperol Soda Italy";#N/A,#N/A,FALSE,"Spumanti";#N/A,#N/A,FALSE,"Barbieri Liqueur Italy";#N/A,#N/A,FALSE,"Others Italy"}</definedName>
    <definedName name="wrn.JG._.FE._.Dollar." hidden="1">{"JG FE Top",#N/A,FALSE,"JG FE $";"JG FE Bottom",#N/A,FALSE,"JG FE $"}</definedName>
    <definedName name="wrn.JG._.FE._.Yen." hidden="1">{"JG FE Top",#N/A,FALSE,"JG FE ¥";"JG FE Bottom",#N/A,FALSE,"JG FE ¥"}</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Kvartalsrapport."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hidden="1">{"a",#N/A,FALSE,"LBO - 100%, Sell C,CT 98......";"aa",#N/A,FALSE,"LBO - 100%, Sell C,CT 98......";"aaa",#N/A,FALSE,"LBO - 100%, Sell C,CT 98......";"aaaa",#N/A,FALSE,"LBO - 100%, Sell C,CT 98......";"aaaaa",#N/A,FALSE,"LBO - 100%, Sell C,CT 98......";"aaaaaa",#N/A,FALSE,"LBO - 100%, Sell C,CT 98......"}</definedName>
    <definedName name="wrn.LOreal." hidden="1">{"Cover",#N/A,FALSE,"Cover";"Fact Sheet",#N/A,FALSE,"Fact Sheet";"ddm",#N/A,FALSE,"DDM";"Kcs",#N/A,FALSE,"Forecast K";"IS",#N/A,FALSE,"Annual";"BS",#N/A,FALSE,"Annual";"CF",#N/A,FALSE,"Annual";"Inputs",#N/A,FALSE,"Annual";"Inputs2",#N/A,FALSE,"Annual";"Europe ROW",#N/A,FALSE,"Cosm. ";"US Asia",#N/A,FALSE,"Cosm. ";"Product table",#N/A,FALSE,"Synth.";"Lorex",#N/A,FALSE,"Synthelabo"}</definedName>
    <definedName name="wrn.magilla." hidden="1">{"hughes",#N/A,FALSE,"Hughes";"hughes2",#N/A,FALSE,"Hughes (2)";"ray",#N/A,FALSE,"Raytheon";"trw",#N/A,FALSE,"TRW";"texas",#N/A,FALSE,"Texas Inst.";"rockwell",#N/A,FALSE,"Rockwell";"loral",#N/A,FALSE,"Loral";"nothrop",#N/A,FALSE,"Northrop";"boeing",#N/A,FALSE,"Boeing"}</definedName>
    <definedName name="wrn.Master_Income." hidden="1">{"Annual_Income",#N/A,FALSE,"Master Model";"Quarterly_Income",#N/A,FALSE,"Master Model"}</definedName>
    <definedName name="wrn.merger." hidden="1">{"inputs",#N/A,FALSE,"Inputs";"stock",#N/A,FALSE,"Stock_pur";"pool",#N/A,FALSE,"Pooling";"debt",#N/A,FALSE,"Debt_pur";"blend",#N/A,FALSE,"50_50"}</definedName>
    <definedName name="wrn.MERGER._.PLANS." hidden="1">{"Assumptions1",#N/A,FALSE,"Assumptions";"MergerPlans1","20yearamort",FALSE,"MergerPlans";"MergerPlans1","40yearamort",FALSE,"MergerPlans";"MergerPlans2",#N/A,FALSE,"MergerPlans";"inputs",#N/A,FALSE,"MergerPlans"}</definedName>
    <definedName name="wrn.mhpall." hidden="1">{"mhpcash",#N/A,FALSE,"MHPNEWX";"mhpinc",#N/A,FALSE,"MHPNEWX";"mhptax",#N/A,FALSE,"MHPNEWX";"mhpbroad",#N/A,FALSE,"MHPNEWX";"mhpeduc",#N/A,FALSE,"MHPNEWX";"mhpfin",#N/A,FALSE,"MHPNEWX";"mhpinfo",#N/A,FALSE,"MHPNEWX"}</definedName>
    <definedName name="wrn.MLP."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_.scenarier."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odels." hidden="1">{"cable_one",#N/A,FALSE,"cable 96-02";"cable_two",#N/A,FALSE,"cable 96-02";"Newrev_one",#N/A,FALSE,"New rev 97 - 02";"Newrev_two",#N/A,FALSE,"New rev 97 - 02"}</definedName>
    <definedName name="wrn.Monatsabschluß." hidden="1">{#N/A,#N/A,FALSE,"Finanzplan";#N/A,#N/A,FALSE,"Bilanz";#N/A,#N/A,FALSE,"GuV"}</definedName>
    <definedName name="wrn.NA._.Model._.T._.and._.B." hidden="1">{"NA Top",#N/A,FALSE,"NA Model";"NA Bottom",#N/A,FALSE,"NA Model"}</definedName>
    <definedName name="wrn.NA_ULV._.Tand._.B." hidden="1">{"NA Top",#N/A,FALSE,"NA-ULV";"NA Bottom",#N/A,FALSE,"NA-ULV"}</definedName>
    <definedName name="wrn.NEWPHIM.XL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wrn.NEWPHIM2.XLS"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wrn.North._.America._.Set." hidden="1">{"NA Is w Ratios",#N/A,FALSE,"North America";"PF CFlow NA",#N/A,FALSE,"North America";"NA DCF Matrix",#N/A,FALSE,"North America"}</definedName>
    <definedName name="wrn.nytaann." hidden="1">{"nytacash",#N/A,FALSE,"GLOBEINC";"nytainc",#N/A,FALSE,"GLOBEINC";"nytanyt",#N/A,FALSE,"GLOBEINC";"nytareg",#N/A,FALSE,"GLOBEINC";"nytaglobe",#N/A,FALSE,"GLOBEINC";"nytapprttl",#N/A,FALSE,"GLOBEINC"}</definedName>
    <definedName name="wrn.one." hidden="1">{"page1",#N/A,FALSE,"A";"_x000D__x000D__x000D__x000D_2",#N/A,FALSE,"A"}</definedName>
    <definedName name="wrn.ORIGINALES." hidden="1">{#N/A,#N/A,FALSE,"CARATULA";#N/A,#N/A,FALSE,"GRAF-VTSTOT-N$";#N/A,#N/A,FALSE,"graf-vts-tot-mil-corr-std";#N/A,#N/A,FALSE,"OPERACION";#N/A,#N/A,FALSE,"opn-prod-conversion";#N/A,#N/A,FALSE,"MERMA_Y_DEVOL";#N/A,#N/A,FALSE,"MARGRAF";#N/A,#N/A,FALSE,"EDORESULT";#N/A,#N/A,FALSE,"REC_HUM2"}</definedName>
    <definedName name="wrn.PAROS._.POR._.MANTTO.." hidden="1">{#VALUE!,#N/A,FALSE,0;#N/A,#N/A,FALSE,0;#N/A,#N/A,FALSE,0}</definedName>
    <definedName name="wrn.PrimeCo." hidden="1">{"print 1",#N/A,FALSE,"PrimeCo PCS";"print 2",#N/A,FALSE,"PrimeCo PCS";"valuation",#N/A,FALSE,"PrimeCo PCS"}</definedName>
    <definedName name="wrn.Print." hidden="1">{"vi1",#N/A,FALSE,"Financial Statements";"vi2",#N/A,FALSE,"Financial Statements";#N/A,#N/A,FALSE,"DCF"}</definedName>
    <definedName name="wrn.Print._.Europe._.TandB." hidden="1">{"Print Top",#N/A,FALSE,"Europe Model";"Print Bottom",#N/A,FALSE,"Europe Model"}</definedName>
    <definedName name="wrn.Print._.FE._.T._.and._.B." hidden="1">{"Far East Top",#N/A,FALSE,"FE Model";"Far East Bottom",#N/A,FALSE,"FE Model"}</definedName>
    <definedName name="wrn.print._.graphs." hidden="1">{"cap_structure",#N/A,FALSE,"Graph-Mkt Cap";"price",#N/A,FALSE,"Graph-Price";"ebit",#N/A,FALSE,"Graph-EBITDA";"ebitda",#N/A,FALSE,"Graph-EBITDA"}</definedName>
    <definedName name="wrn.print._.raw._.data._.entry."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Buyer." hidden="1">{#N/A,"DR",FALSE,"increm pf";#N/A,"MAMSI",FALSE,"increm pf";#N/A,"MAXI",FALSE,"increm pf";#N/A,"PCAM",FALSE,"increm pf";#N/A,"PHSV",FALSE,"increm pf";#N/A,"SIE",FALSE,"increm pf"}</definedName>
    <definedName name="wrn.Print_CSC." hidden="1">{"CSC_1",#N/A,FALSE,"CSC Outputs";"CSC_2",#N/A,FALSE,"CSC Outputs"}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hidden="1">{"output","fiftysix",FALSE,"mergerplans";"inputs",#N/A,FALSE,"mergerplans";"output","sixtyfive",FALSE,"mergerplans";"output","seventy",FALSE,"mergerplans"}</definedName>
    <definedName name="wrn.printqtr." hidden="1">{"nytasecond",#N/A,FALSE,"NYTQTRS";"nytafirst",#N/A,FALSE,"NYTQTRS";"nytathird",#N/A,FALSE,"NYTQTRS";"nytafourth",#N/A,FALSE,"NYTQTRS";"nytafull",#N/A,FALSE,"NYTQTRS"}</definedName>
    <definedName name="wrn.rep_page." hidden="1">{"Annual_Income",#N/A,FALSE,"Report Page";"Balance_Cash_Flow",#N/A,FALSE,"Report Page";"Quarterly_Income",#N/A,FALSE,"Report Page"}</definedName>
    <definedName name="wrn.report." hidden="1">{"a",#N/A,FALSE,"Fact Sheet";"a",#N/A,FALSE,"DCFEVA";"a",#N/A,FALSE,"Statements";"a",#N/A,FALSE,"Quarterly";"a",#N/A,FALSE,"Q Grid";"a",#N/A,FALSE,"Stockval";"a",#N/A,FALSE,"DDM"}</definedName>
    <definedName name="wrn.Report._.4._.wd." hidden="1">{#N/A,#N/A,FALSE,"Flash"}</definedName>
    <definedName name="wrn.Report._.8._.wd." hidden="1">{#N/A,#N/A,FALSE,"Pulp";#N/A,#N/A,FALSE,"Stock";#N/A,#N/A,FALSE,"Paper Balance";#N/A,#N/A,FALSE,"Income Statement"}</definedName>
    <definedName name="wrn.Report_Page." hidden="1">{"Annual_Income",#N/A,FALSE,"Report Page";"Balance_Cash_Flow",#N/A,FALSE,"Report Page";"Quarterly_Income",#N/A,FALSE,"Report Page"}</definedName>
    <definedName name="wrn.Report_pulp." hidden="1">{"Report_pulp1",#N/A,FALSE,"Perform_1";"Report_pulp2",#N/A,FALSE,"Perform_1"}</definedName>
    <definedName name="wrn.Report1." hidden="1">{#N/A,#N/A,FALSE,"IS";#N/A,#N/A,FALSE,"BS";#N/A,#N/A,FALSE,"CF";#N/A,#N/A,FALSE,"CE";#N/A,#N/A,FALSE,"Depr";#N/A,#N/A,FALSE,"APAL"}</definedName>
    <definedName name="wrn.Reporting." hidden="1">{#N/A,#N/A,TRUE,"Flash";#N/A,#N/A,TRUE,"Stock";#N/A,#N/A,TRUE,"Maintenance";#N/A,#N/A,TRUE,"Income Statement local";#N/A,#N/A,TRUE,"Variance"}</definedName>
    <definedName name="wrn.sfjsf" hidden="1">{#N/A,#N/A,TRUE,"Tar-Ass";#N/A,#N/A,TRUE,"Tar-Ass LBO";#N/A,#N/A,TRUE,"LBO Ret";#N/A,#N/A,TRUE,"Tar-BS LBO";#N/A,#N/A,TRUE,"Tar-IS LBO";#N/A,#N/A,TRUE,"Tar-CF LBO";#N/A,#N/A,TRUE,"Tar-Debt LBO";#N/A,#N/A,TRUE,"Tar-Int LBO";#N/A,#N/A,TRUE,"Tar-Taxes LBO";#N/A,#N/A,TRUE,"Tar-Val LBO"}</definedName>
    <definedName name="wrn.SKSCS1." hidden="1">{#N/A,#N/A,FALSE,"Antony Financials";#N/A,#N/A,FALSE,"Cowboy Financials";#N/A,#N/A,FALSE,"Combined";#N/A,#N/A,FALSE,"Valuematrix";#N/A,#N/A,FALSE,"DCFAntony";#N/A,#N/A,FALSE,"DCFCowboy";#N/A,#N/A,FALSE,"DCFCombined"}</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hidden="1">{"FCB_ALL",#N/A,FALSE,"FCB";"GREY_ALL",#N/A,FALSE,"GREY"}</definedName>
    <definedName name="wrn.Standard." hidden="1">{"Financials",#N/A,FALSE,"Financials";"AVP",#N/A,FALSE,"AVP";"DCF",#N/A,FALSE,"DCF";"CSC",#N/A,FALSE,"CSC";"Deal_Comp",#N/A,FALSE,"DealComp"}</definedName>
    <definedName name="wrn.sultan." hidden="1">{#N/A,#N/A,TRUE,"Acq-Ass";#N/A,#N/A,TRUE,"Acq-IS";#N/A,#N/A,TRUE,"Acq-BS";#N/A,#N/A,TRUE,"Acq-CF";#N/A,#N/A,TRUE,"Acq-Proj";#N/A,#N/A,TRUE,"Acq-CapEx";#N/A,#N/A,TRUE,"Acq-Debt";#N/A,#N/A,TRUE,"Acq-Int";#N/A,#N/A,TRUE,"Acq-BD";#N/A,#N/A,TRUE,"Acq-TD";#N/A,#N/A,TRUE,"Acq-Taxes";#N/A,#N/A,TRUE,"Acq-Credit";#N/A,#N/A,TRUE,"Acq-Val";#N/A,#N/A,TRUE,"Acq-Mult Val"}</definedName>
    <definedName name="wrn.summary." hidden="1">{#N/A,#N/A,FALSE,"Summary";#N/A,#N/A,FALSE,"CF";#N/A,#N/A,FALSE,"P&amp;L";"summary",#N/A,FALSE,"Returns";#N/A,#N/A,FALSE,"BS";"summary",#N/A,FALSE,"Analysis";#N/A,#N/A,FALSE,"Assumptions"}</definedName>
    <definedName name="wrn.SummaryPgs." hidden="1">{#N/A,#N/A,FALSE,"CreditStat";#N/A,#N/A,FALSE,"SPbrkup";#N/A,#N/A,FALSE,"MerSPsyn";#N/A,#N/A,FALSE,"MerSPwKCsyn";#N/A,#N/A,FALSE,"MerSPwKCsyn (2)";#N/A,#N/A,FALSE,"CreditStat (2)"}</definedName>
    <definedName name="wrn.Sykes." hidden="1">{"rockwell2",#N/A,FALSE,"Rockwell";"trw2",#N/A,FALSE,"TRW";"texas2",#N/A,FALSE,"Texas Inst.";"loral2",#N/A,FALSE,"Loral";"nothrop2",#N/A,FALSE,"Northrop";"boeing2",#N/A,FALSE,"Boeing";"raytheon2",#N/A,FALSE,"Raytheon";"hughesbuy",#N/A,FALSE,"Hughes (2)";"huhes2",#N/A,FALSE,"Hughes";"trw2",#N/A,FALSE,"Orbital";"trw2",#N/A,FALSE,"General Dynamics";"trw2",#N/A,FALSE,"ITT";"boeingbuy2",#N/A,FALSE,"BoeingBuy";"trw2",#N/A,FALSE,"Litton";"trw2",#N/A,FALSE,"Westinghouse"}</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elecom." hidden="1">{#N/A,#N/A,FALSE,"EARNINGS";#N/A,#N/A,FALSE,"BALANCE";#N/A,#N/A,FALSE,"CASHFLOW"}</definedName>
    <definedName name="wrn.TEO." hidden="1">{#N/A,#N/A,FALSE,"EARNINGS";#N/A,#N/A,FALSE,"BALANCE";#N/A,#N/A,FALSE,"CASHFLOW"}</definedName>
    <definedName name="wrn.TMCALL." hidden="1">{"tmccash",#N/A,FALSE,"INCX";"tmcinc",#N/A,FALSE,"INCX";"tmcpretx",#N/A,FALSE,"INCX";"tmcadrev",#N/A,FALSE,"INCX";"tmcbooks",#N/A,FALSE,"INCX"}</definedName>
    <definedName name="wrn.Total._.Reports." hidden="1">{#N/A,#N/A,FALSE,"Income Statement";#N/A,#N/A,FALSE,"Flash";#N/A,#N/A,FALSE,"Pulp";#N/A,#N/A,FALSE,"Stock";#N/A,#N/A,FALSE,"Paper Balance"}</definedName>
    <definedName name="wrn.trball." hidden="1">{"trbcash",#N/A,FALSE,"INCPF";"trbinc",#N/A,FALSE,"INCPF";"trbchic",#N/A,FALSE,"INCPF";"trbadrev",#N/A,FALSE,"INCPF";"trbstns",#N/A,FALSE,"INCPF";"trbtvstns",#N/A,FALSE,"INCPF"}</definedName>
    <definedName name="wrn.TV." hidden="1">{#N/A,#N/A,FALSE,"CONSOLIDATED STATEMENT";#N/A,#N/A,FALSE,"BALANCE SHEET"}</definedName>
    <definedName name="wrn.Tweety." hidden="1">{#N/A,#N/A,FALSE,"A&amp;E";#N/A,#N/A,FALSE,"HighTop";#N/A,#N/A,FALSE,"JG";#N/A,#N/A,FALSE,"RI";#N/A,#N/A,FALSE,"woHT";#N/A,#N/A,FALSE,"woHT&amp;JG"}</definedName>
    <definedName name="wrn.valderrama." hidden="1">{"valderrama1",#N/A,FALSE,"Pro Forma";"valderrama",#N/A,FALSE,"Pro Forma"}</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Water." hidden="1">{#N/A,#N/A,FALSE,"Water";#N/A,#N/A,FALSE,"Ballygowan";#N/A,#N/A,FALSE,"Volvic"}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hidden="1">{#N/A,#N/A,FALSE,"W&amp;Spirits";#N/A,#N/A,FALSE,"Grants";#N/A,#N/A,FALSE,"CCB"}</definedName>
    <definedName name="wrn.wpoall." hidden="1">{"wpocash",#N/A,FALSE,"WPOALLT";"wpoinc",#N/A,FALSE,"WPOALLT";"wpoexcl",#N/A,FALSE,"WPOALLT";"wpocable",#N/A,FALSE,"WPOALLT";"wpobroad",#N/A,FALSE,"WPOALLT";"wpopost",#N/A,FALSE,"WPOALLT";"wponwsweek",#N/A,FALSE,"WPOALLT"}</definedName>
    <definedName name="wrn2.dcf" hidden="1">{"mgmt forecast",#N/A,FALSE,"Mgmt Forecast";"dcf table",#N/A,FALSE,"Mgmt Forecast";"sensitivity",#N/A,FALSE,"Mgmt Forecast";"table inputs",#N/A,FALSE,"Mgmt Forecast";"calculations",#N/A,FALSE,"Mgmt Forecast"}</definedName>
    <definedName name="wrn3.dcf" hidden="1">{"mgmt forecast",#N/A,FALSE,"Mgmt Forecast";"dcf table",#N/A,FALSE,"Mgmt Forecast";"sensitivity",#N/A,FALSE,"Mgmt Forecast";"table inputs",#N/A,FALSE,"Mgmt Forecast";"calculations",#N/A,FALSE,"Mgmt Forecast"}</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wwwwwwwww"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wwwwwwwwwwwww"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wwwwwwwwwwwwww"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xw" hidden="1">{#N/A,#N/A,FALSE,"FCF Corporate Services";#N/A,#N/A,FALSE,"FCF Assum Corporate Services";#N/A,#N/A,FALSE,"DCF Corp. Services Sensitivity";#N/A,#N/A,FALSE,"AVP Corporate Services";"FCF in percent",#N/A,FALSE,"FCF Corporate Services"}</definedName>
    <definedName name="xx" hidden="1">{#N/A,#N/A,FALSE,"CARATULA";#N/A,#N/A,FALSE,"INDICE";#N/A,#N/A,FALSE,"TITUL1";#N/A,#N/A,FALSE,"GRAF-VTSTOT-N$";#N/A,#N/A,FALSE,"graf-vts-tot-mil-corr-std";#N/A,#N/A,FALSE,"TITUL2";#N/A,#N/A,FALSE,"OPERACION";#N/A,#N/A,FALSE,"opn-prod-conversion";#N/A,#N/A,FALSE,"MERMA_Y_DEVOL";#N/A,#N/A,FALSE,"Hoja1";#N/A,#N/A,FALSE,"TITUL4";#N/A,#N/A,FALSE,"MARGRAF";#N/A,#N/A,FALSE,"TITUL5";#N/A,#N/A,FALSE,"IMPACTOS";#N/A,#N/A,FALSE,"EDORESULT";#N/A,#N/A,FALSE,"part_extraord";#N/A,#N/A,FALSE,"TITUL8";#N/A,#N/A,FALSE,"BALANCE";#N/A,#N/A,FALSE,"FLUJO";#N/A,#N/A,FALSE,"CAPTRAB";#N/A,#N/A,FALSE,"TITUL9";#N/A,#N/A,FALSE,"REC_HUM2"}</definedName>
    <definedName name="xxx" hidden="1">{#N/A,#N/A,FALSE,"EARNINGS";#N/A,#N/A,FALSE,"BALANCE";#N/A,#N/A,FALSE,"CASHFLOW"}</definedName>
    <definedName name="XXXXXXXX" hidden="1">#REF!</definedName>
    <definedName name="xxxxxxxxxxxxxx"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XXXXXXXXXXXXXXXX" hidden="1">#REF!</definedName>
    <definedName name="xxxxxxxxxxxxxxxxxxxxxx"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xxxxxxxxxxxxxxxxxxxxxxxxx"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year">Validations!$M$6:$M$7</definedName>
    <definedName name="yhg" hidden="1">2</definedName>
    <definedName name="ytu" hidden="1">#REF!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8" i="30" l="1"/>
  <c r="AX150" i="30"/>
  <c r="AX149" i="30"/>
  <c r="AW150" i="30"/>
  <c r="AW149" i="30"/>
  <c r="AV150" i="30"/>
  <c r="AV149" i="30"/>
  <c r="AX145" i="30"/>
  <c r="AX144" i="30"/>
  <c r="AX143" i="30"/>
  <c r="AX142" i="30"/>
  <c r="AW145" i="30"/>
  <c r="AW144" i="30"/>
  <c r="AW143" i="30"/>
  <c r="AW142" i="30"/>
  <c r="AV145" i="30"/>
  <c r="AV144" i="30"/>
  <c r="AV143" i="30"/>
  <c r="AV142" i="30"/>
  <c r="AX138" i="30"/>
  <c r="AX137" i="30"/>
  <c r="AX136" i="30"/>
  <c r="AX135" i="30"/>
  <c r="AW138" i="30"/>
  <c r="AW137" i="30"/>
  <c r="AW136" i="30"/>
  <c r="AW135" i="30"/>
  <c r="AV138" i="30"/>
  <c r="AV137" i="30"/>
  <c r="AV136" i="30"/>
  <c r="AV135" i="30"/>
  <c r="AX131" i="30"/>
  <c r="AX130" i="30"/>
  <c r="AX129" i="30"/>
  <c r="AX128" i="30"/>
  <c r="AW131" i="30"/>
  <c r="AW130" i="30"/>
  <c r="AW129" i="30"/>
  <c r="AW128" i="30"/>
  <c r="AV131" i="30"/>
  <c r="AV130" i="30"/>
  <c r="AV129" i="30"/>
  <c r="AV128" i="30"/>
  <c r="AX121" i="30"/>
  <c r="AW121" i="30"/>
  <c r="AV121" i="30"/>
  <c r="AX117" i="30"/>
  <c r="AX116" i="30"/>
  <c r="AX115" i="30"/>
  <c r="AX114" i="30"/>
  <c r="AW117" i="30"/>
  <c r="AW116" i="30"/>
  <c r="AW115" i="30"/>
  <c r="AW114" i="30"/>
  <c r="AV117" i="30"/>
  <c r="AV116" i="30"/>
  <c r="AV115" i="30"/>
  <c r="AV114" i="30"/>
  <c r="AX110" i="30"/>
  <c r="AX109" i="30"/>
  <c r="AX108" i="30"/>
  <c r="AX107" i="30"/>
  <c r="AW110" i="30"/>
  <c r="AW109" i="30"/>
  <c r="AW108" i="30"/>
  <c r="AW107" i="30"/>
  <c r="AV110" i="30"/>
  <c r="AV109" i="30"/>
  <c r="AV108" i="30"/>
  <c r="AV107" i="30"/>
  <c r="AX103" i="30"/>
  <c r="AX102" i="30"/>
  <c r="AX101" i="30"/>
  <c r="AX100" i="30"/>
  <c r="AW103" i="30"/>
  <c r="AW102" i="30"/>
  <c r="AW101" i="30"/>
  <c r="AW100" i="30"/>
  <c r="AV103" i="30"/>
  <c r="AV102" i="30"/>
  <c r="AV101" i="30"/>
  <c r="AV100" i="30"/>
  <c r="AX96" i="30"/>
  <c r="AX95" i="30"/>
  <c r="AX94" i="30"/>
  <c r="AX93" i="30"/>
  <c r="AX92" i="30"/>
  <c r="AW96" i="30"/>
  <c r="AW95" i="30"/>
  <c r="AW94" i="30"/>
  <c r="AW93" i="30"/>
  <c r="AW92" i="30"/>
  <c r="AV96" i="30"/>
  <c r="AV95" i="30"/>
  <c r="AV94" i="30"/>
  <c r="AV93" i="30"/>
  <c r="AV92" i="30"/>
  <c r="AX88" i="30"/>
  <c r="AX87" i="30"/>
  <c r="AX86" i="30"/>
  <c r="AX85" i="30"/>
  <c r="AX84" i="30"/>
  <c r="AW88" i="30"/>
  <c r="AW87" i="30"/>
  <c r="AW86" i="30"/>
  <c r="AW85" i="30"/>
  <c r="AW84" i="30"/>
  <c r="AV88" i="30"/>
  <c r="AV87" i="30"/>
  <c r="AV86" i="30"/>
  <c r="AV85" i="30"/>
  <c r="AV84" i="30"/>
  <c r="AX80" i="30"/>
  <c r="AX79" i="30"/>
  <c r="AX78" i="30"/>
  <c r="AX77" i="30"/>
  <c r="AX73" i="30"/>
  <c r="AX72" i="30"/>
  <c r="AX71" i="30"/>
  <c r="AX70" i="30"/>
  <c r="AX69" i="30"/>
  <c r="AX67" i="30"/>
  <c r="AX66" i="30"/>
  <c r="AX65" i="30"/>
  <c r="AX64" i="30"/>
  <c r="AX63" i="30"/>
  <c r="AX61" i="30"/>
  <c r="AX60" i="30"/>
  <c r="AX59" i="30"/>
  <c r="AX58" i="30"/>
  <c r="AX57" i="30"/>
  <c r="AX53" i="30"/>
  <c r="AX52" i="30"/>
  <c r="AX51" i="30"/>
  <c r="AX50" i="30"/>
  <c r="AX49" i="30"/>
  <c r="AX47" i="30"/>
  <c r="AX46" i="30"/>
  <c r="AX45" i="30"/>
  <c r="AX44" i="30"/>
  <c r="AX43" i="30"/>
  <c r="AX41" i="30"/>
  <c r="AX40" i="30"/>
  <c r="AX39" i="30"/>
  <c r="AX38" i="30"/>
  <c r="AX37" i="30"/>
  <c r="AX33" i="30"/>
  <c r="AX32" i="30"/>
  <c r="AX31" i="30"/>
  <c r="AX30" i="30"/>
  <c r="AX29" i="30"/>
  <c r="AX27" i="30"/>
  <c r="AX26" i="30"/>
  <c r="AX25" i="30"/>
  <c r="AX24" i="30"/>
  <c r="AX23" i="30"/>
  <c r="AX21" i="30"/>
  <c r="AX20" i="30"/>
  <c r="AX19" i="30"/>
  <c r="AX18" i="30"/>
  <c r="AW80" i="30"/>
  <c r="AW79" i="30"/>
  <c r="AW78" i="30"/>
  <c r="AW77" i="30"/>
  <c r="AW73" i="30"/>
  <c r="AW72" i="30"/>
  <c r="AW71" i="30"/>
  <c r="AW70" i="30"/>
  <c r="AW69" i="30"/>
  <c r="AW67" i="30"/>
  <c r="AW66" i="30"/>
  <c r="AW65" i="30"/>
  <c r="AW64" i="30"/>
  <c r="AW63" i="30"/>
  <c r="AW61" i="30"/>
  <c r="AW60" i="30"/>
  <c r="AW59" i="30"/>
  <c r="AW58" i="30"/>
  <c r="AW57" i="30"/>
  <c r="AW53" i="30"/>
  <c r="AW52" i="30"/>
  <c r="AW51" i="30"/>
  <c r="AW50" i="30"/>
  <c r="AW49" i="30"/>
  <c r="AW47" i="30"/>
  <c r="AW46" i="30"/>
  <c r="AW45" i="30"/>
  <c r="AW44" i="30"/>
  <c r="AW43" i="30"/>
  <c r="AW41" i="30"/>
  <c r="AW40" i="30"/>
  <c r="AW39" i="30"/>
  <c r="AW38" i="30"/>
  <c r="AW37" i="30"/>
  <c r="AW33" i="30"/>
  <c r="AW32" i="30"/>
  <c r="AW31" i="30"/>
  <c r="AW30" i="30"/>
  <c r="AW29" i="30"/>
  <c r="AW27" i="30"/>
  <c r="AW26" i="30"/>
  <c r="AW25" i="30"/>
  <c r="AW24" i="30"/>
  <c r="AW23" i="30"/>
  <c r="AW21" i="30"/>
  <c r="AW20" i="30"/>
  <c r="AW19" i="30"/>
  <c r="AV80" i="30"/>
  <c r="AV79" i="30"/>
  <c r="AV78" i="30"/>
  <c r="AV77" i="30"/>
  <c r="AV73" i="30"/>
  <c r="AV72" i="30"/>
  <c r="AV71" i="30"/>
  <c r="AV70" i="30"/>
  <c r="AV69" i="30"/>
  <c r="AV67" i="30"/>
  <c r="AV66" i="30"/>
  <c r="AV65" i="30"/>
  <c r="AV64" i="30"/>
  <c r="AV63" i="30"/>
  <c r="AV61" i="30"/>
  <c r="AV60" i="30"/>
  <c r="AV59" i="30"/>
  <c r="AV58" i="30"/>
  <c r="AV57" i="30"/>
  <c r="AV53" i="30"/>
  <c r="AV52" i="30"/>
  <c r="AV51" i="30"/>
  <c r="AV50" i="30"/>
  <c r="AV49" i="30"/>
  <c r="AV47" i="30"/>
  <c r="AV46" i="30"/>
  <c r="AV45" i="30"/>
  <c r="AV44" i="30"/>
  <c r="AV43" i="30"/>
  <c r="AV41" i="30"/>
  <c r="AV40" i="30"/>
  <c r="AV39" i="30"/>
  <c r="AV38" i="30"/>
  <c r="AV37" i="30"/>
  <c r="AV33" i="30"/>
  <c r="AV32" i="30"/>
  <c r="AV31" i="30"/>
  <c r="AV30" i="30"/>
  <c r="AV29" i="30"/>
  <c r="AV27" i="30"/>
  <c r="AV26" i="30"/>
  <c r="AV25" i="30"/>
  <c r="AV24" i="30"/>
  <c r="AV23" i="30"/>
  <c r="AV21" i="30"/>
  <c r="AV20" i="30"/>
  <c r="AV19" i="30"/>
  <c r="AV18" i="30"/>
  <c r="AU37" i="30"/>
  <c r="AU27" i="30"/>
  <c r="AU26" i="30"/>
  <c r="AU25" i="30"/>
  <c r="AU24" i="30"/>
  <c r="AU23" i="30"/>
  <c r="AU21" i="30"/>
  <c r="AU20" i="30"/>
  <c r="AU19" i="30"/>
  <c r="AU18" i="30"/>
  <c r="AU150" i="30"/>
  <c r="AU149" i="30"/>
  <c r="AU145" i="30"/>
  <c r="AU144" i="30"/>
  <c r="AU143" i="30"/>
  <c r="AU142" i="30"/>
  <c r="AU138" i="30"/>
  <c r="AU137" i="30"/>
  <c r="AU136" i="30"/>
  <c r="AU131" i="30"/>
  <c r="AU130" i="30"/>
  <c r="AU129" i="30"/>
  <c r="AU135" i="30"/>
  <c r="AU128" i="30"/>
  <c r="AU121" i="30"/>
  <c r="AU117" i="30"/>
  <c r="AU116" i="30"/>
  <c r="AU115" i="30"/>
  <c r="AU114" i="30"/>
  <c r="AU110" i="30"/>
  <c r="AU109" i="30"/>
  <c r="AU108" i="30"/>
  <c r="AU107" i="30"/>
  <c r="AU103" i="30"/>
  <c r="AU102" i="30"/>
  <c r="AU101" i="30"/>
  <c r="AU100" i="30"/>
  <c r="AU96" i="30"/>
  <c r="AU95" i="30"/>
  <c r="AU94" i="30"/>
  <c r="AU93" i="30"/>
  <c r="AU92" i="30"/>
  <c r="AU88" i="30"/>
  <c r="AU87" i="30"/>
  <c r="AU86" i="30"/>
  <c r="AU85" i="30"/>
  <c r="AU84" i="30"/>
  <c r="AU80" i="30"/>
  <c r="AU79" i="30"/>
  <c r="AU78" i="30"/>
  <c r="AU77" i="30"/>
  <c r="AU73" i="30"/>
  <c r="AU72" i="30"/>
  <c r="AU71" i="30"/>
  <c r="AU70" i="30"/>
  <c r="AU69" i="30"/>
  <c r="AU67" i="30"/>
  <c r="AU66" i="30"/>
  <c r="AU65" i="30"/>
  <c r="AU64" i="30"/>
  <c r="AU63" i="30"/>
  <c r="AU61" i="30"/>
  <c r="AU60" i="30"/>
  <c r="AU59" i="30"/>
  <c r="AU58" i="30"/>
  <c r="AU57" i="30"/>
  <c r="AU53" i="30"/>
  <c r="AU52" i="30"/>
  <c r="AU51" i="30"/>
  <c r="AU50" i="30"/>
  <c r="AU49" i="30"/>
  <c r="AU47" i="30"/>
  <c r="AU46" i="30"/>
  <c r="AU45" i="30"/>
  <c r="AU44" i="30"/>
  <c r="AU43" i="30"/>
  <c r="AU41" i="30"/>
  <c r="AU40" i="30"/>
  <c r="AU39" i="30"/>
  <c r="AU38" i="30"/>
  <c r="AU33" i="30"/>
  <c r="AU32" i="30"/>
  <c r="AU31" i="30"/>
  <c r="AU30" i="30"/>
  <c r="AU29" i="30"/>
  <c r="AH260" i="30"/>
  <c r="AI260" i="30"/>
  <c r="AJ260" i="30"/>
  <c r="AK260" i="30"/>
  <c r="AK266" i="30" s="1"/>
  <c r="AK267" i="30" s="1"/>
  <c r="AL260" i="30"/>
  <c r="AM260" i="30"/>
  <c r="AN260" i="30"/>
  <c r="AO260" i="30"/>
  <c r="AH261" i="30"/>
  <c r="AI261" i="30"/>
  <c r="AJ261" i="30"/>
  <c r="AJ266" i="30" s="1"/>
  <c r="AJ267" i="30" s="1"/>
  <c r="AK261" i="30"/>
  <c r="AL261" i="30"/>
  <c r="AL266" i="30" s="1"/>
  <c r="AL267" i="30" s="1"/>
  <c r="AM261" i="30"/>
  <c r="AM266" i="30" s="1"/>
  <c r="AM267" i="30" s="1"/>
  <c r="AN261" i="30"/>
  <c r="AO261" i="30"/>
  <c r="AH262" i="30"/>
  <c r="AI262" i="30"/>
  <c r="AJ262" i="30"/>
  <c r="AK262" i="30"/>
  <c r="AL262" i="30"/>
  <c r="AM262" i="30"/>
  <c r="AN262" i="30"/>
  <c r="AO262" i="30"/>
  <c r="AH263" i="30"/>
  <c r="AI263" i="30"/>
  <c r="AI266" i="30" s="1"/>
  <c r="AI267" i="30" s="1"/>
  <c r="AJ263" i="30"/>
  <c r="AK263" i="30"/>
  <c r="AL263" i="30"/>
  <c r="AM263" i="30"/>
  <c r="AN263" i="30"/>
  <c r="AO263" i="30"/>
  <c r="AH264" i="30"/>
  <c r="AI264" i="30"/>
  <c r="AJ264" i="30"/>
  <c r="AK264" i="30"/>
  <c r="AL264" i="30"/>
  <c r="AM264" i="30"/>
  <c r="AN264" i="30"/>
  <c r="AO264" i="30"/>
  <c r="AH265" i="30"/>
  <c r="AH266" i="30" s="1"/>
  <c r="AH267" i="30" s="1"/>
  <c r="AI265" i="30"/>
  <c r="AJ265" i="30"/>
  <c r="AK265" i="30"/>
  <c r="AL265" i="30"/>
  <c r="AM265" i="30"/>
  <c r="AN265" i="30"/>
  <c r="AO265" i="30"/>
  <c r="AN266" i="30"/>
  <c r="AN267" i="30" s="1"/>
  <c r="AO266" i="30"/>
  <c r="AO267" i="30" s="1"/>
  <c r="AH255" i="30"/>
  <c r="AI255" i="30"/>
  <c r="AJ255" i="30"/>
  <c r="AK255" i="30"/>
  <c r="AL255" i="30"/>
  <c r="AM255" i="30"/>
  <c r="AN255" i="30"/>
  <c r="AO255" i="30"/>
  <c r="AH250" i="30"/>
  <c r="AI250" i="30"/>
  <c r="AJ250" i="30"/>
  <c r="AK250" i="30"/>
  <c r="AL250" i="30"/>
  <c r="AM250" i="30"/>
  <c r="AN250" i="30"/>
  <c r="AO250" i="30"/>
  <c r="AH246" i="30"/>
  <c r="AI246" i="30"/>
  <c r="AJ246" i="30"/>
  <c r="AK246" i="30"/>
  <c r="AL246" i="30"/>
  <c r="AM246" i="30"/>
  <c r="AN246" i="30"/>
  <c r="AO246" i="30"/>
  <c r="AI240" i="30"/>
  <c r="AH240" i="30"/>
  <c r="AO239" i="30"/>
  <c r="AO240" i="30" s="1"/>
  <c r="AN239" i="30"/>
  <c r="AN240" i="30" s="1"/>
  <c r="AM239" i="30"/>
  <c r="AM240" i="30" s="1"/>
  <c r="AL239" i="30"/>
  <c r="AL240" i="30" s="1"/>
  <c r="AK239" i="30"/>
  <c r="AK240" i="30" s="1"/>
  <c r="AJ239" i="30"/>
  <c r="AJ240" i="30" s="1"/>
  <c r="AI239" i="30"/>
  <c r="AH239" i="30"/>
  <c r="AG239" i="30"/>
  <c r="AO227" i="30"/>
  <c r="AN227" i="30"/>
  <c r="AM227" i="30"/>
  <c r="AL227" i="30"/>
  <c r="AK227" i="30"/>
  <c r="AJ227" i="30"/>
  <c r="AI227" i="30"/>
  <c r="AH227" i="30"/>
  <c r="AO220" i="30"/>
  <c r="AN220" i="30"/>
  <c r="AM220" i="30"/>
  <c r="AL220" i="30"/>
  <c r="AK220" i="30"/>
  <c r="AJ220" i="30"/>
  <c r="AI220" i="30"/>
  <c r="AH220" i="30"/>
  <c r="AH179" i="30"/>
  <c r="AI179" i="30"/>
  <c r="AJ179" i="30"/>
  <c r="AJ181" i="30" s="1"/>
  <c r="AJ183" i="30" s="1"/>
  <c r="AJ186" i="30" s="1"/>
  <c r="AJ187" i="30" s="1"/>
  <c r="AK179" i="30"/>
  <c r="AK181" i="30" s="1"/>
  <c r="AK183" i="30" s="1"/>
  <c r="AK186" i="30" s="1"/>
  <c r="AK187" i="30" s="1"/>
  <c r="AL179" i="30"/>
  <c r="AL181" i="30" s="1"/>
  <c r="AL183" i="30" s="1"/>
  <c r="AL186" i="30" s="1"/>
  <c r="AL187" i="30" s="1"/>
  <c r="AM179" i="30"/>
  <c r="AM181" i="30" s="1"/>
  <c r="AM183" i="30" s="1"/>
  <c r="AM186" i="30" s="1"/>
  <c r="AM187" i="30" s="1"/>
  <c r="AN179" i="30"/>
  <c r="AN181" i="30" s="1"/>
  <c r="AN183" i="30" s="1"/>
  <c r="AN186" i="30" s="1"/>
  <c r="AN187" i="30" s="1"/>
  <c r="AO179" i="30"/>
  <c r="AO181" i="30" s="1"/>
  <c r="AO183" i="30" s="1"/>
  <c r="AO186" i="30" s="1"/>
  <c r="AO187" i="30" s="1"/>
  <c r="AH178" i="30"/>
  <c r="AI178" i="30"/>
  <c r="AJ178" i="30"/>
  <c r="AK178" i="30"/>
  <c r="AL178" i="30"/>
  <c r="AM178" i="30"/>
  <c r="AN178" i="30"/>
  <c r="AO178" i="30"/>
  <c r="AH194" i="30"/>
  <c r="AI194" i="30"/>
  <c r="AJ194" i="30"/>
  <c r="AK194" i="30"/>
  <c r="AL194" i="30"/>
  <c r="AM194" i="30"/>
  <c r="AN194" i="30"/>
  <c r="AO194" i="30"/>
  <c r="AH189" i="30"/>
  <c r="AI189" i="30"/>
  <c r="AJ189" i="30"/>
  <c r="AK189" i="30"/>
  <c r="AL189" i="30"/>
  <c r="AM189" i="30"/>
  <c r="AN189" i="30"/>
  <c r="AO189" i="30"/>
  <c r="AI183" i="30"/>
  <c r="AI186" i="30" s="1"/>
  <c r="AI187" i="30" s="1"/>
  <c r="AH181" i="30"/>
  <c r="AH183" i="30" s="1"/>
  <c r="AH186" i="30" s="1"/>
  <c r="AH187" i="30" s="1"/>
  <c r="AI181" i="30"/>
  <c r="AH173" i="30"/>
  <c r="AI173" i="30"/>
  <c r="AJ173" i="30"/>
  <c r="AK173" i="30"/>
  <c r="AL173" i="30"/>
  <c r="AM173" i="30"/>
  <c r="AN173" i="30"/>
  <c r="AO173" i="30"/>
  <c r="AH163" i="30"/>
  <c r="AI163" i="30"/>
  <c r="AJ163" i="30"/>
  <c r="AK163" i="30"/>
  <c r="AL163" i="30"/>
  <c r="AM163" i="30"/>
  <c r="AN163" i="30"/>
  <c r="AO163" i="30"/>
  <c r="AW113" i="7"/>
  <c r="AV113" i="7"/>
  <c r="AW112" i="7"/>
  <c r="AV112" i="7"/>
  <c r="AW111" i="7"/>
  <c r="AW114" i="7" s="1"/>
  <c r="AV111" i="7"/>
  <c r="AV114" i="7" s="1"/>
  <c r="AW106" i="7"/>
  <c r="AV106" i="7"/>
  <c r="AW105" i="7"/>
  <c r="AV105" i="7"/>
  <c r="AW104" i="7"/>
  <c r="AV104" i="7"/>
  <c r="AW101" i="7"/>
  <c r="AV101" i="7"/>
  <c r="AW100" i="7"/>
  <c r="AV100" i="7"/>
  <c r="AW99" i="7"/>
  <c r="AV99" i="7"/>
  <c r="AW98" i="7"/>
  <c r="AV98" i="7"/>
  <c r="AW97" i="7"/>
  <c r="AV97" i="7"/>
  <c r="AW96" i="7"/>
  <c r="AV96" i="7"/>
  <c r="AW91" i="7"/>
  <c r="AV91" i="7"/>
  <c r="AW90" i="7"/>
  <c r="AV90" i="7"/>
  <c r="AW89" i="7"/>
  <c r="AV89" i="7"/>
  <c r="AW88" i="7"/>
  <c r="AV88" i="7"/>
  <c r="AW85" i="7"/>
  <c r="AV85" i="7"/>
  <c r="AW84" i="7"/>
  <c r="AV84" i="7"/>
  <c r="AW83" i="7"/>
  <c r="AV83" i="7"/>
  <c r="AW82" i="7"/>
  <c r="AV82" i="7"/>
  <c r="AW81" i="7"/>
  <c r="AV81" i="7"/>
  <c r="AW80" i="7"/>
  <c r="AV80" i="7"/>
  <c r="AW79" i="7"/>
  <c r="AV79" i="7"/>
  <c r="AW78" i="7"/>
  <c r="AV78" i="7"/>
  <c r="AW75" i="7"/>
  <c r="AV75" i="7"/>
  <c r="AW74" i="7"/>
  <c r="AV74" i="7"/>
  <c r="AW73" i="7"/>
  <c r="AV73" i="7"/>
  <c r="AW72" i="7"/>
  <c r="AV72" i="7"/>
  <c r="AW71" i="7"/>
  <c r="AV71" i="7"/>
  <c r="AW70" i="7"/>
  <c r="AV70" i="7"/>
  <c r="AW69" i="7"/>
  <c r="AV69" i="7"/>
  <c r="AW68" i="7"/>
  <c r="AV68" i="7"/>
  <c r="AW67" i="7"/>
  <c r="AV67" i="7"/>
  <c r="AW66" i="7"/>
  <c r="AV66" i="7"/>
  <c r="AW65" i="7"/>
  <c r="AV65" i="7"/>
  <c r="BD27" i="21"/>
  <c r="BC27" i="21"/>
  <c r="BA27" i="21"/>
  <c r="AZ27" i="21"/>
  <c r="AX27" i="21"/>
  <c r="AW27" i="21"/>
  <c r="AV27" i="21"/>
  <c r="AU27" i="21"/>
  <c r="AT27" i="21"/>
  <c r="AS27" i="21"/>
  <c r="AR27" i="21"/>
  <c r="AQ27" i="21"/>
  <c r="AW58" i="7" a="1"/>
  <c r="AW58" i="7" s="1"/>
  <c r="AV58" i="7" a="1"/>
  <c r="AV58" i="7" s="1"/>
  <c r="AU58" i="7" a="1"/>
  <c r="AU58" i="7" s="1"/>
  <c r="AW57" i="7" a="1"/>
  <c r="AW57" i="7" s="1"/>
  <c r="AV57" i="7" a="1"/>
  <c r="AV57" i="7" s="1"/>
  <c r="AU57" i="7" a="1"/>
  <c r="AU57" i="7" s="1"/>
  <c r="AW56" i="7" a="1"/>
  <c r="AW56" i="7" s="1"/>
  <c r="AV56" i="7" a="1"/>
  <c r="AV56" i="7" s="1"/>
  <c r="AU56" i="7" a="1"/>
  <c r="AU56" i="7" s="1"/>
  <c r="AW55" i="7" a="1"/>
  <c r="AW55" i="7" s="1"/>
  <c r="AV55" i="7" a="1"/>
  <c r="AV55" i="7" s="1"/>
  <c r="AU55" i="7" a="1"/>
  <c r="AU55" i="7" s="1"/>
  <c r="AW52" i="7" a="1"/>
  <c r="AW52" i="7" s="1"/>
  <c r="AV52" i="7" a="1"/>
  <c r="AV52" i="7" s="1"/>
  <c r="AU52" i="7" a="1"/>
  <c r="AU52" i="7" s="1"/>
  <c r="AW51" i="7" a="1"/>
  <c r="AW51" i="7" s="1"/>
  <c r="AV51" i="7" a="1"/>
  <c r="AV51" i="7" s="1"/>
  <c r="AU51" i="7" a="1"/>
  <c r="AU51" i="7" s="1"/>
  <c r="AW50" i="7" a="1"/>
  <c r="AW50" i="7" s="1"/>
  <c r="AV50" i="7" a="1"/>
  <c r="AV50" i="7" s="1"/>
  <c r="AU50" i="7" a="1"/>
  <c r="AU50" i="7" s="1"/>
  <c r="AW49" i="7" a="1"/>
  <c r="AW49" i="7" s="1"/>
  <c r="AV49" i="7" a="1"/>
  <c r="AV49" i="7" s="1"/>
  <c r="AU49" i="7" a="1"/>
  <c r="AU49" i="7" s="1"/>
  <c r="AW48" i="7" a="1"/>
  <c r="AW48" i="7" s="1"/>
  <c r="AV48" i="7" a="1"/>
  <c r="AV48" i="7" s="1"/>
  <c r="AU48" i="7" a="1"/>
  <c r="AU48" i="7" s="1"/>
  <c r="AW47" i="7" a="1"/>
  <c r="AW47" i="7" s="1"/>
  <c r="AV47" i="7" a="1"/>
  <c r="AV47" i="7" s="1"/>
  <c r="AU47" i="7" a="1"/>
  <c r="AU47" i="7" s="1"/>
  <c r="AW46" i="7" a="1"/>
  <c r="AW46" i="7" s="1"/>
  <c r="AV46" i="7" a="1"/>
  <c r="AV46" i="7" s="1"/>
  <c r="AU46" i="7" a="1"/>
  <c r="AU46" i="7" s="1"/>
  <c r="AW45" i="7" a="1"/>
  <c r="AW45" i="7" s="1"/>
  <c r="AV45" i="7" a="1"/>
  <c r="AV45" i="7" s="1"/>
  <c r="AU45" i="7" a="1"/>
  <c r="AU45" i="7" s="1"/>
  <c r="AU32" i="7" a="1"/>
  <c r="AU32" i="7" s="1"/>
  <c r="AV32" i="7" a="1"/>
  <c r="AV32" i="7"/>
  <c r="AW32" i="7" a="1"/>
  <c r="AW32" i="7" s="1"/>
  <c r="AU33" i="7" a="1"/>
  <c r="AU33" i="7" s="1"/>
  <c r="AV33" i="7" a="1"/>
  <c r="AV33" i="7" s="1"/>
  <c r="AW33" i="7" a="1"/>
  <c r="AW33" i="7"/>
  <c r="AU34" i="7" a="1"/>
  <c r="AU34" i="7" s="1"/>
  <c r="AV34" i="7" a="1"/>
  <c r="AV34" i="7" s="1"/>
  <c r="AW34" i="7" a="1"/>
  <c r="AW34" i="7"/>
  <c r="AU35" i="7" a="1"/>
  <c r="AU35" i="7"/>
  <c r="AV35" i="7" a="1"/>
  <c r="AV35" i="7"/>
  <c r="AW35" i="7" a="1"/>
  <c r="AW35" i="7"/>
  <c r="AU36" i="7" a="1"/>
  <c r="AU36" i="7" s="1"/>
  <c r="AV36" i="7" a="1"/>
  <c r="AV36" i="7"/>
  <c r="AW36" i="7" a="1"/>
  <c r="AW36" i="7" s="1"/>
  <c r="AU37" i="7" a="1"/>
  <c r="AU37" i="7"/>
  <c r="AV37" i="7" a="1"/>
  <c r="AV37" i="7"/>
  <c r="AW37" i="7" a="1"/>
  <c r="AW37" i="7"/>
  <c r="AU38" i="7" a="1"/>
  <c r="AU38" i="7"/>
  <c r="AV38" i="7" a="1"/>
  <c r="AV38" i="7" s="1"/>
  <c r="AW38" i="7" a="1"/>
  <c r="AW38" i="7"/>
  <c r="AU39" i="7" a="1"/>
  <c r="AU39" i="7" s="1"/>
  <c r="AV39" i="7" a="1"/>
  <c r="AV39" i="7" s="1"/>
  <c r="AW39" i="7" a="1"/>
  <c r="AW39" i="7" s="1"/>
  <c r="AU40" i="7" a="1"/>
  <c r="AU40" i="7"/>
  <c r="AV40" i="7" a="1"/>
  <c r="AV40" i="7" s="1"/>
  <c r="AW40" i="7" a="1"/>
  <c r="AW40" i="7"/>
  <c r="AU41" i="7" a="1"/>
  <c r="AU41" i="7" s="1"/>
  <c r="AV41" i="7" a="1"/>
  <c r="AV41" i="7" s="1"/>
  <c r="AW41" i="7" a="1"/>
  <c r="AW41" i="7" s="1"/>
  <c r="AU42" i="7" a="1"/>
  <c r="AU42" i="7"/>
  <c r="AV42" i="7" a="1"/>
  <c r="AV42" i="7" s="1"/>
  <c r="AW42" i="7" a="1"/>
  <c r="AW42" i="7" s="1"/>
  <c r="AU31" i="7" a="1"/>
  <c r="AU31" i="7" s="1"/>
  <c r="AV31" i="7" a="1"/>
  <c r="AV31" i="7" s="1"/>
  <c r="AW31" i="7" a="1"/>
  <c r="AW31" i="7" s="1"/>
  <c r="AG386" i="30"/>
  <c r="AG384" i="30"/>
  <c r="AG360" i="30"/>
  <c r="AG361" i="30"/>
  <c r="AG359" i="30"/>
  <c r="AG178" i="30" s="1"/>
  <c r="AV107" i="7" l="1"/>
  <c r="AW102" i="7"/>
  <c r="AW92" i="7"/>
  <c r="AW86" i="7"/>
  <c r="AV92" i="7"/>
  <c r="AV86" i="7"/>
  <c r="AW107" i="7"/>
  <c r="AV102" i="7"/>
  <c r="AW76" i="7"/>
  <c r="AW109" i="7"/>
  <c r="AW116" i="7" s="1"/>
  <c r="AW121" i="7" s="1"/>
  <c r="AV109" i="7"/>
  <c r="AV116" i="7" s="1"/>
  <c r="AV121" i="7" s="1"/>
  <c r="AV76" i="7"/>
  <c r="AG100" i="30"/>
  <c r="AG84" i="30"/>
  <c r="AG69" i="30"/>
  <c r="AG63" i="30"/>
  <c r="AG57" i="30"/>
  <c r="AG49" i="30"/>
  <c r="AG43" i="30"/>
  <c r="AG37" i="30"/>
  <c r="AG29" i="30"/>
  <c r="AG23" i="30"/>
  <c r="AG17" i="30"/>
  <c r="AF113" i="7" l="1"/>
  <c r="R31" i="7"/>
  <c r="S31" i="7"/>
  <c r="AP31" i="7" s="1" a="1"/>
  <c r="AP31" i="7" s="1"/>
  <c r="T31" i="7"/>
  <c r="U31" i="7"/>
  <c r="V31" i="7"/>
  <c r="AQ31" i="7" s="1" a="1"/>
  <c r="AQ31" i="7" s="1"/>
  <c r="W31" i="7"/>
  <c r="X31" i="7"/>
  <c r="Y31" i="7"/>
  <c r="AR31" i="7" s="1" a="1"/>
  <c r="AR31" i="7" s="1"/>
  <c r="Z31" i="7"/>
  <c r="AA31" i="7"/>
  <c r="AB31" i="7"/>
  <c r="AC31" i="7"/>
  <c r="AD31" i="7"/>
  <c r="AE31" i="7"/>
  <c r="AT31" i="7" s="1" a="1"/>
  <c r="AT31" i="7" s="1"/>
  <c r="AF31" i="7"/>
  <c r="R32" i="7"/>
  <c r="S272" i="30" s="1"/>
  <c r="S32" i="7"/>
  <c r="T32" i="7"/>
  <c r="U272" i="30" s="1"/>
  <c r="U32" i="7"/>
  <c r="V272" i="30" s="1"/>
  <c r="V32" i="7"/>
  <c r="W32" i="7"/>
  <c r="X272" i="30" s="1"/>
  <c r="X32" i="7"/>
  <c r="Y272" i="30" s="1"/>
  <c r="Y32" i="7"/>
  <c r="Z32" i="7"/>
  <c r="AA272" i="30" s="1"/>
  <c r="AA32" i="7"/>
  <c r="AB272" i="30" s="1"/>
  <c r="AB32" i="7"/>
  <c r="AC32" i="7"/>
  <c r="AD272" i="30" s="1"/>
  <c r="AD32" i="7"/>
  <c r="AE272" i="30" s="1"/>
  <c r="AE32" i="7"/>
  <c r="AF32" i="7"/>
  <c r="AG272" i="30" s="1"/>
  <c r="R33" i="7"/>
  <c r="S273" i="30" s="1"/>
  <c r="S33" i="7"/>
  <c r="T33" i="7"/>
  <c r="U273" i="30" s="1"/>
  <c r="U33" i="7"/>
  <c r="V273" i="30" s="1"/>
  <c r="V33" i="7"/>
  <c r="W33" i="7"/>
  <c r="X273" i="30" s="1"/>
  <c r="X33" i="7"/>
  <c r="Y273" i="30" s="1"/>
  <c r="Y33" i="7"/>
  <c r="Z33" i="7"/>
  <c r="AA273" i="30" s="1"/>
  <c r="AA33" i="7"/>
  <c r="AB273" i="30" s="1"/>
  <c r="AB33" i="7"/>
  <c r="AC33" i="7"/>
  <c r="AD273" i="30" s="1"/>
  <c r="AD33" i="7"/>
  <c r="AE273" i="30" s="1"/>
  <c r="AE33" i="7"/>
  <c r="AF33" i="7"/>
  <c r="AG273" i="30" s="1"/>
  <c r="R34" i="7"/>
  <c r="S274" i="30" s="1"/>
  <c r="S34" i="7"/>
  <c r="T34" i="7"/>
  <c r="U274" i="30" s="1"/>
  <c r="U34" i="7"/>
  <c r="V274" i="30" s="1"/>
  <c r="V34" i="7"/>
  <c r="W34" i="7"/>
  <c r="X274" i="30" s="1"/>
  <c r="X34" i="7"/>
  <c r="Y274" i="30" s="1"/>
  <c r="Y34" i="7"/>
  <c r="Z34" i="7"/>
  <c r="AA274" i="30" s="1"/>
  <c r="AA34" i="7"/>
  <c r="AB274" i="30" s="1"/>
  <c r="AB34" i="7"/>
  <c r="AC34" i="7"/>
  <c r="AD274" i="30" s="1"/>
  <c r="AD34" i="7"/>
  <c r="AE274" i="30" s="1"/>
  <c r="AE34" i="7"/>
  <c r="AT34" i="7" s="1" a="1"/>
  <c r="AT34" i="7" s="1"/>
  <c r="AF34" i="7"/>
  <c r="AG274" i="30" s="1"/>
  <c r="R35" i="7"/>
  <c r="S275" i="30" s="1"/>
  <c r="S35" i="7"/>
  <c r="T35" i="7"/>
  <c r="U275" i="30" s="1"/>
  <c r="U35" i="7"/>
  <c r="V275" i="30" s="1"/>
  <c r="V35" i="7"/>
  <c r="W35" i="7"/>
  <c r="X275" i="30" s="1"/>
  <c r="X35" i="7"/>
  <c r="Y275" i="30" s="1"/>
  <c r="Y35" i="7"/>
  <c r="Z35" i="7"/>
  <c r="AA275" i="30" s="1"/>
  <c r="AA35" i="7"/>
  <c r="AB275" i="30" s="1"/>
  <c r="AB35" i="7"/>
  <c r="AC35" i="7"/>
  <c r="AD275" i="30" s="1"/>
  <c r="AD35" i="7"/>
  <c r="AE275" i="30" s="1"/>
  <c r="AE35" i="7"/>
  <c r="AF35" i="7"/>
  <c r="AG275" i="30" s="1"/>
  <c r="R36" i="7"/>
  <c r="S276" i="30" s="1"/>
  <c r="S36" i="7"/>
  <c r="T36" i="7"/>
  <c r="U276" i="30" s="1"/>
  <c r="U36" i="7"/>
  <c r="V276" i="30" s="1"/>
  <c r="V36" i="7"/>
  <c r="W36" i="7"/>
  <c r="X276" i="30" s="1"/>
  <c r="X36" i="7"/>
  <c r="Y276" i="30" s="1"/>
  <c r="Y36" i="7"/>
  <c r="Z36" i="7"/>
  <c r="AA276" i="30" s="1"/>
  <c r="AA36" i="7"/>
  <c r="AB276" i="30" s="1"/>
  <c r="AB36" i="7"/>
  <c r="AC36" i="7"/>
  <c r="AD276" i="30" s="1"/>
  <c r="AD36" i="7"/>
  <c r="AE276" i="30" s="1"/>
  <c r="AE36" i="7"/>
  <c r="AT36" i="7" s="1" a="1"/>
  <c r="AT36" i="7" s="1"/>
  <c r="AF36" i="7"/>
  <c r="AG276" i="30" s="1"/>
  <c r="R37" i="7"/>
  <c r="S277" i="30" s="1"/>
  <c r="S37" i="7"/>
  <c r="T37" i="7"/>
  <c r="U277" i="30" s="1"/>
  <c r="U37" i="7"/>
  <c r="V277" i="30" s="1"/>
  <c r="V37" i="7"/>
  <c r="W37" i="7"/>
  <c r="X277" i="30" s="1"/>
  <c r="X37" i="7"/>
  <c r="Y277" i="30" s="1"/>
  <c r="Y37" i="7"/>
  <c r="Z37" i="7"/>
  <c r="AA277" i="30" s="1"/>
  <c r="AA37" i="7"/>
  <c r="AB277" i="30" s="1"/>
  <c r="AB37" i="7"/>
  <c r="AC37" i="7"/>
  <c r="AD277" i="30" s="1"/>
  <c r="AD37" i="7"/>
  <c r="AE277" i="30" s="1"/>
  <c r="AE37" i="7"/>
  <c r="AF37" i="7"/>
  <c r="R38" i="7"/>
  <c r="S278" i="30" s="1"/>
  <c r="S38" i="7"/>
  <c r="T38" i="7"/>
  <c r="U278" i="30" s="1"/>
  <c r="U38" i="7"/>
  <c r="V278" i="30" s="1"/>
  <c r="V38" i="7"/>
  <c r="W38" i="7"/>
  <c r="X278" i="30" s="1"/>
  <c r="X38" i="7"/>
  <c r="Y278" i="30" s="1"/>
  <c r="Y38" i="7"/>
  <c r="Z38" i="7"/>
  <c r="AA278" i="30" s="1"/>
  <c r="AA38" i="7"/>
  <c r="AB278" i="30" s="1"/>
  <c r="AB38" i="7"/>
  <c r="AC38" i="7"/>
  <c r="AD278" i="30" s="1"/>
  <c r="AD38" i="7"/>
  <c r="AE278" i="30" s="1"/>
  <c r="AE38" i="7"/>
  <c r="AF38" i="7"/>
  <c r="AG278" i="30" s="1"/>
  <c r="R39" i="7"/>
  <c r="S279" i="30" s="1"/>
  <c r="S39" i="7"/>
  <c r="T39" i="7"/>
  <c r="U279" i="30" s="1"/>
  <c r="U39" i="7"/>
  <c r="V279" i="30" s="1"/>
  <c r="V39" i="7"/>
  <c r="W39" i="7"/>
  <c r="X279" i="30" s="1"/>
  <c r="X39" i="7"/>
  <c r="Y279" i="30" s="1"/>
  <c r="Y39" i="7"/>
  <c r="Z39" i="7"/>
  <c r="AA279" i="30" s="1"/>
  <c r="AA39" i="7"/>
  <c r="AB279" i="30" s="1"/>
  <c r="AB39" i="7"/>
  <c r="AC39" i="7"/>
  <c r="AD279" i="30" s="1"/>
  <c r="AD39" i="7"/>
  <c r="AE279" i="30" s="1"/>
  <c r="AE39" i="7"/>
  <c r="AF39" i="7"/>
  <c r="AG279" i="30" s="1"/>
  <c r="R40" i="7"/>
  <c r="S280" i="30" s="1"/>
  <c r="S40" i="7"/>
  <c r="T40" i="7"/>
  <c r="U280" i="30" s="1"/>
  <c r="U40" i="7"/>
  <c r="V280" i="30" s="1"/>
  <c r="V40" i="7"/>
  <c r="W40" i="7"/>
  <c r="X280" i="30" s="1"/>
  <c r="X40" i="7"/>
  <c r="Y280" i="30" s="1"/>
  <c r="Y40" i="7"/>
  <c r="Z40" i="7"/>
  <c r="AA280" i="30" s="1"/>
  <c r="AA40" i="7"/>
  <c r="AB280" i="30" s="1"/>
  <c r="AB40" i="7"/>
  <c r="AC40" i="7"/>
  <c r="AD280" i="30" s="1"/>
  <c r="AD40" i="7"/>
  <c r="AE280" i="30" s="1"/>
  <c r="AE40" i="7"/>
  <c r="AT40" i="7" s="1" a="1"/>
  <c r="AT40" i="7" s="1"/>
  <c r="AF40" i="7"/>
  <c r="AG280" i="30" s="1"/>
  <c r="R41" i="7"/>
  <c r="S281" i="30" s="1"/>
  <c r="S41" i="7"/>
  <c r="T41" i="7"/>
  <c r="U281" i="30" s="1"/>
  <c r="U41" i="7"/>
  <c r="V281" i="30" s="1"/>
  <c r="V41" i="7"/>
  <c r="W41" i="7"/>
  <c r="X281" i="30" s="1"/>
  <c r="X41" i="7"/>
  <c r="Y281" i="30" s="1"/>
  <c r="Y41" i="7"/>
  <c r="Z41" i="7"/>
  <c r="AA281" i="30" s="1"/>
  <c r="AA41" i="7"/>
  <c r="AB281" i="30" s="1"/>
  <c r="AB41" i="7"/>
  <c r="AC41" i="7"/>
  <c r="AD281" i="30" s="1"/>
  <c r="AD41" i="7"/>
  <c r="AE281" i="30" s="1"/>
  <c r="AE41" i="7"/>
  <c r="AT41" i="7" s="1" a="1"/>
  <c r="AT41" i="7" s="1"/>
  <c r="AF41" i="7"/>
  <c r="AG281" i="30" s="1"/>
  <c r="R42" i="7"/>
  <c r="S282" i="30" s="1"/>
  <c r="S42" i="7"/>
  <c r="T42" i="7"/>
  <c r="U282" i="30" s="1"/>
  <c r="U42" i="7"/>
  <c r="V282" i="30" s="1"/>
  <c r="V42" i="7"/>
  <c r="W42" i="7"/>
  <c r="X282" i="30" s="1"/>
  <c r="X42" i="7"/>
  <c r="Y282" i="30" s="1"/>
  <c r="Y42" i="7"/>
  <c r="Z42" i="7"/>
  <c r="AA282" i="30" s="1"/>
  <c r="AA42" i="7"/>
  <c r="AB282" i="30" s="1"/>
  <c r="AB42" i="7"/>
  <c r="AC42" i="7"/>
  <c r="AD282" i="30" s="1"/>
  <c r="AD42" i="7"/>
  <c r="AE282" i="30" s="1"/>
  <c r="AE42" i="7"/>
  <c r="AT42" i="7" s="1" a="1"/>
  <c r="AT42" i="7" s="1"/>
  <c r="AF42" i="7"/>
  <c r="AG282" i="30" s="1"/>
  <c r="R45" i="7"/>
  <c r="S45" i="7"/>
  <c r="AP45" i="7" s="1" a="1"/>
  <c r="AP45" i="7" s="1"/>
  <c r="T45" i="7"/>
  <c r="U45" i="7"/>
  <c r="V45" i="7"/>
  <c r="AQ45" i="7" s="1" a="1"/>
  <c r="AQ45" i="7" s="1"/>
  <c r="W45" i="7"/>
  <c r="X45" i="7"/>
  <c r="Y45" i="7"/>
  <c r="AR45" i="7" s="1" a="1"/>
  <c r="AR45" i="7" s="1"/>
  <c r="Z45" i="7"/>
  <c r="AA45" i="7"/>
  <c r="AB45" i="7"/>
  <c r="AC45" i="7"/>
  <c r="AD45" i="7"/>
  <c r="AE45" i="7"/>
  <c r="AT45" i="7" s="1" a="1"/>
  <c r="AT45" i="7" s="1"/>
  <c r="AF45" i="7"/>
  <c r="AG285" i="30" s="1"/>
  <c r="R46" i="7"/>
  <c r="S46" i="7"/>
  <c r="AP46" i="7" s="1" a="1"/>
  <c r="AP46" i="7" s="1"/>
  <c r="T46" i="7"/>
  <c r="U46" i="7"/>
  <c r="V46" i="7"/>
  <c r="AQ46" i="7" s="1" a="1"/>
  <c r="AQ46" i="7" s="1"/>
  <c r="W46" i="7"/>
  <c r="X46" i="7"/>
  <c r="Y46" i="7"/>
  <c r="AR46" i="7" s="1" a="1"/>
  <c r="AR46" i="7" s="1"/>
  <c r="Z46" i="7"/>
  <c r="AA46" i="7"/>
  <c r="AB46" i="7"/>
  <c r="AC46" i="7"/>
  <c r="AD46" i="7"/>
  <c r="AE46" i="7"/>
  <c r="AT46" i="7" s="1" a="1"/>
  <c r="AT46" i="7" s="1"/>
  <c r="AF46" i="7"/>
  <c r="R47" i="7"/>
  <c r="S47" i="7"/>
  <c r="AP47" i="7" s="1" a="1"/>
  <c r="AP47" i="7" s="1"/>
  <c r="T47" i="7"/>
  <c r="U47" i="7"/>
  <c r="V47" i="7"/>
  <c r="AQ47" i="7" s="1" a="1"/>
  <c r="AQ47" i="7" s="1"/>
  <c r="W47" i="7"/>
  <c r="X47" i="7"/>
  <c r="Y47" i="7"/>
  <c r="AR47" i="7" s="1" a="1"/>
  <c r="AR47" i="7" s="1"/>
  <c r="Z47" i="7"/>
  <c r="AA47" i="7"/>
  <c r="AB47" i="7"/>
  <c r="AC47" i="7"/>
  <c r="AD47" i="7"/>
  <c r="AE47" i="7"/>
  <c r="AT47" i="7" s="1" a="1"/>
  <c r="AT47" i="7" s="1"/>
  <c r="AF47" i="7"/>
  <c r="AG287" i="30" s="1"/>
  <c r="R48" i="7"/>
  <c r="S48" i="7"/>
  <c r="AP48" i="7" s="1" a="1"/>
  <c r="AP48" i="7" s="1"/>
  <c r="T48" i="7"/>
  <c r="U48" i="7"/>
  <c r="V48" i="7"/>
  <c r="AQ48" i="7" s="1" a="1"/>
  <c r="AQ48" i="7" s="1"/>
  <c r="W48" i="7"/>
  <c r="X48" i="7"/>
  <c r="Y48" i="7"/>
  <c r="AR48" i="7" s="1" a="1"/>
  <c r="AR48" i="7" s="1"/>
  <c r="Z48" i="7"/>
  <c r="AA48" i="7"/>
  <c r="AB48" i="7"/>
  <c r="AC48" i="7"/>
  <c r="AD48" i="7"/>
  <c r="AE48" i="7"/>
  <c r="AT48" i="7" s="1" a="1"/>
  <c r="AT48" i="7" s="1"/>
  <c r="AF48" i="7"/>
  <c r="AG288" i="30" s="1"/>
  <c r="R49" i="7"/>
  <c r="S49" i="7"/>
  <c r="AP49" i="7" s="1" a="1"/>
  <c r="AP49" i="7" s="1"/>
  <c r="T49" i="7"/>
  <c r="U49" i="7"/>
  <c r="V49" i="7"/>
  <c r="AQ49" i="7" s="1" a="1"/>
  <c r="AQ49" i="7" s="1"/>
  <c r="W49" i="7"/>
  <c r="X49" i="7"/>
  <c r="Y49" i="7"/>
  <c r="AR49" i="7" s="1" a="1"/>
  <c r="AR49" i="7" s="1"/>
  <c r="Z49" i="7"/>
  <c r="AA49" i="7"/>
  <c r="AB49" i="7"/>
  <c r="AC49" i="7"/>
  <c r="AD49" i="7"/>
  <c r="AE49" i="7"/>
  <c r="AT49" i="7" s="1" a="1"/>
  <c r="AT49" i="7" s="1"/>
  <c r="AF49" i="7"/>
  <c r="AG289" i="30" s="1"/>
  <c r="R50" i="7"/>
  <c r="S50" i="7"/>
  <c r="AP50" i="7" s="1" a="1"/>
  <c r="AP50" i="7" s="1"/>
  <c r="T50" i="7"/>
  <c r="U50" i="7"/>
  <c r="V50" i="7"/>
  <c r="AQ50" i="7" s="1" a="1"/>
  <c r="AQ50" i="7" s="1"/>
  <c r="W50" i="7"/>
  <c r="X50" i="7"/>
  <c r="Y50" i="7"/>
  <c r="AR50" i="7" s="1" a="1"/>
  <c r="AR50" i="7" s="1"/>
  <c r="Z50" i="7"/>
  <c r="AA50" i="7"/>
  <c r="AB50" i="7"/>
  <c r="AC50" i="7"/>
  <c r="AD50" i="7"/>
  <c r="AE50" i="7"/>
  <c r="AT50" i="7" s="1" a="1"/>
  <c r="AT50" i="7" s="1"/>
  <c r="AF50" i="7"/>
  <c r="AG290" i="30" s="1"/>
  <c r="R51" i="7"/>
  <c r="S51" i="7"/>
  <c r="AP51" i="7" s="1" a="1"/>
  <c r="AP51" i="7" s="1"/>
  <c r="T51" i="7"/>
  <c r="U51" i="7"/>
  <c r="V51" i="7"/>
  <c r="AQ51" i="7" s="1" a="1"/>
  <c r="AQ51" i="7" s="1"/>
  <c r="W51" i="7"/>
  <c r="X51" i="7"/>
  <c r="Y51" i="7"/>
  <c r="AR51" i="7" s="1" a="1"/>
  <c r="AR51" i="7" s="1"/>
  <c r="Z51" i="7"/>
  <c r="AA51" i="7"/>
  <c r="AB51" i="7"/>
  <c r="AC51" i="7"/>
  <c r="AD51" i="7"/>
  <c r="AE51" i="7"/>
  <c r="AT51" i="7" s="1" a="1"/>
  <c r="AT51" i="7" s="1"/>
  <c r="AF51" i="7"/>
  <c r="R52" i="7"/>
  <c r="S52" i="7"/>
  <c r="AP52" i="7" s="1" a="1"/>
  <c r="AP52" i="7" s="1"/>
  <c r="T52" i="7"/>
  <c r="U52" i="7"/>
  <c r="V52" i="7"/>
  <c r="AQ52" i="7" s="1" a="1"/>
  <c r="AQ52" i="7" s="1"/>
  <c r="W52" i="7"/>
  <c r="X52" i="7"/>
  <c r="Y52" i="7"/>
  <c r="AR52" i="7" s="1" a="1"/>
  <c r="AR52" i="7" s="1"/>
  <c r="Z52" i="7"/>
  <c r="AA52" i="7"/>
  <c r="AB52" i="7"/>
  <c r="AC52" i="7"/>
  <c r="AD52" i="7"/>
  <c r="AE52" i="7"/>
  <c r="AT52" i="7" s="1" a="1"/>
  <c r="AT52" i="7" s="1"/>
  <c r="AF52" i="7"/>
  <c r="AG292" i="30" s="1"/>
  <c r="R55" i="7"/>
  <c r="S55" i="7"/>
  <c r="AP55" i="7" s="1" a="1"/>
  <c r="AP55" i="7" s="1"/>
  <c r="T55" i="7"/>
  <c r="U55" i="7"/>
  <c r="V55" i="7"/>
  <c r="AQ55" i="7" s="1" a="1"/>
  <c r="AQ55" i="7" s="1"/>
  <c r="W55" i="7"/>
  <c r="X55" i="7"/>
  <c r="Y55" i="7"/>
  <c r="AR55" i="7" s="1" a="1"/>
  <c r="AR55" i="7" s="1"/>
  <c r="Z55" i="7"/>
  <c r="AA55" i="7"/>
  <c r="AB55" i="7"/>
  <c r="AC55" i="7"/>
  <c r="AD55" i="7"/>
  <c r="AE55" i="7"/>
  <c r="AT55" i="7" s="1" a="1"/>
  <c r="AT55" i="7" s="1"/>
  <c r="AF55" i="7"/>
  <c r="R56" i="7"/>
  <c r="S56" i="7"/>
  <c r="AP56" i="7" s="1" a="1"/>
  <c r="AP56" i="7" s="1"/>
  <c r="T56" i="7"/>
  <c r="U56" i="7"/>
  <c r="V56" i="7"/>
  <c r="AQ56" i="7" s="1" a="1"/>
  <c r="AQ56" i="7" s="1"/>
  <c r="W56" i="7"/>
  <c r="X56" i="7"/>
  <c r="Y56" i="7"/>
  <c r="AR56" i="7" s="1" a="1"/>
  <c r="AR56" i="7" s="1"/>
  <c r="Z56" i="7"/>
  <c r="AA56" i="7"/>
  <c r="AB56" i="7"/>
  <c r="AC56" i="7"/>
  <c r="AD56" i="7"/>
  <c r="AE56" i="7"/>
  <c r="AT56" i="7" s="1" a="1"/>
  <c r="AT56" i="7" s="1"/>
  <c r="AF56" i="7"/>
  <c r="R57" i="7"/>
  <c r="S57" i="7"/>
  <c r="AP57" i="7" s="1" a="1"/>
  <c r="AP57" i="7" s="1"/>
  <c r="T57" i="7"/>
  <c r="U57" i="7"/>
  <c r="V57" i="7"/>
  <c r="AQ57" i="7" s="1" a="1"/>
  <c r="AQ57" i="7" s="1"/>
  <c r="W57" i="7"/>
  <c r="X57" i="7"/>
  <c r="Y57" i="7"/>
  <c r="AR57" i="7" s="1" a="1"/>
  <c r="AR57" i="7" s="1"/>
  <c r="Z57" i="7"/>
  <c r="AA57" i="7"/>
  <c r="AB57" i="7"/>
  <c r="AC57" i="7"/>
  <c r="AD57" i="7"/>
  <c r="AE57" i="7"/>
  <c r="AT57" i="7" s="1" a="1"/>
  <c r="AT57" i="7" s="1"/>
  <c r="AF57" i="7"/>
  <c r="R58" i="7"/>
  <c r="S58" i="7"/>
  <c r="AP58" i="7" s="1" a="1"/>
  <c r="AP58" i="7" s="1"/>
  <c r="T58" i="7"/>
  <c r="U58" i="7"/>
  <c r="V58" i="7"/>
  <c r="AQ58" i="7" s="1" a="1"/>
  <c r="AQ58" i="7" s="1"/>
  <c r="W58" i="7"/>
  <c r="X58" i="7"/>
  <c r="Y58" i="7"/>
  <c r="AR58" i="7" s="1" a="1"/>
  <c r="AR58" i="7" s="1"/>
  <c r="Z58" i="7"/>
  <c r="AA58" i="7"/>
  <c r="AB58" i="7"/>
  <c r="AC58" i="7"/>
  <c r="AD58" i="7"/>
  <c r="AE58" i="7"/>
  <c r="AT58" i="7" s="1" a="1"/>
  <c r="AT58" i="7" s="1"/>
  <c r="AF58" i="7"/>
  <c r="Q58" i="7"/>
  <c r="Q57" i="7"/>
  <c r="Q56" i="7"/>
  <c r="Q55" i="7"/>
  <c r="Q52" i="7"/>
  <c r="Q51" i="7"/>
  <c r="Q50" i="7"/>
  <c r="Q49" i="7"/>
  <c r="Q48" i="7"/>
  <c r="Q47" i="7"/>
  <c r="Q46" i="7"/>
  <c r="Q45" i="7"/>
  <c r="Q42" i="7"/>
  <c r="Q41" i="7"/>
  <c r="Q40" i="7"/>
  <c r="Q39" i="7"/>
  <c r="Q38" i="7"/>
  <c r="Q37" i="7"/>
  <c r="Q36" i="7"/>
  <c r="Q35" i="7"/>
  <c r="Q34" i="7"/>
  <c r="Q33" i="7"/>
  <c r="Q32" i="7"/>
  <c r="Q31" i="7"/>
  <c r="BB48" i="7" l="1" a="1"/>
  <c r="BB48" i="7" s="1"/>
  <c r="AZ48" i="7" a="1"/>
  <c r="AZ48" i="7" s="1"/>
  <c r="AS48" i="7" a="1"/>
  <c r="AS48" i="7" s="1"/>
  <c r="AY48" i="7" s="1" a="1"/>
  <c r="AY48" i="7" s="1"/>
  <c r="BC48" i="7" a="1"/>
  <c r="BC48" i="7" s="1"/>
  <c r="T281" i="30"/>
  <c r="AP41" i="7" a="1"/>
  <c r="AP41" i="7" s="1"/>
  <c r="W278" i="30"/>
  <c r="AQ38" i="7" a="1"/>
  <c r="AQ38" i="7" s="1"/>
  <c r="Z275" i="30"/>
  <c r="AR35" i="7" a="1"/>
  <c r="AR35" i="7" s="1"/>
  <c r="AC272" i="30"/>
  <c r="AS32" i="7" a="1"/>
  <c r="AS32" i="7" s="1"/>
  <c r="AZ32" i="7" a="1"/>
  <c r="AZ32" i="7" s="1"/>
  <c r="BB32" i="7" a="1"/>
  <c r="BB32" i="7" s="1"/>
  <c r="BC32" i="7" a="1"/>
  <c r="BC32" i="7" s="1"/>
  <c r="BC47" i="7" a="1"/>
  <c r="BC47" i="7" s="1"/>
  <c r="BB47" i="7" a="1"/>
  <c r="BB47" i="7" s="1"/>
  <c r="AZ47" i="7" a="1"/>
  <c r="AZ47" i="7" s="1"/>
  <c r="AS47" i="7" a="1"/>
  <c r="AS47" i="7" s="1"/>
  <c r="AY47" i="7" s="1" a="1"/>
  <c r="AY47" i="7" s="1"/>
  <c r="T280" i="30"/>
  <c r="AP40" i="7" a="1"/>
  <c r="AP40" i="7" s="1"/>
  <c r="W277" i="30"/>
  <c r="AQ37" i="7" a="1"/>
  <c r="AQ37" i="7" s="1"/>
  <c r="Z274" i="30"/>
  <c r="AR34" i="7" a="1"/>
  <c r="AR34" i="7" s="1"/>
  <c r="AZ31" i="7" a="1"/>
  <c r="AZ31" i="7" s="1"/>
  <c r="AS31" i="7" a="1"/>
  <c r="AS31" i="7" s="1"/>
  <c r="AY31" i="7" s="1" a="1"/>
  <c r="AY31" i="7" s="1"/>
  <c r="BC31" i="7" a="1"/>
  <c r="BC31" i="7" s="1"/>
  <c r="BB31" i="7" a="1"/>
  <c r="BB31" i="7" s="1"/>
  <c r="BC46" i="7" a="1"/>
  <c r="BC46" i="7" s="1"/>
  <c r="AS46" i="7" a="1"/>
  <c r="AS46" i="7" s="1"/>
  <c r="AY46" i="7" s="1" a="1"/>
  <c r="AY46" i="7" s="1"/>
  <c r="AZ46" i="7" a="1"/>
  <c r="AZ46" i="7" s="1"/>
  <c r="BB46" i="7" a="1"/>
  <c r="BB46" i="7" s="1"/>
  <c r="T279" i="30"/>
  <c r="AP39" i="7" a="1"/>
  <c r="AP39" i="7" s="1"/>
  <c r="W276" i="30"/>
  <c r="AQ36" i="7" a="1"/>
  <c r="AQ36" i="7" s="1"/>
  <c r="Z273" i="30"/>
  <c r="AR33" i="7" a="1"/>
  <c r="AR33" i="7" s="1"/>
  <c r="T278" i="30"/>
  <c r="AP38" i="7" a="1"/>
  <c r="AP38" i="7" s="1"/>
  <c r="W275" i="30"/>
  <c r="AQ35" i="7" a="1"/>
  <c r="AQ35" i="7" s="1"/>
  <c r="AC282" i="30"/>
  <c r="BB42" i="7" a="1"/>
  <c r="BB42" i="7" s="1"/>
  <c r="BC42" i="7" a="1"/>
  <c r="BC42" i="7" s="1"/>
  <c r="AS42" i="7" a="1"/>
  <c r="AS42" i="7" s="1"/>
  <c r="AZ42" i="7" a="1"/>
  <c r="AZ42" i="7" s="1"/>
  <c r="AF279" i="30"/>
  <c r="AT39" i="7" a="1"/>
  <c r="AT39" i="7" s="1"/>
  <c r="AF278" i="30"/>
  <c r="AT38" i="7" a="1"/>
  <c r="AT38" i="7" s="1"/>
  <c r="W273" i="30"/>
  <c r="AQ33" i="7" a="1"/>
  <c r="AQ33" i="7" s="1"/>
  <c r="AF277" i="30"/>
  <c r="AT37" i="7" a="1"/>
  <c r="AT37" i="7" s="1"/>
  <c r="W272" i="30"/>
  <c r="AQ32" i="7" a="1"/>
  <c r="AQ32" i="7" s="1"/>
  <c r="AC279" i="30"/>
  <c r="BB39" i="7" a="1"/>
  <c r="BB39" i="7" s="1"/>
  <c r="AZ39" i="7" a="1"/>
  <c r="AZ39" i="7" s="1"/>
  <c r="BC39" i="7" a="1"/>
  <c r="BC39" i="7" s="1"/>
  <c r="AS39" i="7" a="1"/>
  <c r="AS39" i="7" s="1"/>
  <c r="AC278" i="30"/>
  <c r="BC38" i="7" a="1"/>
  <c r="BC38" i="7" s="1"/>
  <c r="AZ38" i="7" a="1"/>
  <c r="AZ38" i="7" s="1"/>
  <c r="BB38" i="7" a="1"/>
  <c r="BB38" i="7" s="1"/>
  <c r="AS38" i="7" a="1"/>
  <c r="AS38" i="7" s="1"/>
  <c r="T273" i="30"/>
  <c r="AP33" i="7" a="1"/>
  <c r="AP33" i="7" s="1"/>
  <c r="AS55" i="7" a="1"/>
  <c r="AS55" i="7" s="1"/>
  <c r="BC55" i="7" a="1"/>
  <c r="BC55" i="7" s="1"/>
  <c r="BB55" i="7" a="1"/>
  <c r="BB55" i="7" s="1"/>
  <c r="AZ55" i="7" a="1"/>
  <c r="AZ55" i="7" s="1"/>
  <c r="AC277" i="30"/>
  <c r="AZ37" i="7" a="1"/>
  <c r="AZ37" i="7" s="1"/>
  <c r="BC37" i="7" a="1"/>
  <c r="BC37" i="7" s="1"/>
  <c r="BB37" i="7" a="1"/>
  <c r="BB37" i="7" s="1"/>
  <c r="AS37" i="7" a="1"/>
  <c r="AS37" i="7" s="1"/>
  <c r="T272" i="30"/>
  <c r="AP32" i="7" a="1"/>
  <c r="AP32" i="7" s="1"/>
  <c r="W282" i="30"/>
  <c r="AQ42" i="7" a="1"/>
  <c r="AQ42" i="7" s="1"/>
  <c r="Z279" i="30"/>
  <c r="AR39" i="7" a="1"/>
  <c r="AR39" i="7" s="1"/>
  <c r="AF273" i="30"/>
  <c r="AT33" i="7" a="1"/>
  <c r="AT33" i="7" s="1"/>
  <c r="BB51" i="7" a="1"/>
  <c r="BB51" i="7" s="1"/>
  <c r="AZ51" i="7" a="1"/>
  <c r="AZ51" i="7" s="1"/>
  <c r="BC51" i="7" a="1"/>
  <c r="BC51" i="7" s="1"/>
  <c r="AS51" i="7" a="1"/>
  <c r="AS51" i="7" s="1"/>
  <c r="AY51" i="7" s="1" a="1"/>
  <c r="AY51" i="7" s="1"/>
  <c r="W281" i="30"/>
  <c r="AQ41" i="7" a="1"/>
  <c r="AQ41" i="7" s="1"/>
  <c r="Z278" i="30"/>
  <c r="AR38" i="7" a="1"/>
  <c r="AR38" i="7" s="1"/>
  <c r="AC275" i="30"/>
  <c r="AS35" i="7" a="1"/>
  <c r="AS35" i="7" s="1"/>
  <c r="AZ35" i="7" a="1"/>
  <c r="AZ35" i="7" s="1"/>
  <c r="BC35" i="7" a="1"/>
  <c r="BC35" i="7" s="1"/>
  <c r="BB35" i="7" a="1"/>
  <c r="BB35" i="7" s="1"/>
  <c r="AF272" i="30"/>
  <c r="AT32" i="7" a="1"/>
  <c r="AT32" i="7" s="1"/>
  <c r="AS45" i="7" a="1"/>
  <c r="AS45" i="7" s="1"/>
  <c r="AY45" i="7" s="1" a="1"/>
  <c r="AY45" i="7" s="1"/>
  <c r="AZ45" i="7" a="1"/>
  <c r="AZ45" i="7" s="1"/>
  <c r="BC45" i="7" a="1"/>
  <c r="BC45" i="7" s="1"/>
  <c r="BB45" i="7" a="1"/>
  <c r="BB45" i="7" s="1"/>
  <c r="Z272" i="30"/>
  <c r="AR32" i="7" a="1"/>
  <c r="AR32" i="7" s="1"/>
  <c r="AY55" i="7" a="1"/>
  <c r="AY55" i="7" s="1"/>
  <c r="AP59" i="7"/>
  <c r="AC281" i="30"/>
  <c r="BC41" i="7" a="1"/>
  <c r="BC41" i="7" s="1"/>
  <c r="BB41" i="7" a="1"/>
  <c r="BB41" i="7" s="1"/>
  <c r="AZ41" i="7" a="1"/>
  <c r="AZ41" i="7" s="1"/>
  <c r="AS41" i="7" a="1"/>
  <c r="AS41" i="7" s="1"/>
  <c r="AY41" i="7" s="1" a="1"/>
  <c r="AY41" i="7" s="1"/>
  <c r="T276" i="30"/>
  <c r="AP36" i="7" a="1"/>
  <c r="AP36" i="7" s="1"/>
  <c r="AS58" i="7" a="1"/>
  <c r="AS58" i="7" s="1"/>
  <c r="AY58" i="7" s="1" a="1"/>
  <c r="AY58" i="7" s="1"/>
  <c r="BB58" i="7" a="1"/>
  <c r="BB58" i="7" s="1"/>
  <c r="AZ58" i="7" a="1"/>
  <c r="AZ58" i="7" s="1"/>
  <c r="BC58" i="7" a="1"/>
  <c r="BC58" i="7" s="1"/>
  <c r="AC280" i="30"/>
  <c r="BC40" i="7" a="1"/>
  <c r="BC40" i="7" s="1"/>
  <c r="AZ40" i="7" a="1"/>
  <c r="AZ40" i="7" s="1"/>
  <c r="BB40" i="7" a="1"/>
  <c r="BB40" i="7" s="1"/>
  <c r="AS40" i="7" a="1"/>
  <c r="AS40" i="7" s="1"/>
  <c r="AY40" i="7" s="1" a="1"/>
  <c r="AY40" i="7" s="1"/>
  <c r="T275" i="30"/>
  <c r="AP35" i="7" a="1"/>
  <c r="AP35" i="7" s="1"/>
  <c r="BC57" i="7" a="1"/>
  <c r="BC57" i="7" s="1"/>
  <c r="BB57" i="7" a="1"/>
  <c r="BB57" i="7" s="1"/>
  <c r="AZ57" i="7" a="1"/>
  <c r="AZ57" i="7" s="1"/>
  <c r="AS57" i="7" a="1"/>
  <c r="AS57" i="7" s="1"/>
  <c r="AY57" i="7" s="1" a="1"/>
  <c r="AY57" i="7" s="1"/>
  <c r="Z282" i="30"/>
  <c r="AR42" i="7" a="1"/>
  <c r="AR42" i="7" s="1"/>
  <c r="T274" i="30"/>
  <c r="AP34" i="7" a="1"/>
  <c r="AP34" i="7" s="1"/>
  <c r="AS56" i="7" a="1"/>
  <c r="AS56" i="7" s="1"/>
  <c r="AY56" i="7" s="1" a="1"/>
  <c r="AY56" i="7" s="1"/>
  <c r="BC56" i="7" a="1"/>
  <c r="BC56" i="7" s="1"/>
  <c r="BB56" i="7" a="1"/>
  <c r="BB56" i="7" s="1"/>
  <c r="AZ56" i="7" a="1"/>
  <c r="AZ56" i="7" s="1"/>
  <c r="Z281" i="30"/>
  <c r="AR41" i="7" a="1"/>
  <c r="AR41" i="7" s="1"/>
  <c r="AF275" i="30"/>
  <c r="AT35" i="7" a="1"/>
  <c r="AT35" i="7" s="1"/>
  <c r="Z280" i="30"/>
  <c r="AR40" i="7" a="1"/>
  <c r="AR40" i="7" s="1"/>
  <c r="AS52" i="7" a="1"/>
  <c r="AS52" i="7" s="1"/>
  <c r="AY52" i="7" s="1" a="1"/>
  <c r="AY52" i="7" s="1"/>
  <c r="BC52" i="7" a="1"/>
  <c r="BC52" i="7" s="1"/>
  <c r="BB52" i="7" a="1"/>
  <c r="BB52" i="7" s="1"/>
  <c r="AZ52" i="7" a="1"/>
  <c r="AZ52" i="7" s="1"/>
  <c r="AP53" i="7"/>
  <c r="AC276" i="30"/>
  <c r="AZ36" i="7" a="1"/>
  <c r="AZ36" i="7" s="1"/>
  <c r="BB36" i="7" a="1"/>
  <c r="BB36" i="7" s="1"/>
  <c r="AS36" i="7" a="1"/>
  <c r="AS36" i="7" s="1"/>
  <c r="AY36" i="7" s="1" a="1"/>
  <c r="AY36" i="7" s="1"/>
  <c r="BC36" i="7" a="1"/>
  <c r="BC36" i="7" s="1"/>
  <c r="AZ50" i="7" a="1"/>
  <c r="AZ50" i="7" s="1"/>
  <c r="BC50" i="7" a="1"/>
  <c r="BC50" i="7" s="1"/>
  <c r="BB50" i="7" a="1"/>
  <c r="BB50" i="7" s="1"/>
  <c r="AS50" i="7" a="1"/>
  <c r="AS50" i="7" s="1"/>
  <c r="AY50" i="7" s="1" a="1"/>
  <c r="AY50" i="7" s="1"/>
  <c r="W280" i="30"/>
  <c r="AQ40" i="7" a="1"/>
  <c r="AQ40" i="7" s="1"/>
  <c r="Z277" i="30"/>
  <c r="AR37" i="7" a="1"/>
  <c r="AR37" i="7" s="1"/>
  <c r="AC274" i="30"/>
  <c r="AS34" i="7" a="1"/>
  <c r="AS34" i="7" s="1"/>
  <c r="AY34" i="7" s="1" a="1"/>
  <c r="AY34" i="7" s="1"/>
  <c r="BC34" i="7" a="1"/>
  <c r="BC34" i="7" s="1"/>
  <c r="BB34" i="7" a="1"/>
  <c r="BB34" i="7" s="1"/>
  <c r="AZ34" i="7" a="1"/>
  <c r="AZ34" i="7" s="1"/>
  <c r="AG322" i="30"/>
  <c r="AU113" i="7"/>
  <c r="T277" i="30"/>
  <c r="AP37" i="7" a="1"/>
  <c r="AP37" i="7" s="1"/>
  <c r="W274" i="30"/>
  <c r="AQ34" i="7" a="1"/>
  <c r="AQ34" i="7" s="1"/>
  <c r="AZ49" i="7" a="1"/>
  <c r="AZ49" i="7" s="1"/>
  <c r="AS49" i="7" a="1"/>
  <c r="AS49" i="7" s="1"/>
  <c r="AY49" i="7" s="1" a="1"/>
  <c r="AY49" i="7" s="1"/>
  <c r="BC49" i="7" a="1"/>
  <c r="BC49" i="7" s="1"/>
  <c r="BB49" i="7" a="1"/>
  <c r="BB49" i="7" s="1"/>
  <c r="T282" i="30"/>
  <c r="AP42" i="7" a="1"/>
  <c r="AP42" i="7" s="1"/>
  <c r="W279" i="30"/>
  <c r="AQ39" i="7" a="1"/>
  <c r="AQ39" i="7" s="1"/>
  <c r="Z276" i="30"/>
  <c r="AR36" i="7" a="1"/>
  <c r="AR36" i="7" s="1"/>
  <c r="AC273" i="30"/>
  <c r="BC33" i="7" a="1"/>
  <c r="BC33" i="7" s="1"/>
  <c r="BB33" i="7" a="1"/>
  <c r="BB33" i="7" s="1"/>
  <c r="AS33" i="7" a="1"/>
  <c r="AS33" i="7" s="1"/>
  <c r="AZ33" i="7" a="1"/>
  <c r="AZ33" i="7" s="1"/>
  <c r="AF79" i="7"/>
  <c r="AU79" i="7" s="1"/>
  <c r="AF88" i="7"/>
  <c r="AF70" i="7"/>
  <c r="AU70" i="7" s="1"/>
  <c r="AF91" i="7"/>
  <c r="AU91" i="7" s="1"/>
  <c r="AF74" i="7"/>
  <c r="AF89" i="7"/>
  <c r="AU89" i="7" s="1"/>
  <c r="S59" i="7"/>
  <c r="AF84" i="7"/>
  <c r="AU84" i="7" s="1"/>
  <c r="R59" i="7"/>
  <c r="AF71" i="7"/>
  <c r="AU71" i="7" s="1"/>
  <c r="Y59" i="7"/>
  <c r="AF69" i="7"/>
  <c r="AU69" i="7" s="1"/>
  <c r="W53" i="7"/>
  <c r="V43" i="7"/>
  <c r="AF68" i="7"/>
  <c r="AU68" i="7" s="1"/>
  <c r="X53" i="7"/>
  <c r="Z59" i="7"/>
  <c r="AA59" i="7"/>
  <c r="AF67" i="7"/>
  <c r="AU67" i="7" s="1"/>
  <c r="AF82" i="7"/>
  <c r="AU82" i="7" s="1"/>
  <c r="S53" i="7"/>
  <c r="T53" i="7"/>
  <c r="AF66" i="7"/>
  <c r="AU66" i="7" s="1"/>
  <c r="S43" i="7"/>
  <c r="AF281" i="30"/>
  <c r="AF80" i="7"/>
  <c r="AU80" i="7" s="1"/>
  <c r="AF83" i="7"/>
  <c r="AU83" i="7" s="1"/>
  <c r="X59" i="7"/>
  <c r="AF75" i="7"/>
  <c r="AU75" i="7" s="1"/>
  <c r="AG277" i="30"/>
  <c r="AF90" i="7"/>
  <c r="AU90" i="7" s="1"/>
  <c r="AF73" i="7"/>
  <c r="AF282" i="30"/>
  <c r="AF280" i="30"/>
  <c r="AF274" i="30"/>
  <c r="AF59" i="7"/>
  <c r="AG295" i="30" s="1"/>
  <c r="AG297" i="30" s="1"/>
  <c r="AG291" i="30"/>
  <c r="AF276" i="30"/>
  <c r="W59" i="7"/>
  <c r="AF65" i="7"/>
  <c r="AU65" i="7" s="1"/>
  <c r="U59" i="7"/>
  <c r="AD53" i="7"/>
  <c r="AE53" i="7"/>
  <c r="AF43" i="7"/>
  <c r="AG286" i="30"/>
  <c r="T59" i="7"/>
  <c r="AB53" i="7"/>
  <c r="AC53" i="7"/>
  <c r="AE43" i="7"/>
  <c r="AF85" i="7"/>
  <c r="AU85" i="7" s="1"/>
  <c r="AF53" i="7"/>
  <c r="AA43" i="7"/>
  <c r="AC43" i="7"/>
  <c r="AE59" i="7"/>
  <c r="AB43" i="7"/>
  <c r="U43" i="7"/>
  <c r="AF81" i="7"/>
  <c r="AU81" i="7" s="1"/>
  <c r="T43" i="7"/>
  <c r="V59" i="7"/>
  <c r="AD43" i="7"/>
  <c r="Z53" i="7"/>
  <c r="V53" i="7"/>
  <c r="Y43" i="7"/>
  <c r="U53" i="7"/>
  <c r="X43" i="7"/>
  <c r="AF78" i="7"/>
  <c r="R53" i="7"/>
  <c r="R61" i="7" s="1"/>
  <c r="AA53" i="7"/>
  <c r="R43" i="7"/>
  <c r="Z43" i="7"/>
  <c r="AD59" i="7"/>
  <c r="AC59" i="7"/>
  <c r="Y53" i="7"/>
  <c r="AF72" i="7"/>
  <c r="AB59" i="7"/>
  <c r="AB61" i="7" s="1"/>
  <c r="W43" i="7"/>
  <c r="AY37" i="7" l="1" a="1"/>
  <c r="AY37" i="7" s="1"/>
  <c r="AP43" i="7"/>
  <c r="AF96" i="7"/>
  <c r="AU96" i="7" s="1"/>
  <c r="AZ43" i="7"/>
  <c r="AF111" i="7"/>
  <c r="AU78" i="7"/>
  <c r="AU86" i="7" s="1"/>
  <c r="AY32" i="7" a="1"/>
  <c r="AY32" i="7" s="1"/>
  <c r="BC59" i="7"/>
  <c r="BB53" i="7"/>
  <c r="BB61" i="7" s="1"/>
  <c r="AY39" i="7" a="1"/>
  <c r="AY39" i="7" s="1"/>
  <c r="AZ53" i="7"/>
  <c r="BC53" i="7"/>
  <c r="BC61" i="7" s="1"/>
  <c r="AY53" i="7"/>
  <c r="AY61" i="7" s="1"/>
  <c r="AY42" i="7" a="1"/>
  <c r="AY42" i="7" s="1"/>
  <c r="AF106" i="7"/>
  <c r="AU72" i="7"/>
  <c r="AF101" i="7"/>
  <c r="AU73" i="7"/>
  <c r="AZ59" i="7"/>
  <c r="BB59" i="7"/>
  <c r="BB43" i="7"/>
  <c r="AY59" i="7"/>
  <c r="AF104" i="7"/>
  <c r="AU74" i="7"/>
  <c r="AY35" i="7" a="1"/>
  <c r="AY35" i="7" s="1"/>
  <c r="AF112" i="7"/>
  <c r="AU88" i="7"/>
  <c r="AU92" i="7" s="1"/>
  <c r="AY33" i="7" a="1"/>
  <c r="AY33" i="7" s="1"/>
  <c r="AP61" i="7"/>
  <c r="AY38" i="7" a="1"/>
  <c r="AY38" i="7" s="1"/>
  <c r="BC43" i="7"/>
  <c r="S61" i="7"/>
  <c r="AD61" i="7"/>
  <c r="AD63" i="7" s="1"/>
  <c r="Y61" i="7"/>
  <c r="AF92" i="7"/>
  <c r="X61" i="7"/>
  <c r="AA61" i="7"/>
  <c r="Z61" i="7"/>
  <c r="U61" i="7"/>
  <c r="W61" i="7"/>
  <c r="AF61" i="7"/>
  <c r="AF63" i="7" s="1"/>
  <c r="AF99" i="7"/>
  <c r="V61" i="7"/>
  <c r="AG293" i="30"/>
  <c r="AG299" i="30" s="1"/>
  <c r="T61" i="7"/>
  <c r="AC61" i="7"/>
  <c r="AF100" i="7"/>
  <c r="AE61" i="7"/>
  <c r="AE63" i="7" s="1"/>
  <c r="AF76" i="7"/>
  <c r="AF86" i="7"/>
  <c r="AP63" i="7" l="1"/>
  <c r="AF114" i="7"/>
  <c r="AY43" i="7"/>
  <c r="AY63" i="7" s="1"/>
  <c r="AU76" i="7"/>
  <c r="AG321" i="30"/>
  <c r="AU112" i="7"/>
  <c r="AU114" i="7" s="1"/>
  <c r="AZ61" i="7"/>
  <c r="AZ63" i="7" s="1"/>
  <c r="AG313" i="30"/>
  <c r="AU104" i="7"/>
  <c r="AG309" i="30"/>
  <c r="AU100" i="7"/>
  <c r="BB63" i="7"/>
  <c r="BC63" i="7"/>
  <c r="AG310" i="30"/>
  <c r="AU101" i="7"/>
  <c r="AG320" i="30"/>
  <c r="AU111" i="7"/>
  <c r="AG308" i="30"/>
  <c r="AU99" i="7"/>
  <c r="AG315" i="30"/>
  <c r="AU106" i="7"/>
  <c r="H15" i="9"/>
  <c r="H19" i="9"/>
  <c r="H24" i="9"/>
  <c r="H28" i="9"/>
  <c r="H32" i="9"/>
  <c r="H33" i="9"/>
  <c r="H36" i="9"/>
  <c r="H39" i="9"/>
  <c r="AG323" i="30" l="1"/>
  <c r="AG597" i="6"/>
  <c r="AG161" i="30" s="1"/>
  <c r="AG961" i="6" l="1"/>
  <c r="AF961" i="6"/>
  <c r="AG198" i="30" l="1"/>
  <c r="AG196" i="30"/>
  <c r="AG962" i="6"/>
  <c r="A960" i="6"/>
  <c r="A961" i="6"/>
  <c r="A962" i="6"/>
  <c r="D962" i="6"/>
  <c r="D484" i="6"/>
  <c r="BC179" i="30" l="1"/>
  <c r="R961" i="6" l="1"/>
  <c r="S961" i="6"/>
  <c r="T961" i="6"/>
  <c r="U961" i="6"/>
  <c r="V961" i="6"/>
  <c r="W961" i="6"/>
  <c r="X961" i="6"/>
  <c r="Y961" i="6"/>
  <c r="Z961" i="6"/>
  <c r="AA961" i="6"/>
  <c r="AB961" i="6"/>
  <c r="AC961" i="6"/>
  <c r="AD961" i="6"/>
  <c r="AE961" i="6"/>
  <c r="AC359" i="30" l="1"/>
  <c r="R234" i="30"/>
  <c r="BC234" i="30" s="1"/>
  <c r="S234" i="30"/>
  <c r="T234" i="30"/>
  <c r="U234" i="30"/>
  <c r="V234" i="30"/>
  <c r="W234" i="30"/>
  <c r="X234" i="30"/>
  <c r="Y234" i="30"/>
  <c r="Z234" i="30"/>
  <c r="AA234" i="30"/>
  <c r="AB234" i="30"/>
  <c r="AC234" i="30"/>
  <c r="R235" i="30"/>
  <c r="BC235" i="30" s="1"/>
  <c r="S235" i="30"/>
  <c r="T235" i="30"/>
  <c r="U235" i="30"/>
  <c r="V235" i="30"/>
  <c r="W235" i="30"/>
  <c r="X235" i="30"/>
  <c r="Y235" i="30"/>
  <c r="Z235" i="30"/>
  <c r="AA235" i="30"/>
  <c r="AB235" i="30"/>
  <c r="AC235" i="30"/>
  <c r="R196" i="30"/>
  <c r="BC196" i="30" s="1"/>
  <c r="S196" i="30"/>
  <c r="T196" i="30"/>
  <c r="U196" i="30"/>
  <c r="V196" i="30"/>
  <c r="W196" i="30"/>
  <c r="X196" i="30"/>
  <c r="Y196" i="30"/>
  <c r="Z196" i="30"/>
  <c r="AA196" i="30"/>
  <c r="AB196" i="30"/>
  <c r="AC196" i="30"/>
  <c r="R198" i="30"/>
  <c r="BC198" i="30" s="1"/>
  <c r="S198" i="30"/>
  <c r="T198" i="30"/>
  <c r="U198" i="30"/>
  <c r="V198" i="30"/>
  <c r="W198" i="30"/>
  <c r="X198" i="30"/>
  <c r="Y198" i="30"/>
  <c r="Z198" i="30"/>
  <c r="AA198" i="30"/>
  <c r="AB198" i="30"/>
  <c r="AC198" i="30"/>
  <c r="S2" i="6"/>
  <c r="T2" i="6"/>
  <c r="U2" i="6"/>
  <c r="V2" i="6"/>
  <c r="W2" i="6"/>
  <c r="X2" i="6"/>
  <c r="Y2" i="6"/>
  <c r="Z2" i="6"/>
  <c r="AA2" i="6"/>
  <c r="AB2" i="6"/>
  <c r="AC2" i="6"/>
  <c r="AD2" i="6"/>
  <c r="AE2" i="6"/>
  <c r="AF2" i="6"/>
  <c r="R2" i="6"/>
  <c r="R492" i="6"/>
  <c r="S492" i="6"/>
  <c r="T492" i="6"/>
  <c r="U492" i="6"/>
  <c r="V492" i="6"/>
  <c r="W492" i="6"/>
  <c r="X492" i="6"/>
  <c r="Y492" i="6"/>
  <c r="Z492" i="6"/>
  <c r="AA492" i="6"/>
  <c r="AB492" i="6"/>
  <c r="AC492" i="6"/>
  <c r="R493" i="6"/>
  <c r="S493" i="6"/>
  <c r="T493" i="6"/>
  <c r="U493" i="6"/>
  <c r="V493" i="6"/>
  <c r="W493" i="6"/>
  <c r="X493" i="6"/>
  <c r="Y493" i="6"/>
  <c r="Z493" i="6"/>
  <c r="AA493" i="6"/>
  <c r="AB493" i="6"/>
  <c r="AC493" i="6"/>
  <c r="R494" i="6"/>
  <c r="S494" i="6"/>
  <c r="T494" i="6"/>
  <c r="U494" i="6"/>
  <c r="V494" i="6"/>
  <c r="W494" i="6"/>
  <c r="X494" i="6"/>
  <c r="Y494" i="6"/>
  <c r="Z494" i="6"/>
  <c r="AA494" i="6"/>
  <c r="AB494" i="6"/>
  <c r="AC494" i="6"/>
  <c r="R495" i="6"/>
  <c r="S495" i="6"/>
  <c r="T495" i="6"/>
  <c r="U495" i="6"/>
  <c r="V495" i="6"/>
  <c r="W495" i="6"/>
  <c r="X495" i="6"/>
  <c r="Y495" i="6"/>
  <c r="Z495" i="6"/>
  <c r="AA495" i="6"/>
  <c r="AB495" i="6"/>
  <c r="AC495" i="6"/>
  <c r="R496" i="6"/>
  <c r="S496" i="6"/>
  <c r="T496" i="6"/>
  <c r="U496" i="6"/>
  <c r="V496" i="6"/>
  <c r="W496" i="6"/>
  <c r="X496" i="6"/>
  <c r="Y496" i="6"/>
  <c r="Z496" i="6"/>
  <c r="AA496" i="6"/>
  <c r="AB496" i="6"/>
  <c r="AC496" i="6"/>
  <c r="R497" i="6"/>
  <c r="S497" i="6"/>
  <c r="T497" i="6"/>
  <c r="U497" i="6"/>
  <c r="V497" i="6"/>
  <c r="W497" i="6"/>
  <c r="X497" i="6"/>
  <c r="Y497" i="6"/>
  <c r="Z497" i="6"/>
  <c r="AA497" i="6"/>
  <c r="AB497" i="6"/>
  <c r="AC497" i="6"/>
  <c r="R498" i="6"/>
  <c r="S498" i="6"/>
  <c r="T498" i="6"/>
  <c r="U498" i="6"/>
  <c r="V498" i="6"/>
  <c r="W498" i="6"/>
  <c r="X498" i="6"/>
  <c r="Y498" i="6"/>
  <c r="Z498" i="6"/>
  <c r="AA498" i="6"/>
  <c r="AB498" i="6"/>
  <c r="AC498" i="6"/>
  <c r="R499" i="6"/>
  <c r="S499" i="6"/>
  <c r="T499" i="6"/>
  <c r="U499" i="6"/>
  <c r="V499" i="6"/>
  <c r="W499" i="6"/>
  <c r="X499" i="6"/>
  <c r="Y499" i="6"/>
  <c r="Z499" i="6"/>
  <c r="AA499" i="6"/>
  <c r="AB499" i="6"/>
  <c r="AC499" i="6"/>
  <c r="R500" i="6"/>
  <c r="S500" i="6"/>
  <c r="T500" i="6"/>
  <c r="U500" i="6"/>
  <c r="V500" i="6"/>
  <c r="W500" i="6"/>
  <c r="X500" i="6"/>
  <c r="Y500" i="6"/>
  <c r="Z500" i="6"/>
  <c r="AA500" i="6"/>
  <c r="AB500" i="6"/>
  <c r="AC500" i="6"/>
  <c r="R501" i="6"/>
  <c r="S501" i="6"/>
  <c r="T501" i="6"/>
  <c r="U501" i="6"/>
  <c r="V501" i="6"/>
  <c r="W501" i="6"/>
  <c r="X501" i="6"/>
  <c r="Y501" i="6"/>
  <c r="Z501" i="6"/>
  <c r="AA501" i="6"/>
  <c r="AB501" i="6"/>
  <c r="AC501" i="6"/>
  <c r="R502" i="6"/>
  <c r="S502" i="6"/>
  <c r="T502" i="6"/>
  <c r="U502" i="6"/>
  <c r="V502" i="6"/>
  <c r="W502" i="6"/>
  <c r="X502" i="6"/>
  <c r="Y502" i="6"/>
  <c r="Z502" i="6"/>
  <c r="AA502" i="6"/>
  <c r="AB502" i="6"/>
  <c r="AC502" i="6"/>
  <c r="R503" i="6"/>
  <c r="S503" i="6"/>
  <c r="T503" i="6"/>
  <c r="U503" i="6"/>
  <c r="V503" i="6"/>
  <c r="W503" i="6"/>
  <c r="X503" i="6"/>
  <c r="Y503" i="6"/>
  <c r="Z503" i="6"/>
  <c r="AA503" i="6"/>
  <c r="AB503" i="6"/>
  <c r="AC503" i="6"/>
  <c r="R504" i="6"/>
  <c r="S504" i="6"/>
  <c r="T504" i="6"/>
  <c r="U504" i="6"/>
  <c r="V504" i="6"/>
  <c r="W504" i="6"/>
  <c r="X504" i="6"/>
  <c r="Y504" i="6"/>
  <c r="Z504" i="6"/>
  <c r="AA504" i="6"/>
  <c r="AB504" i="6"/>
  <c r="AC504" i="6"/>
  <c r="R505" i="6"/>
  <c r="S505" i="6"/>
  <c r="T505" i="6"/>
  <c r="U505" i="6"/>
  <c r="V505" i="6"/>
  <c r="W505" i="6"/>
  <c r="X505" i="6"/>
  <c r="Y505" i="6"/>
  <c r="Z505" i="6"/>
  <c r="AA505" i="6"/>
  <c r="AB505" i="6"/>
  <c r="AC505" i="6"/>
  <c r="R506" i="6"/>
  <c r="S506" i="6"/>
  <c r="T506" i="6"/>
  <c r="U506" i="6"/>
  <c r="V506" i="6"/>
  <c r="W506" i="6"/>
  <c r="X506" i="6"/>
  <c r="Y506" i="6"/>
  <c r="Z506" i="6"/>
  <c r="AA506" i="6"/>
  <c r="AB506" i="6"/>
  <c r="AC506" i="6"/>
  <c r="R507" i="6"/>
  <c r="S507" i="6"/>
  <c r="T507" i="6"/>
  <c r="U507" i="6"/>
  <c r="V507" i="6"/>
  <c r="W507" i="6"/>
  <c r="X507" i="6"/>
  <c r="Y507" i="6"/>
  <c r="Z507" i="6"/>
  <c r="AA507" i="6"/>
  <c r="AB507" i="6"/>
  <c r="AC507" i="6"/>
  <c r="R508" i="6"/>
  <c r="S508" i="6"/>
  <c r="T508" i="6"/>
  <c r="U508" i="6"/>
  <c r="V508" i="6"/>
  <c r="W508" i="6"/>
  <c r="X508" i="6"/>
  <c r="Y508" i="6"/>
  <c r="Z508" i="6"/>
  <c r="AA508" i="6"/>
  <c r="AB508" i="6"/>
  <c r="AC508" i="6"/>
  <c r="R509" i="6"/>
  <c r="S509" i="6"/>
  <c r="T509" i="6"/>
  <c r="U509" i="6"/>
  <c r="V509" i="6"/>
  <c r="W509" i="6"/>
  <c r="X509" i="6"/>
  <c r="Y509" i="6"/>
  <c r="Z509" i="6"/>
  <c r="AA509" i="6"/>
  <c r="AB509" i="6"/>
  <c r="AC509" i="6"/>
  <c r="R510" i="6"/>
  <c r="S510" i="6"/>
  <c r="T510" i="6"/>
  <c r="U510" i="6"/>
  <c r="V510" i="6"/>
  <c r="W510" i="6"/>
  <c r="X510" i="6"/>
  <c r="Y510" i="6"/>
  <c r="Z510" i="6"/>
  <c r="AA510" i="6"/>
  <c r="AB510" i="6"/>
  <c r="AC510" i="6"/>
  <c r="R511" i="6"/>
  <c r="S511" i="6"/>
  <c r="T511" i="6"/>
  <c r="U511" i="6"/>
  <c r="V511" i="6"/>
  <c r="W511" i="6"/>
  <c r="X511" i="6"/>
  <c r="Y511" i="6"/>
  <c r="Z511" i="6"/>
  <c r="AA511" i="6"/>
  <c r="AB511" i="6"/>
  <c r="AC511" i="6"/>
  <c r="R512" i="6"/>
  <c r="S512" i="6"/>
  <c r="T512" i="6"/>
  <c r="U512" i="6"/>
  <c r="V512" i="6"/>
  <c r="W512" i="6"/>
  <c r="X512" i="6"/>
  <c r="Y512" i="6"/>
  <c r="Z512" i="6"/>
  <c r="AA512" i="6"/>
  <c r="AB512" i="6"/>
  <c r="AC512" i="6"/>
  <c r="R513" i="6"/>
  <c r="S513" i="6"/>
  <c r="T513" i="6"/>
  <c r="U513" i="6"/>
  <c r="V513" i="6"/>
  <c r="W513" i="6"/>
  <c r="X513" i="6"/>
  <c r="Y513" i="6"/>
  <c r="Z513" i="6"/>
  <c r="AA513" i="6"/>
  <c r="AB513" i="6"/>
  <c r="AC513" i="6"/>
  <c r="R514" i="6"/>
  <c r="S514" i="6"/>
  <c r="T514" i="6"/>
  <c r="U514" i="6"/>
  <c r="V514" i="6"/>
  <c r="W514" i="6"/>
  <c r="X514" i="6"/>
  <c r="Y514" i="6"/>
  <c r="Z514" i="6"/>
  <c r="AA514" i="6"/>
  <c r="AB514" i="6"/>
  <c r="AC514" i="6"/>
  <c r="R515" i="6"/>
  <c r="S515" i="6"/>
  <c r="T515" i="6"/>
  <c r="U515" i="6"/>
  <c r="V515" i="6"/>
  <c r="W515" i="6"/>
  <c r="X515" i="6"/>
  <c r="Y515" i="6"/>
  <c r="Z515" i="6"/>
  <c r="AA515" i="6"/>
  <c r="AB515" i="6"/>
  <c r="AC515" i="6"/>
  <c r="R516" i="6"/>
  <c r="S516" i="6"/>
  <c r="T516" i="6"/>
  <c r="U516" i="6"/>
  <c r="V516" i="6"/>
  <c r="W516" i="6"/>
  <c r="X516" i="6"/>
  <c r="Y516" i="6"/>
  <c r="Z516" i="6"/>
  <c r="AA516" i="6"/>
  <c r="AB516" i="6"/>
  <c r="AC516" i="6"/>
  <c r="R517" i="6"/>
  <c r="S517" i="6"/>
  <c r="T517" i="6"/>
  <c r="U517" i="6"/>
  <c r="V517" i="6"/>
  <c r="W517" i="6"/>
  <c r="X517" i="6"/>
  <c r="Y517" i="6"/>
  <c r="Z517" i="6"/>
  <c r="AA517" i="6"/>
  <c r="AB517" i="6"/>
  <c r="AC517" i="6"/>
  <c r="R518" i="6"/>
  <c r="S518" i="6"/>
  <c r="T518" i="6"/>
  <c r="U518" i="6"/>
  <c r="V518" i="6"/>
  <c r="W518" i="6"/>
  <c r="X518" i="6"/>
  <c r="Y518" i="6"/>
  <c r="Z518" i="6"/>
  <c r="AA518" i="6"/>
  <c r="AB518" i="6"/>
  <c r="AC518" i="6"/>
  <c r="R519" i="6"/>
  <c r="S519" i="6"/>
  <c r="T519" i="6"/>
  <c r="U519" i="6"/>
  <c r="V519" i="6"/>
  <c r="W519" i="6"/>
  <c r="X519" i="6"/>
  <c r="Y519" i="6"/>
  <c r="Z519" i="6"/>
  <c r="AA519" i="6"/>
  <c r="AB519" i="6"/>
  <c r="AC519" i="6"/>
  <c r="R520" i="6"/>
  <c r="S520" i="6"/>
  <c r="T520" i="6"/>
  <c r="U520" i="6"/>
  <c r="V520" i="6"/>
  <c r="W520" i="6"/>
  <c r="X520" i="6"/>
  <c r="Y520" i="6"/>
  <c r="Z520" i="6"/>
  <c r="AA520" i="6"/>
  <c r="AB520" i="6"/>
  <c r="AC520" i="6"/>
  <c r="R521" i="6"/>
  <c r="S521" i="6"/>
  <c r="T521" i="6"/>
  <c r="U521" i="6"/>
  <c r="V521" i="6"/>
  <c r="W521" i="6"/>
  <c r="X521" i="6"/>
  <c r="Y521" i="6"/>
  <c r="Z521" i="6"/>
  <c r="AA521" i="6"/>
  <c r="AB521" i="6"/>
  <c r="AC521" i="6"/>
  <c r="R522" i="6"/>
  <c r="S522" i="6"/>
  <c r="T522" i="6"/>
  <c r="U522" i="6"/>
  <c r="V522" i="6"/>
  <c r="W522" i="6"/>
  <c r="X522" i="6"/>
  <c r="Y522" i="6"/>
  <c r="Z522" i="6"/>
  <c r="AA522" i="6"/>
  <c r="AB522" i="6"/>
  <c r="AC522" i="6"/>
  <c r="R523" i="6"/>
  <c r="S523" i="6"/>
  <c r="T523" i="6"/>
  <c r="U523" i="6"/>
  <c r="V523" i="6"/>
  <c r="W523" i="6"/>
  <c r="X523" i="6"/>
  <c r="Y523" i="6"/>
  <c r="Z523" i="6"/>
  <c r="AA523" i="6"/>
  <c r="AB523" i="6"/>
  <c r="AC523" i="6"/>
  <c r="R524" i="6"/>
  <c r="S524" i="6"/>
  <c r="T524" i="6"/>
  <c r="U524" i="6"/>
  <c r="V524" i="6"/>
  <c r="W524" i="6"/>
  <c r="X524" i="6"/>
  <c r="Y524" i="6"/>
  <c r="Z524" i="6"/>
  <c r="AA524" i="6"/>
  <c r="AB524" i="6"/>
  <c r="AC524" i="6"/>
  <c r="R525" i="6"/>
  <c r="S525" i="6"/>
  <c r="T525" i="6"/>
  <c r="U525" i="6"/>
  <c r="V525" i="6"/>
  <c r="W525" i="6"/>
  <c r="X525" i="6"/>
  <c r="Y525" i="6"/>
  <c r="Z525" i="6"/>
  <c r="AA525" i="6"/>
  <c r="AB525" i="6"/>
  <c r="AC525" i="6"/>
  <c r="R526" i="6"/>
  <c r="S526" i="6"/>
  <c r="T526" i="6"/>
  <c r="U526" i="6"/>
  <c r="V526" i="6"/>
  <c r="W526" i="6"/>
  <c r="X526" i="6"/>
  <c r="Y526" i="6"/>
  <c r="Z526" i="6"/>
  <c r="AA526" i="6"/>
  <c r="AB526" i="6"/>
  <c r="AC526" i="6"/>
  <c r="R527" i="6"/>
  <c r="S527" i="6"/>
  <c r="T527" i="6"/>
  <c r="U527" i="6"/>
  <c r="V527" i="6"/>
  <c r="W527" i="6"/>
  <c r="X527" i="6"/>
  <c r="Y527" i="6"/>
  <c r="Z527" i="6"/>
  <c r="AA527" i="6"/>
  <c r="AB527" i="6"/>
  <c r="AC527" i="6"/>
  <c r="R528" i="6"/>
  <c r="S528" i="6"/>
  <c r="T528" i="6"/>
  <c r="U528" i="6"/>
  <c r="V528" i="6"/>
  <c r="W528" i="6"/>
  <c r="X528" i="6"/>
  <c r="Y528" i="6"/>
  <c r="Z528" i="6"/>
  <c r="AA528" i="6"/>
  <c r="AB528" i="6"/>
  <c r="AC528" i="6"/>
  <c r="R529" i="6"/>
  <c r="S529" i="6"/>
  <c r="T529" i="6"/>
  <c r="U529" i="6"/>
  <c r="V529" i="6"/>
  <c r="W529" i="6"/>
  <c r="X529" i="6"/>
  <c r="Y529" i="6"/>
  <c r="Z529" i="6"/>
  <c r="AA529" i="6"/>
  <c r="AB529" i="6"/>
  <c r="AC529" i="6"/>
  <c r="R530" i="6"/>
  <c r="S530" i="6"/>
  <c r="T530" i="6"/>
  <c r="U530" i="6"/>
  <c r="V530" i="6"/>
  <c r="W530" i="6"/>
  <c r="X530" i="6"/>
  <c r="Y530" i="6"/>
  <c r="Z530" i="6"/>
  <c r="AA530" i="6"/>
  <c r="AB530" i="6"/>
  <c r="AC530" i="6"/>
  <c r="R531" i="6"/>
  <c r="S531" i="6"/>
  <c r="T531" i="6"/>
  <c r="U531" i="6"/>
  <c r="V531" i="6"/>
  <c r="W531" i="6"/>
  <c r="X531" i="6"/>
  <c r="Y531" i="6"/>
  <c r="Z531" i="6"/>
  <c r="AA531" i="6"/>
  <c r="AB531" i="6"/>
  <c r="AC531" i="6"/>
  <c r="R532" i="6"/>
  <c r="S532" i="6"/>
  <c r="T532" i="6"/>
  <c r="U532" i="6"/>
  <c r="V532" i="6"/>
  <c r="W532" i="6"/>
  <c r="X532" i="6"/>
  <c r="Y532" i="6"/>
  <c r="Z532" i="6"/>
  <c r="AA532" i="6"/>
  <c r="AB532" i="6"/>
  <c r="AC532" i="6"/>
  <c r="R533" i="6"/>
  <c r="S533" i="6"/>
  <c r="T533" i="6"/>
  <c r="U533" i="6"/>
  <c r="V533" i="6"/>
  <c r="W533" i="6"/>
  <c r="X533" i="6"/>
  <c r="Y533" i="6"/>
  <c r="Z533" i="6"/>
  <c r="AA533" i="6"/>
  <c r="AB533" i="6"/>
  <c r="AC533" i="6"/>
  <c r="R534" i="6"/>
  <c r="S534" i="6"/>
  <c r="T534" i="6"/>
  <c r="U534" i="6"/>
  <c r="V534" i="6"/>
  <c r="W534" i="6"/>
  <c r="X534" i="6"/>
  <c r="Y534" i="6"/>
  <c r="Z534" i="6"/>
  <c r="AA534" i="6"/>
  <c r="AB534" i="6"/>
  <c r="AC534" i="6"/>
  <c r="R535" i="6"/>
  <c r="S535" i="6"/>
  <c r="T535" i="6"/>
  <c r="U535" i="6"/>
  <c r="V535" i="6"/>
  <c r="W535" i="6"/>
  <c r="X535" i="6"/>
  <c r="Y535" i="6"/>
  <c r="Z535" i="6"/>
  <c r="AA535" i="6"/>
  <c r="AB535" i="6"/>
  <c r="AC535" i="6"/>
  <c r="R536" i="6"/>
  <c r="S536" i="6"/>
  <c r="T536" i="6"/>
  <c r="U536" i="6"/>
  <c r="V536" i="6"/>
  <c r="W536" i="6"/>
  <c r="X536" i="6"/>
  <c r="Y536" i="6"/>
  <c r="Z536" i="6"/>
  <c r="AA536" i="6"/>
  <c r="AB536" i="6"/>
  <c r="AC536" i="6"/>
  <c r="R537" i="6"/>
  <c r="S537" i="6"/>
  <c r="T537" i="6"/>
  <c r="U537" i="6"/>
  <c r="V537" i="6"/>
  <c r="W537" i="6"/>
  <c r="X537" i="6"/>
  <c r="Y537" i="6"/>
  <c r="Z537" i="6"/>
  <c r="AA537" i="6"/>
  <c r="AB537" i="6"/>
  <c r="AC537" i="6"/>
  <c r="R538" i="6"/>
  <c r="S538" i="6"/>
  <c r="T538" i="6"/>
  <c r="U538" i="6"/>
  <c r="V538" i="6"/>
  <c r="W538" i="6"/>
  <c r="X538" i="6"/>
  <c r="Y538" i="6"/>
  <c r="Z538" i="6"/>
  <c r="AA538" i="6"/>
  <c r="AB538" i="6"/>
  <c r="AC538" i="6"/>
  <c r="R539" i="6"/>
  <c r="S539" i="6"/>
  <c r="T539" i="6"/>
  <c r="U539" i="6"/>
  <c r="V539" i="6"/>
  <c r="W539" i="6"/>
  <c r="X539" i="6"/>
  <c r="Y539" i="6"/>
  <c r="Z539" i="6"/>
  <c r="AA539" i="6"/>
  <c r="AB539" i="6"/>
  <c r="AC539" i="6"/>
  <c r="R540" i="6"/>
  <c r="S540" i="6"/>
  <c r="T540" i="6"/>
  <c r="U540" i="6"/>
  <c r="V540" i="6"/>
  <c r="W540" i="6"/>
  <c r="X540" i="6"/>
  <c r="Y540" i="6"/>
  <c r="Z540" i="6"/>
  <c r="AA540" i="6"/>
  <c r="AB540" i="6"/>
  <c r="AC540" i="6"/>
  <c r="R541" i="6"/>
  <c r="S541" i="6"/>
  <c r="T541" i="6"/>
  <c r="U541" i="6"/>
  <c r="V541" i="6"/>
  <c r="W541" i="6"/>
  <c r="X541" i="6"/>
  <c r="Y541" i="6"/>
  <c r="Z541" i="6"/>
  <c r="AA541" i="6"/>
  <c r="AB541" i="6"/>
  <c r="AC541" i="6"/>
  <c r="R542" i="6"/>
  <c r="S542" i="6"/>
  <c r="T542" i="6"/>
  <c r="U542" i="6"/>
  <c r="V542" i="6"/>
  <c r="W542" i="6"/>
  <c r="X542" i="6"/>
  <c r="Y542" i="6"/>
  <c r="Z542" i="6"/>
  <c r="AA542" i="6"/>
  <c r="AB542" i="6"/>
  <c r="AC542" i="6"/>
  <c r="R543" i="6"/>
  <c r="S543" i="6"/>
  <c r="T543" i="6"/>
  <c r="U543" i="6"/>
  <c r="V543" i="6"/>
  <c r="W543" i="6"/>
  <c r="X543" i="6"/>
  <c r="Y543" i="6"/>
  <c r="Z543" i="6"/>
  <c r="AA543" i="6"/>
  <c r="AB543" i="6"/>
  <c r="AC543" i="6"/>
  <c r="R544" i="6"/>
  <c r="S544" i="6"/>
  <c r="T544" i="6"/>
  <c r="U544" i="6"/>
  <c r="V544" i="6"/>
  <c r="W544" i="6"/>
  <c r="X544" i="6"/>
  <c r="Y544" i="6"/>
  <c r="Z544" i="6"/>
  <c r="AA544" i="6"/>
  <c r="AB544" i="6"/>
  <c r="AC544" i="6"/>
  <c r="R545" i="6"/>
  <c r="S545" i="6"/>
  <c r="T545" i="6"/>
  <c r="U545" i="6"/>
  <c r="V545" i="6"/>
  <c r="W545" i="6"/>
  <c r="X545" i="6"/>
  <c r="Y545" i="6"/>
  <c r="Z545" i="6"/>
  <c r="AA545" i="6"/>
  <c r="AB545" i="6"/>
  <c r="AC545" i="6"/>
  <c r="R546" i="6"/>
  <c r="S546" i="6"/>
  <c r="T546" i="6"/>
  <c r="U546" i="6"/>
  <c r="V546" i="6"/>
  <c r="W546" i="6"/>
  <c r="X546" i="6"/>
  <c r="Y546" i="6"/>
  <c r="Z546" i="6"/>
  <c r="AA546" i="6"/>
  <c r="AB546" i="6"/>
  <c r="AC546" i="6"/>
  <c r="R547" i="6"/>
  <c r="S547" i="6"/>
  <c r="T547" i="6"/>
  <c r="U547" i="6"/>
  <c r="V547" i="6"/>
  <c r="W547" i="6"/>
  <c r="X547" i="6"/>
  <c r="Y547" i="6"/>
  <c r="Z547" i="6"/>
  <c r="AA547" i="6"/>
  <c r="AB547" i="6"/>
  <c r="AC547" i="6"/>
  <c r="R548" i="6"/>
  <c r="S548" i="6"/>
  <c r="T548" i="6"/>
  <c r="U548" i="6"/>
  <c r="V548" i="6"/>
  <c r="W548" i="6"/>
  <c r="X548" i="6"/>
  <c r="Y548" i="6"/>
  <c r="Z548" i="6"/>
  <c r="AA548" i="6"/>
  <c r="AB548" i="6"/>
  <c r="AC548" i="6"/>
  <c r="R549" i="6"/>
  <c r="S549" i="6"/>
  <c r="T549" i="6"/>
  <c r="U549" i="6"/>
  <c r="V549" i="6"/>
  <c r="W549" i="6"/>
  <c r="X549" i="6"/>
  <c r="Y549" i="6"/>
  <c r="Z549" i="6"/>
  <c r="AA549" i="6"/>
  <c r="AB549" i="6"/>
  <c r="AC549" i="6"/>
  <c r="R550" i="6"/>
  <c r="S550" i="6"/>
  <c r="T550" i="6"/>
  <c r="U550" i="6"/>
  <c r="V550" i="6"/>
  <c r="W550" i="6"/>
  <c r="X550" i="6"/>
  <c r="Y550" i="6"/>
  <c r="Z550" i="6"/>
  <c r="AA550" i="6"/>
  <c r="AB550" i="6"/>
  <c r="AC550" i="6"/>
  <c r="R551" i="6"/>
  <c r="S551" i="6"/>
  <c r="T551" i="6"/>
  <c r="U551" i="6"/>
  <c r="V551" i="6"/>
  <c r="W551" i="6"/>
  <c r="X551" i="6"/>
  <c r="Y551" i="6"/>
  <c r="Z551" i="6"/>
  <c r="AA551" i="6"/>
  <c r="AB551" i="6"/>
  <c r="AC551" i="6"/>
  <c r="R552" i="6"/>
  <c r="S552" i="6"/>
  <c r="T552" i="6"/>
  <c r="U552" i="6"/>
  <c r="V552" i="6"/>
  <c r="W552" i="6"/>
  <c r="X552" i="6"/>
  <c r="Y552" i="6"/>
  <c r="Z552" i="6"/>
  <c r="AA552" i="6"/>
  <c r="AB552" i="6"/>
  <c r="AC552" i="6"/>
  <c r="R553" i="6"/>
  <c r="S553" i="6"/>
  <c r="T553" i="6"/>
  <c r="U553" i="6"/>
  <c r="V553" i="6"/>
  <c r="W553" i="6"/>
  <c r="X553" i="6"/>
  <c r="Y553" i="6"/>
  <c r="Z553" i="6"/>
  <c r="AA553" i="6"/>
  <c r="AB553" i="6"/>
  <c r="AC553" i="6"/>
  <c r="R554" i="6"/>
  <c r="S554" i="6"/>
  <c r="T554" i="6"/>
  <c r="U554" i="6"/>
  <c r="V554" i="6"/>
  <c r="W554" i="6"/>
  <c r="X554" i="6"/>
  <c r="Y554" i="6"/>
  <c r="Z554" i="6"/>
  <c r="AA554" i="6"/>
  <c r="AB554" i="6"/>
  <c r="AC554" i="6"/>
  <c r="R555" i="6"/>
  <c r="S555" i="6"/>
  <c r="T555" i="6"/>
  <c r="U555" i="6"/>
  <c r="V555" i="6"/>
  <c r="W555" i="6"/>
  <c r="X555" i="6"/>
  <c r="Y555" i="6"/>
  <c r="Z555" i="6"/>
  <c r="AA555" i="6"/>
  <c r="AB555" i="6"/>
  <c r="AC555" i="6"/>
  <c r="R556" i="6"/>
  <c r="S556" i="6"/>
  <c r="T556" i="6"/>
  <c r="U556" i="6"/>
  <c r="V556" i="6"/>
  <c r="W556" i="6"/>
  <c r="X556" i="6"/>
  <c r="Y556" i="6"/>
  <c r="Z556" i="6"/>
  <c r="AA556" i="6"/>
  <c r="AB556" i="6"/>
  <c r="AC556" i="6"/>
  <c r="R557" i="6"/>
  <c r="S557" i="6"/>
  <c r="T557" i="6"/>
  <c r="U557" i="6"/>
  <c r="V557" i="6"/>
  <c r="W557" i="6"/>
  <c r="X557" i="6"/>
  <c r="Y557" i="6"/>
  <c r="Z557" i="6"/>
  <c r="AA557" i="6"/>
  <c r="AB557" i="6"/>
  <c r="AC557" i="6"/>
  <c r="R558" i="6"/>
  <c r="S558" i="6"/>
  <c r="T558" i="6"/>
  <c r="U558" i="6"/>
  <c r="V558" i="6"/>
  <c r="W558" i="6"/>
  <c r="X558" i="6"/>
  <c r="Y558" i="6"/>
  <c r="Z558" i="6"/>
  <c r="AA558" i="6"/>
  <c r="AB558" i="6"/>
  <c r="AC558" i="6"/>
  <c r="R559" i="6"/>
  <c r="S559" i="6"/>
  <c r="T559" i="6"/>
  <c r="U559" i="6"/>
  <c r="V559" i="6"/>
  <c r="W559" i="6"/>
  <c r="X559" i="6"/>
  <c r="Y559" i="6"/>
  <c r="Z559" i="6"/>
  <c r="AA559" i="6"/>
  <c r="AB559" i="6"/>
  <c r="AC559" i="6"/>
  <c r="R560" i="6"/>
  <c r="S560" i="6"/>
  <c r="T560" i="6"/>
  <c r="U560" i="6"/>
  <c r="V560" i="6"/>
  <c r="W560" i="6"/>
  <c r="X560" i="6"/>
  <c r="Y560" i="6"/>
  <c r="Z560" i="6"/>
  <c r="AA560" i="6"/>
  <c r="AB560" i="6"/>
  <c r="AC560" i="6"/>
  <c r="R561" i="6"/>
  <c r="S561" i="6"/>
  <c r="T561" i="6"/>
  <c r="U561" i="6"/>
  <c r="V561" i="6"/>
  <c r="W561" i="6"/>
  <c r="X561" i="6"/>
  <c r="Y561" i="6"/>
  <c r="Z561" i="6"/>
  <c r="AA561" i="6"/>
  <c r="AB561" i="6"/>
  <c r="AC561" i="6"/>
  <c r="R562" i="6"/>
  <c r="S562" i="6"/>
  <c r="T562" i="6"/>
  <c r="U562" i="6"/>
  <c r="V562" i="6"/>
  <c r="W562" i="6"/>
  <c r="X562" i="6"/>
  <c r="Y562" i="6"/>
  <c r="Z562" i="6"/>
  <c r="AA562" i="6"/>
  <c r="AB562" i="6"/>
  <c r="AC562" i="6"/>
  <c r="R563" i="6"/>
  <c r="S563" i="6"/>
  <c r="T563" i="6"/>
  <c r="U563" i="6"/>
  <c r="V563" i="6"/>
  <c r="W563" i="6"/>
  <c r="X563" i="6"/>
  <c r="Y563" i="6"/>
  <c r="Z563" i="6"/>
  <c r="AA563" i="6"/>
  <c r="AB563" i="6"/>
  <c r="AC563" i="6"/>
  <c r="R564" i="6"/>
  <c r="S564" i="6"/>
  <c r="T564" i="6"/>
  <c r="U564" i="6"/>
  <c r="V564" i="6"/>
  <c r="W564" i="6"/>
  <c r="X564" i="6"/>
  <c r="Y564" i="6"/>
  <c r="Z564" i="6"/>
  <c r="AA564" i="6"/>
  <c r="AB564" i="6"/>
  <c r="AC564" i="6"/>
  <c r="R565" i="6"/>
  <c r="S565" i="6"/>
  <c r="T565" i="6"/>
  <c r="U565" i="6"/>
  <c r="V565" i="6"/>
  <c r="W565" i="6"/>
  <c r="X565" i="6"/>
  <c r="Y565" i="6"/>
  <c r="Z565" i="6"/>
  <c r="AA565" i="6"/>
  <c r="AB565" i="6"/>
  <c r="AC565" i="6"/>
  <c r="R566" i="6"/>
  <c r="S566" i="6"/>
  <c r="T566" i="6"/>
  <c r="U566" i="6"/>
  <c r="V566" i="6"/>
  <c r="W566" i="6"/>
  <c r="X566" i="6"/>
  <c r="Y566" i="6"/>
  <c r="Z566" i="6"/>
  <c r="AA566" i="6"/>
  <c r="AB566" i="6"/>
  <c r="AC566" i="6"/>
  <c r="R567" i="6"/>
  <c r="S567" i="6"/>
  <c r="T567" i="6"/>
  <c r="U567" i="6"/>
  <c r="V567" i="6"/>
  <c r="W567" i="6"/>
  <c r="X567" i="6"/>
  <c r="Y567" i="6"/>
  <c r="Z567" i="6"/>
  <c r="AA567" i="6"/>
  <c r="AB567" i="6"/>
  <c r="AC567" i="6"/>
  <c r="R568" i="6"/>
  <c r="S568" i="6"/>
  <c r="T568" i="6"/>
  <c r="U568" i="6"/>
  <c r="V568" i="6"/>
  <c r="W568" i="6"/>
  <c r="X568" i="6"/>
  <c r="Y568" i="6"/>
  <c r="Z568" i="6"/>
  <c r="AA568" i="6"/>
  <c r="AB568" i="6"/>
  <c r="AC568" i="6"/>
  <c r="R569" i="6"/>
  <c r="S569" i="6"/>
  <c r="T569" i="6"/>
  <c r="U569" i="6"/>
  <c r="V569" i="6"/>
  <c r="W569" i="6"/>
  <c r="X569" i="6"/>
  <c r="Y569" i="6"/>
  <c r="Z569" i="6"/>
  <c r="AA569" i="6"/>
  <c r="AB569" i="6"/>
  <c r="AC569" i="6"/>
  <c r="R570" i="6"/>
  <c r="S570" i="6"/>
  <c r="T570" i="6"/>
  <c r="U570" i="6"/>
  <c r="V570" i="6"/>
  <c r="W570" i="6"/>
  <c r="X570" i="6"/>
  <c r="Y570" i="6"/>
  <c r="Z570" i="6"/>
  <c r="AA570" i="6"/>
  <c r="AB570" i="6"/>
  <c r="AC570" i="6"/>
  <c r="R571" i="6"/>
  <c r="S571" i="6"/>
  <c r="T571" i="6"/>
  <c r="U571" i="6"/>
  <c r="V571" i="6"/>
  <c r="W571" i="6"/>
  <c r="X571" i="6"/>
  <c r="Y571" i="6"/>
  <c r="Z571" i="6"/>
  <c r="AA571" i="6"/>
  <c r="AB571" i="6"/>
  <c r="AC571" i="6"/>
  <c r="R572" i="6"/>
  <c r="S572" i="6"/>
  <c r="T572" i="6"/>
  <c r="U572" i="6"/>
  <c r="V572" i="6"/>
  <c r="W572" i="6"/>
  <c r="X572" i="6"/>
  <c r="Y572" i="6"/>
  <c r="Z572" i="6"/>
  <c r="AA572" i="6"/>
  <c r="AB572" i="6"/>
  <c r="AC572" i="6"/>
  <c r="R573" i="6"/>
  <c r="S573" i="6"/>
  <c r="T573" i="6"/>
  <c r="U573" i="6"/>
  <c r="V573" i="6"/>
  <c r="W573" i="6"/>
  <c r="X573" i="6"/>
  <c r="Y573" i="6"/>
  <c r="Z573" i="6"/>
  <c r="AA573" i="6"/>
  <c r="AB573" i="6"/>
  <c r="AC573" i="6"/>
  <c r="R574" i="6"/>
  <c r="S574" i="6"/>
  <c r="T574" i="6"/>
  <c r="U574" i="6"/>
  <c r="V574" i="6"/>
  <c r="W574" i="6"/>
  <c r="X574" i="6"/>
  <c r="Y574" i="6"/>
  <c r="Z574" i="6"/>
  <c r="AA574" i="6"/>
  <c r="AB574" i="6"/>
  <c r="AC574" i="6"/>
  <c r="R575" i="6"/>
  <c r="S575" i="6"/>
  <c r="T575" i="6"/>
  <c r="U575" i="6"/>
  <c r="V575" i="6"/>
  <c r="W575" i="6"/>
  <c r="X575" i="6"/>
  <c r="Y575" i="6"/>
  <c r="Z575" i="6"/>
  <c r="AA575" i="6"/>
  <c r="AB575" i="6"/>
  <c r="AC575" i="6"/>
  <c r="R576" i="6"/>
  <c r="S576" i="6"/>
  <c r="T576" i="6"/>
  <c r="U576" i="6"/>
  <c r="V576" i="6"/>
  <c r="W576" i="6"/>
  <c r="X576" i="6"/>
  <c r="Y576" i="6"/>
  <c r="Z576" i="6"/>
  <c r="AA576" i="6"/>
  <c r="AB576" i="6"/>
  <c r="AC576" i="6"/>
  <c r="R577" i="6"/>
  <c r="S577" i="6"/>
  <c r="T577" i="6"/>
  <c r="U577" i="6"/>
  <c r="V577" i="6"/>
  <c r="W577" i="6"/>
  <c r="X577" i="6"/>
  <c r="Y577" i="6"/>
  <c r="Z577" i="6"/>
  <c r="AA577" i="6"/>
  <c r="AB577" i="6"/>
  <c r="AC577" i="6"/>
  <c r="R578" i="6"/>
  <c r="S578" i="6"/>
  <c r="T578" i="6"/>
  <c r="U578" i="6"/>
  <c r="V578" i="6"/>
  <c r="W578" i="6"/>
  <c r="X578" i="6"/>
  <c r="Y578" i="6"/>
  <c r="Z578" i="6"/>
  <c r="AA578" i="6"/>
  <c r="AB578" i="6"/>
  <c r="AC578" i="6"/>
  <c r="R579" i="6"/>
  <c r="S579" i="6"/>
  <c r="T579" i="6"/>
  <c r="U579" i="6"/>
  <c r="V579" i="6"/>
  <c r="W579" i="6"/>
  <c r="X579" i="6"/>
  <c r="Y579" i="6"/>
  <c r="Z579" i="6"/>
  <c r="AA579" i="6"/>
  <c r="AB579" i="6"/>
  <c r="AC579" i="6"/>
  <c r="R580" i="6"/>
  <c r="S580" i="6"/>
  <c r="T580" i="6"/>
  <c r="U580" i="6"/>
  <c r="V580" i="6"/>
  <c r="W580" i="6"/>
  <c r="X580" i="6"/>
  <c r="Y580" i="6"/>
  <c r="Z580" i="6"/>
  <c r="AA580" i="6"/>
  <c r="AB580" i="6"/>
  <c r="AC580" i="6"/>
  <c r="R581" i="6"/>
  <c r="S581" i="6"/>
  <c r="T581" i="6"/>
  <c r="U581" i="6"/>
  <c r="V581" i="6"/>
  <c r="W581" i="6"/>
  <c r="X581" i="6"/>
  <c r="Y581" i="6"/>
  <c r="Z581" i="6"/>
  <c r="AA581" i="6"/>
  <c r="AB581" i="6"/>
  <c r="AC581" i="6"/>
  <c r="R582" i="6"/>
  <c r="S582" i="6"/>
  <c r="T582" i="6"/>
  <c r="U582" i="6"/>
  <c r="V582" i="6"/>
  <c r="W582" i="6"/>
  <c r="X582" i="6"/>
  <c r="Y582" i="6"/>
  <c r="Z582" i="6"/>
  <c r="AA582" i="6"/>
  <c r="AB582" i="6"/>
  <c r="AC582" i="6"/>
  <c r="R583" i="6"/>
  <c r="S583" i="6"/>
  <c r="T583" i="6"/>
  <c r="U583" i="6"/>
  <c r="V583" i="6"/>
  <c r="W583" i="6"/>
  <c r="X583" i="6"/>
  <c r="Y583" i="6"/>
  <c r="Z583" i="6"/>
  <c r="AA583" i="6"/>
  <c r="AB583" i="6"/>
  <c r="AC583" i="6"/>
  <c r="R584" i="6"/>
  <c r="S584" i="6"/>
  <c r="T584" i="6"/>
  <c r="U584" i="6"/>
  <c r="V584" i="6"/>
  <c r="W584" i="6"/>
  <c r="X584" i="6"/>
  <c r="Y584" i="6"/>
  <c r="Z584" i="6"/>
  <c r="AA584" i="6"/>
  <c r="AB584" i="6"/>
  <c r="AC584" i="6"/>
  <c r="R585" i="6"/>
  <c r="S585" i="6"/>
  <c r="T585" i="6"/>
  <c r="U585" i="6"/>
  <c r="V585" i="6"/>
  <c r="W585" i="6"/>
  <c r="X585" i="6"/>
  <c r="Y585" i="6"/>
  <c r="Z585" i="6"/>
  <c r="AA585" i="6"/>
  <c r="AB585" i="6"/>
  <c r="AC585" i="6"/>
  <c r="R586" i="6"/>
  <c r="S586" i="6"/>
  <c r="T586" i="6"/>
  <c r="U586" i="6"/>
  <c r="V586" i="6"/>
  <c r="W586" i="6"/>
  <c r="X586" i="6"/>
  <c r="Y586" i="6"/>
  <c r="Z586" i="6"/>
  <c r="AA586" i="6"/>
  <c r="AB586" i="6"/>
  <c r="AC586" i="6"/>
  <c r="R587" i="6"/>
  <c r="S587" i="6"/>
  <c r="T587" i="6"/>
  <c r="U587" i="6"/>
  <c r="V587" i="6"/>
  <c r="W587" i="6"/>
  <c r="X587" i="6"/>
  <c r="Y587" i="6"/>
  <c r="Z587" i="6"/>
  <c r="AA587" i="6"/>
  <c r="AB587" i="6"/>
  <c r="AC587" i="6"/>
  <c r="R588" i="6"/>
  <c r="S588" i="6"/>
  <c r="T588" i="6"/>
  <c r="U588" i="6"/>
  <c r="V588" i="6"/>
  <c r="W588" i="6"/>
  <c r="X588" i="6"/>
  <c r="Y588" i="6"/>
  <c r="Z588" i="6"/>
  <c r="AA588" i="6"/>
  <c r="AB588" i="6"/>
  <c r="AC588" i="6"/>
  <c r="R589" i="6"/>
  <c r="S589" i="6"/>
  <c r="T589" i="6"/>
  <c r="U589" i="6"/>
  <c r="V589" i="6"/>
  <c r="W589" i="6"/>
  <c r="X589" i="6"/>
  <c r="Y589" i="6"/>
  <c r="Z589" i="6"/>
  <c r="AA589" i="6"/>
  <c r="AB589" i="6"/>
  <c r="AC589" i="6"/>
  <c r="R590" i="6"/>
  <c r="S590" i="6"/>
  <c r="T590" i="6"/>
  <c r="U590" i="6"/>
  <c r="V590" i="6"/>
  <c r="W590" i="6"/>
  <c r="X590" i="6"/>
  <c r="Y590" i="6"/>
  <c r="Z590" i="6"/>
  <c r="AA590" i="6"/>
  <c r="AB590" i="6"/>
  <c r="AC590" i="6"/>
  <c r="R591" i="6"/>
  <c r="S591" i="6"/>
  <c r="T591" i="6"/>
  <c r="U591" i="6"/>
  <c r="V591" i="6"/>
  <c r="W591" i="6"/>
  <c r="X591" i="6"/>
  <c r="Y591" i="6"/>
  <c r="Z591" i="6"/>
  <c r="AA591" i="6"/>
  <c r="AB591" i="6"/>
  <c r="AC591" i="6"/>
  <c r="R592" i="6"/>
  <c r="S592" i="6"/>
  <c r="T592" i="6"/>
  <c r="U592" i="6"/>
  <c r="V592" i="6"/>
  <c r="W592" i="6"/>
  <c r="X592" i="6"/>
  <c r="Y592" i="6"/>
  <c r="Z592" i="6"/>
  <c r="AA592" i="6"/>
  <c r="AB592" i="6"/>
  <c r="AC592" i="6"/>
  <c r="R593" i="6"/>
  <c r="S593" i="6"/>
  <c r="T593" i="6"/>
  <c r="U593" i="6"/>
  <c r="V593" i="6"/>
  <c r="W593" i="6"/>
  <c r="X593" i="6"/>
  <c r="Y593" i="6"/>
  <c r="Z593" i="6"/>
  <c r="AA593" i="6"/>
  <c r="AB593" i="6"/>
  <c r="AC593" i="6"/>
  <c r="R594" i="6"/>
  <c r="R222" i="30" s="1"/>
  <c r="BC222" i="30" s="1"/>
  <c r="S594" i="6"/>
  <c r="S222" i="30" s="1"/>
  <c r="T594" i="6"/>
  <c r="T222" i="30" s="1"/>
  <c r="U594" i="6"/>
  <c r="U222" i="30" s="1"/>
  <c r="V594" i="6"/>
  <c r="V222" i="30" s="1"/>
  <c r="W594" i="6"/>
  <c r="W222" i="30" s="1"/>
  <c r="X594" i="6"/>
  <c r="X222" i="30" s="1"/>
  <c r="Y594" i="6"/>
  <c r="Y222" i="30" s="1"/>
  <c r="Z594" i="6"/>
  <c r="Z222" i="30" s="1"/>
  <c r="AA594" i="6"/>
  <c r="AA222" i="30" s="1"/>
  <c r="AB594" i="6"/>
  <c r="AB222" i="30" s="1"/>
  <c r="AC594" i="6"/>
  <c r="AC222" i="30" s="1"/>
  <c r="R595" i="6"/>
  <c r="S595" i="6"/>
  <c r="T595" i="6"/>
  <c r="U595" i="6"/>
  <c r="V595" i="6"/>
  <c r="W595" i="6"/>
  <c r="X595" i="6"/>
  <c r="Y595" i="6"/>
  <c r="Z595" i="6"/>
  <c r="AA595" i="6"/>
  <c r="AB595" i="6"/>
  <c r="AC595" i="6"/>
  <c r="R596" i="6"/>
  <c r="R223" i="30" s="1"/>
  <c r="BC223" i="30" s="1"/>
  <c r="S596" i="6"/>
  <c r="S223" i="30" s="1"/>
  <c r="T596" i="6"/>
  <c r="T223" i="30" s="1"/>
  <c r="U596" i="6"/>
  <c r="U223" i="30" s="1"/>
  <c r="V596" i="6"/>
  <c r="V223" i="30" s="1"/>
  <c r="W596" i="6"/>
  <c r="W223" i="30" s="1"/>
  <c r="X596" i="6"/>
  <c r="X223" i="30" s="1"/>
  <c r="Y596" i="6"/>
  <c r="Y223" i="30" s="1"/>
  <c r="Z596" i="6"/>
  <c r="Z223" i="30" s="1"/>
  <c r="AA596" i="6"/>
  <c r="AA223" i="30" s="1"/>
  <c r="AB596" i="6"/>
  <c r="AB223" i="30" s="1"/>
  <c r="AC596" i="6"/>
  <c r="AC223" i="30" s="1"/>
  <c r="R597" i="6"/>
  <c r="R161" i="30" s="1"/>
  <c r="S597" i="6"/>
  <c r="S161" i="30" s="1"/>
  <c r="T597" i="6"/>
  <c r="T161" i="30" s="1"/>
  <c r="U597" i="6"/>
  <c r="U161" i="30" s="1"/>
  <c r="V597" i="6"/>
  <c r="V161" i="30" s="1"/>
  <c r="W597" i="6"/>
  <c r="W161" i="30" s="1"/>
  <c r="X597" i="6"/>
  <c r="X161" i="30" s="1"/>
  <c r="Y597" i="6"/>
  <c r="Y161" i="30" s="1"/>
  <c r="Z597" i="6"/>
  <c r="Z161" i="30" s="1"/>
  <c r="AA597" i="6"/>
  <c r="AA161" i="30" s="1"/>
  <c r="AB597" i="6"/>
  <c r="AB161" i="30" s="1"/>
  <c r="AC597" i="6"/>
  <c r="AC161" i="30" s="1"/>
  <c r="R598" i="6"/>
  <c r="R225" i="30" s="1"/>
  <c r="BC225" i="30" s="1"/>
  <c r="S598" i="6"/>
  <c r="S225" i="30" s="1"/>
  <c r="T598" i="6"/>
  <c r="T225" i="30" s="1"/>
  <c r="U598" i="6"/>
  <c r="U225" i="30" s="1"/>
  <c r="V598" i="6"/>
  <c r="V225" i="30" s="1"/>
  <c r="W598" i="6"/>
  <c r="W225" i="30" s="1"/>
  <c r="X598" i="6"/>
  <c r="X225" i="30" s="1"/>
  <c r="Y598" i="6"/>
  <c r="Y225" i="30" s="1"/>
  <c r="Z598" i="6"/>
  <c r="Z225" i="30" s="1"/>
  <c r="AA598" i="6"/>
  <c r="AA225" i="30" s="1"/>
  <c r="AB598" i="6"/>
  <c r="AB225" i="30" s="1"/>
  <c r="AC598" i="6"/>
  <c r="AC225" i="30" s="1"/>
  <c r="R599" i="6"/>
  <c r="S599" i="6"/>
  <c r="T599" i="6"/>
  <c r="U599" i="6"/>
  <c r="V599" i="6"/>
  <c r="W599" i="6"/>
  <c r="X599" i="6"/>
  <c r="Y599" i="6"/>
  <c r="Z599" i="6"/>
  <c r="AA599" i="6"/>
  <c r="AB599" i="6"/>
  <c r="AC599" i="6"/>
  <c r="R600" i="6"/>
  <c r="R157" i="30" s="1"/>
  <c r="S600" i="6"/>
  <c r="S157" i="30" s="1"/>
  <c r="T600" i="6"/>
  <c r="T157" i="30" s="1"/>
  <c r="U600" i="6"/>
  <c r="U157" i="30" s="1"/>
  <c r="V600" i="6"/>
  <c r="V157" i="30" s="1"/>
  <c r="W600" i="6"/>
  <c r="W157" i="30" s="1"/>
  <c r="X600" i="6"/>
  <c r="X157" i="30" s="1"/>
  <c r="Y600" i="6"/>
  <c r="Y157" i="30" s="1"/>
  <c r="Z600" i="6"/>
  <c r="Z157" i="30" s="1"/>
  <c r="AA600" i="6"/>
  <c r="AA157" i="30" s="1"/>
  <c r="AB600" i="6"/>
  <c r="AB157" i="30" s="1"/>
  <c r="AC600" i="6"/>
  <c r="AC157" i="30" s="1"/>
  <c r="R601" i="6"/>
  <c r="S601" i="6"/>
  <c r="T601" i="6"/>
  <c r="U601" i="6"/>
  <c r="V601" i="6"/>
  <c r="W601" i="6"/>
  <c r="X601" i="6"/>
  <c r="Y601" i="6"/>
  <c r="Z601" i="6"/>
  <c r="AA601" i="6"/>
  <c r="AB601" i="6"/>
  <c r="AC601" i="6"/>
  <c r="R602" i="6"/>
  <c r="S602" i="6"/>
  <c r="T602" i="6"/>
  <c r="U602" i="6"/>
  <c r="V602" i="6"/>
  <c r="W602" i="6"/>
  <c r="X602" i="6"/>
  <c r="Y602" i="6"/>
  <c r="Z602" i="6"/>
  <c r="AA602" i="6"/>
  <c r="AB602" i="6"/>
  <c r="AC602" i="6"/>
  <c r="R603" i="6"/>
  <c r="S603" i="6"/>
  <c r="T603" i="6"/>
  <c r="U603" i="6"/>
  <c r="V603" i="6"/>
  <c r="W603" i="6"/>
  <c r="X603" i="6"/>
  <c r="Y603" i="6"/>
  <c r="Z603" i="6"/>
  <c r="AA603" i="6"/>
  <c r="AB603" i="6"/>
  <c r="AC603" i="6"/>
  <c r="R604" i="6"/>
  <c r="S604" i="6"/>
  <c r="T604" i="6"/>
  <c r="U604" i="6"/>
  <c r="V604" i="6"/>
  <c r="W604" i="6"/>
  <c r="X604" i="6"/>
  <c r="Y604" i="6"/>
  <c r="Z604" i="6"/>
  <c r="AA604" i="6"/>
  <c r="AB604" i="6"/>
  <c r="AC604" i="6"/>
  <c r="R605" i="6"/>
  <c r="S605" i="6"/>
  <c r="T605" i="6"/>
  <c r="U605" i="6"/>
  <c r="V605" i="6"/>
  <c r="W605" i="6"/>
  <c r="X605" i="6"/>
  <c r="Y605" i="6"/>
  <c r="Z605" i="6"/>
  <c r="AA605" i="6"/>
  <c r="AB605" i="6"/>
  <c r="AC605" i="6"/>
  <c r="R606" i="6"/>
  <c r="S606" i="6"/>
  <c r="T606" i="6"/>
  <c r="U606" i="6"/>
  <c r="V606" i="6"/>
  <c r="W606" i="6"/>
  <c r="X606" i="6"/>
  <c r="Y606" i="6"/>
  <c r="Z606" i="6"/>
  <c r="AA606" i="6"/>
  <c r="AB606" i="6"/>
  <c r="AC606" i="6"/>
  <c r="R607" i="6"/>
  <c r="S607" i="6"/>
  <c r="T607" i="6"/>
  <c r="U607" i="6"/>
  <c r="V607" i="6"/>
  <c r="W607" i="6"/>
  <c r="X607" i="6"/>
  <c r="Y607" i="6"/>
  <c r="Z607" i="6"/>
  <c r="AA607" i="6"/>
  <c r="AB607" i="6"/>
  <c r="AC607" i="6"/>
  <c r="R608" i="6"/>
  <c r="S608" i="6"/>
  <c r="T608" i="6"/>
  <c r="U608" i="6"/>
  <c r="V608" i="6"/>
  <c r="W608" i="6"/>
  <c r="X608" i="6"/>
  <c r="Y608" i="6"/>
  <c r="Z608" i="6"/>
  <c r="AA608" i="6"/>
  <c r="AB608" i="6"/>
  <c r="AC608" i="6"/>
  <c r="R609" i="6"/>
  <c r="S609" i="6"/>
  <c r="T609" i="6"/>
  <c r="U609" i="6"/>
  <c r="V609" i="6"/>
  <c r="W609" i="6"/>
  <c r="X609" i="6"/>
  <c r="Y609" i="6"/>
  <c r="Z609" i="6"/>
  <c r="AA609" i="6"/>
  <c r="AB609" i="6"/>
  <c r="AC609" i="6"/>
  <c r="R610" i="6"/>
  <c r="S610" i="6"/>
  <c r="T610" i="6"/>
  <c r="U610" i="6"/>
  <c r="V610" i="6"/>
  <c r="W610" i="6"/>
  <c r="X610" i="6"/>
  <c r="Y610" i="6"/>
  <c r="Z610" i="6"/>
  <c r="AA610" i="6"/>
  <c r="AB610" i="6"/>
  <c r="AC610" i="6"/>
  <c r="R611" i="6"/>
  <c r="S611" i="6"/>
  <c r="T611" i="6"/>
  <c r="U611" i="6"/>
  <c r="V611" i="6"/>
  <c r="W611" i="6"/>
  <c r="X611" i="6"/>
  <c r="Y611" i="6"/>
  <c r="Z611" i="6"/>
  <c r="AA611" i="6"/>
  <c r="AB611" i="6"/>
  <c r="AC611" i="6"/>
  <c r="R612" i="6"/>
  <c r="S612" i="6"/>
  <c r="T612" i="6"/>
  <c r="U612" i="6"/>
  <c r="V612" i="6"/>
  <c r="W612" i="6"/>
  <c r="X612" i="6"/>
  <c r="Y612" i="6"/>
  <c r="Z612" i="6"/>
  <c r="AA612" i="6"/>
  <c r="AB612" i="6"/>
  <c r="AC612" i="6"/>
  <c r="R613" i="6"/>
  <c r="R166" i="30" s="1"/>
  <c r="S613" i="6"/>
  <c r="S166" i="30" s="1"/>
  <c r="T613" i="6"/>
  <c r="T166" i="30" s="1"/>
  <c r="U613" i="6"/>
  <c r="U166" i="30" s="1"/>
  <c r="V613" i="6"/>
  <c r="V166" i="30" s="1"/>
  <c r="W613" i="6"/>
  <c r="W166" i="30" s="1"/>
  <c r="X613" i="6"/>
  <c r="X166" i="30" s="1"/>
  <c r="Y613" i="6"/>
  <c r="Y166" i="30" s="1"/>
  <c r="Z613" i="6"/>
  <c r="Z166" i="30" s="1"/>
  <c r="AA613" i="6"/>
  <c r="AA166" i="30" s="1"/>
  <c r="AB613" i="6"/>
  <c r="AB166" i="30" s="1"/>
  <c r="AC613" i="6"/>
  <c r="AC166" i="30" s="1"/>
  <c r="R614" i="6"/>
  <c r="S614" i="6"/>
  <c r="T614" i="6"/>
  <c r="U614" i="6"/>
  <c r="V614" i="6"/>
  <c r="W614" i="6"/>
  <c r="X614" i="6"/>
  <c r="Y614" i="6"/>
  <c r="Z614" i="6"/>
  <c r="AA614" i="6"/>
  <c r="AB614" i="6"/>
  <c r="AC614" i="6"/>
  <c r="R615" i="6"/>
  <c r="S615" i="6"/>
  <c r="T615" i="6"/>
  <c r="U615" i="6"/>
  <c r="V615" i="6"/>
  <c r="W615" i="6"/>
  <c r="X615" i="6"/>
  <c r="Y615" i="6"/>
  <c r="Z615" i="6"/>
  <c r="AA615" i="6"/>
  <c r="AB615" i="6"/>
  <c r="AC615" i="6"/>
  <c r="R616" i="6"/>
  <c r="S616" i="6"/>
  <c r="T616" i="6"/>
  <c r="U616" i="6"/>
  <c r="V616" i="6"/>
  <c r="W616" i="6"/>
  <c r="X616" i="6"/>
  <c r="Y616" i="6"/>
  <c r="Z616" i="6"/>
  <c r="AA616" i="6"/>
  <c r="AB616" i="6"/>
  <c r="AC616" i="6"/>
  <c r="R617" i="6"/>
  <c r="S617" i="6"/>
  <c r="T617" i="6"/>
  <c r="U617" i="6"/>
  <c r="V617" i="6"/>
  <c r="W617" i="6"/>
  <c r="X617" i="6"/>
  <c r="Y617" i="6"/>
  <c r="Z617" i="6"/>
  <c r="AA617" i="6"/>
  <c r="AB617" i="6"/>
  <c r="AC617" i="6"/>
  <c r="R618" i="6"/>
  <c r="S618" i="6"/>
  <c r="T618" i="6"/>
  <c r="U618" i="6"/>
  <c r="V618" i="6"/>
  <c r="W618" i="6"/>
  <c r="X618" i="6"/>
  <c r="Y618" i="6"/>
  <c r="Z618" i="6"/>
  <c r="AA618" i="6"/>
  <c r="AB618" i="6"/>
  <c r="AC618" i="6"/>
  <c r="R619" i="6"/>
  <c r="R233" i="30" s="1"/>
  <c r="BC233" i="30" s="1"/>
  <c r="S619" i="6"/>
  <c r="S233" i="30" s="1"/>
  <c r="T619" i="6"/>
  <c r="T233" i="30" s="1"/>
  <c r="U619" i="6"/>
  <c r="U233" i="30" s="1"/>
  <c r="V619" i="6"/>
  <c r="V233" i="30" s="1"/>
  <c r="W619" i="6"/>
  <c r="W233" i="30" s="1"/>
  <c r="X619" i="6"/>
  <c r="X233" i="30" s="1"/>
  <c r="Y619" i="6"/>
  <c r="Y233" i="30" s="1"/>
  <c r="Z619" i="6"/>
  <c r="Z233" i="30" s="1"/>
  <c r="AA619" i="6"/>
  <c r="AA233" i="30" s="1"/>
  <c r="AB619" i="6"/>
  <c r="AB233" i="30" s="1"/>
  <c r="AC619" i="6"/>
  <c r="AC233" i="30" s="1"/>
  <c r="R620" i="6"/>
  <c r="R229" i="30" s="1"/>
  <c r="BC229" i="30" s="1"/>
  <c r="S620" i="6"/>
  <c r="S229" i="30" s="1"/>
  <c r="T620" i="6"/>
  <c r="T229" i="30" s="1"/>
  <c r="U620" i="6"/>
  <c r="U229" i="30" s="1"/>
  <c r="V620" i="6"/>
  <c r="V229" i="30" s="1"/>
  <c r="W620" i="6"/>
  <c r="W229" i="30" s="1"/>
  <c r="X620" i="6"/>
  <c r="X229" i="30" s="1"/>
  <c r="Y620" i="6"/>
  <c r="Y229" i="30" s="1"/>
  <c r="Z620" i="6"/>
  <c r="Z229" i="30" s="1"/>
  <c r="AA620" i="6"/>
  <c r="AA229" i="30" s="1"/>
  <c r="AB620" i="6"/>
  <c r="AB229" i="30" s="1"/>
  <c r="AC620" i="6"/>
  <c r="AC229" i="30" s="1"/>
  <c r="R621" i="6"/>
  <c r="S621" i="6"/>
  <c r="T621" i="6"/>
  <c r="U621" i="6"/>
  <c r="V621" i="6"/>
  <c r="W621" i="6"/>
  <c r="X621" i="6"/>
  <c r="Y621" i="6"/>
  <c r="Z621" i="6"/>
  <c r="AA621" i="6"/>
  <c r="AB621" i="6"/>
  <c r="AC621" i="6"/>
  <c r="R622" i="6"/>
  <c r="S622" i="6"/>
  <c r="T622" i="6"/>
  <c r="U622" i="6"/>
  <c r="V622" i="6"/>
  <c r="W622" i="6"/>
  <c r="X622" i="6"/>
  <c r="Y622" i="6"/>
  <c r="Z622" i="6"/>
  <c r="AA622" i="6"/>
  <c r="AB622" i="6"/>
  <c r="AC622" i="6"/>
  <c r="R623" i="6"/>
  <c r="S623" i="6"/>
  <c r="T623" i="6"/>
  <c r="U623" i="6"/>
  <c r="V623" i="6"/>
  <c r="W623" i="6"/>
  <c r="X623" i="6"/>
  <c r="Y623" i="6"/>
  <c r="Z623" i="6"/>
  <c r="AA623" i="6"/>
  <c r="AB623" i="6"/>
  <c r="AC623" i="6"/>
  <c r="R624" i="6"/>
  <c r="R172" i="30" s="1"/>
  <c r="BC172" i="30" s="1"/>
  <c r="S624" i="6"/>
  <c r="S172" i="30" s="1"/>
  <c r="T624" i="6"/>
  <c r="T172" i="30" s="1"/>
  <c r="U624" i="6"/>
  <c r="U172" i="30" s="1"/>
  <c r="V624" i="6"/>
  <c r="V172" i="30" s="1"/>
  <c r="W624" i="6"/>
  <c r="W172" i="30" s="1"/>
  <c r="X624" i="6"/>
  <c r="X172" i="30" s="1"/>
  <c r="Y624" i="6"/>
  <c r="Y172" i="30" s="1"/>
  <c r="Z624" i="6"/>
  <c r="Z172" i="30" s="1"/>
  <c r="AA624" i="6"/>
  <c r="AA172" i="30" s="1"/>
  <c r="AB624" i="6"/>
  <c r="AB172" i="30" s="1"/>
  <c r="AC624" i="6"/>
  <c r="AC172" i="30" s="1"/>
  <c r="R625" i="6"/>
  <c r="S625" i="6"/>
  <c r="T625" i="6"/>
  <c r="U625" i="6"/>
  <c r="V625" i="6"/>
  <c r="W625" i="6"/>
  <c r="X625" i="6"/>
  <c r="Y625" i="6"/>
  <c r="Z625" i="6"/>
  <c r="AA625" i="6"/>
  <c r="AB625" i="6"/>
  <c r="AC625" i="6"/>
  <c r="R626" i="6"/>
  <c r="S626" i="6"/>
  <c r="T626" i="6"/>
  <c r="U626" i="6"/>
  <c r="V626" i="6"/>
  <c r="W626" i="6"/>
  <c r="W199" i="30" s="1"/>
  <c r="X626" i="6"/>
  <c r="Y626" i="6"/>
  <c r="Z626" i="6"/>
  <c r="AA626" i="6"/>
  <c r="AB626" i="6"/>
  <c r="AC626" i="6"/>
  <c r="R627" i="6"/>
  <c r="S627" i="6"/>
  <c r="T627" i="6"/>
  <c r="U627" i="6"/>
  <c r="V627" i="6"/>
  <c r="W627" i="6"/>
  <c r="X627" i="6"/>
  <c r="Y627" i="6"/>
  <c r="Z627" i="6"/>
  <c r="AA627" i="6"/>
  <c r="AB627" i="6"/>
  <c r="AC627" i="6"/>
  <c r="R628" i="6"/>
  <c r="S628" i="6"/>
  <c r="T628" i="6"/>
  <c r="U628" i="6"/>
  <c r="V628" i="6"/>
  <c r="W628" i="6"/>
  <c r="X628" i="6"/>
  <c r="Y628" i="6"/>
  <c r="Z628" i="6"/>
  <c r="AA628" i="6"/>
  <c r="AB628" i="6"/>
  <c r="AC628" i="6"/>
  <c r="R629" i="6"/>
  <c r="S629" i="6"/>
  <c r="T629" i="6"/>
  <c r="U629" i="6"/>
  <c r="V629" i="6"/>
  <c r="W629" i="6"/>
  <c r="X629" i="6"/>
  <c r="Y629" i="6"/>
  <c r="Z629" i="6"/>
  <c r="AA629" i="6"/>
  <c r="AB629" i="6"/>
  <c r="AC629" i="6"/>
  <c r="R630" i="6"/>
  <c r="R167" i="30" s="1"/>
  <c r="S630" i="6"/>
  <c r="S167" i="30" s="1"/>
  <c r="T630" i="6"/>
  <c r="T167" i="30" s="1"/>
  <c r="U630" i="6"/>
  <c r="U167" i="30" s="1"/>
  <c r="V630" i="6"/>
  <c r="V167" i="30" s="1"/>
  <c r="W630" i="6"/>
  <c r="W167" i="30" s="1"/>
  <c r="X630" i="6"/>
  <c r="X167" i="30" s="1"/>
  <c r="Y630" i="6"/>
  <c r="Y167" i="30" s="1"/>
  <c r="Z630" i="6"/>
  <c r="Z167" i="30" s="1"/>
  <c r="AA630" i="6"/>
  <c r="AA167" i="30" s="1"/>
  <c r="AB630" i="6"/>
  <c r="AB167" i="30" s="1"/>
  <c r="AC630" i="6"/>
  <c r="AC167" i="30" s="1"/>
  <c r="R631" i="6"/>
  <c r="S631" i="6"/>
  <c r="T631" i="6"/>
  <c r="U631" i="6"/>
  <c r="V631" i="6"/>
  <c r="W631" i="6"/>
  <c r="X631" i="6"/>
  <c r="Y631" i="6"/>
  <c r="Z631" i="6"/>
  <c r="AA631" i="6"/>
  <c r="AB631" i="6"/>
  <c r="AC631" i="6"/>
  <c r="R632" i="6"/>
  <c r="S632" i="6"/>
  <c r="T632" i="6"/>
  <c r="U632" i="6"/>
  <c r="V632" i="6"/>
  <c r="W632" i="6"/>
  <c r="X632" i="6"/>
  <c r="Y632" i="6"/>
  <c r="Z632" i="6"/>
  <c r="AA632" i="6"/>
  <c r="AB632" i="6"/>
  <c r="AC632" i="6"/>
  <c r="R633" i="6"/>
  <c r="S633" i="6"/>
  <c r="T633" i="6"/>
  <c r="U633" i="6"/>
  <c r="V633" i="6"/>
  <c r="W633" i="6"/>
  <c r="X633" i="6"/>
  <c r="Y633" i="6"/>
  <c r="Z633" i="6"/>
  <c r="AA633" i="6"/>
  <c r="AB633" i="6"/>
  <c r="AC633" i="6"/>
  <c r="R634" i="6"/>
  <c r="S634" i="6"/>
  <c r="T634" i="6"/>
  <c r="U634" i="6"/>
  <c r="V634" i="6"/>
  <c r="W634" i="6"/>
  <c r="X634" i="6"/>
  <c r="Y634" i="6"/>
  <c r="Z634" i="6"/>
  <c r="AA634" i="6"/>
  <c r="AB634" i="6"/>
  <c r="AC634" i="6"/>
  <c r="R635" i="6"/>
  <c r="R193" i="30" s="1"/>
  <c r="S635" i="6"/>
  <c r="S193" i="30" s="1"/>
  <c r="T635" i="6"/>
  <c r="T193" i="30" s="1"/>
  <c r="U635" i="6"/>
  <c r="U193" i="30" s="1"/>
  <c r="V635" i="6"/>
  <c r="V193" i="30" s="1"/>
  <c r="W635" i="6"/>
  <c r="W193" i="30" s="1"/>
  <c r="X635" i="6"/>
  <c r="X193" i="30" s="1"/>
  <c r="Y635" i="6"/>
  <c r="Y193" i="30" s="1"/>
  <c r="Z635" i="6"/>
  <c r="Z193" i="30" s="1"/>
  <c r="AA635" i="6"/>
  <c r="AA193" i="30" s="1"/>
  <c r="AB635" i="6"/>
  <c r="AB193" i="30" s="1"/>
  <c r="AC635" i="6"/>
  <c r="AC193" i="30" s="1"/>
  <c r="R636" i="6"/>
  <c r="S636" i="6"/>
  <c r="S191" i="30" s="1"/>
  <c r="T636" i="6"/>
  <c r="U636" i="6"/>
  <c r="V636" i="6"/>
  <c r="W636" i="6"/>
  <c r="X636" i="6"/>
  <c r="Y636" i="6"/>
  <c r="Z636" i="6"/>
  <c r="AA636" i="6"/>
  <c r="AB636" i="6"/>
  <c r="AC636" i="6"/>
  <c r="R637" i="6"/>
  <c r="S637" i="6"/>
  <c r="T637" i="6"/>
  <c r="U637" i="6"/>
  <c r="V637" i="6"/>
  <c r="W637" i="6"/>
  <c r="X637" i="6"/>
  <c r="Y637" i="6"/>
  <c r="Z637" i="6"/>
  <c r="AA637" i="6"/>
  <c r="AB637" i="6"/>
  <c r="AC637" i="6"/>
  <c r="R638" i="6"/>
  <c r="S638" i="6"/>
  <c r="T638" i="6"/>
  <c r="U638" i="6"/>
  <c r="V638" i="6"/>
  <c r="W638" i="6"/>
  <c r="X638" i="6"/>
  <c r="Y638" i="6"/>
  <c r="Z638" i="6"/>
  <c r="AA638" i="6"/>
  <c r="AB638" i="6"/>
  <c r="AC638" i="6"/>
  <c r="R639" i="6"/>
  <c r="S639" i="6"/>
  <c r="T639" i="6"/>
  <c r="U639" i="6"/>
  <c r="V639" i="6"/>
  <c r="W639" i="6"/>
  <c r="X639" i="6"/>
  <c r="Y639" i="6"/>
  <c r="Z639" i="6"/>
  <c r="AA639" i="6"/>
  <c r="AB639" i="6"/>
  <c r="AC639" i="6"/>
  <c r="R640" i="6"/>
  <c r="S640" i="6"/>
  <c r="T640" i="6"/>
  <c r="U640" i="6"/>
  <c r="V640" i="6"/>
  <c r="W640" i="6"/>
  <c r="W190" i="30" s="1"/>
  <c r="X640" i="6"/>
  <c r="Y640" i="6"/>
  <c r="Z640" i="6"/>
  <c r="AA640" i="6"/>
  <c r="AB640" i="6"/>
  <c r="AC640" i="6"/>
  <c r="R641" i="6"/>
  <c r="S641" i="6"/>
  <c r="T641" i="6"/>
  <c r="U641" i="6"/>
  <c r="V641" i="6"/>
  <c r="W641" i="6"/>
  <c r="X641" i="6"/>
  <c r="Y641" i="6"/>
  <c r="Z641" i="6"/>
  <c r="AA641" i="6"/>
  <c r="AB641" i="6"/>
  <c r="AC641" i="6"/>
  <c r="R642" i="6"/>
  <c r="S642" i="6"/>
  <c r="T642" i="6"/>
  <c r="U642" i="6"/>
  <c r="V642" i="6"/>
  <c r="W642" i="6"/>
  <c r="X642" i="6"/>
  <c r="Y642" i="6"/>
  <c r="Z642" i="6"/>
  <c r="AA642" i="6"/>
  <c r="AB642" i="6"/>
  <c r="AC642" i="6"/>
  <c r="R643" i="6"/>
  <c r="S643" i="6"/>
  <c r="T643" i="6"/>
  <c r="U643" i="6"/>
  <c r="V643" i="6"/>
  <c r="W643" i="6"/>
  <c r="X643" i="6"/>
  <c r="Y643" i="6"/>
  <c r="Z643" i="6"/>
  <c r="AA643" i="6"/>
  <c r="AB643" i="6"/>
  <c r="AC643" i="6"/>
  <c r="R644" i="6"/>
  <c r="R211" i="30" s="1"/>
  <c r="S644" i="6"/>
  <c r="S211" i="30" s="1"/>
  <c r="T644" i="6"/>
  <c r="T211" i="30" s="1"/>
  <c r="U644" i="6"/>
  <c r="U211" i="30" s="1"/>
  <c r="V644" i="6"/>
  <c r="V211" i="30" s="1"/>
  <c r="W644" i="6"/>
  <c r="W211" i="30" s="1"/>
  <c r="X644" i="6"/>
  <c r="X211" i="30" s="1"/>
  <c r="Y644" i="6"/>
  <c r="Y211" i="30" s="1"/>
  <c r="Z644" i="6"/>
  <c r="Z211" i="30" s="1"/>
  <c r="AA644" i="6"/>
  <c r="AA211" i="30" s="1"/>
  <c r="AB644" i="6"/>
  <c r="AB211" i="30" s="1"/>
  <c r="AC644" i="6"/>
  <c r="AC211" i="30" s="1"/>
  <c r="R645" i="6"/>
  <c r="S645" i="6"/>
  <c r="T645" i="6"/>
  <c r="U645" i="6"/>
  <c r="V645" i="6"/>
  <c r="W645" i="6"/>
  <c r="X645" i="6"/>
  <c r="Y645" i="6"/>
  <c r="Z645" i="6"/>
  <c r="AA645" i="6"/>
  <c r="AB645" i="6"/>
  <c r="AC645" i="6"/>
  <c r="R646" i="6"/>
  <c r="S646" i="6"/>
  <c r="T646" i="6"/>
  <c r="U646" i="6"/>
  <c r="V646" i="6"/>
  <c r="W646" i="6"/>
  <c r="X646" i="6"/>
  <c r="Y646" i="6"/>
  <c r="Z646" i="6"/>
  <c r="AA646" i="6"/>
  <c r="AB646" i="6"/>
  <c r="AC646" i="6"/>
  <c r="R647" i="6"/>
  <c r="S647" i="6"/>
  <c r="T647" i="6"/>
  <c r="U647" i="6"/>
  <c r="V647" i="6"/>
  <c r="W647" i="6"/>
  <c r="X647" i="6"/>
  <c r="Y647" i="6"/>
  <c r="Z647" i="6"/>
  <c r="AA647" i="6"/>
  <c r="AB647" i="6"/>
  <c r="AC647" i="6"/>
  <c r="R648" i="6"/>
  <c r="S648" i="6"/>
  <c r="T648" i="6"/>
  <c r="U648" i="6"/>
  <c r="V648" i="6"/>
  <c r="W648" i="6"/>
  <c r="X648" i="6"/>
  <c r="Y648" i="6"/>
  <c r="Z648" i="6"/>
  <c r="AA648" i="6"/>
  <c r="AB648" i="6"/>
  <c r="AC648" i="6"/>
  <c r="R649" i="6"/>
  <c r="S649" i="6"/>
  <c r="T649" i="6"/>
  <c r="U649" i="6"/>
  <c r="V649" i="6"/>
  <c r="W649" i="6"/>
  <c r="X649" i="6"/>
  <c r="Y649" i="6"/>
  <c r="Z649" i="6"/>
  <c r="AA649" i="6"/>
  <c r="AB649" i="6"/>
  <c r="AC649" i="6"/>
  <c r="R650" i="6"/>
  <c r="S650" i="6"/>
  <c r="T650" i="6"/>
  <c r="U650" i="6"/>
  <c r="V650" i="6"/>
  <c r="W650" i="6"/>
  <c r="X650" i="6"/>
  <c r="Y650" i="6"/>
  <c r="Z650" i="6"/>
  <c r="AA650" i="6"/>
  <c r="AB650" i="6"/>
  <c r="AC650" i="6"/>
  <c r="R651" i="6"/>
  <c r="R243" i="30" s="1"/>
  <c r="S651" i="6"/>
  <c r="S243" i="30" s="1"/>
  <c r="T651" i="6"/>
  <c r="T243" i="30" s="1"/>
  <c r="U651" i="6"/>
  <c r="U243" i="30" s="1"/>
  <c r="V651" i="6"/>
  <c r="V243" i="30" s="1"/>
  <c r="W651" i="6"/>
  <c r="W243" i="30" s="1"/>
  <c r="X651" i="6"/>
  <c r="X243" i="30" s="1"/>
  <c r="Y651" i="6"/>
  <c r="Y243" i="30" s="1"/>
  <c r="Z651" i="6"/>
  <c r="Z243" i="30" s="1"/>
  <c r="AA651" i="6"/>
  <c r="AA243" i="30" s="1"/>
  <c r="AB651" i="6"/>
  <c r="AB243" i="30" s="1"/>
  <c r="AC651" i="6"/>
  <c r="AC243" i="30" s="1"/>
  <c r="R652" i="6"/>
  <c r="S652" i="6"/>
  <c r="T652" i="6"/>
  <c r="U652" i="6"/>
  <c r="V652" i="6"/>
  <c r="W652" i="6"/>
  <c r="X652" i="6"/>
  <c r="Y652" i="6"/>
  <c r="Z652" i="6"/>
  <c r="AA652" i="6"/>
  <c r="AB652" i="6"/>
  <c r="AC652" i="6"/>
  <c r="R653" i="6"/>
  <c r="S653" i="6"/>
  <c r="T653" i="6"/>
  <c r="U653" i="6"/>
  <c r="V653" i="6"/>
  <c r="W653" i="6"/>
  <c r="X653" i="6"/>
  <c r="Y653" i="6"/>
  <c r="Z653" i="6"/>
  <c r="AA653" i="6"/>
  <c r="AB653" i="6"/>
  <c r="AC653" i="6"/>
  <c r="R654" i="6"/>
  <c r="S654" i="6"/>
  <c r="T654" i="6"/>
  <c r="U654" i="6"/>
  <c r="V654" i="6"/>
  <c r="W654" i="6"/>
  <c r="X654" i="6"/>
  <c r="Y654" i="6"/>
  <c r="Z654" i="6"/>
  <c r="AA654" i="6"/>
  <c r="AB654" i="6"/>
  <c r="AC654" i="6"/>
  <c r="R655" i="6"/>
  <c r="S655" i="6"/>
  <c r="T655" i="6"/>
  <c r="U655" i="6"/>
  <c r="V655" i="6"/>
  <c r="W655" i="6"/>
  <c r="X655" i="6"/>
  <c r="Y655" i="6"/>
  <c r="Z655" i="6"/>
  <c r="AA655" i="6"/>
  <c r="AB655" i="6"/>
  <c r="AC655" i="6"/>
  <c r="R656" i="6"/>
  <c r="S656" i="6"/>
  <c r="T656" i="6"/>
  <c r="U656" i="6"/>
  <c r="V656" i="6"/>
  <c r="W656" i="6"/>
  <c r="X656" i="6"/>
  <c r="Y656" i="6"/>
  <c r="Z656" i="6"/>
  <c r="AA656" i="6"/>
  <c r="AB656" i="6"/>
  <c r="AC656" i="6"/>
  <c r="R657" i="6"/>
  <c r="S657" i="6"/>
  <c r="T657" i="6"/>
  <c r="U657" i="6"/>
  <c r="V657" i="6"/>
  <c r="W657" i="6"/>
  <c r="X657" i="6"/>
  <c r="Y657" i="6"/>
  <c r="Z657" i="6"/>
  <c r="AA657" i="6"/>
  <c r="AB657" i="6"/>
  <c r="AC657" i="6"/>
  <c r="R658" i="6"/>
  <c r="S658" i="6"/>
  <c r="T658" i="6"/>
  <c r="U658" i="6"/>
  <c r="V658" i="6"/>
  <c r="W658" i="6"/>
  <c r="X658" i="6"/>
  <c r="Y658" i="6"/>
  <c r="Z658" i="6"/>
  <c r="AA658" i="6"/>
  <c r="AB658" i="6"/>
  <c r="AC658" i="6"/>
  <c r="R659" i="6"/>
  <c r="S659" i="6"/>
  <c r="T659" i="6"/>
  <c r="U659" i="6"/>
  <c r="V659" i="6"/>
  <c r="W659" i="6"/>
  <c r="X659" i="6"/>
  <c r="Y659" i="6"/>
  <c r="Z659" i="6"/>
  <c r="AA659" i="6"/>
  <c r="AB659" i="6"/>
  <c r="AC659" i="6"/>
  <c r="R660" i="6"/>
  <c r="S660" i="6"/>
  <c r="T660" i="6"/>
  <c r="U660" i="6"/>
  <c r="V660" i="6"/>
  <c r="W660" i="6"/>
  <c r="X660" i="6"/>
  <c r="Y660" i="6"/>
  <c r="Z660" i="6"/>
  <c r="AA660" i="6"/>
  <c r="AB660" i="6"/>
  <c r="AC660" i="6"/>
  <c r="R661" i="6"/>
  <c r="S661" i="6"/>
  <c r="T661" i="6"/>
  <c r="U661" i="6"/>
  <c r="V661" i="6"/>
  <c r="W661" i="6"/>
  <c r="X661" i="6"/>
  <c r="Y661" i="6"/>
  <c r="Z661" i="6"/>
  <c r="AA661" i="6"/>
  <c r="AB661" i="6"/>
  <c r="AC661" i="6"/>
  <c r="R662" i="6"/>
  <c r="S662" i="6"/>
  <c r="T662" i="6"/>
  <c r="U662" i="6"/>
  <c r="V662" i="6"/>
  <c r="W662" i="6"/>
  <c r="X662" i="6"/>
  <c r="Y662" i="6"/>
  <c r="Z662" i="6"/>
  <c r="AA662" i="6"/>
  <c r="AB662" i="6"/>
  <c r="AC662" i="6"/>
  <c r="R663" i="6"/>
  <c r="S663" i="6"/>
  <c r="T663" i="6"/>
  <c r="U663" i="6"/>
  <c r="V663" i="6"/>
  <c r="W663" i="6"/>
  <c r="X663" i="6"/>
  <c r="Y663" i="6"/>
  <c r="Z663" i="6"/>
  <c r="AA663" i="6"/>
  <c r="AB663" i="6"/>
  <c r="AC663" i="6"/>
  <c r="R664" i="6"/>
  <c r="S664" i="6"/>
  <c r="T664" i="6"/>
  <c r="U664" i="6"/>
  <c r="V664" i="6"/>
  <c r="W664" i="6"/>
  <c r="X664" i="6"/>
  <c r="Y664" i="6"/>
  <c r="Z664" i="6"/>
  <c r="AA664" i="6"/>
  <c r="AB664" i="6"/>
  <c r="AC664" i="6"/>
  <c r="R665" i="6"/>
  <c r="S665" i="6"/>
  <c r="T665" i="6"/>
  <c r="U665" i="6"/>
  <c r="V665" i="6"/>
  <c r="W665" i="6"/>
  <c r="X665" i="6"/>
  <c r="Y665" i="6"/>
  <c r="Z665" i="6"/>
  <c r="AA665" i="6"/>
  <c r="AB665" i="6"/>
  <c r="AC665" i="6"/>
  <c r="R666" i="6"/>
  <c r="S666" i="6"/>
  <c r="T666" i="6"/>
  <c r="U666" i="6"/>
  <c r="V666" i="6"/>
  <c r="W666" i="6"/>
  <c r="X666" i="6"/>
  <c r="Y666" i="6"/>
  <c r="Z666" i="6"/>
  <c r="AA666" i="6"/>
  <c r="AB666" i="6"/>
  <c r="AC666" i="6"/>
  <c r="R667" i="6"/>
  <c r="S667" i="6"/>
  <c r="T667" i="6"/>
  <c r="U667" i="6"/>
  <c r="V667" i="6"/>
  <c r="W667" i="6"/>
  <c r="X667" i="6"/>
  <c r="Y667" i="6"/>
  <c r="Z667" i="6"/>
  <c r="AA667" i="6"/>
  <c r="AB667" i="6"/>
  <c r="AC667" i="6"/>
  <c r="R668" i="6"/>
  <c r="S668" i="6"/>
  <c r="T668" i="6"/>
  <c r="U668" i="6"/>
  <c r="V668" i="6"/>
  <c r="W668" i="6"/>
  <c r="X668" i="6"/>
  <c r="Y668" i="6"/>
  <c r="Z668" i="6"/>
  <c r="AA668" i="6"/>
  <c r="AB668" i="6"/>
  <c r="AC668" i="6"/>
  <c r="R669" i="6"/>
  <c r="S669" i="6"/>
  <c r="T669" i="6"/>
  <c r="U669" i="6"/>
  <c r="V669" i="6"/>
  <c r="W669" i="6"/>
  <c r="X669" i="6"/>
  <c r="Y669" i="6"/>
  <c r="Z669" i="6"/>
  <c r="AA669" i="6"/>
  <c r="AB669" i="6"/>
  <c r="AC669" i="6"/>
  <c r="R670" i="6"/>
  <c r="S670" i="6"/>
  <c r="T670" i="6"/>
  <c r="U670" i="6"/>
  <c r="V670" i="6"/>
  <c r="W670" i="6"/>
  <c r="X670" i="6"/>
  <c r="Y670" i="6"/>
  <c r="Z670" i="6"/>
  <c r="AA670" i="6"/>
  <c r="AB670" i="6"/>
  <c r="AC670" i="6"/>
  <c r="R671" i="6"/>
  <c r="S671" i="6"/>
  <c r="T671" i="6"/>
  <c r="U671" i="6"/>
  <c r="V671" i="6"/>
  <c r="W671" i="6"/>
  <c r="X671" i="6"/>
  <c r="Y671" i="6"/>
  <c r="Z671" i="6"/>
  <c r="AA671" i="6"/>
  <c r="AB671" i="6"/>
  <c r="AC671" i="6"/>
  <c r="R672" i="6"/>
  <c r="S672" i="6"/>
  <c r="T672" i="6"/>
  <c r="U672" i="6"/>
  <c r="V672" i="6"/>
  <c r="W672" i="6"/>
  <c r="X672" i="6"/>
  <c r="Y672" i="6"/>
  <c r="Z672" i="6"/>
  <c r="AA672" i="6"/>
  <c r="AB672" i="6"/>
  <c r="AC672" i="6"/>
  <c r="R673" i="6"/>
  <c r="S673" i="6"/>
  <c r="T673" i="6"/>
  <c r="U673" i="6"/>
  <c r="V673" i="6"/>
  <c r="W673" i="6"/>
  <c r="X673" i="6"/>
  <c r="Y673" i="6"/>
  <c r="Z673" i="6"/>
  <c r="AA673" i="6"/>
  <c r="AB673" i="6"/>
  <c r="AC673" i="6"/>
  <c r="R674" i="6"/>
  <c r="S674" i="6"/>
  <c r="T674" i="6"/>
  <c r="U674" i="6"/>
  <c r="V674" i="6"/>
  <c r="W674" i="6"/>
  <c r="X674" i="6"/>
  <c r="Y674" i="6"/>
  <c r="Z674" i="6"/>
  <c r="AA674" i="6"/>
  <c r="AB674" i="6"/>
  <c r="AC674" i="6"/>
  <c r="R675" i="6"/>
  <c r="S675" i="6"/>
  <c r="T675" i="6"/>
  <c r="U675" i="6"/>
  <c r="V675" i="6"/>
  <c r="W675" i="6"/>
  <c r="X675" i="6"/>
  <c r="Y675" i="6"/>
  <c r="Z675" i="6"/>
  <c r="AA675" i="6"/>
  <c r="AB675" i="6"/>
  <c r="AC675" i="6"/>
  <c r="R676" i="6"/>
  <c r="S676" i="6"/>
  <c r="T676" i="6"/>
  <c r="U676" i="6"/>
  <c r="V676" i="6"/>
  <c r="W676" i="6"/>
  <c r="X676" i="6"/>
  <c r="Y676" i="6"/>
  <c r="Z676" i="6"/>
  <c r="AA676" i="6"/>
  <c r="AB676" i="6"/>
  <c r="AC676" i="6"/>
  <c r="R677" i="6"/>
  <c r="S677" i="6"/>
  <c r="T677" i="6"/>
  <c r="U677" i="6"/>
  <c r="V677" i="6"/>
  <c r="W677" i="6"/>
  <c r="X677" i="6"/>
  <c r="Y677" i="6"/>
  <c r="Z677" i="6"/>
  <c r="AA677" i="6"/>
  <c r="AB677" i="6"/>
  <c r="AC677" i="6"/>
  <c r="R678" i="6"/>
  <c r="S678" i="6"/>
  <c r="T678" i="6"/>
  <c r="U678" i="6"/>
  <c r="V678" i="6"/>
  <c r="W678" i="6"/>
  <c r="X678" i="6"/>
  <c r="Y678" i="6"/>
  <c r="Z678" i="6"/>
  <c r="AA678" i="6"/>
  <c r="AB678" i="6"/>
  <c r="AC678" i="6"/>
  <c r="R679" i="6"/>
  <c r="S679" i="6"/>
  <c r="T679" i="6"/>
  <c r="U679" i="6"/>
  <c r="V679" i="6"/>
  <c r="W679" i="6"/>
  <c r="X679" i="6"/>
  <c r="Y679" i="6"/>
  <c r="Z679" i="6"/>
  <c r="AA679" i="6"/>
  <c r="AB679" i="6"/>
  <c r="AC679" i="6"/>
  <c r="R680" i="6"/>
  <c r="S680" i="6"/>
  <c r="T680" i="6"/>
  <c r="U680" i="6"/>
  <c r="V680" i="6"/>
  <c r="W680" i="6"/>
  <c r="X680" i="6"/>
  <c r="Y680" i="6"/>
  <c r="Z680" i="6"/>
  <c r="AA680" i="6"/>
  <c r="AB680" i="6"/>
  <c r="AC680" i="6"/>
  <c r="R681" i="6"/>
  <c r="R155" i="30" s="1"/>
  <c r="S681" i="6"/>
  <c r="S155" i="30" s="1"/>
  <c r="T681" i="6"/>
  <c r="T155" i="30" s="1"/>
  <c r="U681" i="6"/>
  <c r="U155" i="30" s="1"/>
  <c r="V681" i="6"/>
  <c r="V155" i="30" s="1"/>
  <c r="W681" i="6"/>
  <c r="W155" i="30" s="1"/>
  <c r="X681" i="6"/>
  <c r="X155" i="30" s="1"/>
  <c r="Y681" i="6"/>
  <c r="Y155" i="30" s="1"/>
  <c r="Z681" i="6"/>
  <c r="Z155" i="30" s="1"/>
  <c r="AA681" i="6"/>
  <c r="AA155" i="30" s="1"/>
  <c r="AB681" i="6"/>
  <c r="AB155" i="30" s="1"/>
  <c r="AC681" i="6"/>
  <c r="AC155" i="30" s="1"/>
  <c r="R682" i="6"/>
  <c r="S682" i="6"/>
  <c r="T682" i="6"/>
  <c r="U682" i="6"/>
  <c r="V682" i="6"/>
  <c r="W682" i="6"/>
  <c r="X682" i="6"/>
  <c r="Y682" i="6"/>
  <c r="Z682" i="6"/>
  <c r="AA682" i="6"/>
  <c r="AB682" i="6"/>
  <c r="AC682" i="6"/>
  <c r="R683" i="6"/>
  <c r="S683" i="6"/>
  <c r="T683" i="6"/>
  <c r="U683" i="6"/>
  <c r="V683" i="6"/>
  <c r="W683" i="6"/>
  <c r="X683" i="6"/>
  <c r="Y683" i="6"/>
  <c r="Z683" i="6"/>
  <c r="AA683" i="6"/>
  <c r="AB683" i="6"/>
  <c r="AC683" i="6"/>
  <c r="R684" i="6"/>
  <c r="S684" i="6"/>
  <c r="T684" i="6"/>
  <c r="U684" i="6"/>
  <c r="V684" i="6"/>
  <c r="W684" i="6"/>
  <c r="X684" i="6"/>
  <c r="Y684" i="6"/>
  <c r="Z684" i="6"/>
  <c r="AA684" i="6"/>
  <c r="AB684" i="6"/>
  <c r="AC684" i="6"/>
  <c r="R685" i="6"/>
  <c r="S685" i="6"/>
  <c r="T685" i="6"/>
  <c r="U685" i="6"/>
  <c r="V685" i="6"/>
  <c r="W685" i="6"/>
  <c r="X685" i="6"/>
  <c r="Y685" i="6"/>
  <c r="Z685" i="6"/>
  <c r="AA685" i="6"/>
  <c r="AB685" i="6"/>
  <c r="AC685" i="6"/>
  <c r="R686" i="6"/>
  <c r="S686" i="6"/>
  <c r="T686" i="6"/>
  <c r="U686" i="6"/>
  <c r="V686" i="6"/>
  <c r="W686" i="6"/>
  <c r="X686" i="6"/>
  <c r="Y686" i="6"/>
  <c r="Z686" i="6"/>
  <c r="AA686" i="6"/>
  <c r="AB686" i="6"/>
  <c r="AC686" i="6"/>
  <c r="R687" i="6"/>
  <c r="S687" i="6"/>
  <c r="T687" i="6"/>
  <c r="U687" i="6"/>
  <c r="V687" i="6"/>
  <c r="W687" i="6"/>
  <c r="X687" i="6"/>
  <c r="Y687" i="6"/>
  <c r="Z687" i="6"/>
  <c r="AA687" i="6"/>
  <c r="AB687" i="6"/>
  <c r="AC687" i="6"/>
  <c r="R688" i="6"/>
  <c r="S688" i="6"/>
  <c r="T688" i="6"/>
  <c r="U688" i="6"/>
  <c r="V688" i="6"/>
  <c r="W688" i="6"/>
  <c r="X688" i="6"/>
  <c r="Y688" i="6"/>
  <c r="Z688" i="6"/>
  <c r="AA688" i="6"/>
  <c r="AB688" i="6"/>
  <c r="AC688" i="6"/>
  <c r="R689" i="6"/>
  <c r="S689" i="6"/>
  <c r="T689" i="6"/>
  <c r="U689" i="6"/>
  <c r="V689" i="6"/>
  <c r="W689" i="6"/>
  <c r="X689" i="6"/>
  <c r="Y689" i="6"/>
  <c r="Z689" i="6"/>
  <c r="AA689" i="6"/>
  <c r="AB689" i="6"/>
  <c r="AC689" i="6"/>
  <c r="R690" i="6"/>
  <c r="S690" i="6"/>
  <c r="T690" i="6"/>
  <c r="U690" i="6"/>
  <c r="V690" i="6"/>
  <c r="W690" i="6"/>
  <c r="X690" i="6"/>
  <c r="Y690" i="6"/>
  <c r="Z690" i="6"/>
  <c r="AA690" i="6"/>
  <c r="AB690" i="6"/>
  <c r="AC690" i="6"/>
  <c r="R691" i="6"/>
  <c r="S691" i="6"/>
  <c r="T691" i="6"/>
  <c r="U691" i="6"/>
  <c r="V691" i="6"/>
  <c r="W691" i="6"/>
  <c r="X691" i="6"/>
  <c r="Y691" i="6"/>
  <c r="Z691" i="6"/>
  <c r="AA691" i="6"/>
  <c r="AB691" i="6"/>
  <c r="AC691" i="6"/>
  <c r="R692" i="6"/>
  <c r="S692" i="6"/>
  <c r="T692" i="6"/>
  <c r="U692" i="6"/>
  <c r="V692" i="6"/>
  <c r="W692" i="6"/>
  <c r="X692" i="6"/>
  <c r="Y692" i="6"/>
  <c r="Z692" i="6"/>
  <c r="AA692" i="6"/>
  <c r="AB692" i="6"/>
  <c r="AC692" i="6"/>
  <c r="R693" i="6"/>
  <c r="R237" i="30" s="1"/>
  <c r="S693" i="6"/>
  <c r="S237" i="30" s="1"/>
  <c r="T693" i="6"/>
  <c r="T237" i="30" s="1"/>
  <c r="U693" i="6"/>
  <c r="U237" i="30" s="1"/>
  <c r="V693" i="6"/>
  <c r="V237" i="30" s="1"/>
  <c r="W693" i="6"/>
  <c r="W237" i="30" s="1"/>
  <c r="X693" i="6"/>
  <c r="X237" i="30" s="1"/>
  <c r="Y693" i="6"/>
  <c r="Y237" i="30" s="1"/>
  <c r="Z693" i="6"/>
  <c r="Z237" i="30" s="1"/>
  <c r="AA693" i="6"/>
  <c r="AA237" i="30" s="1"/>
  <c r="AB693" i="6"/>
  <c r="AB237" i="30" s="1"/>
  <c r="AC693" i="6"/>
  <c r="AC237" i="30" s="1"/>
  <c r="R694" i="6"/>
  <c r="S694" i="6"/>
  <c r="T694" i="6"/>
  <c r="U694" i="6"/>
  <c r="V694" i="6"/>
  <c r="W694" i="6"/>
  <c r="X694" i="6"/>
  <c r="Y694" i="6"/>
  <c r="Z694" i="6"/>
  <c r="AA694" i="6"/>
  <c r="AB694" i="6"/>
  <c r="AC694" i="6"/>
  <c r="R695" i="6"/>
  <c r="S695" i="6"/>
  <c r="T695" i="6"/>
  <c r="U695" i="6"/>
  <c r="V695" i="6"/>
  <c r="W695" i="6"/>
  <c r="X695" i="6"/>
  <c r="Y695" i="6"/>
  <c r="Z695" i="6"/>
  <c r="AA695" i="6"/>
  <c r="AB695" i="6"/>
  <c r="AC695" i="6"/>
  <c r="R696" i="6"/>
  <c r="R236" i="30" s="1"/>
  <c r="S696" i="6"/>
  <c r="S236" i="30" s="1"/>
  <c r="T696" i="6"/>
  <c r="T236" i="30" s="1"/>
  <c r="U696" i="6"/>
  <c r="U236" i="30" s="1"/>
  <c r="V696" i="6"/>
  <c r="V236" i="30" s="1"/>
  <c r="W696" i="6"/>
  <c r="W236" i="30" s="1"/>
  <c r="X696" i="6"/>
  <c r="X236" i="30" s="1"/>
  <c r="Y696" i="6"/>
  <c r="Y236" i="30" s="1"/>
  <c r="Z696" i="6"/>
  <c r="Z236" i="30" s="1"/>
  <c r="AA696" i="6"/>
  <c r="AA236" i="30" s="1"/>
  <c r="AB696" i="6"/>
  <c r="AB236" i="30" s="1"/>
  <c r="AC696" i="6"/>
  <c r="AC236" i="30" s="1"/>
  <c r="R697" i="6"/>
  <c r="S697" i="6"/>
  <c r="T697" i="6"/>
  <c r="U697" i="6"/>
  <c r="V697" i="6"/>
  <c r="W697" i="6"/>
  <c r="X697" i="6"/>
  <c r="Y697" i="6"/>
  <c r="Z697" i="6"/>
  <c r="AA697" i="6"/>
  <c r="AB697" i="6"/>
  <c r="AC697" i="6"/>
  <c r="R698" i="6"/>
  <c r="S698" i="6"/>
  <c r="T698" i="6"/>
  <c r="U698" i="6"/>
  <c r="V698" i="6"/>
  <c r="W698" i="6"/>
  <c r="X698" i="6"/>
  <c r="Y698" i="6"/>
  <c r="Z698" i="6"/>
  <c r="AA698" i="6"/>
  <c r="AB698" i="6"/>
  <c r="AC698" i="6"/>
  <c r="R699" i="6"/>
  <c r="S699" i="6"/>
  <c r="T699" i="6"/>
  <c r="U699" i="6"/>
  <c r="V699" i="6"/>
  <c r="W699" i="6"/>
  <c r="X699" i="6"/>
  <c r="Y699" i="6"/>
  <c r="Z699" i="6"/>
  <c r="AA699" i="6"/>
  <c r="AB699" i="6"/>
  <c r="AC699" i="6"/>
  <c r="R700" i="6"/>
  <c r="S700" i="6"/>
  <c r="T700" i="6"/>
  <c r="U700" i="6"/>
  <c r="V700" i="6"/>
  <c r="W700" i="6"/>
  <c r="X700" i="6"/>
  <c r="Y700" i="6"/>
  <c r="Z700" i="6"/>
  <c r="AA700" i="6"/>
  <c r="AB700" i="6"/>
  <c r="AC700" i="6"/>
  <c r="R701" i="6"/>
  <c r="S701" i="6"/>
  <c r="T701" i="6"/>
  <c r="U701" i="6"/>
  <c r="V701" i="6"/>
  <c r="W701" i="6"/>
  <c r="X701" i="6"/>
  <c r="Y701" i="6"/>
  <c r="Z701" i="6"/>
  <c r="AA701" i="6"/>
  <c r="AB701" i="6"/>
  <c r="AC701" i="6"/>
  <c r="R702" i="6"/>
  <c r="S702" i="6"/>
  <c r="T702" i="6"/>
  <c r="U702" i="6"/>
  <c r="V702" i="6"/>
  <c r="W702" i="6"/>
  <c r="X702" i="6"/>
  <c r="Y702" i="6"/>
  <c r="Z702" i="6"/>
  <c r="AA702" i="6"/>
  <c r="AB702" i="6"/>
  <c r="AC702" i="6"/>
  <c r="R703" i="6"/>
  <c r="S703" i="6"/>
  <c r="T703" i="6"/>
  <c r="U703" i="6"/>
  <c r="V703" i="6"/>
  <c r="W703" i="6"/>
  <c r="X703" i="6"/>
  <c r="Y703" i="6"/>
  <c r="Z703" i="6"/>
  <c r="AA703" i="6"/>
  <c r="AB703" i="6"/>
  <c r="AC703" i="6"/>
  <c r="R704" i="6"/>
  <c r="S704" i="6"/>
  <c r="T704" i="6"/>
  <c r="U704" i="6"/>
  <c r="V704" i="6"/>
  <c r="W704" i="6"/>
  <c r="X704" i="6"/>
  <c r="Y704" i="6"/>
  <c r="Z704" i="6"/>
  <c r="AA704" i="6"/>
  <c r="AB704" i="6"/>
  <c r="AC704" i="6"/>
  <c r="R705" i="6"/>
  <c r="S705" i="6"/>
  <c r="T705" i="6"/>
  <c r="U705" i="6"/>
  <c r="V705" i="6"/>
  <c r="W705" i="6"/>
  <c r="X705" i="6"/>
  <c r="Y705" i="6"/>
  <c r="Z705" i="6"/>
  <c r="AA705" i="6"/>
  <c r="AB705" i="6"/>
  <c r="AC705" i="6"/>
  <c r="R706" i="6"/>
  <c r="S706" i="6"/>
  <c r="T706" i="6"/>
  <c r="U706" i="6"/>
  <c r="V706" i="6"/>
  <c r="W706" i="6"/>
  <c r="X706" i="6"/>
  <c r="Y706" i="6"/>
  <c r="Z706" i="6"/>
  <c r="AA706" i="6"/>
  <c r="AB706" i="6"/>
  <c r="AC706" i="6"/>
  <c r="R707" i="6"/>
  <c r="S707" i="6"/>
  <c r="T707" i="6"/>
  <c r="U707" i="6"/>
  <c r="V707" i="6"/>
  <c r="W707" i="6"/>
  <c r="X707" i="6"/>
  <c r="Y707" i="6"/>
  <c r="Z707" i="6"/>
  <c r="AA707" i="6"/>
  <c r="AB707" i="6"/>
  <c r="AC707" i="6"/>
  <c r="R708" i="6"/>
  <c r="S708" i="6"/>
  <c r="T708" i="6"/>
  <c r="U708" i="6"/>
  <c r="V708" i="6"/>
  <c r="W708" i="6"/>
  <c r="X708" i="6"/>
  <c r="Y708" i="6"/>
  <c r="Z708" i="6"/>
  <c r="AA708" i="6"/>
  <c r="AB708" i="6"/>
  <c r="AC708" i="6"/>
  <c r="R709" i="6"/>
  <c r="S709" i="6"/>
  <c r="T709" i="6"/>
  <c r="U709" i="6"/>
  <c r="V709" i="6"/>
  <c r="W709" i="6"/>
  <c r="X709" i="6"/>
  <c r="Y709" i="6"/>
  <c r="Z709" i="6"/>
  <c r="AA709" i="6"/>
  <c r="AB709" i="6"/>
  <c r="AC709" i="6"/>
  <c r="R710" i="6"/>
  <c r="S710" i="6"/>
  <c r="T710" i="6"/>
  <c r="U710" i="6"/>
  <c r="V710" i="6"/>
  <c r="W710" i="6"/>
  <c r="X710" i="6"/>
  <c r="Y710" i="6"/>
  <c r="Z710" i="6"/>
  <c r="AA710" i="6"/>
  <c r="AB710" i="6"/>
  <c r="AC710" i="6"/>
  <c r="R711" i="6"/>
  <c r="S711" i="6"/>
  <c r="T711" i="6"/>
  <c r="U711" i="6"/>
  <c r="V711" i="6"/>
  <c r="W711" i="6"/>
  <c r="X711" i="6"/>
  <c r="Y711" i="6"/>
  <c r="Z711" i="6"/>
  <c r="AA711" i="6"/>
  <c r="AB711" i="6"/>
  <c r="AC711" i="6"/>
  <c r="R712" i="6"/>
  <c r="S712" i="6"/>
  <c r="T712" i="6"/>
  <c r="U712" i="6"/>
  <c r="V712" i="6"/>
  <c r="W712" i="6"/>
  <c r="X712" i="6"/>
  <c r="Y712" i="6"/>
  <c r="Z712" i="6"/>
  <c r="AA712" i="6"/>
  <c r="AB712" i="6"/>
  <c r="AC712" i="6"/>
  <c r="R713" i="6"/>
  <c r="R244" i="30" s="1"/>
  <c r="S713" i="6"/>
  <c r="S244" i="30" s="1"/>
  <c r="T713" i="6"/>
  <c r="T244" i="30" s="1"/>
  <c r="U713" i="6"/>
  <c r="U244" i="30" s="1"/>
  <c r="V713" i="6"/>
  <c r="V244" i="30" s="1"/>
  <c r="W713" i="6"/>
  <c r="W244" i="30" s="1"/>
  <c r="X713" i="6"/>
  <c r="X244" i="30" s="1"/>
  <c r="Y713" i="6"/>
  <c r="Y244" i="30" s="1"/>
  <c r="Z713" i="6"/>
  <c r="Z244" i="30" s="1"/>
  <c r="AA713" i="6"/>
  <c r="AA244" i="30" s="1"/>
  <c r="AB713" i="6"/>
  <c r="AB244" i="30" s="1"/>
  <c r="AC713" i="6"/>
  <c r="AC244" i="30" s="1"/>
  <c r="R714" i="6"/>
  <c r="S714" i="6"/>
  <c r="T714" i="6"/>
  <c r="U714" i="6"/>
  <c r="V714" i="6"/>
  <c r="W714" i="6"/>
  <c r="X714" i="6"/>
  <c r="Y714" i="6"/>
  <c r="Z714" i="6"/>
  <c r="AA714" i="6"/>
  <c r="AB714" i="6"/>
  <c r="AC714" i="6"/>
  <c r="R715" i="6"/>
  <c r="S715" i="6"/>
  <c r="T715" i="6"/>
  <c r="U715" i="6"/>
  <c r="V715" i="6"/>
  <c r="W715" i="6"/>
  <c r="X715" i="6"/>
  <c r="Y715" i="6"/>
  <c r="Z715" i="6"/>
  <c r="AA715" i="6"/>
  <c r="AB715" i="6"/>
  <c r="AC715" i="6"/>
  <c r="R716" i="6"/>
  <c r="S716" i="6"/>
  <c r="T716" i="6"/>
  <c r="U716" i="6"/>
  <c r="V716" i="6"/>
  <c r="W716" i="6"/>
  <c r="X716" i="6"/>
  <c r="Y716" i="6"/>
  <c r="Z716" i="6"/>
  <c r="AA716" i="6"/>
  <c r="AB716" i="6"/>
  <c r="AC716" i="6"/>
  <c r="R717" i="6"/>
  <c r="S717" i="6"/>
  <c r="T717" i="6"/>
  <c r="U717" i="6"/>
  <c r="V717" i="6"/>
  <c r="W717" i="6"/>
  <c r="X717" i="6"/>
  <c r="Y717" i="6"/>
  <c r="Z717" i="6"/>
  <c r="AA717" i="6"/>
  <c r="AB717" i="6"/>
  <c r="AC717" i="6"/>
  <c r="R718" i="6"/>
  <c r="S718" i="6"/>
  <c r="T718" i="6"/>
  <c r="U718" i="6"/>
  <c r="V718" i="6"/>
  <c r="W718" i="6"/>
  <c r="X718" i="6"/>
  <c r="Y718" i="6"/>
  <c r="Z718" i="6"/>
  <c r="AA718" i="6"/>
  <c r="AB718" i="6"/>
  <c r="AC718" i="6"/>
  <c r="R719" i="6"/>
  <c r="S719" i="6"/>
  <c r="T719" i="6"/>
  <c r="U719" i="6"/>
  <c r="V719" i="6"/>
  <c r="W719" i="6"/>
  <c r="X719" i="6"/>
  <c r="Y719" i="6"/>
  <c r="Z719" i="6"/>
  <c r="AA719" i="6"/>
  <c r="AB719" i="6"/>
  <c r="AC719" i="6"/>
  <c r="R720" i="6"/>
  <c r="S720" i="6"/>
  <c r="T720" i="6"/>
  <c r="U720" i="6"/>
  <c r="V720" i="6"/>
  <c r="W720" i="6"/>
  <c r="X720" i="6"/>
  <c r="Y720" i="6"/>
  <c r="Z720" i="6"/>
  <c r="AA720" i="6"/>
  <c r="AB720" i="6"/>
  <c r="AC720" i="6"/>
  <c r="R721" i="6"/>
  <c r="S721" i="6"/>
  <c r="T721" i="6"/>
  <c r="U721" i="6"/>
  <c r="V721" i="6"/>
  <c r="W721" i="6"/>
  <c r="X721" i="6"/>
  <c r="Y721" i="6"/>
  <c r="Z721" i="6"/>
  <c r="AA721" i="6"/>
  <c r="AB721" i="6"/>
  <c r="AC721" i="6"/>
  <c r="R722" i="6"/>
  <c r="S722" i="6"/>
  <c r="T722" i="6"/>
  <c r="U722" i="6"/>
  <c r="V722" i="6"/>
  <c r="W722" i="6"/>
  <c r="X722" i="6"/>
  <c r="Y722" i="6"/>
  <c r="Z722" i="6"/>
  <c r="AA722" i="6"/>
  <c r="AB722" i="6"/>
  <c r="AC722" i="6"/>
  <c r="R723" i="6"/>
  <c r="S723" i="6"/>
  <c r="T723" i="6"/>
  <c r="U723" i="6"/>
  <c r="V723" i="6"/>
  <c r="W723" i="6"/>
  <c r="X723" i="6"/>
  <c r="Y723" i="6"/>
  <c r="Z723" i="6"/>
  <c r="AA723" i="6"/>
  <c r="AB723" i="6"/>
  <c r="AC723" i="6"/>
  <c r="R724" i="6"/>
  <c r="S724" i="6"/>
  <c r="T724" i="6"/>
  <c r="U724" i="6"/>
  <c r="V724" i="6"/>
  <c r="W724" i="6"/>
  <c r="X724" i="6"/>
  <c r="Y724" i="6"/>
  <c r="Z724" i="6"/>
  <c r="AA724" i="6"/>
  <c r="AB724" i="6"/>
  <c r="AC724" i="6"/>
  <c r="R725" i="6"/>
  <c r="S725" i="6"/>
  <c r="T725" i="6"/>
  <c r="U725" i="6"/>
  <c r="V725" i="6"/>
  <c r="W725" i="6"/>
  <c r="X725" i="6"/>
  <c r="Y725" i="6"/>
  <c r="Z725" i="6"/>
  <c r="AA725" i="6"/>
  <c r="AB725" i="6"/>
  <c r="AC725" i="6"/>
  <c r="R726" i="6"/>
  <c r="S726" i="6"/>
  <c r="T726" i="6"/>
  <c r="U726" i="6"/>
  <c r="V726" i="6"/>
  <c r="W726" i="6"/>
  <c r="X726" i="6"/>
  <c r="Y726" i="6"/>
  <c r="Z726" i="6"/>
  <c r="AA726" i="6"/>
  <c r="AB726" i="6"/>
  <c r="AC726" i="6"/>
  <c r="R727" i="6"/>
  <c r="S727" i="6"/>
  <c r="T727" i="6"/>
  <c r="U727" i="6"/>
  <c r="V727" i="6"/>
  <c r="W727" i="6"/>
  <c r="X727" i="6"/>
  <c r="Y727" i="6"/>
  <c r="Z727" i="6"/>
  <c r="AA727" i="6"/>
  <c r="AB727" i="6"/>
  <c r="AC727" i="6"/>
  <c r="R728" i="6"/>
  <c r="S728" i="6"/>
  <c r="T728" i="6"/>
  <c r="U728" i="6"/>
  <c r="V728" i="6"/>
  <c r="W728" i="6"/>
  <c r="X728" i="6"/>
  <c r="Y728" i="6"/>
  <c r="Z728" i="6"/>
  <c r="AA728" i="6"/>
  <c r="AB728" i="6"/>
  <c r="AC728" i="6"/>
  <c r="R729" i="6"/>
  <c r="S729" i="6"/>
  <c r="T729" i="6"/>
  <c r="U729" i="6"/>
  <c r="V729" i="6"/>
  <c r="W729" i="6"/>
  <c r="X729" i="6"/>
  <c r="Y729" i="6"/>
  <c r="Z729" i="6"/>
  <c r="AA729" i="6"/>
  <c r="AB729" i="6"/>
  <c r="AC729" i="6"/>
  <c r="R730" i="6"/>
  <c r="S730" i="6"/>
  <c r="T730" i="6"/>
  <c r="U730" i="6"/>
  <c r="V730" i="6"/>
  <c r="W730" i="6"/>
  <c r="X730" i="6"/>
  <c r="Y730" i="6"/>
  <c r="Z730" i="6"/>
  <c r="AA730" i="6"/>
  <c r="AB730" i="6"/>
  <c r="AC730" i="6"/>
  <c r="R731" i="6"/>
  <c r="S731" i="6"/>
  <c r="T731" i="6"/>
  <c r="U731" i="6"/>
  <c r="V731" i="6"/>
  <c r="W731" i="6"/>
  <c r="X731" i="6"/>
  <c r="Y731" i="6"/>
  <c r="Z731" i="6"/>
  <c r="AA731" i="6"/>
  <c r="AB731" i="6"/>
  <c r="AC731" i="6"/>
  <c r="R732" i="6"/>
  <c r="S732" i="6"/>
  <c r="T732" i="6"/>
  <c r="U732" i="6"/>
  <c r="V732" i="6"/>
  <c r="W732" i="6"/>
  <c r="X732" i="6"/>
  <c r="Y732" i="6"/>
  <c r="Z732" i="6"/>
  <c r="AA732" i="6"/>
  <c r="AB732" i="6"/>
  <c r="AC732" i="6"/>
  <c r="R733" i="6"/>
  <c r="S733" i="6"/>
  <c r="T733" i="6"/>
  <c r="U733" i="6"/>
  <c r="V733" i="6"/>
  <c r="W733" i="6"/>
  <c r="X733" i="6"/>
  <c r="Y733" i="6"/>
  <c r="Z733" i="6"/>
  <c r="AA733" i="6"/>
  <c r="AB733" i="6"/>
  <c r="AC733" i="6"/>
  <c r="R734" i="6"/>
  <c r="S734" i="6"/>
  <c r="T734" i="6"/>
  <c r="U734" i="6"/>
  <c r="V734" i="6"/>
  <c r="W734" i="6"/>
  <c r="X734" i="6"/>
  <c r="Y734" i="6"/>
  <c r="Z734" i="6"/>
  <c r="AA734" i="6"/>
  <c r="AB734" i="6"/>
  <c r="AC734" i="6"/>
  <c r="R735" i="6"/>
  <c r="S735" i="6"/>
  <c r="T735" i="6"/>
  <c r="U735" i="6"/>
  <c r="V735" i="6"/>
  <c r="W735" i="6"/>
  <c r="X735" i="6"/>
  <c r="Y735" i="6"/>
  <c r="Z735" i="6"/>
  <c r="AA735" i="6"/>
  <c r="AB735" i="6"/>
  <c r="AC735" i="6"/>
  <c r="R736" i="6"/>
  <c r="S736" i="6"/>
  <c r="T736" i="6"/>
  <c r="U736" i="6"/>
  <c r="V736" i="6"/>
  <c r="W736" i="6"/>
  <c r="X736" i="6"/>
  <c r="Y736" i="6"/>
  <c r="Z736" i="6"/>
  <c r="AA736" i="6"/>
  <c r="AB736" i="6"/>
  <c r="AC736" i="6"/>
  <c r="R737" i="6"/>
  <c r="S737" i="6"/>
  <c r="T737" i="6"/>
  <c r="U737" i="6"/>
  <c r="V737" i="6"/>
  <c r="W737" i="6"/>
  <c r="X737" i="6"/>
  <c r="Y737" i="6"/>
  <c r="Z737" i="6"/>
  <c r="AA737" i="6"/>
  <c r="AB737" i="6"/>
  <c r="AC737" i="6"/>
  <c r="R738" i="6"/>
  <c r="S738" i="6"/>
  <c r="T738" i="6"/>
  <c r="U738" i="6"/>
  <c r="V738" i="6"/>
  <c r="W738" i="6"/>
  <c r="X738" i="6"/>
  <c r="Y738" i="6"/>
  <c r="Z738" i="6"/>
  <c r="AA738" i="6"/>
  <c r="AB738" i="6"/>
  <c r="AC738" i="6"/>
  <c r="R739" i="6"/>
  <c r="S739" i="6"/>
  <c r="T739" i="6"/>
  <c r="U739" i="6"/>
  <c r="V739" i="6"/>
  <c r="W739" i="6"/>
  <c r="X739" i="6"/>
  <c r="Y739" i="6"/>
  <c r="Z739" i="6"/>
  <c r="AA739" i="6"/>
  <c r="AB739" i="6"/>
  <c r="AC739" i="6"/>
  <c r="R740" i="6"/>
  <c r="S740" i="6"/>
  <c r="T740" i="6"/>
  <c r="U740" i="6"/>
  <c r="V740" i="6"/>
  <c r="W740" i="6"/>
  <c r="X740" i="6"/>
  <c r="Y740" i="6"/>
  <c r="Z740" i="6"/>
  <c r="AA740" i="6"/>
  <c r="AB740" i="6"/>
  <c r="AC740" i="6"/>
  <c r="R741" i="6"/>
  <c r="S741" i="6"/>
  <c r="T741" i="6"/>
  <c r="U741" i="6"/>
  <c r="V741" i="6"/>
  <c r="W741" i="6"/>
  <c r="X741" i="6"/>
  <c r="Y741" i="6"/>
  <c r="Z741" i="6"/>
  <c r="AA741" i="6"/>
  <c r="AB741" i="6"/>
  <c r="AC741" i="6"/>
  <c r="R742" i="6"/>
  <c r="S742" i="6"/>
  <c r="T742" i="6"/>
  <c r="U742" i="6"/>
  <c r="V742" i="6"/>
  <c r="W742" i="6"/>
  <c r="X742" i="6"/>
  <c r="Y742" i="6"/>
  <c r="Z742" i="6"/>
  <c r="AA742" i="6"/>
  <c r="AB742" i="6"/>
  <c r="AC742" i="6"/>
  <c r="R743" i="6"/>
  <c r="R177" i="30" s="1"/>
  <c r="S743" i="6"/>
  <c r="S177" i="30" s="1"/>
  <c r="T743" i="6"/>
  <c r="T177" i="30" s="1"/>
  <c r="U743" i="6"/>
  <c r="U177" i="30" s="1"/>
  <c r="V743" i="6"/>
  <c r="V177" i="30" s="1"/>
  <c r="W743" i="6"/>
  <c r="W177" i="30" s="1"/>
  <c r="X743" i="6"/>
  <c r="X177" i="30" s="1"/>
  <c r="Y743" i="6"/>
  <c r="Y177" i="30" s="1"/>
  <c r="Z743" i="6"/>
  <c r="Z177" i="30" s="1"/>
  <c r="AA743" i="6"/>
  <c r="AA177" i="30" s="1"/>
  <c r="AB743" i="6"/>
  <c r="AB177" i="30" s="1"/>
  <c r="AC743" i="6"/>
  <c r="AC177" i="30" s="1"/>
  <c r="R744" i="6"/>
  <c r="S744" i="6"/>
  <c r="T744" i="6"/>
  <c r="U744" i="6"/>
  <c r="V744" i="6"/>
  <c r="W744" i="6"/>
  <c r="X744" i="6"/>
  <c r="Y744" i="6"/>
  <c r="Z744" i="6"/>
  <c r="AA744" i="6"/>
  <c r="AB744" i="6"/>
  <c r="AC744" i="6"/>
  <c r="R745" i="6"/>
  <c r="S745" i="6"/>
  <c r="T745" i="6"/>
  <c r="U745" i="6"/>
  <c r="V745" i="6"/>
  <c r="W745" i="6"/>
  <c r="X745" i="6"/>
  <c r="Y745" i="6"/>
  <c r="Z745" i="6"/>
  <c r="AA745" i="6"/>
  <c r="AB745" i="6"/>
  <c r="AC745" i="6"/>
  <c r="R746" i="6"/>
  <c r="S746" i="6"/>
  <c r="T746" i="6"/>
  <c r="U746" i="6"/>
  <c r="V746" i="6"/>
  <c r="W746" i="6"/>
  <c r="X746" i="6"/>
  <c r="Y746" i="6"/>
  <c r="Z746" i="6"/>
  <c r="AA746" i="6"/>
  <c r="AB746" i="6"/>
  <c r="AC746" i="6"/>
  <c r="R747" i="6"/>
  <c r="S747" i="6"/>
  <c r="T747" i="6"/>
  <c r="U747" i="6"/>
  <c r="V747" i="6"/>
  <c r="W747" i="6"/>
  <c r="X747" i="6"/>
  <c r="Y747" i="6"/>
  <c r="Z747" i="6"/>
  <c r="AA747" i="6"/>
  <c r="AB747" i="6"/>
  <c r="AC747" i="6"/>
  <c r="R748" i="6"/>
  <c r="S748" i="6"/>
  <c r="T748" i="6"/>
  <c r="U748" i="6"/>
  <c r="V748" i="6"/>
  <c r="W748" i="6"/>
  <c r="X748" i="6"/>
  <c r="Y748" i="6"/>
  <c r="Z748" i="6"/>
  <c r="AA748" i="6"/>
  <c r="AB748" i="6"/>
  <c r="AC748" i="6"/>
  <c r="R749" i="6"/>
  <c r="S749" i="6"/>
  <c r="T749" i="6"/>
  <c r="U749" i="6"/>
  <c r="V749" i="6"/>
  <c r="W749" i="6"/>
  <c r="X749" i="6"/>
  <c r="Y749" i="6"/>
  <c r="Z749" i="6"/>
  <c r="AA749" i="6"/>
  <c r="AB749" i="6"/>
  <c r="AC749" i="6"/>
  <c r="R750" i="6"/>
  <c r="S750" i="6"/>
  <c r="T750" i="6"/>
  <c r="U750" i="6"/>
  <c r="V750" i="6"/>
  <c r="W750" i="6"/>
  <c r="X750" i="6"/>
  <c r="Y750" i="6"/>
  <c r="Z750" i="6"/>
  <c r="AA750" i="6"/>
  <c r="AB750" i="6"/>
  <c r="AC750" i="6"/>
  <c r="R751" i="6"/>
  <c r="S751" i="6"/>
  <c r="T751" i="6"/>
  <c r="U751" i="6"/>
  <c r="V751" i="6"/>
  <c r="W751" i="6"/>
  <c r="X751" i="6"/>
  <c r="Y751" i="6"/>
  <c r="Z751" i="6"/>
  <c r="AA751" i="6"/>
  <c r="AB751" i="6"/>
  <c r="AC751" i="6"/>
  <c r="R752" i="6"/>
  <c r="S752" i="6"/>
  <c r="T752" i="6"/>
  <c r="U752" i="6"/>
  <c r="V752" i="6"/>
  <c r="W752" i="6"/>
  <c r="X752" i="6"/>
  <c r="Y752" i="6"/>
  <c r="Z752" i="6"/>
  <c r="AA752" i="6"/>
  <c r="AB752" i="6"/>
  <c r="AC752" i="6"/>
  <c r="R753" i="6"/>
  <c r="S753" i="6"/>
  <c r="T753" i="6"/>
  <c r="U753" i="6"/>
  <c r="V753" i="6"/>
  <c r="W753" i="6"/>
  <c r="X753" i="6"/>
  <c r="Y753" i="6"/>
  <c r="Z753" i="6"/>
  <c r="AA753" i="6"/>
  <c r="AB753" i="6"/>
  <c r="AC753" i="6"/>
  <c r="R754" i="6"/>
  <c r="S754" i="6"/>
  <c r="T754" i="6"/>
  <c r="U754" i="6"/>
  <c r="V754" i="6"/>
  <c r="W754" i="6"/>
  <c r="X754" i="6"/>
  <c r="Y754" i="6"/>
  <c r="Z754" i="6"/>
  <c r="AA754" i="6"/>
  <c r="AB754" i="6"/>
  <c r="AC754" i="6"/>
  <c r="R755" i="6"/>
  <c r="S755" i="6"/>
  <c r="T755" i="6"/>
  <c r="U755" i="6"/>
  <c r="V755" i="6"/>
  <c r="W755" i="6"/>
  <c r="X755" i="6"/>
  <c r="Y755" i="6"/>
  <c r="Z755" i="6"/>
  <c r="AA755" i="6"/>
  <c r="AB755" i="6"/>
  <c r="AC755" i="6"/>
  <c r="R756" i="6"/>
  <c r="S756" i="6"/>
  <c r="T756" i="6"/>
  <c r="U756" i="6"/>
  <c r="V756" i="6"/>
  <c r="W756" i="6"/>
  <c r="X756" i="6"/>
  <c r="Y756" i="6"/>
  <c r="Z756" i="6"/>
  <c r="AA756" i="6"/>
  <c r="AB756" i="6"/>
  <c r="AC756" i="6"/>
  <c r="R757" i="6"/>
  <c r="R170" i="30" s="1"/>
  <c r="S757" i="6"/>
  <c r="S170" i="30" s="1"/>
  <c r="T757" i="6"/>
  <c r="T170" i="30" s="1"/>
  <c r="U757" i="6"/>
  <c r="U170" i="30" s="1"/>
  <c r="V757" i="6"/>
  <c r="V170" i="30" s="1"/>
  <c r="W757" i="6"/>
  <c r="W170" i="30" s="1"/>
  <c r="X757" i="6"/>
  <c r="X170" i="30" s="1"/>
  <c r="Y757" i="6"/>
  <c r="Y170" i="30" s="1"/>
  <c r="Z757" i="6"/>
  <c r="Z170" i="30" s="1"/>
  <c r="AA757" i="6"/>
  <c r="AA170" i="30" s="1"/>
  <c r="AB757" i="6"/>
  <c r="AB170" i="30" s="1"/>
  <c r="AC757" i="6"/>
  <c r="AC170" i="30" s="1"/>
  <c r="R758" i="6"/>
  <c r="S758" i="6"/>
  <c r="T758" i="6"/>
  <c r="U758" i="6"/>
  <c r="V758" i="6"/>
  <c r="W758" i="6"/>
  <c r="X758" i="6"/>
  <c r="Y758" i="6"/>
  <c r="Z758" i="6"/>
  <c r="AA758" i="6"/>
  <c r="AB758" i="6"/>
  <c r="AC758" i="6"/>
  <c r="R759" i="6"/>
  <c r="S759" i="6"/>
  <c r="T759" i="6"/>
  <c r="U759" i="6"/>
  <c r="V759" i="6"/>
  <c r="W759" i="6"/>
  <c r="X759" i="6"/>
  <c r="Y759" i="6"/>
  <c r="Z759" i="6"/>
  <c r="AA759" i="6"/>
  <c r="AB759" i="6"/>
  <c r="AC759" i="6"/>
  <c r="R760" i="6"/>
  <c r="S760" i="6"/>
  <c r="T760" i="6"/>
  <c r="U760" i="6"/>
  <c r="V760" i="6"/>
  <c r="W760" i="6"/>
  <c r="X760" i="6"/>
  <c r="Y760" i="6"/>
  <c r="Z760" i="6"/>
  <c r="AA760" i="6"/>
  <c r="AB760" i="6"/>
  <c r="AC760" i="6"/>
  <c r="R761" i="6"/>
  <c r="S761" i="6"/>
  <c r="T761" i="6"/>
  <c r="U761" i="6"/>
  <c r="V761" i="6"/>
  <c r="W761" i="6"/>
  <c r="X761" i="6"/>
  <c r="Y761" i="6"/>
  <c r="Z761" i="6"/>
  <c r="AA761" i="6"/>
  <c r="AB761" i="6"/>
  <c r="AC761" i="6"/>
  <c r="R762" i="6"/>
  <c r="S762" i="6"/>
  <c r="T762" i="6"/>
  <c r="U762" i="6"/>
  <c r="V762" i="6"/>
  <c r="W762" i="6"/>
  <c r="X762" i="6"/>
  <c r="Y762" i="6"/>
  <c r="Z762" i="6"/>
  <c r="AA762" i="6"/>
  <c r="AB762" i="6"/>
  <c r="AC762" i="6"/>
  <c r="R763" i="6"/>
  <c r="S763" i="6"/>
  <c r="T763" i="6"/>
  <c r="U763" i="6"/>
  <c r="V763" i="6"/>
  <c r="W763" i="6"/>
  <c r="X763" i="6"/>
  <c r="Y763" i="6"/>
  <c r="Z763" i="6"/>
  <c r="AA763" i="6"/>
  <c r="AB763" i="6"/>
  <c r="AC763" i="6"/>
  <c r="R764" i="6"/>
  <c r="S764" i="6"/>
  <c r="T764" i="6"/>
  <c r="U764" i="6"/>
  <c r="V764" i="6"/>
  <c r="W764" i="6"/>
  <c r="X764" i="6"/>
  <c r="Y764" i="6"/>
  <c r="Z764" i="6"/>
  <c r="AA764" i="6"/>
  <c r="AB764" i="6"/>
  <c r="AC764" i="6"/>
  <c r="R765" i="6"/>
  <c r="S765" i="6"/>
  <c r="T765" i="6"/>
  <c r="U765" i="6"/>
  <c r="V765" i="6"/>
  <c r="W765" i="6"/>
  <c r="X765" i="6"/>
  <c r="Y765" i="6"/>
  <c r="Z765" i="6"/>
  <c r="AA765" i="6"/>
  <c r="AB765" i="6"/>
  <c r="AC765" i="6"/>
  <c r="R766" i="6"/>
  <c r="R174" i="30" s="1"/>
  <c r="S766" i="6"/>
  <c r="S174" i="30" s="1"/>
  <c r="T766" i="6"/>
  <c r="T174" i="30" s="1"/>
  <c r="U766" i="6"/>
  <c r="U174" i="30" s="1"/>
  <c r="V766" i="6"/>
  <c r="V174" i="30" s="1"/>
  <c r="W766" i="6"/>
  <c r="W174" i="30" s="1"/>
  <c r="X766" i="6"/>
  <c r="X174" i="30" s="1"/>
  <c r="Y766" i="6"/>
  <c r="Y174" i="30" s="1"/>
  <c r="Z766" i="6"/>
  <c r="Z174" i="30" s="1"/>
  <c r="AA766" i="6"/>
  <c r="AA174" i="30" s="1"/>
  <c r="AB766" i="6"/>
  <c r="AB174" i="30" s="1"/>
  <c r="AC766" i="6"/>
  <c r="AC174" i="30" s="1"/>
  <c r="R767" i="6"/>
  <c r="S767" i="6"/>
  <c r="T767" i="6"/>
  <c r="U767" i="6"/>
  <c r="V767" i="6"/>
  <c r="W767" i="6"/>
  <c r="X767" i="6"/>
  <c r="Y767" i="6"/>
  <c r="Z767" i="6"/>
  <c r="AA767" i="6"/>
  <c r="AB767" i="6"/>
  <c r="AC767" i="6"/>
  <c r="R768" i="6"/>
  <c r="S768" i="6"/>
  <c r="T768" i="6"/>
  <c r="U768" i="6"/>
  <c r="V768" i="6"/>
  <c r="W768" i="6"/>
  <c r="X768" i="6"/>
  <c r="Y768" i="6"/>
  <c r="Z768" i="6"/>
  <c r="AA768" i="6"/>
  <c r="AB768" i="6"/>
  <c r="AC768" i="6"/>
  <c r="R769" i="6"/>
  <c r="S769" i="6"/>
  <c r="T769" i="6"/>
  <c r="U769" i="6"/>
  <c r="V769" i="6"/>
  <c r="W769" i="6"/>
  <c r="X769" i="6"/>
  <c r="Y769" i="6"/>
  <c r="Z769" i="6"/>
  <c r="AA769" i="6"/>
  <c r="AB769" i="6"/>
  <c r="AC769" i="6"/>
  <c r="R770" i="6"/>
  <c r="S770" i="6"/>
  <c r="T770" i="6"/>
  <c r="U770" i="6"/>
  <c r="V770" i="6"/>
  <c r="W770" i="6"/>
  <c r="X770" i="6"/>
  <c r="Y770" i="6"/>
  <c r="Z770" i="6"/>
  <c r="AA770" i="6"/>
  <c r="AB770" i="6"/>
  <c r="AC770" i="6"/>
  <c r="R771" i="6"/>
  <c r="S771" i="6"/>
  <c r="T771" i="6"/>
  <c r="U771" i="6"/>
  <c r="V771" i="6"/>
  <c r="W771" i="6"/>
  <c r="X771" i="6"/>
  <c r="Y771" i="6"/>
  <c r="Z771" i="6"/>
  <c r="AA771" i="6"/>
  <c r="AB771" i="6"/>
  <c r="AC771" i="6"/>
  <c r="R772" i="6"/>
  <c r="S772" i="6"/>
  <c r="T772" i="6"/>
  <c r="U772" i="6"/>
  <c r="V772" i="6"/>
  <c r="W772" i="6"/>
  <c r="X772" i="6"/>
  <c r="Y772" i="6"/>
  <c r="Z772" i="6"/>
  <c r="AA772" i="6"/>
  <c r="AB772" i="6"/>
  <c r="AC772" i="6"/>
  <c r="R773" i="6"/>
  <c r="S773" i="6"/>
  <c r="T773" i="6"/>
  <c r="U773" i="6"/>
  <c r="V773" i="6"/>
  <c r="W773" i="6"/>
  <c r="X773" i="6"/>
  <c r="Y773" i="6"/>
  <c r="Z773" i="6"/>
  <c r="AA773" i="6"/>
  <c r="AB773" i="6"/>
  <c r="AC773" i="6"/>
  <c r="R774" i="6"/>
  <c r="S774" i="6"/>
  <c r="T774" i="6"/>
  <c r="U774" i="6"/>
  <c r="V774" i="6"/>
  <c r="W774" i="6"/>
  <c r="X774" i="6"/>
  <c r="Y774" i="6"/>
  <c r="Z774" i="6"/>
  <c r="AA774" i="6"/>
  <c r="AB774" i="6"/>
  <c r="AC774" i="6"/>
  <c r="R775" i="6"/>
  <c r="S775" i="6"/>
  <c r="T775" i="6"/>
  <c r="U775" i="6"/>
  <c r="V775" i="6"/>
  <c r="W775" i="6"/>
  <c r="X775" i="6"/>
  <c r="Y775" i="6"/>
  <c r="Z775" i="6"/>
  <c r="AA775" i="6"/>
  <c r="AB775" i="6"/>
  <c r="AC775" i="6"/>
  <c r="R776" i="6"/>
  <c r="S776" i="6"/>
  <c r="T776" i="6"/>
  <c r="U776" i="6"/>
  <c r="V776" i="6"/>
  <c r="W776" i="6"/>
  <c r="X776" i="6"/>
  <c r="Y776" i="6"/>
  <c r="Z776" i="6"/>
  <c r="AA776" i="6"/>
  <c r="AB776" i="6"/>
  <c r="AC776" i="6"/>
  <c r="R777" i="6"/>
  <c r="S777" i="6"/>
  <c r="T777" i="6"/>
  <c r="U777" i="6"/>
  <c r="V777" i="6"/>
  <c r="W777" i="6"/>
  <c r="X777" i="6"/>
  <c r="Y777" i="6"/>
  <c r="Z777" i="6"/>
  <c r="AA777" i="6"/>
  <c r="AB777" i="6"/>
  <c r="AC777" i="6"/>
  <c r="R778" i="6"/>
  <c r="S778" i="6"/>
  <c r="T778" i="6"/>
  <c r="U778" i="6"/>
  <c r="V778" i="6"/>
  <c r="W778" i="6"/>
  <c r="X778" i="6"/>
  <c r="Y778" i="6"/>
  <c r="Z778" i="6"/>
  <c r="AA778" i="6"/>
  <c r="AB778" i="6"/>
  <c r="AC778" i="6"/>
  <c r="R779" i="6"/>
  <c r="S779" i="6"/>
  <c r="T779" i="6"/>
  <c r="U779" i="6"/>
  <c r="V779" i="6"/>
  <c r="W779" i="6"/>
  <c r="X779" i="6"/>
  <c r="Y779" i="6"/>
  <c r="Z779" i="6"/>
  <c r="AA779" i="6"/>
  <c r="AB779" i="6"/>
  <c r="AC779" i="6"/>
  <c r="R780" i="6"/>
  <c r="S780" i="6"/>
  <c r="T780" i="6"/>
  <c r="U780" i="6"/>
  <c r="V780" i="6"/>
  <c r="W780" i="6"/>
  <c r="X780" i="6"/>
  <c r="Y780" i="6"/>
  <c r="Z780" i="6"/>
  <c r="AA780" i="6"/>
  <c r="AB780" i="6"/>
  <c r="AC780" i="6"/>
  <c r="R781" i="6"/>
  <c r="S781" i="6"/>
  <c r="T781" i="6"/>
  <c r="U781" i="6"/>
  <c r="V781" i="6"/>
  <c r="W781" i="6"/>
  <c r="X781" i="6"/>
  <c r="Y781" i="6"/>
  <c r="Z781" i="6"/>
  <c r="AA781" i="6"/>
  <c r="AB781" i="6"/>
  <c r="AC781" i="6"/>
  <c r="R782" i="6"/>
  <c r="S782" i="6"/>
  <c r="T782" i="6"/>
  <c r="U782" i="6"/>
  <c r="V782" i="6"/>
  <c r="W782" i="6"/>
  <c r="X782" i="6"/>
  <c r="Y782" i="6"/>
  <c r="Z782" i="6"/>
  <c r="AA782" i="6"/>
  <c r="AB782" i="6"/>
  <c r="AC782" i="6"/>
  <c r="R783" i="6"/>
  <c r="S783" i="6"/>
  <c r="T783" i="6"/>
  <c r="U783" i="6"/>
  <c r="V783" i="6"/>
  <c r="W783" i="6"/>
  <c r="X783" i="6"/>
  <c r="Y783" i="6"/>
  <c r="Z783" i="6"/>
  <c r="AA783" i="6"/>
  <c r="AB783" i="6"/>
  <c r="AC783" i="6"/>
  <c r="R784" i="6"/>
  <c r="S784" i="6"/>
  <c r="T784" i="6"/>
  <c r="U784" i="6"/>
  <c r="V784" i="6"/>
  <c r="W784" i="6"/>
  <c r="X784" i="6"/>
  <c r="Y784" i="6"/>
  <c r="Z784" i="6"/>
  <c r="AA784" i="6"/>
  <c r="AB784" i="6"/>
  <c r="AC784" i="6"/>
  <c r="R785" i="6"/>
  <c r="S785" i="6"/>
  <c r="T785" i="6"/>
  <c r="U785" i="6"/>
  <c r="V785" i="6"/>
  <c r="W785" i="6"/>
  <c r="X785" i="6"/>
  <c r="Y785" i="6"/>
  <c r="Z785" i="6"/>
  <c r="AA785" i="6"/>
  <c r="AB785" i="6"/>
  <c r="AC785" i="6"/>
  <c r="R786" i="6"/>
  <c r="S786" i="6"/>
  <c r="T786" i="6"/>
  <c r="U786" i="6"/>
  <c r="V786" i="6"/>
  <c r="W786" i="6"/>
  <c r="X786" i="6"/>
  <c r="Y786" i="6"/>
  <c r="Z786" i="6"/>
  <c r="AA786" i="6"/>
  <c r="AB786" i="6"/>
  <c r="AC786" i="6"/>
  <c r="R787" i="6"/>
  <c r="S787" i="6"/>
  <c r="T787" i="6"/>
  <c r="U787" i="6"/>
  <c r="V787" i="6"/>
  <c r="W787" i="6"/>
  <c r="X787" i="6"/>
  <c r="Y787" i="6"/>
  <c r="Z787" i="6"/>
  <c r="AA787" i="6"/>
  <c r="AB787" i="6"/>
  <c r="AC787" i="6"/>
  <c r="R788" i="6"/>
  <c r="S788" i="6"/>
  <c r="T788" i="6"/>
  <c r="U788" i="6"/>
  <c r="V788" i="6"/>
  <c r="W788" i="6"/>
  <c r="X788" i="6"/>
  <c r="Y788" i="6"/>
  <c r="Z788" i="6"/>
  <c r="AA788" i="6"/>
  <c r="AB788" i="6"/>
  <c r="AC788" i="6"/>
  <c r="R789" i="6"/>
  <c r="S789" i="6"/>
  <c r="T789" i="6"/>
  <c r="U789" i="6"/>
  <c r="V789" i="6"/>
  <c r="W789" i="6"/>
  <c r="X789" i="6"/>
  <c r="Y789" i="6"/>
  <c r="Z789" i="6"/>
  <c r="AA789" i="6"/>
  <c r="AB789" i="6"/>
  <c r="AC789" i="6"/>
  <c r="R790" i="6"/>
  <c r="S790" i="6"/>
  <c r="T790" i="6"/>
  <c r="U790" i="6"/>
  <c r="V790" i="6"/>
  <c r="W790" i="6"/>
  <c r="X790" i="6"/>
  <c r="Y790" i="6"/>
  <c r="Z790" i="6"/>
  <c r="AA790" i="6"/>
  <c r="AB790" i="6"/>
  <c r="AC790" i="6"/>
  <c r="R791" i="6"/>
  <c r="S791" i="6"/>
  <c r="T791" i="6"/>
  <c r="U791" i="6"/>
  <c r="V791" i="6"/>
  <c r="W791" i="6"/>
  <c r="X791" i="6"/>
  <c r="Y791" i="6"/>
  <c r="Z791" i="6"/>
  <c r="AA791" i="6"/>
  <c r="AB791" i="6"/>
  <c r="AC791" i="6"/>
  <c r="R792" i="6"/>
  <c r="S792" i="6"/>
  <c r="T792" i="6"/>
  <c r="U792" i="6"/>
  <c r="V792" i="6"/>
  <c r="W792" i="6"/>
  <c r="X792" i="6"/>
  <c r="Y792" i="6"/>
  <c r="Z792" i="6"/>
  <c r="AA792" i="6"/>
  <c r="AB792" i="6"/>
  <c r="AC792" i="6"/>
  <c r="R793" i="6"/>
  <c r="S793" i="6"/>
  <c r="T793" i="6"/>
  <c r="U793" i="6"/>
  <c r="V793" i="6"/>
  <c r="W793" i="6"/>
  <c r="X793" i="6"/>
  <c r="Y793" i="6"/>
  <c r="Z793" i="6"/>
  <c r="AA793" i="6"/>
  <c r="AB793" i="6"/>
  <c r="AC793" i="6"/>
  <c r="R794" i="6"/>
  <c r="S794" i="6"/>
  <c r="T794" i="6"/>
  <c r="U794" i="6"/>
  <c r="V794" i="6"/>
  <c r="W794" i="6"/>
  <c r="X794" i="6"/>
  <c r="Y794" i="6"/>
  <c r="Z794" i="6"/>
  <c r="AA794" i="6"/>
  <c r="AB794" i="6"/>
  <c r="AC794" i="6"/>
  <c r="R795" i="6"/>
  <c r="R158" i="30" s="1"/>
  <c r="S795" i="6"/>
  <c r="S158" i="30" s="1"/>
  <c r="T795" i="6"/>
  <c r="T158" i="30" s="1"/>
  <c r="U795" i="6"/>
  <c r="U158" i="30" s="1"/>
  <c r="V795" i="6"/>
  <c r="V158" i="30" s="1"/>
  <c r="W795" i="6"/>
  <c r="W158" i="30" s="1"/>
  <c r="X795" i="6"/>
  <c r="X158" i="30" s="1"/>
  <c r="Y795" i="6"/>
  <c r="Y158" i="30" s="1"/>
  <c r="Z795" i="6"/>
  <c r="Z158" i="30" s="1"/>
  <c r="AA795" i="6"/>
  <c r="AA158" i="30" s="1"/>
  <c r="AB795" i="6"/>
  <c r="AB158" i="30" s="1"/>
  <c r="AC795" i="6"/>
  <c r="AC158" i="30" s="1"/>
  <c r="R796" i="6"/>
  <c r="S796" i="6"/>
  <c r="T796" i="6"/>
  <c r="U796" i="6"/>
  <c r="V796" i="6"/>
  <c r="W796" i="6"/>
  <c r="X796" i="6"/>
  <c r="Y796" i="6"/>
  <c r="Z796" i="6"/>
  <c r="AA796" i="6"/>
  <c r="AB796" i="6"/>
  <c r="AC796" i="6"/>
  <c r="R797" i="6"/>
  <c r="S797" i="6"/>
  <c r="T797" i="6"/>
  <c r="U797" i="6"/>
  <c r="V797" i="6"/>
  <c r="W797" i="6"/>
  <c r="X797" i="6"/>
  <c r="Y797" i="6"/>
  <c r="Z797" i="6"/>
  <c r="AA797" i="6"/>
  <c r="AB797" i="6"/>
  <c r="AC797" i="6"/>
  <c r="R798" i="6"/>
  <c r="S798" i="6"/>
  <c r="T798" i="6"/>
  <c r="U798" i="6"/>
  <c r="V798" i="6"/>
  <c r="W798" i="6"/>
  <c r="X798" i="6"/>
  <c r="Y798" i="6"/>
  <c r="Z798" i="6"/>
  <c r="AA798" i="6"/>
  <c r="AB798" i="6"/>
  <c r="AC798" i="6"/>
  <c r="R799" i="6"/>
  <c r="S799" i="6"/>
  <c r="T799" i="6"/>
  <c r="U799" i="6"/>
  <c r="V799" i="6"/>
  <c r="W799" i="6"/>
  <c r="X799" i="6"/>
  <c r="Y799" i="6"/>
  <c r="Z799" i="6"/>
  <c r="AA799" i="6"/>
  <c r="AB799" i="6"/>
  <c r="AC799" i="6"/>
  <c r="R800" i="6"/>
  <c r="S800" i="6"/>
  <c r="T800" i="6"/>
  <c r="U800" i="6"/>
  <c r="V800" i="6"/>
  <c r="W800" i="6"/>
  <c r="X800" i="6"/>
  <c r="Y800" i="6"/>
  <c r="Z800" i="6"/>
  <c r="AA800" i="6"/>
  <c r="AB800" i="6"/>
  <c r="AC800" i="6"/>
  <c r="R801" i="6"/>
  <c r="S801" i="6"/>
  <c r="T801" i="6"/>
  <c r="U801" i="6"/>
  <c r="V801" i="6"/>
  <c r="W801" i="6"/>
  <c r="X801" i="6"/>
  <c r="Y801" i="6"/>
  <c r="Z801" i="6"/>
  <c r="AA801" i="6"/>
  <c r="AB801" i="6"/>
  <c r="AC801" i="6"/>
  <c r="R802" i="6"/>
  <c r="S802" i="6"/>
  <c r="T802" i="6"/>
  <c r="U802" i="6"/>
  <c r="V802" i="6"/>
  <c r="W802" i="6"/>
  <c r="X802" i="6"/>
  <c r="Y802" i="6"/>
  <c r="Z802" i="6"/>
  <c r="AA802" i="6"/>
  <c r="AB802" i="6"/>
  <c r="AC802" i="6"/>
  <c r="R803" i="6"/>
  <c r="S803" i="6"/>
  <c r="T803" i="6"/>
  <c r="U803" i="6"/>
  <c r="V803" i="6"/>
  <c r="W803" i="6"/>
  <c r="X803" i="6"/>
  <c r="Y803" i="6"/>
  <c r="Z803" i="6"/>
  <c r="AA803" i="6"/>
  <c r="AB803" i="6"/>
  <c r="AC803" i="6"/>
  <c r="R804" i="6"/>
  <c r="S804" i="6"/>
  <c r="T804" i="6"/>
  <c r="U804" i="6"/>
  <c r="V804" i="6"/>
  <c r="W804" i="6"/>
  <c r="X804" i="6"/>
  <c r="Y804" i="6"/>
  <c r="Z804" i="6"/>
  <c r="AA804" i="6"/>
  <c r="AB804" i="6"/>
  <c r="AC804" i="6"/>
  <c r="R805" i="6"/>
  <c r="S805" i="6"/>
  <c r="T805" i="6"/>
  <c r="U805" i="6"/>
  <c r="V805" i="6"/>
  <c r="W805" i="6"/>
  <c r="X805" i="6"/>
  <c r="Y805" i="6"/>
  <c r="Z805" i="6"/>
  <c r="AA805" i="6"/>
  <c r="AB805" i="6"/>
  <c r="AC805" i="6"/>
  <c r="R806" i="6"/>
  <c r="S806" i="6"/>
  <c r="T806" i="6"/>
  <c r="U806" i="6"/>
  <c r="V806" i="6"/>
  <c r="W806" i="6"/>
  <c r="X806" i="6"/>
  <c r="Y806" i="6"/>
  <c r="Z806" i="6"/>
  <c r="AA806" i="6"/>
  <c r="AB806" i="6"/>
  <c r="AC806" i="6"/>
  <c r="R807" i="6"/>
  <c r="S807" i="6"/>
  <c r="T807" i="6"/>
  <c r="U807" i="6"/>
  <c r="V807" i="6"/>
  <c r="W807" i="6"/>
  <c r="X807" i="6"/>
  <c r="Y807" i="6"/>
  <c r="Z807" i="6"/>
  <c r="AA807" i="6"/>
  <c r="AB807" i="6"/>
  <c r="AC807" i="6"/>
  <c r="R808" i="6"/>
  <c r="S808" i="6"/>
  <c r="T808" i="6"/>
  <c r="U808" i="6"/>
  <c r="V808" i="6"/>
  <c r="W808" i="6"/>
  <c r="X808" i="6"/>
  <c r="Y808" i="6"/>
  <c r="Z808" i="6"/>
  <c r="AA808" i="6"/>
  <c r="AB808" i="6"/>
  <c r="AC808" i="6"/>
  <c r="R809" i="6"/>
  <c r="S809" i="6"/>
  <c r="T809" i="6"/>
  <c r="U809" i="6"/>
  <c r="V809" i="6"/>
  <c r="W809" i="6"/>
  <c r="X809" i="6"/>
  <c r="Y809" i="6"/>
  <c r="Z809" i="6"/>
  <c r="AA809" i="6"/>
  <c r="AB809" i="6"/>
  <c r="AC809" i="6"/>
  <c r="R810" i="6"/>
  <c r="S810" i="6"/>
  <c r="T810" i="6"/>
  <c r="U810" i="6"/>
  <c r="V810" i="6"/>
  <c r="W810" i="6"/>
  <c r="X810" i="6"/>
  <c r="Y810" i="6"/>
  <c r="Z810" i="6"/>
  <c r="AA810" i="6"/>
  <c r="AB810" i="6"/>
  <c r="AC810" i="6"/>
  <c r="R811" i="6"/>
  <c r="S811" i="6"/>
  <c r="T811" i="6"/>
  <c r="U811" i="6"/>
  <c r="V811" i="6"/>
  <c r="W811" i="6"/>
  <c r="X811" i="6"/>
  <c r="Y811" i="6"/>
  <c r="Z811" i="6"/>
  <c r="AA811" i="6"/>
  <c r="AB811" i="6"/>
  <c r="AC811" i="6"/>
  <c r="R812" i="6"/>
  <c r="S812" i="6"/>
  <c r="T812" i="6"/>
  <c r="U812" i="6"/>
  <c r="V812" i="6"/>
  <c r="W812" i="6"/>
  <c r="X812" i="6"/>
  <c r="Y812" i="6"/>
  <c r="Z812" i="6"/>
  <c r="AA812" i="6"/>
  <c r="AB812" i="6"/>
  <c r="AC812" i="6"/>
  <c r="R813" i="6"/>
  <c r="S813" i="6"/>
  <c r="T813" i="6"/>
  <c r="U813" i="6"/>
  <c r="V813" i="6"/>
  <c r="W813" i="6"/>
  <c r="X813" i="6"/>
  <c r="Y813" i="6"/>
  <c r="Z813" i="6"/>
  <c r="AA813" i="6"/>
  <c r="AB813" i="6"/>
  <c r="AC813" i="6"/>
  <c r="R814" i="6"/>
  <c r="S814" i="6"/>
  <c r="T814" i="6"/>
  <c r="U814" i="6"/>
  <c r="V814" i="6"/>
  <c r="W814" i="6"/>
  <c r="X814" i="6"/>
  <c r="Y814" i="6"/>
  <c r="Z814" i="6"/>
  <c r="AA814" i="6"/>
  <c r="AB814" i="6"/>
  <c r="AC814" i="6"/>
  <c r="R815" i="6"/>
  <c r="R224" i="30" s="1"/>
  <c r="BC224" i="30" s="1"/>
  <c r="S815" i="6"/>
  <c r="S224" i="30" s="1"/>
  <c r="T815" i="6"/>
  <c r="T224" i="30" s="1"/>
  <c r="U815" i="6"/>
  <c r="U224" i="30" s="1"/>
  <c r="V815" i="6"/>
  <c r="V224" i="30" s="1"/>
  <c r="W815" i="6"/>
  <c r="W224" i="30" s="1"/>
  <c r="X815" i="6"/>
  <c r="X224" i="30" s="1"/>
  <c r="Y815" i="6"/>
  <c r="Y224" i="30" s="1"/>
  <c r="Z815" i="6"/>
  <c r="Z224" i="30" s="1"/>
  <c r="AA815" i="6"/>
  <c r="AA224" i="30" s="1"/>
  <c r="AB815" i="6"/>
  <c r="AB224" i="30" s="1"/>
  <c r="AC815" i="6"/>
  <c r="AC224" i="30" s="1"/>
  <c r="R816" i="6"/>
  <c r="R232" i="30" s="1"/>
  <c r="BC232" i="30" s="1"/>
  <c r="S816" i="6"/>
  <c r="S232" i="30" s="1"/>
  <c r="T816" i="6"/>
  <c r="T232" i="30" s="1"/>
  <c r="U816" i="6"/>
  <c r="U232" i="30" s="1"/>
  <c r="V816" i="6"/>
  <c r="V232" i="30" s="1"/>
  <c r="W816" i="6"/>
  <c r="W232" i="30" s="1"/>
  <c r="X816" i="6"/>
  <c r="X232" i="30" s="1"/>
  <c r="Y816" i="6"/>
  <c r="Y232" i="30" s="1"/>
  <c r="Z816" i="6"/>
  <c r="Z232" i="30" s="1"/>
  <c r="AA816" i="6"/>
  <c r="AA232" i="30" s="1"/>
  <c r="AB816" i="6"/>
  <c r="AB232" i="30" s="1"/>
  <c r="AC816" i="6"/>
  <c r="AC232" i="30" s="1"/>
  <c r="R817" i="6"/>
  <c r="S817" i="6"/>
  <c r="T817" i="6"/>
  <c r="U817" i="6"/>
  <c r="V817" i="6"/>
  <c r="W817" i="6"/>
  <c r="X817" i="6"/>
  <c r="Y817" i="6"/>
  <c r="Z817" i="6"/>
  <c r="AA817" i="6"/>
  <c r="AB817" i="6"/>
  <c r="AC817" i="6"/>
  <c r="R818" i="6"/>
  <c r="R208" i="30" s="1"/>
  <c r="BC208" i="30" s="1"/>
  <c r="S818" i="6"/>
  <c r="S208" i="30" s="1"/>
  <c r="T818" i="6"/>
  <c r="T208" i="30" s="1"/>
  <c r="U818" i="6"/>
  <c r="U208" i="30" s="1"/>
  <c r="V818" i="6"/>
  <c r="V208" i="30" s="1"/>
  <c r="W818" i="6"/>
  <c r="W208" i="30" s="1"/>
  <c r="X818" i="6"/>
  <c r="X208" i="30" s="1"/>
  <c r="Y818" i="6"/>
  <c r="Y208" i="30" s="1"/>
  <c r="Z818" i="6"/>
  <c r="Z208" i="30" s="1"/>
  <c r="AA818" i="6"/>
  <c r="AA208" i="30" s="1"/>
  <c r="AB818" i="6"/>
  <c r="AB208" i="30" s="1"/>
  <c r="AC818" i="6"/>
  <c r="AC208" i="30" s="1"/>
  <c r="R819" i="6"/>
  <c r="S819" i="6"/>
  <c r="T819" i="6"/>
  <c r="U819" i="6"/>
  <c r="V819" i="6"/>
  <c r="W819" i="6"/>
  <c r="X819" i="6"/>
  <c r="Y819" i="6"/>
  <c r="Z819" i="6"/>
  <c r="AA819" i="6"/>
  <c r="AB819" i="6"/>
  <c r="AC819" i="6"/>
  <c r="R820" i="6"/>
  <c r="S820" i="6"/>
  <c r="T820" i="6"/>
  <c r="U820" i="6"/>
  <c r="V820" i="6"/>
  <c r="W820" i="6"/>
  <c r="X820" i="6"/>
  <c r="Y820" i="6"/>
  <c r="Z820" i="6"/>
  <c r="AA820" i="6"/>
  <c r="AB820" i="6"/>
  <c r="AC820" i="6"/>
  <c r="R821" i="6"/>
  <c r="S821" i="6"/>
  <c r="T821" i="6"/>
  <c r="U821" i="6"/>
  <c r="V821" i="6"/>
  <c r="W821" i="6"/>
  <c r="X821" i="6"/>
  <c r="Y821" i="6"/>
  <c r="Z821" i="6"/>
  <c r="AA821" i="6"/>
  <c r="AB821" i="6"/>
  <c r="AC821" i="6"/>
  <c r="R822" i="6"/>
  <c r="S822" i="6"/>
  <c r="T822" i="6"/>
  <c r="U822" i="6"/>
  <c r="V822" i="6"/>
  <c r="W822" i="6"/>
  <c r="X822" i="6"/>
  <c r="Y822" i="6"/>
  <c r="Z822" i="6"/>
  <c r="AA822" i="6"/>
  <c r="AB822" i="6"/>
  <c r="AC822" i="6"/>
  <c r="R823" i="6"/>
  <c r="S823" i="6"/>
  <c r="T823" i="6"/>
  <c r="U823" i="6"/>
  <c r="V823" i="6"/>
  <c r="W823" i="6"/>
  <c r="X823" i="6"/>
  <c r="Y823" i="6"/>
  <c r="Z823" i="6"/>
  <c r="AA823" i="6"/>
  <c r="AB823" i="6"/>
  <c r="AC823" i="6"/>
  <c r="R824" i="6"/>
  <c r="S824" i="6"/>
  <c r="T824" i="6"/>
  <c r="U824" i="6"/>
  <c r="V824" i="6"/>
  <c r="W824" i="6"/>
  <c r="X824" i="6"/>
  <c r="Y824" i="6"/>
  <c r="Z824" i="6"/>
  <c r="AA824" i="6"/>
  <c r="AB824" i="6"/>
  <c r="AC824" i="6"/>
  <c r="R825" i="6"/>
  <c r="S825" i="6"/>
  <c r="T825" i="6"/>
  <c r="U825" i="6"/>
  <c r="V825" i="6"/>
  <c r="W825" i="6"/>
  <c r="X825" i="6"/>
  <c r="Y825" i="6"/>
  <c r="Z825" i="6"/>
  <c r="AA825" i="6"/>
  <c r="AB825" i="6"/>
  <c r="AC825" i="6"/>
  <c r="R826" i="6"/>
  <c r="S826" i="6"/>
  <c r="T826" i="6"/>
  <c r="U826" i="6"/>
  <c r="V826" i="6"/>
  <c r="W826" i="6"/>
  <c r="X826" i="6"/>
  <c r="Y826" i="6"/>
  <c r="Z826" i="6"/>
  <c r="AA826" i="6"/>
  <c r="AB826" i="6"/>
  <c r="AC826" i="6"/>
  <c r="R827" i="6"/>
  <c r="S827" i="6"/>
  <c r="T827" i="6"/>
  <c r="U827" i="6"/>
  <c r="V827" i="6"/>
  <c r="W827" i="6"/>
  <c r="X827" i="6"/>
  <c r="Y827" i="6"/>
  <c r="Z827" i="6"/>
  <c r="AA827" i="6"/>
  <c r="AB827" i="6"/>
  <c r="AC827" i="6"/>
  <c r="R828" i="6"/>
  <c r="S828" i="6"/>
  <c r="T828" i="6"/>
  <c r="U828" i="6"/>
  <c r="V828" i="6"/>
  <c r="W828" i="6"/>
  <c r="X828" i="6"/>
  <c r="Y828" i="6"/>
  <c r="Z828" i="6"/>
  <c r="AA828" i="6"/>
  <c r="AB828" i="6"/>
  <c r="AC828" i="6"/>
  <c r="R829" i="6"/>
  <c r="S829" i="6"/>
  <c r="T829" i="6"/>
  <c r="U829" i="6"/>
  <c r="V829" i="6"/>
  <c r="W829" i="6"/>
  <c r="X829" i="6"/>
  <c r="Y829" i="6"/>
  <c r="Z829" i="6"/>
  <c r="AA829" i="6"/>
  <c r="AB829" i="6"/>
  <c r="AC829" i="6"/>
  <c r="R830" i="6"/>
  <c r="S830" i="6"/>
  <c r="T830" i="6"/>
  <c r="U830" i="6"/>
  <c r="V830" i="6"/>
  <c r="W830" i="6"/>
  <c r="X830" i="6"/>
  <c r="Y830" i="6"/>
  <c r="Z830" i="6"/>
  <c r="AA830" i="6"/>
  <c r="AB830" i="6"/>
  <c r="AC830" i="6"/>
  <c r="R831" i="6"/>
  <c r="S831" i="6"/>
  <c r="T831" i="6"/>
  <c r="U831" i="6"/>
  <c r="V831" i="6"/>
  <c r="W831" i="6"/>
  <c r="X831" i="6"/>
  <c r="Y831" i="6"/>
  <c r="Z831" i="6"/>
  <c r="AA831" i="6"/>
  <c r="AB831" i="6"/>
  <c r="AC831" i="6"/>
  <c r="R832" i="6"/>
  <c r="S832" i="6"/>
  <c r="T832" i="6"/>
  <c r="U832" i="6"/>
  <c r="V832" i="6"/>
  <c r="W832" i="6"/>
  <c r="X832" i="6"/>
  <c r="Y832" i="6"/>
  <c r="Z832" i="6"/>
  <c r="AA832" i="6"/>
  <c r="AB832" i="6"/>
  <c r="AC832" i="6"/>
  <c r="R833" i="6"/>
  <c r="S833" i="6"/>
  <c r="T833" i="6"/>
  <c r="U833" i="6"/>
  <c r="V833" i="6"/>
  <c r="W833" i="6"/>
  <c r="X833" i="6"/>
  <c r="Y833" i="6"/>
  <c r="Z833" i="6"/>
  <c r="AA833" i="6"/>
  <c r="AB833" i="6"/>
  <c r="AC833" i="6"/>
  <c r="R834" i="6"/>
  <c r="S834" i="6"/>
  <c r="T834" i="6"/>
  <c r="U834" i="6"/>
  <c r="V834" i="6"/>
  <c r="W834" i="6"/>
  <c r="X834" i="6"/>
  <c r="Y834" i="6"/>
  <c r="Z834" i="6"/>
  <c r="AA834" i="6"/>
  <c r="AB834" i="6"/>
  <c r="AC834" i="6"/>
  <c r="R835" i="6"/>
  <c r="S835" i="6"/>
  <c r="T835" i="6"/>
  <c r="U835" i="6"/>
  <c r="V835" i="6"/>
  <c r="W835" i="6"/>
  <c r="X835" i="6"/>
  <c r="Y835" i="6"/>
  <c r="Z835" i="6"/>
  <c r="AA835" i="6"/>
  <c r="AB835" i="6"/>
  <c r="AC835" i="6"/>
  <c r="R836" i="6"/>
  <c r="S836" i="6"/>
  <c r="T836" i="6"/>
  <c r="U836" i="6"/>
  <c r="V836" i="6"/>
  <c r="W836" i="6"/>
  <c r="X836" i="6"/>
  <c r="Y836" i="6"/>
  <c r="Z836" i="6"/>
  <c r="AA836" i="6"/>
  <c r="AB836" i="6"/>
  <c r="AC836" i="6"/>
  <c r="R837" i="6"/>
  <c r="S837" i="6"/>
  <c r="T837" i="6"/>
  <c r="U837" i="6"/>
  <c r="V837" i="6"/>
  <c r="W837" i="6"/>
  <c r="X837" i="6"/>
  <c r="Y837" i="6"/>
  <c r="Z837" i="6"/>
  <c r="AA837" i="6"/>
  <c r="AB837" i="6"/>
  <c r="AC837" i="6"/>
  <c r="R838" i="6"/>
  <c r="S838" i="6"/>
  <c r="T838" i="6"/>
  <c r="U838" i="6"/>
  <c r="V838" i="6"/>
  <c r="W838" i="6"/>
  <c r="X838" i="6"/>
  <c r="Y838" i="6"/>
  <c r="Z838" i="6"/>
  <c r="AA838" i="6"/>
  <c r="AB838" i="6"/>
  <c r="AC838" i="6"/>
  <c r="R839" i="6"/>
  <c r="S839" i="6"/>
  <c r="T839" i="6"/>
  <c r="U839" i="6"/>
  <c r="V839" i="6"/>
  <c r="W839" i="6"/>
  <c r="X839" i="6"/>
  <c r="Y839" i="6"/>
  <c r="Z839" i="6"/>
  <c r="AA839" i="6"/>
  <c r="AB839" i="6"/>
  <c r="AC839" i="6"/>
  <c r="R840" i="6"/>
  <c r="S840" i="6"/>
  <c r="T840" i="6"/>
  <c r="U840" i="6"/>
  <c r="V840" i="6"/>
  <c r="W840" i="6"/>
  <c r="X840" i="6"/>
  <c r="Y840" i="6"/>
  <c r="Z840" i="6"/>
  <c r="AA840" i="6"/>
  <c r="AB840" i="6"/>
  <c r="AC840" i="6"/>
  <c r="R841" i="6"/>
  <c r="S841" i="6"/>
  <c r="T841" i="6"/>
  <c r="U841" i="6"/>
  <c r="V841" i="6"/>
  <c r="W841" i="6"/>
  <c r="X841" i="6"/>
  <c r="Y841" i="6"/>
  <c r="Z841" i="6"/>
  <c r="AA841" i="6"/>
  <c r="AB841" i="6"/>
  <c r="AC841" i="6"/>
  <c r="R842" i="6"/>
  <c r="S842" i="6"/>
  <c r="T842" i="6"/>
  <c r="U842" i="6"/>
  <c r="V842" i="6"/>
  <c r="W842" i="6"/>
  <c r="X842" i="6"/>
  <c r="Y842" i="6"/>
  <c r="Z842" i="6"/>
  <c r="AA842" i="6"/>
  <c r="AB842" i="6"/>
  <c r="AC842" i="6"/>
  <c r="R843" i="6"/>
  <c r="S843" i="6"/>
  <c r="T843" i="6"/>
  <c r="U843" i="6"/>
  <c r="V843" i="6"/>
  <c r="W843" i="6"/>
  <c r="X843" i="6"/>
  <c r="Y843" i="6"/>
  <c r="Z843" i="6"/>
  <c r="AA843" i="6"/>
  <c r="AB843" i="6"/>
  <c r="AC843" i="6"/>
  <c r="R844" i="6"/>
  <c r="S844" i="6"/>
  <c r="T844" i="6"/>
  <c r="U844" i="6"/>
  <c r="V844" i="6"/>
  <c r="W844" i="6"/>
  <c r="X844" i="6"/>
  <c r="Y844" i="6"/>
  <c r="Z844" i="6"/>
  <c r="AA844" i="6"/>
  <c r="AB844" i="6"/>
  <c r="AC844" i="6"/>
  <c r="R845" i="6"/>
  <c r="S845" i="6"/>
  <c r="T845" i="6"/>
  <c r="U845" i="6"/>
  <c r="V845" i="6"/>
  <c r="W845" i="6"/>
  <c r="X845" i="6"/>
  <c r="Y845" i="6"/>
  <c r="Z845" i="6"/>
  <c r="AA845" i="6"/>
  <c r="AB845" i="6"/>
  <c r="AC845" i="6"/>
  <c r="R846" i="6"/>
  <c r="S846" i="6"/>
  <c r="T846" i="6"/>
  <c r="U846" i="6"/>
  <c r="V846" i="6"/>
  <c r="W846" i="6"/>
  <c r="X846" i="6"/>
  <c r="Y846" i="6"/>
  <c r="Z846" i="6"/>
  <c r="AA846" i="6"/>
  <c r="AB846" i="6"/>
  <c r="AC846" i="6"/>
  <c r="R847" i="6"/>
  <c r="R159" i="30" s="1"/>
  <c r="S847" i="6"/>
  <c r="S159" i="30" s="1"/>
  <c r="T847" i="6"/>
  <c r="T159" i="30" s="1"/>
  <c r="U847" i="6"/>
  <c r="U159" i="30" s="1"/>
  <c r="V847" i="6"/>
  <c r="V159" i="30" s="1"/>
  <c r="W847" i="6"/>
  <c r="W159" i="30" s="1"/>
  <c r="X847" i="6"/>
  <c r="X159" i="30" s="1"/>
  <c r="Y847" i="6"/>
  <c r="Y159" i="30" s="1"/>
  <c r="Z847" i="6"/>
  <c r="Z159" i="30" s="1"/>
  <c r="AA847" i="6"/>
  <c r="AA159" i="30" s="1"/>
  <c r="AB847" i="6"/>
  <c r="AB159" i="30" s="1"/>
  <c r="AC847" i="6"/>
  <c r="AC159" i="30" s="1"/>
  <c r="R848" i="6"/>
  <c r="R203" i="30" s="1"/>
  <c r="BC203" i="30" s="1"/>
  <c r="S848" i="6"/>
  <c r="S203" i="30" s="1"/>
  <c r="T848" i="6"/>
  <c r="T203" i="30" s="1"/>
  <c r="U848" i="6"/>
  <c r="U203" i="30" s="1"/>
  <c r="V848" i="6"/>
  <c r="V203" i="30" s="1"/>
  <c r="W848" i="6"/>
  <c r="W203" i="30" s="1"/>
  <c r="X848" i="6"/>
  <c r="X203" i="30" s="1"/>
  <c r="Y848" i="6"/>
  <c r="Y203" i="30" s="1"/>
  <c r="Z848" i="6"/>
  <c r="Z203" i="30" s="1"/>
  <c r="AA848" i="6"/>
  <c r="AA203" i="30" s="1"/>
  <c r="AB848" i="6"/>
  <c r="AB203" i="30" s="1"/>
  <c r="AC848" i="6"/>
  <c r="AC203" i="30" s="1"/>
  <c r="R849" i="6"/>
  <c r="S849" i="6"/>
  <c r="T849" i="6"/>
  <c r="U849" i="6"/>
  <c r="V849" i="6"/>
  <c r="W849" i="6"/>
  <c r="X849" i="6"/>
  <c r="Y849" i="6"/>
  <c r="Z849" i="6"/>
  <c r="AA849" i="6"/>
  <c r="AB849" i="6"/>
  <c r="AC849" i="6"/>
  <c r="R850" i="6"/>
  <c r="S850" i="6"/>
  <c r="T850" i="6"/>
  <c r="U850" i="6"/>
  <c r="V850" i="6"/>
  <c r="W850" i="6"/>
  <c r="X850" i="6"/>
  <c r="Y850" i="6"/>
  <c r="Z850" i="6"/>
  <c r="AA850" i="6"/>
  <c r="AB850" i="6"/>
  <c r="AC850" i="6"/>
  <c r="R851" i="6"/>
  <c r="S851" i="6"/>
  <c r="T851" i="6"/>
  <c r="U851" i="6"/>
  <c r="V851" i="6"/>
  <c r="W851" i="6"/>
  <c r="X851" i="6"/>
  <c r="Y851" i="6"/>
  <c r="Z851" i="6"/>
  <c r="AA851" i="6"/>
  <c r="AB851" i="6"/>
  <c r="AC851" i="6"/>
  <c r="R852" i="6"/>
  <c r="S852" i="6"/>
  <c r="T852" i="6"/>
  <c r="U852" i="6"/>
  <c r="V852" i="6"/>
  <c r="W852" i="6"/>
  <c r="X852" i="6"/>
  <c r="Y852" i="6"/>
  <c r="Z852" i="6"/>
  <c r="AA852" i="6"/>
  <c r="AB852" i="6"/>
  <c r="AC852" i="6"/>
  <c r="R853" i="6"/>
  <c r="S853" i="6"/>
  <c r="T853" i="6"/>
  <c r="U853" i="6"/>
  <c r="V853" i="6"/>
  <c r="W853" i="6"/>
  <c r="X853" i="6"/>
  <c r="Y853" i="6"/>
  <c r="Z853" i="6"/>
  <c r="AA853" i="6"/>
  <c r="AB853" i="6"/>
  <c r="AC853" i="6"/>
  <c r="R854" i="6"/>
  <c r="S854" i="6"/>
  <c r="T854" i="6"/>
  <c r="U854" i="6"/>
  <c r="V854" i="6"/>
  <c r="W854" i="6"/>
  <c r="X854" i="6"/>
  <c r="Y854" i="6"/>
  <c r="Z854" i="6"/>
  <c r="AA854" i="6"/>
  <c r="AB854" i="6"/>
  <c r="AC854" i="6"/>
  <c r="R855" i="6"/>
  <c r="S855" i="6"/>
  <c r="T855" i="6"/>
  <c r="U855" i="6"/>
  <c r="V855" i="6"/>
  <c r="W855" i="6"/>
  <c r="X855" i="6"/>
  <c r="Y855" i="6"/>
  <c r="Z855" i="6"/>
  <c r="AA855" i="6"/>
  <c r="AB855" i="6"/>
  <c r="AC855" i="6"/>
  <c r="R856" i="6"/>
  <c r="S856" i="6"/>
  <c r="T856" i="6"/>
  <c r="U856" i="6"/>
  <c r="V856" i="6"/>
  <c r="W856" i="6"/>
  <c r="X856" i="6"/>
  <c r="Y856" i="6"/>
  <c r="Z856" i="6"/>
  <c r="AA856" i="6"/>
  <c r="AB856" i="6"/>
  <c r="AC856" i="6"/>
  <c r="R857" i="6"/>
  <c r="S857" i="6"/>
  <c r="T857" i="6"/>
  <c r="U857" i="6"/>
  <c r="V857" i="6"/>
  <c r="W857" i="6"/>
  <c r="X857" i="6"/>
  <c r="Y857" i="6"/>
  <c r="Z857" i="6"/>
  <c r="AA857" i="6"/>
  <c r="AB857" i="6"/>
  <c r="AC857" i="6"/>
  <c r="R858" i="6"/>
  <c r="S858" i="6"/>
  <c r="T858" i="6"/>
  <c r="U858" i="6"/>
  <c r="V858" i="6"/>
  <c r="W858" i="6"/>
  <c r="X858" i="6"/>
  <c r="Y858" i="6"/>
  <c r="Z858" i="6"/>
  <c r="AA858" i="6"/>
  <c r="AB858" i="6"/>
  <c r="AC858" i="6"/>
  <c r="R859" i="6"/>
  <c r="S859" i="6"/>
  <c r="T859" i="6"/>
  <c r="U859" i="6"/>
  <c r="V859" i="6"/>
  <c r="W859" i="6"/>
  <c r="X859" i="6"/>
  <c r="Y859" i="6"/>
  <c r="Z859" i="6"/>
  <c r="AA859" i="6"/>
  <c r="AB859" i="6"/>
  <c r="AC859" i="6"/>
  <c r="R860" i="6"/>
  <c r="S860" i="6"/>
  <c r="T860" i="6"/>
  <c r="U860" i="6"/>
  <c r="V860" i="6"/>
  <c r="W860" i="6"/>
  <c r="X860" i="6"/>
  <c r="Y860" i="6"/>
  <c r="Z860" i="6"/>
  <c r="AA860" i="6"/>
  <c r="AB860" i="6"/>
  <c r="AC860" i="6"/>
  <c r="R861" i="6"/>
  <c r="S861" i="6"/>
  <c r="T861" i="6"/>
  <c r="U861" i="6"/>
  <c r="V861" i="6"/>
  <c r="W861" i="6"/>
  <c r="X861" i="6"/>
  <c r="Y861" i="6"/>
  <c r="Z861" i="6"/>
  <c r="AA861" i="6"/>
  <c r="AB861" i="6"/>
  <c r="AC861" i="6"/>
  <c r="R862" i="6"/>
  <c r="S862" i="6"/>
  <c r="T862" i="6"/>
  <c r="U862" i="6"/>
  <c r="V862" i="6"/>
  <c r="W862" i="6"/>
  <c r="X862" i="6"/>
  <c r="Y862" i="6"/>
  <c r="Z862" i="6"/>
  <c r="AA862" i="6"/>
  <c r="AB862" i="6"/>
  <c r="AC862" i="6"/>
  <c r="R863" i="6"/>
  <c r="S863" i="6"/>
  <c r="T863" i="6"/>
  <c r="U863" i="6"/>
  <c r="V863" i="6"/>
  <c r="W863" i="6"/>
  <c r="X863" i="6"/>
  <c r="Y863" i="6"/>
  <c r="Z863" i="6"/>
  <c r="AA863" i="6"/>
  <c r="AB863" i="6"/>
  <c r="AC863" i="6"/>
  <c r="R864" i="6"/>
  <c r="S864" i="6"/>
  <c r="T864" i="6"/>
  <c r="U864" i="6"/>
  <c r="V864" i="6"/>
  <c r="W864" i="6"/>
  <c r="X864" i="6"/>
  <c r="Y864" i="6"/>
  <c r="Z864" i="6"/>
  <c r="AA864" i="6"/>
  <c r="AB864" i="6"/>
  <c r="AC864" i="6"/>
  <c r="R865" i="6"/>
  <c r="S865" i="6"/>
  <c r="T865" i="6"/>
  <c r="U865" i="6"/>
  <c r="V865" i="6"/>
  <c r="W865" i="6"/>
  <c r="X865" i="6"/>
  <c r="Y865" i="6"/>
  <c r="Z865" i="6"/>
  <c r="AA865" i="6"/>
  <c r="AB865" i="6"/>
  <c r="AC865" i="6"/>
  <c r="R866" i="6"/>
  <c r="S866" i="6"/>
  <c r="T866" i="6"/>
  <c r="U866" i="6"/>
  <c r="V866" i="6"/>
  <c r="W866" i="6"/>
  <c r="X866" i="6"/>
  <c r="Y866" i="6"/>
  <c r="Z866" i="6"/>
  <c r="AA866" i="6"/>
  <c r="AB866" i="6"/>
  <c r="AC866" i="6"/>
  <c r="R867" i="6"/>
  <c r="S867" i="6"/>
  <c r="T867" i="6"/>
  <c r="U867" i="6"/>
  <c r="V867" i="6"/>
  <c r="W867" i="6"/>
  <c r="X867" i="6"/>
  <c r="Y867" i="6"/>
  <c r="Z867" i="6"/>
  <c r="AA867" i="6"/>
  <c r="AB867" i="6"/>
  <c r="AC867" i="6"/>
  <c r="R868" i="6"/>
  <c r="S868" i="6"/>
  <c r="T868" i="6"/>
  <c r="U868" i="6"/>
  <c r="V868" i="6"/>
  <c r="W868" i="6"/>
  <c r="X868" i="6"/>
  <c r="Y868" i="6"/>
  <c r="Z868" i="6"/>
  <c r="AA868" i="6"/>
  <c r="AB868" i="6"/>
  <c r="AC868" i="6"/>
  <c r="R869" i="6"/>
  <c r="S869" i="6"/>
  <c r="T869" i="6"/>
  <c r="U869" i="6"/>
  <c r="V869" i="6"/>
  <c r="W869" i="6"/>
  <c r="X869" i="6"/>
  <c r="Y869" i="6"/>
  <c r="Z869" i="6"/>
  <c r="AA869" i="6"/>
  <c r="AB869" i="6"/>
  <c r="AC869" i="6"/>
  <c r="R870" i="6"/>
  <c r="S870" i="6"/>
  <c r="T870" i="6"/>
  <c r="U870" i="6"/>
  <c r="V870" i="6"/>
  <c r="W870" i="6"/>
  <c r="X870" i="6"/>
  <c r="Y870" i="6"/>
  <c r="Z870" i="6"/>
  <c r="AA870" i="6"/>
  <c r="AB870" i="6"/>
  <c r="AC870" i="6"/>
  <c r="R871" i="6"/>
  <c r="S871" i="6"/>
  <c r="T871" i="6"/>
  <c r="U871" i="6"/>
  <c r="V871" i="6"/>
  <c r="W871" i="6"/>
  <c r="X871" i="6"/>
  <c r="Y871" i="6"/>
  <c r="Z871" i="6"/>
  <c r="AA871" i="6"/>
  <c r="AB871" i="6"/>
  <c r="AC871" i="6"/>
  <c r="R872" i="6"/>
  <c r="R204" i="30" s="1"/>
  <c r="BC204" i="30" s="1"/>
  <c r="S872" i="6"/>
  <c r="S204" i="30" s="1"/>
  <c r="T872" i="6"/>
  <c r="T204" i="30" s="1"/>
  <c r="U872" i="6"/>
  <c r="U204" i="30" s="1"/>
  <c r="V872" i="6"/>
  <c r="V204" i="30" s="1"/>
  <c r="W872" i="6"/>
  <c r="W204" i="30" s="1"/>
  <c r="X872" i="6"/>
  <c r="X204" i="30" s="1"/>
  <c r="Y872" i="6"/>
  <c r="Y204" i="30" s="1"/>
  <c r="Z872" i="6"/>
  <c r="Z204" i="30" s="1"/>
  <c r="AA872" i="6"/>
  <c r="AA204" i="30" s="1"/>
  <c r="AB872" i="6"/>
  <c r="AB204" i="30" s="1"/>
  <c r="AC872" i="6"/>
  <c r="AC204" i="30" s="1"/>
  <c r="R873" i="6"/>
  <c r="R169" i="30" s="1"/>
  <c r="S873" i="6"/>
  <c r="S169" i="30" s="1"/>
  <c r="T873" i="6"/>
  <c r="T169" i="30" s="1"/>
  <c r="U873" i="6"/>
  <c r="U169" i="30" s="1"/>
  <c r="V873" i="6"/>
  <c r="V169" i="30" s="1"/>
  <c r="W873" i="6"/>
  <c r="W169" i="30" s="1"/>
  <c r="X873" i="6"/>
  <c r="X169" i="30" s="1"/>
  <c r="Y873" i="6"/>
  <c r="Y169" i="30" s="1"/>
  <c r="Z873" i="6"/>
  <c r="Z169" i="30" s="1"/>
  <c r="AA873" i="6"/>
  <c r="AA169" i="30" s="1"/>
  <c r="AB873" i="6"/>
  <c r="AB169" i="30" s="1"/>
  <c r="AC873" i="6"/>
  <c r="AC169" i="30" s="1"/>
  <c r="R874" i="6"/>
  <c r="S874" i="6"/>
  <c r="T874" i="6"/>
  <c r="U874" i="6"/>
  <c r="V874" i="6"/>
  <c r="W874" i="6"/>
  <c r="X874" i="6"/>
  <c r="Y874" i="6"/>
  <c r="Z874" i="6"/>
  <c r="AA874" i="6"/>
  <c r="AB874" i="6"/>
  <c r="AC874" i="6"/>
  <c r="R875" i="6"/>
  <c r="S875" i="6"/>
  <c r="T875" i="6"/>
  <c r="U875" i="6"/>
  <c r="V875" i="6"/>
  <c r="W875" i="6"/>
  <c r="X875" i="6"/>
  <c r="Y875" i="6"/>
  <c r="Z875" i="6"/>
  <c r="AA875" i="6"/>
  <c r="AB875" i="6"/>
  <c r="AC875" i="6"/>
  <c r="R876" i="6"/>
  <c r="S876" i="6"/>
  <c r="T876" i="6"/>
  <c r="U876" i="6"/>
  <c r="V876" i="6"/>
  <c r="W876" i="6"/>
  <c r="X876" i="6"/>
  <c r="Y876" i="6"/>
  <c r="Z876" i="6"/>
  <c r="AA876" i="6"/>
  <c r="AB876" i="6"/>
  <c r="AC876" i="6"/>
  <c r="R877" i="6"/>
  <c r="S877" i="6"/>
  <c r="T877" i="6"/>
  <c r="U877" i="6"/>
  <c r="V877" i="6"/>
  <c r="W877" i="6"/>
  <c r="X877" i="6"/>
  <c r="Y877" i="6"/>
  <c r="Z877" i="6"/>
  <c r="AA877" i="6"/>
  <c r="AB877" i="6"/>
  <c r="AC877" i="6"/>
  <c r="R878" i="6"/>
  <c r="S878" i="6"/>
  <c r="T878" i="6"/>
  <c r="U878" i="6"/>
  <c r="V878" i="6"/>
  <c r="W878" i="6"/>
  <c r="X878" i="6"/>
  <c r="Y878" i="6"/>
  <c r="Z878" i="6"/>
  <c r="AA878" i="6"/>
  <c r="AB878" i="6"/>
  <c r="AC878" i="6"/>
  <c r="R879" i="6"/>
  <c r="S879" i="6"/>
  <c r="T879" i="6"/>
  <c r="U879" i="6"/>
  <c r="V879" i="6"/>
  <c r="W879" i="6"/>
  <c r="X879" i="6"/>
  <c r="Y879" i="6"/>
  <c r="Z879" i="6"/>
  <c r="AA879" i="6"/>
  <c r="AB879" i="6"/>
  <c r="AC879" i="6"/>
  <c r="R880" i="6"/>
  <c r="S880" i="6"/>
  <c r="T880" i="6"/>
  <c r="U880" i="6"/>
  <c r="V880" i="6"/>
  <c r="W880" i="6"/>
  <c r="X880" i="6"/>
  <c r="Y880" i="6"/>
  <c r="Z880" i="6"/>
  <c r="AA880" i="6"/>
  <c r="AB880" i="6"/>
  <c r="AC880" i="6"/>
  <c r="R881" i="6"/>
  <c r="S881" i="6"/>
  <c r="T881" i="6"/>
  <c r="U881" i="6"/>
  <c r="V881" i="6"/>
  <c r="W881" i="6"/>
  <c r="X881" i="6"/>
  <c r="Y881" i="6"/>
  <c r="Z881" i="6"/>
  <c r="AA881" i="6"/>
  <c r="AB881" i="6"/>
  <c r="AC881" i="6"/>
  <c r="R882" i="6"/>
  <c r="S882" i="6"/>
  <c r="T882" i="6"/>
  <c r="U882" i="6"/>
  <c r="V882" i="6"/>
  <c r="W882" i="6"/>
  <c r="X882" i="6"/>
  <c r="Y882" i="6"/>
  <c r="Z882" i="6"/>
  <c r="AA882" i="6"/>
  <c r="AB882" i="6"/>
  <c r="AC882" i="6"/>
  <c r="R883" i="6"/>
  <c r="S883" i="6"/>
  <c r="T883" i="6"/>
  <c r="U883" i="6"/>
  <c r="V883" i="6"/>
  <c r="W883" i="6"/>
  <c r="X883" i="6"/>
  <c r="Y883" i="6"/>
  <c r="Z883" i="6"/>
  <c r="AA883" i="6"/>
  <c r="AB883" i="6"/>
  <c r="AC883" i="6"/>
  <c r="R884" i="6"/>
  <c r="S884" i="6"/>
  <c r="T884" i="6"/>
  <c r="U884" i="6"/>
  <c r="V884" i="6"/>
  <c r="W884" i="6"/>
  <c r="X884" i="6"/>
  <c r="Y884" i="6"/>
  <c r="Z884" i="6"/>
  <c r="AA884" i="6"/>
  <c r="AB884" i="6"/>
  <c r="AC884" i="6"/>
  <c r="R885" i="6"/>
  <c r="S885" i="6"/>
  <c r="T885" i="6"/>
  <c r="U885" i="6"/>
  <c r="V885" i="6"/>
  <c r="W885" i="6"/>
  <c r="X885" i="6"/>
  <c r="Y885" i="6"/>
  <c r="Z885" i="6"/>
  <c r="AA885" i="6"/>
  <c r="AB885" i="6"/>
  <c r="AC885" i="6"/>
  <c r="R886" i="6"/>
  <c r="S886" i="6"/>
  <c r="T886" i="6"/>
  <c r="U886" i="6"/>
  <c r="V886" i="6"/>
  <c r="W886" i="6"/>
  <c r="X886" i="6"/>
  <c r="Y886" i="6"/>
  <c r="Z886" i="6"/>
  <c r="AA886" i="6"/>
  <c r="AB886" i="6"/>
  <c r="AC886" i="6"/>
  <c r="R887" i="6"/>
  <c r="S887" i="6"/>
  <c r="T887" i="6"/>
  <c r="U887" i="6"/>
  <c r="V887" i="6"/>
  <c r="W887" i="6"/>
  <c r="X887" i="6"/>
  <c r="Y887" i="6"/>
  <c r="Z887" i="6"/>
  <c r="AA887" i="6"/>
  <c r="AB887" i="6"/>
  <c r="AC887" i="6"/>
  <c r="R888" i="6"/>
  <c r="S888" i="6"/>
  <c r="T888" i="6"/>
  <c r="U888" i="6"/>
  <c r="V888" i="6"/>
  <c r="W888" i="6"/>
  <c r="X888" i="6"/>
  <c r="Y888" i="6"/>
  <c r="Z888" i="6"/>
  <c r="AA888" i="6"/>
  <c r="AB888" i="6"/>
  <c r="AC888" i="6"/>
  <c r="R889" i="6"/>
  <c r="S889" i="6"/>
  <c r="T889" i="6"/>
  <c r="U889" i="6"/>
  <c r="V889" i="6"/>
  <c r="W889" i="6"/>
  <c r="X889" i="6"/>
  <c r="Y889" i="6"/>
  <c r="Z889" i="6"/>
  <c r="AA889" i="6"/>
  <c r="AB889" i="6"/>
  <c r="AC889" i="6"/>
  <c r="R890" i="6"/>
  <c r="S890" i="6"/>
  <c r="T890" i="6"/>
  <c r="U890" i="6"/>
  <c r="V890" i="6"/>
  <c r="W890" i="6"/>
  <c r="X890" i="6"/>
  <c r="Y890" i="6"/>
  <c r="Z890" i="6"/>
  <c r="AA890" i="6"/>
  <c r="AB890" i="6"/>
  <c r="AC890" i="6"/>
  <c r="R891" i="6"/>
  <c r="S891" i="6"/>
  <c r="T891" i="6"/>
  <c r="U891" i="6"/>
  <c r="V891" i="6"/>
  <c r="W891" i="6"/>
  <c r="X891" i="6"/>
  <c r="Y891" i="6"/>
  <c r="Z891" i="6"/>
  <c r="AA891" i="6"/>
  <c r="AB891" i="6"/>
  <c r="AC891" i="6"/>
  <c r="R892" i="6"/>
  <c r="S892" i="6"/>
  <c r="T892" i="6"/>
  <c r="U892" i="6"/>
  <c r="V892" i="6"/>
  <c r="W892" i="6"/>
  <c r="X892" i="6"/>
  <c r="Y892" i="6"/>
  <c r="Z892" i="6"/>
  <c r="AA892" i="6"/>
  <c r="AB892" i="6"/>
  <c r="AC892" i="6"/>
  <c r="R893" i="6"/>
  <c r="S893" i="6"/>
  <c r="T893" i="6"/>
  <c r="U893" i="6"/>
  <c r="V893" i="6"/>
  <c r="W893" i="6"/>
  <c r="X893" i="6"/>
  <c r="Y893" i="6"/>
  <c r="Z893" i="6"/>
  <c r="AA893" i="6"/>
  <c r="AB893" i="6"/>
  <c r="AC893" i="6"/>
  <c r="R894" i="6"/>
  <c r="S894" i="6"/>
  <c r="T894" i="6"/>
  <c r="U894" i="6"/>
  <c r="V894" i="6"/>
  <c r="W894" i="6"/>
  <c r="X894" i="6"/>
  <c r="Y894" i="6"/>
  <c r="Z894" i="6"/>
  <c r="AA894" i="6"/>
  <c r="AB894" i="6"/>
  <c r="AC894" i="6"/>
  <c r="R895" i="6"/>
  <c r="S895" i="6"/>
  <c r="T895" i="6"/>
  <c r="U895" i="6"/>
  <c r="V895" i="6"/>
  <c r="W895" i="6"/>
  <c r="X895" i="6"/>
  <c r="Y895" i="6"/>
  <c r="Z895" i="6"/>
  <c r="AA895" i="6"/>
  <c r="AB895" i="6"/>
  <c r="AC895" i="6"/>
  <c r="R896" i="6"/>
  <c r="R180" i="30" s="1"/>
  <c r="S896" i="6"/>
  <c r="S180" i="30" s="1"/>
  <c r="T896" i="6"/>
  <c r="T180" i="30" s="1"/>
  <c r="U896" i="6"/>
  <c r="U180" i="30" s="1"/>
  <c r="V896" i="6"/>
  <c r="V180" i="30" s="1"/>
  <c r="W896" i="6"/>
  <c r="W180" i="30" s="1"/>
  <c r="X896" i="6"/>
  <c r="X180" i="30" s="1"/>
  <c r="Y896" i="6"/>
  <c r="Y180" i="30" s="1"/>
  <c r="Z896" i="6"/>
  <c r="Z180" i="30" s="1"/>
  <c r="AA896" i="6"/>
  <c r="AA180" i="30" s="1"/>
  <c r="AB896" i="6"/>
  <c r="AB180" i="30" s="1"/>
  <c r="AC896" i="6"/>
  <c r="AC180" i="30" s="1"/>
  <c r="R897" i="6"/>
  <c r="S897" i="6"/>
  <c r="T897" i="6"/>
  <c r="U897" i="6"/>
  <c r="V897" i="6"/>
  <c r="W897" i="6"/>
  <c r="X897" i="6"/>
  <c r="Y897" i="6"/>
  <c r="Z897" i="6"/>
  <c r="AA897" i="6"/>
  <c r="AB897" i="6"/>
  <c r="AC897" i="6"/>
  <c r="R898" i="6"/>
  <c r="S898" i="6"/>
  <c r="T898" i="6"/>
  <c r="U898" i="6"/>
  <c r="V898" i="6"/>
  <c r="W898" i="6"/>
  <c r="X898" i="6"/>
  <c r="Y898" i="6"/>
  <c r="Z898" i="6"/>
  <c r="AA898" i="6"/>
  <c r="AB898" i="6"/>
  <c r="AC898" i="6"/>
  <c r="R899" i="6"/>
  <c r="S899" i="6"/>
  <c r="T899" i="6"/>
  <c r="U899" i="6"/>
  <c r="V899" i="6"/>
  <c r="W899" i="6"/>
  <c r="X899" i="6"/>
  <c r="Y899" i="6"/>
  <c r="Z899" i="6"/>
  <c r="AA899" i="6"/>
  <c r="AB899" i="6"/>
  <c r="AC899" i="6"/>
  <c r="R900" i="6"/>
  <c r="S900" i="6"/>
  <c r="T900" i="6"/>
  <c r="U900" i="6"/>
  <c r="V900" i="6"/>
  <c r="W900" i="6"/>
  <c r="X900" i="6"/>
  <c r="Y900" i="6"/>
  <c r="Z900" i="6"/>
  <c r="AA900" i="6"/>
  <c r="AB900" i="6"/>
  <c r="AC900" i="6"/>
  <c r="R901" i="6"/>
  <c r="S901" i="6"/>
  <c r="T901" i="6"/>
  <c r="U901" i="6"/>
  <c r="V901" i="6"/>
  <c r="W901" i="6"/>
  <c r="X901" i="6"/>
  <c r="Y901" i="6"/>
  <c r="Z901" i="6"/>
  <c r="AA901" i="6"/>
  <c r="AB901" i="6"/>
  <c r="AC901" i="6"/>
  <c r="R902" i="6"/>
  <c r="S902" i="6"/>
  <c r="T902" i="6"/>
  <c r="U902" i="6"/>
  <c r="V902" i="6"/>
  <c r="W902" i="6"/>
  <c r="X902" i="6"/>
  <c r="Y902" i="6"/>
  <c r="Z902" i="6"/>
  <c r="AA902" i="6"/>
  <c r="AB902" i="6"/>
  <c r="AC902" i="6"/>
  <c r="R903" i="6"/>
  <c r="S903" i="6"/>
  <c r="T903" i="6"/>
  <c r="U903" i="6"/>
  <c r="V903" i="6"/>
  <c r="W903" i="6"/>
  <c r="X903" i="6"/>
  <c r="Y903" i="6"/>
  <c r="Z903" i="6"/>
  <c r="AA903" i="6"/>
  <c r="AB903" i="6"/>
  <c r="AC903" i="6"/>
  <c r="R904" i="6"/>
  <c r="R207" i="30" s="1"/>
  <c r="BC207" i="30" s="1"/>
  <c r="S904" i="6"/>
  <c r="S207" i="30" s="1"/>
  <c r="T904" i="6"/>
  <c r="T207" i="30" s="1"/>
  <c r="U904" i="6"/>
  <c r="U207" i="30" s="1"/>
  <c r="V904" i="6"/>
  <c r="V207" i="30" s="1"/>
  <c r="W904" i="6"/>
  <c r="W207" i="30" s="1"/>
  <c r="X904" i="6"/>
  <c r="X207" i="30" s="1"/>
  <c r="Y904" i="6"/>
  <c r="Y207" i="30" s="1"/>
  <c r="Z904" i="6"/>
  <c r="Z207" i="30" s="1"/>
  <c r="AA904" i="6"/>
  <c r="AA207" i="30" s="1"/>
  <c r="AB904" i="6"/>
  <c r="AB207" i="30" s="1"/>
  <c r="AC904" i="6"/>
  <c r="AC207" i="30" s="1"/>
  <c r="R905" i="6"/>
  <c r="S905" i="6"/>
  <c r="T905" i="6"/>
  <c r="U905" i="6"/>
  <c r="V905" i="6"/>
  <c r="W905" i="6"/>
  <c r="X905" i="6"/>
  <c r="Y905" i="6"/>
  <c r="Z905" i="6"/>
  <c r="AA905" i="6"/>
  <c r="AB905" i="6"/>
  <c r="AC905" i="6"/>
  <c r="R906" i="6"/>
  <c r="S906" i="6"/>
  <c r="T906" i="6"/>
  <c r="U906" i="6"/>
  <c r="V906" i="6"/>
  <c r="W906" i="6"/>
  <c r="X906" i="6"/>
  <c r="Y906" i="6"/>
  <c r="Z906" i="6"/>
  <c r="AA906" i="6"/>
  <c r="AB906" i="6"/>
  <c r="AC906" i="6"/>
  <c r="R907" i="6"/>
  <c r="S907" i="6"/>
  <c r="T907" i="6"/>
  <c r="U907" i="6"/>
  <c r="V907" i="6"/>
  <c r="W907" i="6"/>
  <c r="X907" i="6"/>
  <c r="Y907" i="6"/>
  <c r="Z907" i="6"/>
  <c r="AA907" i="6"/>
  <c r="AB907" i="6"/>
  <c r="AC907" i="6"/>
  <c r="R908" i="6"/>
  <c r="S908" i="6"/>
  <c r="T908" i="6"/>
  <c r="U908" i="6"/>
  <c r="V908" i="6"/>
  <c r="W908" i="6"/>
  <c r="X908" i="6"/>
  <c r="Y908" i="6"/>
  <c r="Z908" i="6"/>
  <c r="AA908" i="6"/>
  <c r="AB908" i="6"/>
  <c r="AC908" i="6"/>
  <c r="R909" i="6"/>
  <c r="S909" i="6"/>
  <c r="T909" i="6"/>
  <c r="U909" i="6"/>
  <c r="V909" i="6"/>
  <c r="W909" i="6"/>
  <c r="X909" i="6"/>
  <c r="Y909" i="6"/>
  <c r="Z909" i="6"/>
  <c r="AA909" i="6"/>
  <c r="AB909" i="6"/>
  <c r="AC909" i="6"/>
  <c r="R910" i="6"/>
  <c r="S910" i="6"/>
  <c r="T910" i="6"/>
  <c r="U910" i="6"/>
  <c r="V910" i="6"/>
  <c r="W910" i="6"/>
  <c r="X910" i="6"/>
  <c r="Y910" i="6"/>
  <c r="Z910" i="6"/>
  <c r="AA910" i="6"/>
  <c r="AB910" i="6"/>
  <c r="AC910" i="6"/>
  <c r="R911" i="6"/>
  <c r="S911" i="6"/>
  <c r="T911" i="6"/>
  <c r="U911" i="6"/>
  <c r="V911" i="6"/>
  <c r="W911" i="6"/>
  <c r="X911" i="6"/>
  <c r="Y911" i="6"/>
  <c r="Z911" i="6"/>
  <c r="AA911" i="6"/>
  <c r="AB911" i="6"/>
  <c r="AC911" i="6"/>
  <c r="R912" i="6"/>
  <c r="S912" i="6"/>
  <c r="T912" i="6"/>
  <c r="U912" i="6"/>
  <c r="V912" i="6"/>
  <c r="W912" i="6"/>
  <c r="X912" i="6"/>
  <c r="Y912" i="6"/>
  <c r="Z912" i="6"/>
  <c r="AA912" i="6"/>
  <c r="AB912" i="6"/>
  <c r="AC912" i="6"/>
  <c r="R913" i="6"/>
  <c r="S913" i="6"/>
  <c r="T913" i="6"/>
  <c r="U913" i="6"/>
  <c r="V913" i="6"/>
  <c r="W913" i="6"/>
  <c r="X913" i="6"/>
  <c r="Y913" i="6"/>
  <c r="Z913" i="6"/>
  <c r="AA913" i="6"/>
  <c r="AB913" i="6"/>
  <c r="AC913" i="6"/>
  <c r="R914" i="6"/>
  <c r="S914" i="6"/>
  <c r="T914" i="6"/>
  <c r="U914" i="6"/>
  <c r="V914" i="6"/>
  <c r="W914" i="6"/>
  <c r="X914" i="6"/>
  <c r="Y914" i="6"/>
  <c r="Z914" i="6"/>
  <c r="AA914" i="6"/>
  <c r="AB914" i="6"/>
  <c r="AC914" i="6"/>
  <c r="R915" i="6"/>
  <c r="S915" i="6"/>
  <c r="T915" i="6"/>
  <c r="U915" i="6"/>
  <c r="V915" i="6"/>
  <c r="W915" i="6"/>
  <c r="X915" i="6"/>
  <c r="Y915" i="6"/>
  <c r="Z915" i="6"/>
  <c r="AA915" i="6"/>
  <c r="AB915" i="6"/>
  <c r="AC915" i="6"/>
  <c r="R916" i="6"/>
  <c r="S916" i="6"/>
  <c r="T916" i="6"/>
  <c r="U916" i="6"/>
  <c r="V916" i="6"/>
  <c r="W916" i="6"/>
  <c r="X916" i="6"/>
  <c r="Y916" i="6"/>
  <c r="Z916" i="6"/>
  <c r="AA916" i="6"/>
  <c r="AB916" i="6"/>
  <c r="AC916" i="6"/>
  <c r="R917" i="6"/>
  <c r="S917" i="6"/>
  <c r="T917" i="6"/>
  <c r="U917" i="6"/>
  <c r="V917" i="6"/>
  <c r="W917" i="6"/>
  <c r="X917" i="6"/>
  <c r="Y917" i="6"/>
  <c r="Z917" i="6"/>
  <c r="AA917" i="6"/>
  <c r="AB917" i="6"/>
  <c r="AC917" i="6"/>
  <c r="R918" i="6"/>
  <c r="S918" i="6"/>
  <c r="T918" i="6"/>
  <c r="U918" i="6"/>
  <c r="V918" i="6"/>
  <c r="W918" i="6"/>
  <c r="X918" i="6"/>
  <c r="Y918" i="6"/>
  <c r="Z918" i="6"/>
  <c r="AA918" i="6"/>
  <c r="AB918" i="6"/>
  <c r="AC918" i="6"/>
  <c r="R919" i="6"/>
  <c r="S919" i="6"/>
  <c r="T919" i="6"/>
  <c r="U919" i="6"/>
  <c r="V919" i="6"/>
  <c r="W919" i="6"/>
  <c r="X919" i="6"/>
  <c r="Y919" i="6"/>
  <c r="Z919" i="6"/>
  <c r="AA919" i="6"/>
  <c r="AB919" i="6"/>
  <c r="AC919" i="6"/>
  <c r="R920" i="6"/>
  <c r="S920" i="6"/>
  <c r="T920" i="6"/>
  <c r="U920" i="6"/>
  <c r="V920" i="6"/>
  <c r="W920" i="6"/>
  <c r="X920" i="6"/>
  <c r="Y920" i="6"/>
  <c r="Z920" i="6"/>
  <c r="AA920" i="6"/>
  <c r="AB920" i="6"/>
  <c r="AC920" i="6"/>
  <c r="R921" i="6"/>
  <c r="S921" i="6"/>
  <c r="T921" i="6"/>
  <c r="U921" i="6"/>
  <c r="V921" i="6"/>
  <c r="W921" i="6"/>
  <c r="X921" i="6"/>
  <c r="Y921" i="6"/>
  <c r="Z921" i="6"/>
  <c r="AA921" i="6"/>
  <c r="AB921" i="6"/>
  <c r="AC921" i="6"/>
  <c r="R922" i="6"/>
  <c r="S922" i="6"/>
  <c r="T922" i="6"/>
  <c r="U922" i="6"/>
  <c r="V922" i="6"/>
  <c r="W922" i="6"/>
  <c r="X922" i="6"/>
  <c r="Y922" i="6"/>
  <c r="Z922" i="6"/>
  <c r="AA922" i="6"/>
  <c r="AB922" i="6"/>
  <c r="AC922" i="6"/>
  <c r="R923" i="6"/>
  <c r="S923" i="6"/>
  <c r="T923" i="6"/>
  <c r="U923" i="6"/>
  <c r="V923" i="6"/>
  <c r="W923" i="6"/>
  <c r="X923" i="6"/>
  <c r="Y923" i="6"/>
  <c r="Z923" i="6"/>
  <c r="AA923" i="6"/>
  <c r="AB923" i="6"/>
  <c r="AC923" i="6"/>
  <c r="R924" i="6"/>
  <c r="S924" i="6"/>
  <c r="T924" i="6"/>
  <c r="U924" i="6"/>
  <c r="V924" i="6"/>
  <c r="W924" i="6"/>
  <c r="X924" i="6"/>
  <c r="Y924" i="6"/>
  <c r="Z924" i="6"/>
  <c r="AA924" i="6"/>
  <c r="AB924" i="6"/>
  <c r="AC924" i="6"/>
  <c r="R925" i="6"/>
  <c r="S925" i="6"/>
  <c r="T925" i="6"/>
  <c r="U925" i="6"/>
  <c r="V925" i="6"/>
  <c r="W925" i="6"/>
  <c r="X925" i="6"/>
  <c r="Y925" i="6"/>
  <c r="Z925" i="6"/>
  <c r="AA925" i="6"/>
  <c r="AB925" i="6"/>
  <c r="AC925" i="6"/>
  <c r="R926" i="6"/>
  <c r="S926" i="6"/>
  <c r="T926" i="6"/>
  <c r="U926" i="6"/>
  <c r="V926" i="6"/>
  <c r="W926" i="6"/>
  <c r="X926" i="6"/>
  <c r="Y926" i="6"/>
  <c r="Z926" i="6"/>
  <c r="AA926" i="6"/>
  <c r="AB926" i="6"/>
  <c r="AC926" i="6"/>
  <c r="R927" i="6"/>
  <c r="S927" i="6"/>
  <c r="T927" i="6"/>
  <c r="U927" i="6"/>
  <c r="V927" i="6"/>
  <c r="W927" i="6"/>
  <c r="X927" i="6"/>
  <c r="Y927" i="6"/>
  <c r="Z927" i="6"/>
  <c r="AA927" i="6"/>
  <c r="AB927" i="6"/>
  <c r="AC927" i="6"/>
  <c r="R928" i="6"/>
  <c r="S928" i="6"/>
  <c r="T928" i="6"/>
  <c r="U928" i="6"/>
  <c r="V928" i="6"/>
  <c r="W928" i="6"/>
  <c r="X928" i="6"/>
  <c r="Y928" i="6"/>
  <c r="Z928" i="6"/>
  <c r="AA928" i="6"/>
  <c r="AB928" i="6"/>
  <c r="AC928" i="6"/>
  <c r="R929" i="6"/>
  <c r="S929" i="6"/>
  <c r="T929" i="6"/>
  <c r="U929" i="6"/>
  <c r="V929" i="6"/>
  <c r="W929" i="6"/>
  <c r="X929" i="6"/>
  <c r="Y929" i="6"/>
  <c r="Z929" i="6"/>
  <c r="AA929" i="6"/>
  <c r="AB929" i="6"/>
  <c r="AC929" i="6"/>
  <c r="R930" i="6"/>
  <c r="S930" i="6"/>
  <c r="T930" i="6"/>
  <c r="U930" i="6"/>
  <c r="V930" i="6"/>
  <c r="W930" i="6"/>
  <c r="X930" i="6"/>
  <c r="Y930" i="6"/>
  <c r="Z930" i="6"/>
  <c r="AA930" i="6"/>
  <c r="AB930" i="6"/>
  <c r="AC930" i="6"/>
  <c r="R931" i="6"/>
  <c r="S931" i="6"/>
  <c r="T931" i="6"/>
  <c r="U931" i="6"/>
  <c r="V931" i="6"/>
  <c r="W931" i="6"/>
  <c r="X931" i="6"/>
  <c r="Y931" i="6"/>
  <c r="Z931" i="6"/>
  <c r="AA931" i="6"/>
  <c r="AB931" i="6"/>
  <c r="AC931" i="6"/>
  <c r="R932" i="6"/>
  <c r="S932" i="6"/>
  <c r="T932" i="6"/>
  <c r="U932" i="6"/>
  <c r="V932" i="6"/>
  <c r="W932" i="6"/>
  <c r="X932" i="6"/>
  <c r="Y932" i="6"/>
  <c r="Z932" i="6"/>
  <c r="AA932" i="6"/>
  <c r="AB932" i="6"/>
  <c r="AC932" i="6"/>
  <c r="R933" i="6"/>
  <c r="S933" i="6"/>
  <c r="T933" i="6"/>
  <c r="U933" i="6"/>
  <c r="V933" i="6"/>
  <c r="W933" i="6"/>
  <c r="X933" i="6"/>
  <c r="Y933" i="6"/>
  <c r="Z933" i="6"/>
  <c r="AA933" i="6"/>
  <c r="AB933" i="6"/>
  <c r="AC933" i="6"/>
  <c r="R934" i="6"/>
  <c r="S934" i="6"/>
  <c r="T934" i="6"/>
  <c r="U934" i="6"/>
  <c r="V934" i="6"/>
  <c r="W934" i="6"/>
  <c r="X934" i="6"/>
  <c r="Y934" i="6"/>
  <c r="Z934" i="6"/>
  <c r="AA934" i="6"/>
  <c r="AB934" i="6"/>
  <c r="AC934" i="6"/>
  <c r="R935" i="6"/>
  <c r="S935" i="6"/>
  <c r="T935" i="6"/>
  <c r="U935" i="6"/>
  <c r="V935" i="6"/>
  <c r="W935" i="6"/>
  <c r="X935" i="6"/>
  <c r="Y935" i="6"/>
  <c r="Z935" i="6"/>
  <c r="AA935" i="6"/>
  <c r="AB935" i="6"/>
  <c r="AC935" i="6"/>
  <c r="R936" i="6"/>
  <c r="S936" i="6"/>
  <c r="T936" i="6"/>
  <c r="U936" i="6"/>
  <c r="V936" i="6"/>
  <c r="W936" i="6"/>
  <c r="X936" i="6"/>
  <c r="Y936" i="6"/>
  <c r="Z936" i="6"/>
  <c r="AA936" i="6"/>
  <c r="AB936" i="6"/>
  <c r="AC936" i="6"/>
  <c r="R937" i="6"/>
  <c r="S937" i="6"/>
  <c r="T937" i="6"/>
  <c r="U937" i="6"/>
  <c r="V937" i="6"/>
  <c r="W937" i="6"/>
  <c r="X937" i="6"/>
  <c r="Y937" i="6"/>
  <c r="Z937" i="6"/>
  <c r="AA937" i="6"/>
  <c r="AB937" i="6"/>
  <c r="AC937" i="6"/>
  <c r="R938" i="6"/>
  <c r="S938" i="6"/>
  <c r="T938" i="6"/>
  <c r="U938" i="6"/>
  <c r="V938" i="6"/>
  <c r="W938" i="6"/>
  <c r="X938" i="6"/>
  <c r="Y938" i="6"/>
  <c r="Z938" i="6"/>
  <c r="AA938" i="6"/>
  <c r="AB938" i="6"/>
  <c r="AC938" i="6"/>
  <c r="R939" i="6"/>
  <c r="S939" i="6"/>
  <c r="T939" i="6"/>
  <c r="U939" i="6"/>
  <c r="V939" i="6"/>
  <c r="W939" i="6"/>
  <c r="X939" i="6"/>
  <c r="Y939" i="6"/>
  <c r="Z939" i="6"/>
  <c r="AA939" i="6"/>
  <c r="AB939" i="6"/>
  <c r="AC939" i="6"/>
  <c r="R940" i="6"/>
  <c r="S940" i="6"/>
  <c r="T940" i="6"/>
  <c r="U940" i="6"/>
  <c r="V940" i="6"/>
  <c r="W940" i="6"/>
  <c r="X940" i="6"/>
  <c r="Y940" i="6"/>
  <c r="Z940" i="6"/>
  <c r="AA940" i="6"/>
  <c r="AB940" i="6"/>
  <c r="AC940" i="6"/>
  <c r="R941" i="6"/>
  <c r="S941" i="6"/>
  <c r="T941" i="6"/>
  <c r="U941" i="6"/>
  <c r="V941" i="6"/>
  <c r="W941" i="6"/>
  <c r="X941" i="6"/>
  <c r="Y941" i="6"/>
  <c r="Z941" i="6"/>
  <c r="AA941" i="6"/>
  <c r="AB941" i="6"/>
  <c r="AC941" i="6"/>
  <c r="R942" i="6"/>
  <c r="S942" i="6"/>
  <c r="T942" i="6"/>
  <c r="U942" i="6"/>
  <c r="V942" i="6"/>
  <c r="W942" i="6"/>
  <c r="X942" i="6"/>
  <c r="Y942" i="6"/>
  <c r="Z942" i="6"/>
  <c r="AA942" i="6"/>
  <c r="AB942" i="6"/>
  <c r="AC942" i="6"/>
  <c r="R943" i="6"/>
  <c r="S943" i="6"/>
  <c r="T943" i="6"/>
  <c r="U943" i="6"/>
  <c r="V943" i="6"/>
  <c r="W943" i="6"/>
  <c r="X943" i="6"/>
  <c r="Y943" i="6"/>
  <c r="Z943" i="6"/>
  <c r="AA943" i="6"/>
  <c r="AB943" i="6"/>
  <c r="AC943" i="6"/>
  <c r="R944" i="6"/>
  <c r="S944" i="6"/>
  <c r="T944" i="6"/>
  <c r="U944" i="6"/>
  <c r="V944" i="6"/>
  <c r="W944" i="6"/>
  <c r="X944" i="6"/>
  <c r="Y944" i="6"/>
  <c r="Z944" i="6"/>
  <c r="AA944" i="6"/>
  <c r="AB944" i="6"/>
  <c r="AC944" i="6"/>
  <c r="R945" i="6"/>
  <c r="S945" i="6"/>
  <c r="T945" i="6"/>
  <c r="U945" i="6"/>
  <c r="V945" i="6"/>
  <c r="W945" i="6"/>
  <c r="X945" i="6"/>
  <c r="Y945" i="6"/>
  <c r="Z945" i="6"/>
  <c r="AA945" i="6"/>
  <c r="AB945" i="6"/>
  <c r="AC945" i="6"/>
  <c r="R946" i="6"/>
  <c r="S946" i="6"/>
  <c r="T946" i="6"/>
  <c r="U946" i="6"/>
  <c r="V946" i="6"/>
  <c r="W946" i="6"/>
  <c r="X946" i="6"/>
  <c r="Y946" i="6"/>
  <c r="Z946" i="6"/>
  <c r="AA946" i="6"/>
  <c r="AB946" i="6"/>
  <c r="AC946" i="6"/>
  <c r="R947" i="6"/>
  <c r="S947" i="6"/>
  <c r="T947" i="6"/>
  <c r="U947" i="6"/>
  <c r="V947" i="6"/>
  <c r="W947" i="6"/>
  <c r="X947" i="6"/>
  <c r="Y947" i="6"/>
  <c r="Z947" i="6"/>
  <c r="AA947" i="6"/>
  <c r="AB947" i="6"/>
  <c r="AC947" i="6"/>
  <c r="R948" i="6"/>
  <c r="S948" i="6"/>
  <c r="T948" i="6"/>
  <c r="U948" i="6"/>
  <c r="V948" i="6"/>
  <c r="W948" i="6"/>
  <c r="X948" i="6"/>
  <c r="Y948" i="6"/>
  <c r="Z948" i="6"/>
  <c r="AA948" i="6"/>
  <c r="AB948" i="6"/>
  <c r="AC948" i="6"/>
  <c r="R949" i="6"/>
  <c r="S949" i="6"/>
  <c r="T949" i="6"/>
  <c r="U949" i="6"/>
  <c r="V949" i="6"/>
  <c r="W949" i="6"/>
  <c r="X949" i="6"/>
  <c r="Y949" i="6"/>
  <c r="Z949" i="6"/>
  <c r="AA949" i="6"/>
  <c r="AB949" i="6"/>
  <c r="AC949" i="6"/>
  <c r="R950" i="6"/>
  <c r="S950" i="6"/>
  <c r="T950" i="6"/>
  <c r="U950" i="6"/>
  <c r="V950" i="6"/>
  <c r="W950" i="6"/>
  <c r="X950" i="6"/>
  <c r="Y950" i="6"/>
  <c r="Z950" i="6"/>
  <c r="AA950" i="6"/>
  <c r="AB950" i="6"/>
  <c r="AC950" i="6"/>
  <c r="R951" i="6"/>
  <c r="S951" i="6"/>
  <c r="T951" i="6"/>
  <c r="U951" i="6"/>
  <c r="V951" i="6"/>
  <c r="W951" i="6"/>
  <c r="X951" i="6"/>
  <c r="Y951" i="6"/>
  <c r="Z951" i="6"/>
  <c r="AA951" i="6"/>
  <c r="AB951" i="6"/>
  <c r="AC951" i="6"/>
  <c r="R952" i="6"/>
  <c r="S952" i="6"/>
  <c r="T952" i="6"/>
  <c r="U952" i="6"/>
  <c r="V952" i="6"/>
  <c r="W952" i="6"/>
  <c r="X952" i="6"/>
  <c r="Y952" i="6"/>
  <c r="Z952" i="6"/>
  <c r="AA952" i="6"/>
  <c r="AB952" i="6"/>
  <c r="AC952" i="6"/>
  <c r="R953" i="6"/>
  <c r="S953" i="6"/>
  <c r="T953" i="6"/>
  <c r="U953" i="6"/>
  <c r="V953" i="6"/>
  <c r="W953" i="6"/>
  <c r="X953" i="6"/>
  <c r="Y953" i="6"/>
  <c r="Z953" i="6"/>
  <c r="AA953" i="6"/>
  <c r="AB953" i="6"/>
  <c r="AC953" i="6"/>
  <c r="R954" i="6"/>
  <c r="S954" i="6"/>
  <c r="T954" i="6"/>
  <c r="U954" i="6"/>
  <c r="V954" i="6"/>
  <c r="W954" i="6"/>
  <c r="X954" i="6"/>
  <c r="Y954" i="6"/>
  <c r="Z954" i="6"/>
  <c r="AA954" i="6"/>
  <c r="AB954" i="6"/>
  <c r="AC954" i="6"/>
  <c r="R955" i="6"/>
  <c r="S955" i="6"/>
  <c r="T955" i="6"/>
  <c r="U955" i="6"/>
  <c r="V955" i="6"/>
  <c r="W955" i="6"/>
  <c r="X955" i="6"/>
  <c r="Y955" i="6"/>
  <c r="Z955" i="6"/>
  <c r="AA955" i="6"/>
  <c r="AB955" i="6"/>
  <c r="AC955" i="6"/>
  <c r="R956" i="6"/>
  <c r="S956" i="6"/>
  <c r="T956" i="6"/>
  <c r="U956" i="6"/>
  <c r="V956" i="6"/>
  <c r="W956" i="6"/>
  <c r="X956" i="6"/>
  <c r="Y956" i="6"/>
  <c r="Z956" i="6"/>
  <c r="AA956" i="6"/>
  <c r="AB956" i="6"/>
  <c r="AC956" i="6"/>
  <c r="R957" i="6"/>
  <c r="S957" i="6"/>
  <c r="T957" i="6"/>
  <c r="U957" i="6"/>
  <c r="V957" i="6"/>
  <c r="W957" i="6"/>
  <c r="X957" i="6"/>
  <c r="Y957" i="6"/>
  <c r="Z957" i="6"/>
  <c r="AA957" i="6"/>
  <c r="AB957" i="6"/>
  <c r="AC957" i="6"/>
  <c r="R958" i="6"/>
  <c r="S958" i="6"/>
  <c r="T958" i="6"/>
  <c r="U958" i="6"/>
  <c r="V958" i="6"/>
  <c r="W958" i="6"/>
  <c r="X958" i="6"/>
  <c r="Y958" i="6"/>
  <c r="Z958" i="6"/>
  <c r="AA958" i="6"/>
  <c r="AB958" i="6"/>
  <c r="AC958" i="6"/>
  <c r="R959" i="6"/>
  <c r="S959" i="6"/>
  <c r="T959" i="6"/>
  <c r="U959" i="6"/>
  <c r="V959" i="6"/>
  <c r="W959" i="6"/>
  <c r="X959" i="6"/>
  <c r="Y959" i="6"/>
  <c r="Z959" i="6"/>
  <c r="AA959" i="6"/>
  <c r="AB959" i="6"/>
  <c r="AC959" i="6"/>
  <c r="R960" i="6"/>
  <c r="Q37" i="12" s="1"/>
  <c r="R216" i="30" s="1"/>
  <c r="S960" i="6"/>
  <c r="R37" i="12" s="1"/>
  <c r="S216" i="30" s="1"/>
  <c r="T960" i="6"/>
  <c r="S37" i="12" s="1"/>
  <c r="T216" i="30" s="1"/>
  <c r="U960" i="6"/>
  <c r="T37" i="12" s="1"/>
  <c r="U216" i="30" s="1"/>
  <c r="V960" i="6"/>
  <c r="U37" i="12" s="1"/>
  <c r="V216" i="30" s="1"/>
  <c r="W960" i="6"/>
  <c r="V37" i="12" s="1"/>
  <c r="W216" i="30" s="1"/>
  <c r="X960" i="6"/>
  <c r="W37" i="12" s="1"/>
  <c r="X216" i="30" s="1"/>
  <c r="Y960" i="6"/>
  <c r="X37" i="12" s="1"/>
  <c r="Y216" i="30" s="1"/>
  <c r="Z960" i="6"/>
  <c r="Y37" i="12" s="1"/>
  <c r="Z216" i="30" s="1"/>
  <c r="AA960" i="6"/>
  <c r="Z37" i="12" s="1"/>
  <c r="AA216" i="30" s="1"/>
  <c r="AB960" i="6"/>
  <c r="AA37" i="12" s="1"/>
  <c r="AB216" i="30" s="1"/>
  <c r="AC960" i="6"/>
  <c r="AB37" i="12" s="1"/>
  <c r="AC216" i="30" s="1"/>
  <c r="AG960" i="6"/>
  <c r="AG959" i="6"/>
  <c r="AG958" i="6"/>
  <c r="AG957" i="6"/>
  <c r="AG956" i="6"/>
  <c r="AG955" i="6"/>
  <c r="AG954" i="6"/>
  <c r="AG953" i="6"/>
  <c r="AG952" i="6"/>
  <c r="AG951" i="6"/>
  <c r="AG950" i="6"/>
  <c r="AG949" i="6"/>
  <c r="AG948" i="6"/>
  <c r="AG947" i="6"/>
  <c r="AG946" i="6"/>
  <c r="AG945" i="6"/>
  <c r="AG944" i="6"/>
  <c r="AG943" i="6"/>
  <c r="AG942" i="6"/>
  <c r="AG941" i="6"/>
  <c r="AG940" i="6"/>
  <c r="AG939" i="6"/>
  <c r="AG938" i="6"/>
  <c r="AG937" i="6"/>
  <c r="AG936" i="6"/>
  <c r="AG935" i="6"/>
  <c r="AG934" i="6"/>
  <c r="AG933" i="6"/>
  <c r="AG932" i="6"/>
  <c r="AG931" i="6"/>
  <c r="AG930" i="6"/>
  <c r="AG929" i="6"/>
  <c r="AG928" i="6"/>
  <c r="AG927" i="6"/>
  <c r="AG926" i="6"/>
  <c r="AG925" i="6"/>
  <c r="AG924" i="6"/>
  <c r="AG923" i="6"/>
  <c r="AG922" i="6"/>
  <c r="AG921" i="6"/>
  <c r="AG920" i="6"/>
  <c r="AG919" i="6"/>
  <c r="AG918" i="6"/>
  <c r="AG917" i="6"/>
  <c r="AG916" i="6"/>
  <c r="AG915" i="6"/>
  <c r="AG914" i="6"/>
  <c r="AG913" i="6"/>
  <c r="AG912" i="6"/>
  <c r="AG911" i="6"/>
  <c r="AG910" i="6"/>
  <c r="AG909" i="6"/>
  <c r="AG908" i="6"/>
  <c r="AG907" i="6"/>
  <c r="AG906" i="6"/>
  <c r="AG905" i="6"/>
  <c r="AG904" i="6"/>
  <c r="AG207" i="30" s="1"/>
  <c r="AG903" i="6"/>
  <c r="AG902" i="6"/>
  <c r="AG901" i="6"/>
  <c r="AG900" i="6"/>
  <c r="AG899" i="6"/>
  <c r="AG898" i="6"/>
  <c r="AG897" i="6"/>
  <c r="AG896" i="6"/>
  <c r="AG180" i="30" s="1"/>
  <c r="AG895" i="6"/>
  <c r="AG894" i="6"/>
  <c r="AG893" i="6"/>
  <c r="AG892" i="6"/>
  <c r="AG891" i="6"/>
  <c r="AG890" i="6"/>
  <c r="AG889" i="6"/>
  <c r="AG888" i="6"/>
  <c r="AG887" i="6"/>
  <c r="AG886" i="6"/>
  <c r="AG885" i="6"/>
  <c r="AG884" i="6"/>
  <c r="AG883" i="6"/>
  <c r="AG882" i="6"/>
  <c r="AG881" i="6"/>
  <c r="AG880" i="6"/>
  <c r="AG879" i="6"/>
  <c r="AG878" i="6"/>
  <c r="AG877" i="6"/>
  <c r="AG876" i="6"/>
  <c r="AG875" i="6"/>
  <c r="AG874" i="6"/>
  <c r="AG873" i="6"/>
  <c r="AG169" i="30" s="1"/>
  <c r="AG872" i="6"/>
  <c r="AG204" i="30" s="1"/>
  <c r="AG871" i="6"/>
  <c r="AG870" i="6"/>
  <c r="AG869" i="6"/>
  <c r="AG868" i="6"/>
  <c r="AG867" i="6"/>
  <c r="AG866" i="6"/>
  <c r="AG865" i="6"/>
  <c r="AG864" i="6"/>
  <c r="AG863" i="6"/>
  <c r="AG862" i="6"/>
  <c r="AG861" i="6"/>
  <c r="AG860" i="6"/>
  <c r="AG859" i="6"/>
  <c r="AG858" i="6"/>
  <c r="AG857" i="6"/>
  <c r="AG856" i="6"/>
  <c r="AG855" i="6"/>
  <c r="AG854" i="6"/>
  <c r="AG853" i="6"/>
  <c r="AG852" i="6"/>
  <c r="AG851" i="6"/>
  <c r="AG850" i="6"/>
  <c r="AG849" i="6"/>
  <c r="AG848" i="6"/>
  <c r="AG203" i="30" s="1"/>
  <c r="AG847" i="6"/>
  <c r="AG846" i="6"/>
  <c r="AG845" i="6"/>
  <c r="AG844" i="6"/>
  <c r="AG843" i="6"/>
  <c r="AG842" i="6"/>
  <c r="AG841" i="6"/>
  <c r="AG840" i="6"/>
  <c r="AG839" i="6"/>
  <c r="AG838" i="6"/>
  <c r="AG837" i="6"/>
  <c r="AG836" i="6"/>
  <c r="AG835" i="6"/>
  <c r="AG834" i="6"/>
  <c r="AG833" i="6"/>
  <c r="AG832" i="6"/>
  <c r="AG831" i="6"/>
  <c r="AG830" i="6"/>
  <c r="AG829" i="6"/>
  <c r="AG828" i="6"/>
  <c r="AG827" i="6"/>
  <c r="AG826" i="6"/>
  <c r="AG825" i="6"/>
  <c r="AG824" i="6"/>
  <c r="AG823" i="6"/>
  <c r="AG822" i="6"/>
  <c r="AG821" i="6"/>
  <c r="AG820" i="6"/>
  <c r="AG819" i="6"/>
  <c r="AG818" i="6"/>
  <c r="AG208" i="30" s="1"/>
  <c r="AG817" i="6"/>
  <c r="AG816" i="6"/>
  <c r="AG232" i="30" s="1"/>
  <c r="AG815" i="6"/>
  <c r="AG224" i="30" s="1"/>
  <c r="AG814" i="6"/>
  <c r="AG813" i="6"/>
  <c r="AG812" i="6"/>
  <c r="AG811" i="6"/>
  <c r="AG810" i="6"/>
  <c r="AG809" i="6"/>
  <c r="AG808" i="6"/>
  <c r="AG807" i="6"/>
  <c r="AG806" i="6"/>
  <c r="AG805" i="6"/>
  <c r="AG804" i="6"/>
  <c r="AG803" i="6"/>
  <c r="AG802" i="6"/>
  <c r="AG801" i="6"/>
  <c r="AG800" i="6"/>
  <c r="AG799" i="6"/>
  <c r="AG798" i="6"/>
  <c r="AG797" i="6"/>
  <c r="AG796" i="6"/>
  <c r="AG795" i="6"/>
  <c r="AG158" i="30" s="1"/>
  <c r="AG794" i="6"/>
  <c r="AG793" i="6"/>
  <c r="AG792" i="6"/>
  <c r="AG791" i="6"/>
  <c r="AG790" i="6"/>
  <c r="AG789" i="6"/>
  <c r="AG788" i="6"/>
  <c r="AG787" i="6"/>
  <c r="AG786" i="6"/>
  <c r="AG785" i="6"/>
  <c r="AG784" i="6"/>
  <c r="AG783" i="6"/>
  <c r="AG782" i="6"/>
  <c r="AG781" i="6"/>
  <c r="AG780" i="6"/>
  <c r="AG779" i="6"/>
  <c r="AG778" i="6"/>
  <c r="AG777" i="6"/>
  <c r="AG776" i="6"/>
  <c r="AG775" i="6"/>
  <c r="AG774" i="6"/>
  <c r="AG773" i="6"/>
  <c r="AG772" i="6"/>
  <c r="AG771" i="6"/>
  <c r="AG770" i="6"/>
  <c r="AG769" i="6"/>
  <c r="AG768" i="6"/>
  <c r="AG767" i="6"/>
  <c r="AG766" i="6"/>
  <c r="AG174" i="30" s="1"/>
  <c r="AG765" i="6"/>
  <c r="AG764" i="6"/>
  <c r="AG763" i="6"/>
  <c r="AG762" i="6"/>
  <c r="AG761" i="6"/>
  <c r="AG760" i="6"/>
  <c r="AG759" i="6"/>
  <c r="AG758" i="6"/>
  <c r="AG757" i="6"/>
  <c r="AG170" i="30" s="1"/>
  <c r="AG756" i="6"/>
  <c r="AG755" i="6"/>
  <c r="AG754" i="6"/>
  <c r="AG753" i="6"/>
  <c r="AG752" i="6"/>
  <c r="AG751" i="6"/>
  <c r="AG750" i="6"/>
  <c r="AG749" i="6"/>
  <c r="AG748" i="6"/>
  <c r="AG747" i="6"/>
  <c r="AG746" i="6"/>
  <c r="AG745" i="6"/>
  <c r="AG744" i="6"/>
  <c r="AG743" i="6"/>
  <c r="AG177" i="30" s="1"/>
  <c r="AG742" i="6"/>
  <c r="AG741" i="6"/>
  <c r="AG740" i="6"/>
  <c r="AG739" i="6"/>
  <c r="AG738" i="6"/>
  <c r="AG737" i="6"/>
  <c r="AG736" i="6"/>
  <c r="AG735" i="6"/>
  <c r="AG734" i="6"/>
  <c r="AG733" i="6"/>
  <c r="AG732" i="6"/>
  <c r="AG731" i="6"/>
  <c r="AG730" i="6"/>
  <c r="AG729" i="6"/>
  <c r="AG728" i="6"/>
  <c r="AG727" i="6"/>
  <c r="AG726" i="6"/>
  <c r="AG725" i="6"/>
  <c r="AG724" i="6"/>
  <c r="AG723" i="6"/>
  <c r="AG722" i="6"/>
  <c r="AG721" i="6"/>
  <c r="AG720" i="6"/>
  <c r="AG719" i="6"/>
  <c r="AG718" i="6"/>
  <c r="AG717" i="6"/>
  <c r="AG716" i="6"/>
  <c r="AG715" i="6"/>
  <c r="AG714" i="6"/>
  <c r="AG713" i="6"/>
  <c r="AG244" i="30" s="1"/>
  <c r="AG712" i="6"/>
  <c r="AG711" i="6"/>
  <c r="AG710" i="6"/>
  <c r="AG709" i="6"/>
  <c r="AG708" i="6"/>
  <c r="AG707" i="6"/>
  <c r="AG706" i="6"/>
  <c r="AG705" i="6"/>
  <c r="AG704" i="6"/>
  <c r="AG703" i="6"/>
  <c r="AG702" i="6"/>
  <c r="AG701" i="6"/>
  <c r="AG700" i="6"/>
  <c r="AG699" i="6"/>
  <c r="AG698" i="6"/>
  <c r="AG697" i="6"/>
  <c r="AG696" i="6"/>
  <c r="AG236" i="30" s="1"/>
  <c r="AG695" i="6"/>
  <c r="AG694" i="6"/>
  <c r="AG693" i="6"/>
  <c r="AG237" i="30" s="1"/>
  <c r="AG692" i="6"/>
  <c r="AG691" i="6"/>
  <c r="AG690" i="6"/>
  <c r="AG689" i="6"/>
  <c r="AG688" i="6"/>
  <c r="AG687" i="6"/>
  <c r="AG686" i="6"/>
  <c r="AG685" i="6"/>
  <c r="AG684" i="6"/>
  <c r="AG683" i="6"/>
  <c r="AG682" i="6"/>
  <c r="AG681" i="6"/>
  <c r="AG680" i="6"/>
  <c r="AG679" i="6"/>
  <c r="AG678" i="6"/>
  <c r="AG677" i="6"/>
  <c r="AG676" i="6"/>
  <c r="AG675" i="6"/>
  <c r="AG674" i="6"/>
  <c r="AG673" i="6"/>
  <c r="AG672" i="6"/>
  <c r="AG671" i="6"/>
  <c r="AG670" i="6"/>
  <c r="AG669" i="6"/>
  <c r="AG668" i="6"/>
  <c r="AG667" i="6"/>
  <c r="AG666" i="6"/>
  <c r="AG665" i="6"/>
  <c r="AG664" i="6"/>
  <c r="AG663" i="6"/>
  <c r="AG662" i="6"/>
  <c r="AG661" i="6"/>
  <c r="AG660" i="6"/>
  <c r="AG659" i="6"/>
  <c r="AG658" i="6"/>
  <c r="AG657" i="6"/>
  <c r="AG656" i="6"/>
  <c r="AG655" i="6"/>
  <c r="AG654" i="6"/>
  <c r="AG653" i="6"/>
  <c r="AG652" i="6"/>
  <c r="AG651" i="6"/>
  <c r="AG650" i="6"/>
  <c r="AG649" i="6"/>
  <c r="AG648" i="6"/>
  <c r="AG647" i="6"/>
  <c r="AG646" i="6"/>
  <c r="AG645" i="6"/>
  <c r="AG644" i="6"/>
  <c r="AG211" i="30" s="1"/>
  <c r="AG643" i="6"/>
  <c r="AG642" i="6"/>
  <c r="AG641" i="6"/>
  <c r="AG640" i="6"/>
  <c r="AG639" i="6"/>
  <c r="AG638" i="6"/>
  <c r="AG637" i="6"/>
  <c r="AG636" i="6"/>
  <c r="AG635" i="6"/>
  <c r="AG193" i="30" s="1"/>
  <c r="AG634" i="6"/>
  <c r="AG633" i="6"/>
  <c r="AG632" i="6"/>
  <c r="AG631" i="6"/>
  <c r="AG630" i="6"/>
  <c r="AG167" i="30" s="1"/>
  <c r="AG629" i="6"/>
  <c r="AG628" i="6"/>
  <c r="AG627" i="6"/>
  <c r="AG168" i="30" s="1"/>
  <c r="AG626" i="6"/>
  <c r="AG625" i="6"/>
  <c r="AG624" i="6"/>
  <c r="AG172" i="30" s="1"/>
  <c r="AG623" i="6"/>
  <c r="AG622" i="6"/>
  <c r="AG621" i="6"/>
  <c r="AG620" i="6"/>
  <c r="AG229" i="30" s="1"/>
  <c r="AG619" i="6"/>
  <c r="AG233" i="30" s="1"/>
  <c r="AG618" i="6"/>
  <c r="AG617" i="6"/>
  <c r="AG616" i="6"/>
  <c r="AG615" i="6"/>
  <c r="AG614" i="6"/>
  <c r="AG613" i="6"/>
  <c r="AG166" i="30" s="1"/>
  <c r="AG612" i="6"/>
  <c r="AG611" i="6"/>
  <c r="AG610" i="6"/>
  <c r="AG609" i="6"/>
  <c r="AG608" i="6"/>
  <c r="AG607" i="6"/>
  <c r="AG606" i="6"/>
  <c r="AG605" i="6"/>
  <c r="AG604" i="6"/>
  <c r="AG603" i="6"/>
  <c r="AG602" i="6"/>
  <c r="AG601" i="6"/>
  <c r="AG600" i="6"/>
  <c r="AG599" i="6"/>
  <c r="AG598" i="6"/>
  <c r="AG225" i="30" s="1"/>
  <c r="AG596" i="6"/>
  <c r="AG223" i="30" s="1"/>
  <c r="AG595" i="6"/>
  <c r="AG593" i="6"/>
  <c r="AG592" i="6"/>
  <c r="AG591" i="6"/>
  <c r="AG590" i="6"/>
  <c r="AG589" i="6"/>
  <c r="AG588" i="6"/>
  <c r="AG587" i="6"/>
  <c r="AG586" i="6"/>
  <c r="AG585" i="6"/>
  <c r="AG584" i="6"/>
  <c r="AG583" i="6"/>
  <c r="AG582" i="6"/>
  <c r="AG581" i="6"/>
  <c r="AG580" i="6"/>
  <c r="AG579" i="6"/>
  <c r="AG578" i="6"/>
  <c r="AG577" i="6"/>
  <c r="AG576" i="6"/>
  <c r="AG575" i="6"/>
  <c r="AG574" i="6"/>
  <c r="AG573" i="6"/>
  <c r="AG572" i="6"/>
  <c r="AG571" i="6"/>
  <c r="AG570" i="6"/>
  <c r="AG569" i="6"/>
  <c r="AG568" i="6"/>
  <c r="AG567" i="6"/>
  <c r="AG566" i="6"/>
  <c r="AG565" i="6"/>
  <c r="AG564" i="6"/>
  <c r="AG563" i="6"/>
  <c r="AG562" i="6"/>
  <c r="AG561" i="6"/>
  <c r="AG560" i="6"/>
  <c r="AG559" i="6"/>
  <c r="AG558" i="6"/>
  <c r="AG557" i="6"/>
  <c r="AG556" i="6"/>
  <c r="AG555" i="6"/>
  <c r="AG554" i="6"/>
  <c r="AG553" i="6"/>
  <c r="AG552" i="6"/>
  <c r="AG551" i="6"/>
  <c r="AG550" i="6"/>
  <c r="AG549" i="6"/>
  <c r="AG548" i="6"/>
  <c r="AG547" i="6"/>
  <c r="AG546" i="6"/>
  <c r="AG545" i="6"/>
  <c r="AG544" i="6"/>
  <c r="AG543" i="6"/>
  <c r="AG542" i="6"/>
  <c r="AG541" i="6"/>
  <c r="AG540" i="6"/>
  <c r="AG539" i="6"/>
  <c r="AG538" i="6"/>
  <c r="AG537" i="6"/>
  <c r="AG536" i="6"/>
  <c r="AG535" i="6"/>
  <c r="AG534" i="6"/>
  <c r="AG533" i="6"/>
  <c r="AG532" i="6"/>
  <c r="AG531" i="6"/>
  <c r="AG530" i="6"/>
  <c r="AG529" i="6"/>
  <c r="AG528" i="6"/>
  <c r="AG527" i="6"/>
  <c r="AG526" i="6"/>
  <c r="AG525" i="6"/>
  <c r="AG524" i="6"/>
  <c r="AG523" i="6"/>
  <c r="AG522" i="6"/>
  <c r="AG521" i="6"/>
  <c r="AG520" i="6"/>
  <c r="AG519" i="6"/>
  <c r="AG518" i="6"/>
  <c r="AG517" i="6"/>
  <c r="AG516" i="6"/>
  <c r="AG515" i="6"/>
  <c r="AG514" i="6"/>
  <c r="AG513" i="6"/>
  <c r="AG512" i="6"/>
  <c r="AG511" i="6"/>
  <c r="AG510" i="6"/>
  <c r="AG509" i="6"/>
  <c r="AG508" i="6"/>
  <c r="AG507" i="6"/>
  <c r="AG506" i="6"/>
  <c r="AG505" i="6"/>
  <c r="AG504" i="6"/>
  <c r="AG503" i="6"/>
  <c r="AG502" i="6"/>
  <c r="AG501" i="6"/>
  <c r="AG500" i="6"/>
  <c r="AG499" i="6"/>
  <c r="AG498" i="6"/>
  <c r="AG497" i="6"/>
  <c r="AG496" i="6"/>
  <c r="AG495" i="6"/>
  <c r="AG494" i="6"/>
  <c r="AG493" i="6"/>
  <c r="AG492"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AG199" i="30" l="1"/>
  <c r="S175" i="30"/>
  <c r="AG202" i="30"/>
  <c r="AG248" i="30"/>
  <c r="AG238" i="30"/>
  <c r="AG191" i="30"/>
  <c r="AG209" i="30"/>
  <c r="AG165" i="30"/>
  <c r="AG231" i="30"/>
  <c r="AG176" i="30"/>
  <c r="AG205" i="30"/>
  <c r="AG175" i="30"/>
  <c r="AG201" i="30"/>
  <c r="AG162" i="30"/>
  <c r="W195" i="30"/>
  <c r="AG195" i="30"/>
  <c r="AG171" i="30"/>
  <c r="AG210" i="30"/>
  <c r="AG230" i="30"/>
  <c r="AG245" i="30"/>
  <c r="AG190" i="30"/>
  <c r="AG200" i="30"/>
  <c r="AG242" i="30"/>
  <c r="AG206" i="30"/>
  <c r="AG226" i="30"/>
  <c r="AG192" i="30"/>
  <c r="AG197" i="30"/>
  <c r="AA176" i="30"/>
  <c r="AC245" i="30"/>
  <c r="S190" i="30"/>
  <c r="R190" i="30"/>
  <c r="V160" i="30"/>
  <c r="S178" i="30"/>
  <c r="AC162" i="30"/>
  <c r="AB162" i="30"/>
  <c r="S195" i="30"/>
  <c r="AC248" i="30"/>
  <c r="AA162" i="30"/>
  <c r="Z162" i="30"/>
  <c r="Y162" i="30"/>
  <c r="X248" i="30"/>
  <c r="X162" i="30"/>
  <c r="W162" i="30"/>
  <c r="V162" i="30"/>
  <c r="AA171" i="30"/>
  <c r="U162" i="30"/>
  <c r="T162" i="30"/>
  <c r="S162" i="30"/>
  <c r="R162" i="30"/>
  <c r="AB195" i="30"/>
  <c r="W238" i="30"/>
  <c r="AA199" i="30"/>
  <c r="T156" i="30"/>
  <c r="AB248" i="30"/>
  <c r="R195" i="30"/>
  <c r="R171" i="30"/>
  <c r="S230" i="30"/>
  <c r="AC195" i="30"/>
  <c r="V156" i="30"/>
  <c r="T191" i="30"/>
  <c r="AB202" i="30"/>
  <c r="Y202" i="30"/>
  <c r="AA245" i="30"/>
  <c r="Z238" i="30"/>
  <c r="AB165" i="30"/>
  <c r="Y209" i="30"/>
  <c r="U168" i="30"/>
  <c r="AB171" i="30"/>
  <c r="V201" i="30"/>
  <c r="X238" i="30"/>
  <c r="T168" i="30"/>
  <c r="R160" i="30"/>
  <c r="AA195" i="30"/>
  <c r="U156" i="30"/>
  <c r="U201" i="30"/>
  <c r="AA190" i="30"/>
  <c r="S168" i="30"/>
  <c r="Y165" i="30"/>
  <c r="T201" i="30"/>
  <c r="R168" i="30"/>
  <c r="X165" i="30"/>
  <c r="T205" i="30"/>
  <c r="AA202" i="30"/>
  <c r="S156" i="30"/>
  <c r="U238" i="30"/>
  <c r="S205" i="30"/>
  <c r="Z202" i="30"/>
  <c r="R156" i="30"/>
  <c r="V226" i="30"/>
  <c r="V227" i="30" s="1"/>
  <c r="R205" i="30"/>
  <c r="BC205" i="30" s="1"/>
  <c r="U226" i="30"/>
  <c r="U227" i="30" s="1"/>
  <c r="W202" i="30"/>
  <c r="AC231" i="30"/>
  <c r="S171" i="30"/>
  <c r="S248" i="30"/>
  <c r="AA178" i="30"/>
  <c r="U242" i="30"/>
  <c r="S242" i="30"/>
  <c r="U192" i="30"/>
  <c r="AC238" i="30"/>
  <c r="U206" i="30"/>
  <c r="AC230" i="30"/>
  <c r="AA175" i="30"/>
  <c r="AA231" i="30"/>
  <c r="AA205" i="30"/>
  <c r="Y171" i="30"/>
  <c r="S199" i="30"/>
  <c r="U197" i="30"/>
  <c r="T197" i="30"/>
  <c r="Z156" i="30"/>
  <c r="Z178" i="30"/>
  <c r="R242" i="30"/>
  <c r="AB245" i="30"/>
  <c r="T192" i="30"/>
  <c r="AB238" i="30"/>
  <c r="T206" i="30"/>
  <c r="AB230" i="30"/>
  <c r="Z175" i="30"/>
  <c r="Z231" i="30"/>
  <c r="Z205" i="30"/>
  <c r="X171" i="30"/>
  <c r="R199" i="30"/>
  <c r="BC199" i="30" s="1"/>
  <c r="X191" i="30"/>
  <c r="W191" i="30"/>
  <c r="V191" i="30"/>
  <c r="U191" i="30"/>
  <c r="AC209" i="30"/>
  <c r="U200" i="30"/>
  <c r="Y201" i="30"/>
  <c r="Y178" i="30"/>
  <c r="Y206" i="30"/>
  <c r="U205" i="30"/>
  <c r="AA209" i="30"/>
  <c r="AA238" i="30"/>
  <c r="W168" i="30"/>
  <c r="S206" i="30"/>
  <c r="AA230" i="30"/>
  <c r="Y175" i="30"/>
  <c r="AC165" i="30"/>
  <c r="Y231" i="30"/>
  <c r="AA210" i="30"/>
  <c r="Y205" i="30"/>
  <c r="U160" i="30"/>
  <c r="Z201" i="30"/>
  <c r="X168" i="30"/>
  <c r="AB210" i="30"/>
  <c r="S197" i="30"/>
  <c r="Z248" i="30"/>
  <c r="X156" i="30"/>
  <c r="T245" i="30"/>
  <c r="X201" i="30"/>
  <c r="Z200" i="30"/>
  <c r="X178" i="30"/>
  <c r="Z209" i="30"/>
  <c r="X210" i="30"/>
  <c r="V168" i="30"/>
  <c r="R206" i="30"/>
  <c r="BC206" i="30" s="1"/>
  <c r="Z230" i="30"/>
  <c r="X175" i="30"/>
  <c r="Z210" i="30"/>
  <c r="T160" i="30"/>
  <c r="Y156" i="30"/>
  <c r="R197" i="30"/>
  <c r="X226" i="30"/>
  <c r="X227" i="30" s="1"/>
  <c r="W248" i="30"/>
  <c r="W156" i="30"/>
  <c r="S245" i="30"/>
  <c r="W226" i="30"/>
  <c r="W227" i="30" s="1"/>
  <c r="AC171" i="30"/>
  <c r="W201" i="30"/>
  <c r="Y200" i="30"/>
  <c r="W178" i="30"/>
  <c r="AC242" i="30"/>
  <c r="AC190" i="30"/>
  <c r="Y238" i="30"/>
  <c r="W175" i="30"/>
  <c r="AA165" i="30"/>
  <c r="AA200" i="30"/>
  <c r="Y210" i="30"/>
  <c r="AC199" i="30"/>
  <c r="Y191" i="30"/>
  <c r="S160" i="30"/>
  <c r="AA201" i="30"/>
  <c r="Y168" i="30"/>
  <c r="AC210" i="30"/>
  <c r="W176" i="30"/>
  <c r="V200" i="30"/>
  <c r="AB209" i="30"/>
  <c r="AA248" i="30"/>
  <c r="R231" i="30"/>
  <c r="BC231" i="30" s="1"/>
  <c r="AC202" i="30"/>
  <c r="Y248" i="30"/>
  <c r="AB190" i="30"/>
  <c r="Z165" i="30"/>
  <c r="AB199" i="30"/>
  <c r="V238" i="30"/>
  <c r="R201" i="30"/>
  <c r="BC201" i="30" s="1"/>
  <c r="W165" i="30"/>
  <c r="AC168" i="30"/>
  <c r="V175" i="30"/>
  <c r="X209" i="30"/>
  <c r="V209" i="30"/>
  <c r="V178" i="30"/>
  <c r="X202" i="30"/>
  <c r="Z195" i="30"/>
  <c r="AB197" i="30"/>
  <c r="X197" i="30"/>
  <c r="V195" i="30"/>
  <c r="T226" i="30"/>
  <c r="T227" i="30" s="1"/>
  <c r="V248" i="30"/>
  <c r="R245" i="30"/>
  <c r="Z192" i="30"/>
  <c r="X192" i="30"/>
  <c r="V190" i="30"/>
  <c r="R238" i="30"/>
  <c r="T165" i="30"/>
  <c r="T200" i="30"/>
  <c r="Z176" i="30"/>
  <c r="V199" i="30"/>
  <c r="R191" i="30"/>
  <c r="AB160" i="30"/>
  <c r="Z160" i="30"/>
  <c r="S201" i="30"/>
  <c r="U175" i="30"/>
  <c r="W209" i="30"/>
  <c r="U209" i="30"/>
  <c r="W200" i="30"/>
  <c r="U178" i="30"/>
  <c r="Y195" i="30"/>
  <c r="AC197" i="30"/>
  <c r="AA197" i="30"/>
  <c r="W197" i="30"/>
  <c r="U195" i="30"/>
  <c r="AC156" i="30"/>
  <c r="AC201" i="30"/>
  <c r="AC176" i="30"/>
  <c r="U248" i="30"/>
  <c r="AC178" i="30"/>
  <c r="AC206" i="30"/>
  <c r="Y190" i="30"/>
  <c r="AA192" i="30"/>
  <c r="Y192" i="30"/>
  <c r="W192" i="30"/>
  <c r="U190" i="30"/>
  <c r="AA168" i="30"/>
  <c r="Y199" i="30"/>
  <c r="W206" i="30"/>
  <c r="AC175" i="30"/>
  <c r="S165" i="30"/>
  <c r="AC205" i="30"/>
  <c r="Y176" i="30"/>
  <c r="U199" i="30"/>
  <c r="AC160" i="30"/>
  <c r="AA160" i="30"/>
  <c r="Y160" i="30"/>
  <c r="T175" i="30"/>
  <c r="T178" i="30"/>
  <c r="X195" i="30"/>
  <c r="T195" i="30"/>
  <c r="X200" i="30"/>
  <c r="AB201" i="30"/>
  <c r="AB176" i="30"/>
  <c r="T248" i="30"/>
  <c r="AB178" i="30"/>
  <c r="T242" i="30"/>
  <c r="V192" i="30"/>
  <c r="T190" i="30"/>
  <c r="Z168" i="30"/>
  <c r="X199" i="30"/>
  <c r="V206" i="30"/>
  <c r="AB175" i="30"/>
  <c r="R165" i="30"/>
  <c r="AB231" i="30"/>
  <c r="AB205" i="30"/>
  <c r="Z171" i="30"/>
  <c r="X176" i="30"/>
  <c r="T199" i="30"/>
  <c r="R248" i="30"/>
  <c r="AA191" i="30"/>
  <c r="R192" i="30"/>
  <c r="V171" i="30"/>
  <c r="U171" i="30"/>
  <c r="S176" i="30"/>
  <c r="AA242" i="30"/>
  <c r="AC192" i="30"/>
  <c r="W230" i="30"/>
  <c r="U231" i="30"/>
  <c r="V245" i="30"/>
  <c r="V230" i="30"/>
  <c r="Z197" i="30"/>
  <c r="Y197" i="30"/>
  <c r="W242" i="30"/>
  <c r="S209" i="30"/>
  <c r="S238" i="30"/>
  <c r="V242" i="30"/>
  <c r="R209" i="30"/>
  <c r="BC209" i="30" s="1"/>
  <c r="AB168" i="30"/>
  <c r="X206" i="30"/>
  <c r="R230" i="30"/>
  <c r="BC230" i="30" s="1"/>
  <c r="R210" i="30"/>
  <c r="BC210" i="30" s="1"/>
  <c r="S226" i="30"/>
  <c r="S227" i="30" s="1"/>
  <c r="U165" i="30"/>
  <c r="S200" i="30"/>
  <c r="AB156" i="30"/>
  <c r="R226" i="30"/>
  <c r="AB206" i="30"/>
  <c r="R200" i="30"/>
  <c r="BC200" i="30" s="1"/>
  <c r="X160" i="30"/>
  <c r="V202" i="30"/>
  <c r="AA156" i="30"/>
  <c r="AC191" i="30"/>
  <c r="W160" i="30"/>
  <c r="U202" i="30"/>
  <c r="AB191" i="30"/>
  <c r="Y226" i="30"/>
  <c r="Y227" i="30" s="1"/>
  <c r="V197" i="30"/>
  <c r="AC226" i="30"/>
  <c r="AC227" i="30" s="1"/>
  <c r="R202" i="30"/>
  <c r="BC202" i="30" s="1"/>
  <c r="Z245" i="30"/>
  <c r="X231" i="30"/>
  <c r="X205" i="30"/>
  <c r="T176" i="30"/>
  <c r="W210" i="30"/>
  <c r="W205" i="30"/>
  <c r="AB242" i="30"/>
  <c r="V231" i="30"/>
  <c r="S210" i="30"/>
  <c r="Z242" i="30"/>
  <c r="Z190" i="30"/>
  <c r="T231" i="30"/>
  <c r="Z199" i="30"/>
  <c r="V176" i="30"/>
  <c r="S202" i="30"/>
  <c r="S192" i="30"/>
  <c r="AC200" i="30"/>
  <c r="U176" i="30"/>
  <c r="AB200" i="30"/>
  <c r="Z191" i="30"/>
  <c r="Z226" i="30"/>
  <c r="Z227" i="30" s="1"/>
  <c r="V205" i="30"/>
  <c r="R176" i="30"/>
  <c r="W245" i="30"/>
  <c r="Y242" i="30"/>
  <c r="U245" i="30"/>
  <c r="AA206" i="30"/>
  <c r="U230" i="30"/>
  <c r="S231" i="30"/>
  <c r="U210" i="30"/>
  <c r="T202" i="30"/>
  <c r="W171" i="30"/>
  <c r="AB226" i="30"/>
  <c r="AB227" i="30" s="1"/>
  <c r="AA226" i="30"/>
  <c r="AA227" i="30" s="1"/>
  <c r="Y245" i="30"/>
  <c r="Y230" i="30"/>
  <c r="W231" i="30"/>
  <c r="X245" i="30"/>
  <c r="V210" i="30"/>
  <c r="X230" i="30"/>
  <c r="T171" i="30"/>
  <c r="AB192" i="30"/>
  <c r="R178" i="30"/>
  <c r="X242" i="30"/>
  <c r="T209" i="30"/>
  <c r="X190" i="30"/>
  <c r="T238" i="30"/>
  <c r="Z206" i="30"/>
  <c r="T230" i="30"/>
  <c r="R175" i="30"/>
  <c r="V165" i="30"/>
  <c r="T210" i="30"/>
  <c r="S189" i="30" l="1"/>
  <c r="W194" i="30"/>
  <c r="AC246" i="30"/>
  <c r="S194" i="30"/>
  <c r="S181" i="30"/>
  <c r="V163" i="30"/>
  <c r="AB173" i="30"/>
  <c r="U194" i="30"/>
  <c r="AC194" i="30"/>
  <c r="AB194" i="30"/>
  <c r="T194" i="30"/>
  <c r="R173" i="30"/>
  <c r="BC173" i="30" s="1"/>
  <c r="R194" i="30"/>
  <c r="BC197" i="30"/>
  <c r="R227" i="30"/>
  <c r="BC226" i="30"/>
  <c r="U246" i="30"/>
  <c r="AB246" i="30"/>
  <c r="U189" i="30"/>
  <c r="T163" i="30"/>
  <c r="AA246" i="30"/>
  <c r="Z181" i="30"/>
  <c r="X173" i="30"/>
  <c r="R246" i="30"/>
  <c r="W239" i="30"/>
  <c r="W240" i="30" s="1"/>
  <c r="U181" i="30"/>
  <c r="S163" i="30"/>
  <c r="S246" i="30"/>
  <c r="Z239" i="30"/>
  <c r="Z240" i="30" s="1"/>
  <c r="Y173" i="30"/>
  <c r="S173" i="30"/>
  <c r="AB239" i="30"/>
  <c r="AB240" i="30" s="1"/>
  <c r="AA181" i="30"/>
  <c r="AA239" i="30"/>
  <c r="AA240" i="30" s="1"/>
  <c r="Y181" i="30"/>
  <c r="AC239" i="30"/>
  <c r="AC240" i="30" s="1"/>
  <c r="Z163" i="30"/>
  <c r="X194" i="30"/>
  <c r="W189" i="30"/>
  <c r="W163" i="30"/>
  <c r="AC189" i="30"/>
  <c r="S239" i="30"/>
  <c r="S240" i="30" s="1"/>
  <c r="U239" i="30"/>
  <c r="U240" i="30" s="1"/>
  <c r="X246" i="30"/>
  <c r="T189" i="30"/>
  <c r="W173" i="30"/>
  <c r="U163" i="30"/>
  <c r="R163" i="30"/>
  <c r="AA194" i="30"/>
  <c r="R189" i="30"/>
  <c r="X239" i="30"/>
  <c r="X240" i="30" s="1"/>
  <c r="AA189" i="30"/>
  <c r="V173" i="30"/>
  <c r="T246" i="30"/>
  <c r="AB181" i="30"/>
  <c r="AA173" i="30"/>
  <c r="X163" i="30"/>
  <c r="X189" i="30"/>
  <c r="V246" i="30"/>
  <c r="Z173" i="30"/>
  <c r="R239" i="30"/>
  <c r="W181" i="30"/>
  <c r="T181" i="30"/>
  <c r="Y189" i="30"/>
  <c r="Y194" i="30"/>
  <c r="V181" i="30"/>
  <c r="V189" i="30"/>
  <c r="X181" i="30"/>
  <c r="W246" i="30"/>
  <c r="T239" i="30"/>
  <c r="T240" i="30" s="1"/>
  <c r="AC163" i="30"/>
  <c r="AC173" i="30"/>
  <c r="Z194" i="30"/>
  <c r="Y246" i="30"/>
  <c r="Z189" i="30"/>
  <c r="AC181" i="30"/>
  <c r="V194" i="30"/>
  <c r="R181" i="30"/>
  <c r="Y239" i="30"/>
  <c r="Y240" i="30" s="1"/>
  <c r="AB189" i="30"/>
  <c r="V239" i="30"/>
  <c r="V240" i="30" s="1"/>
  <c r="U173" i="30"/>
  <c r="AA163" i="30"/>
  <c r="T173" i="30"/>
  <c r="Y163" i="30"/>
  <c r="Z246" i="30"/>
  <c r="AB163" i="30"/>
  <c r="AB212" i="30" l="1"/>
  <c r="S212" i="30"/>
  <c r="W212" i="30"/>
  <c r="T212" i="30"/>
  <c r="U212" i="30"/>
  <c r="R240" i="30"/>
  <c r="R212" i="30"/>
  <c r="AC212" i="30"/>
  <c r="X212" i="30"/>
  <c r="AA212" i="30"/>
  <c r="V212" i="30"/>
  <c r="Y212" i="30"/>
  <c r="Z212" i="30"/>
  <c r="AD384" i="30"/>
  <c r="AD179" i="30" s="1"/>
  <c r="AF385" i="30"/>
  <c r="AE385" i="30"/>
  <c r="AF384" i="30"/>
  <c r="AF179" i="30" s="1"/>
  <c r="AE384" i="30"/>
  <c r="AE179" i="30" s="1"/>
  <c r="AD385" i="30"/>
  <c r="AD364" i="30"/>
  <c r="AD386" i="30" l="1"/>
  <c r="AF338" i="30" l="1"/>
  <c r="AE338" i="30"/>
  <c r="AD338" i="30"/>
  <c r="AG385" i="30"/>
  <c r="AG179" i="30"/>
  <c r="AG364" i="30"/>
  <c r="AF364" i="30"/>
  <c r="AF386" i="30" s="1"/>
  <c r="AE364" i="30"/>
  <c r="AE386" i="30" s="1"/>
  <c r="AD359" i="30"/>
  <c r="AD360" i="30"/>
  <c r="AD234" i="30" s="1"/>
  <c r="AF360" i="30"/>
  <c r="AF234" i="30" s="1"/>
  <c r="AE360" i="30"/>
  <c r="AE234" i="30" s="1"/>
  <c r="AF359" i="30"/>
  <c r="AF178" i="30" s="1"/>
  <c r="AE359" i="30"/>
  <c r="AE178" i="30" s="1"/>
  <c r="AG338" i="30"/>
  <c r="AH338" i="30"/>
  <c r="AI338" i="30"/>
  <c r="AJ338" i="30"/>
  <c r="AK338" i="30"/>
  <c r="AL338" i="30"/>
  <c r="AM338" i="30"/>
  <c r="AN338" i="30"/>
  <c r="AO338" i="30"/>
  <c r="AF37" i="12"/>
  <c r="AH37" i="12"/>
  <c r="AI37" i="12"/>
  <c r="AJ37" i="12"/>
  <c r="AK37" i="12"/>
  <c r="AL37" i="12"/>
  <c r="AM37" i="12"/>
  <c r="AN37" i="12"/>
  <c r="AF960" i="6"/>
  <c r="AE37" i="12" s="1"/>
  <c r="AE960" i="6"/>
  <c r="AD37" i="12" s="1"/>
  <c r="AD960" i="6"/>
  <c r="AC37" i="12" s="1"/>
  <c r="A957" i="6"/>
  <c r="A958" i="6"/>
  <c r="A959" i="6"/>
  <c r="D960" i="6"/>
  <c r="BE178" i="30" l="1"/>
  <c r="BD179" i="30"/>
  <c r="BE179" i="30"/>
  <c r="AG234" i="30"/>
  <c r="BD234" i="30" s="1"/>
  <c r="AG235" i="30"/>
  <c r="AG37" i="12"/>
  <c r="AE361" i="30"/>
  <c r="AE235" i="30" s="1"/>
  <c r="AF361" i="30"/>
  <c r="AF235" i="30" s="1"/>
  <c r="AD178" i="30"/>
  <c r="AD361" i="30"/>
  <c r="AD235" i="30" s="1"/>
  <c r="AG362" i="30"/>
  <c r="BD235" i="30" l="1"/>
  <c r="AD362" i="30"/>
  <c r="AE362" i="30"/>
  <c r="AF362" i="30"/>
  <c r="AE196" i="30" l="1"/>
  <c r="AF196" i="30"/>
  <c r="BE196" i="30" s="1"/>
  <c r="AV196" i="30"/>
  <c r="AE198" i="30"/>
  <c r="AF198" i="30"/>
  <c r="BE198" i="30" s="1"/>
  <c r="AV198" i="30"/>
  <c r="AD198" i="30"/>
  <c r="AD196" i="30"/>
  <c r="A757" i="6"/>
  <c r="AF25" i="7"/>
  <c r="AF26" i="7"/>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AV207" i="30"/>
  <c r="AV180" i="30"/>
  <c r="AV169" i="30"/>
  <c r="AV204" i="30"/>
  <c r="AG159" i="30"/>
  <c r="AV159" i="30" s="1"/>
  <c r="AV208" i="30"/>
  <c r="AV158" i="30"/>
  <c r="AV174" i="30"/>
  <c r="AV170" i="30"/>
  <c r="AV177" i="30"/>
  <c r="AV244" i="30"/>
  <c r="AV236" i="30"/>
  <c r="AV237" i="30"/>
  <c r="AG155" i="30"/>
  <c r="AV211" i="30"/>
  <c r="AV193" i="30"/>
  <c r="AV167" i="30"/>
  <c r="AV230" i="30"/>
  <c r="AV166" i="30"/>
  <c r="AG157" i="30"/>
  <c r="AV157" i="30" s="1"/>
  <c r="AV161" i="30"/>
  <c r="AV223" i="30"/>
  <c r="AC364" i="30"/>
  <c r="AC384" i="30" s="1"/>
  <c r="AB364" i="30"/>
  <c r="AB384" i="30" s="1"/>
  <c r="AA364" i="30"/>
  <c r="AA384" i="30" s="1"/>
  <c r="Z364" i="30"/>
  <c r="Z384" i="30" s="1"/>
  <c r="Y364" i="30"/>
  <c r="Y384" i="30" s="1"/>
  <c r="X364" i="30"/>
  <c r="X384" i="30" s="1"/>
  <c r="W364" i="30"/>
  <c r="W384" i="30" s="1"/>
  <c r="V364" i="30"/>
  <c r="V384" i="30" s="1"/>
  <c r="U364" i="30"/>
  <c r="U384" i="30" s="1"/>
  <c r="T364" i="30"/>
  <c r="T384" i="30" s="1"/>
  <c r="S364" i="30"/>
  <c r="S384" i="30" s="1"/>
  <c r="R364" i="30"/>
  <c r="R384" i="30" s="1"/>
  <c r="AC338" i="30"/>
  <c r="AB338" i="30"/>
  <c r="AA338" i="30"/>
  <c r="Z338" i="30"/>
  <c r="Y338" i="30"/>
  <c r="X338" i="30"/>
  <c r="W338" i="30"/>
  <c r="V338" i="30"/>
  <c r="U338" i="30"/>
  <c r="T338" i="30"/>
  <c r="S338" i="30"/>
  <c r="R338" i="30"/>
  <c r="BA301" i="30" a="1"/>
  <c r="BA301" i="30" s="1"/>
  <c r="BD301" i="30" s="1"/>
  <c r="AZ301" i="30" a="1"/>
  <c r="AZ301" i="30" s="1"/>
  <c r="BC301" i="30" s="1"/>
  <c r="AX301" i="30" a="1"/>
  <c r="AX301" i="30" s="1"/>
  <c r="AW301" i="30" a="1"/>
  <c r="AW301" i="30" s="1"/>
  <c r="AV301" i="30" a="1"/>
  <c r="AV301" i="30" s="1"/>
  <c r="AU301" i="30" a="1"/>
  <c r="AU301" i="30" s="1"/>
  <c r="AT301" i="30" a="1"/>
  <c r="AT301" i="30" s="1"/>
  <c r="AS301" i="30" a="1"/>
  <c r="AS301" i="30" s="1"/>
  <c r="AR301" i="30" a="1"/>
  <c r="AR301" i="30" s="1"/>
  <c r="AQ301" i="30" a="1"/>
  <c r="AQ301" i="30" s="1"/>
  <c r="BA300" i="30" a="1"/>
  <c r="BA300" i="30" s="1"/>
  <c r="BD300" i="30" s="1"/>
  <c r="AX300" i="30" a="1"/>
  <c r="AX300" i="30" s="1"/>
  <c r="AW300" i="30" a="1"/>
  <c r="AW300" i="30" s="1"/>
  <c r="AV300" i="30" a="1"/>
  <c r="AV300" i="30" s="1"/>
  <c r="AO299" i="30"/>
  <c r="AN299" i="30"/>
  <c r="BA299" i="30" s="1" a="1"/>
  <c r="BA299" i="30" s="1"/>
  <c r="BD299" i="30" s="1"/>
  <c r="AM299" i="30"/>
  <c r="AL299" i="30"/>
  <c r="AW299" i="30" s="1" a="1"/>
  <c r="AW299" i="30" s="1"/>
  <c r="AK299" i="30"/>
  <c r="AJ299" i="30"/>
  <c r="AI299" i="30"/>
  <c r="AV299" i="30" s="1" a="1"/>
  <c r="AV299" i="30" s="1"/>
  <c r="AH299" i="30"/>
  <c r="BA296" i="30" a="1"/>
  <c r="BA296" i="30" s="1"/>
  <c r="BD296" i="30" s="1"/>
  <c r="AZ296" i="30" a="1"/>
  <c r="AZ296" i="30" s="1"/>
  <c r="BC296" i="30" s="1"/>
  <c r="AX296" i="30" a="1"/>
  <c r="AX296" i="30" s="1"/>
  <c r="AW296" i="30" a="1"/>
  <c r="AW296" i="30" s="1"/>
  <c r="AV296" i="30" a="1"/>
  <c r="AV296" i="30" s="1"/>
  <c r="AU296" i="30" a="1"/>
  <c r="AU296" i="30" s="1"/>
  <c r="AT296" i="30" a="1"/>
  <c r="AT296" i="30" s="1"/>
  <c r="AS296" i="30" a="1"/>
  <c r="AS296" i="30" s="1"/>
  <c r="AR296" i="30" a="1"/>
  <c r="AR296" i="30" s="1"/>
  <c r="AQ296" i="30" a="1"/>
  <c r="AQ296" i="30" s="1"/>
  <c r="BA295" i="30" a="1"/>
  <c r="BA295" i="30" s="1"/>
  <c r="BD295" i="30" s="1"/>
  <c r="AX295" i="30" a="1"/>
  <c r="AX295" i="30" s="1"/>
  <c r="AW295" i="30" a="1"/>
  <c r="AW295" i="30" s="1"/>
  <c r="AV295" i="30" a="1"/>
  <c r="AV295" i="30" s="1"/>
  <c r="BA294" i="30" a="1"/>
  <c r="BA294" i="30" s="1"/>
  <c r="BD294" i="30" s="1"/>
  <c r="AZ294" i="30" a="1"/>
  <c r="AZ294" i="30" s="1"/>
  <c r="BC294" i="30" s="1"/>
  <c r="AX294" i="30" a="1"/>
  <c r="AX294" i="30" s="1"/>
  <c r="AW294" i="30" a="1"/>
  <c r="AW294" i="30" s="1"/>
  <c r="AV294" i="30" a="1"/>
  <c r="AV294" i="30" s="1"/>
  <c r="AU294" i="30" a="1"/>
  <c r="AU294" i="30" s="1"/>
  <c r="AT294" i="30" a="1"/>
  <c r="AT294" i="30" s="1"/>
  <c r="AS294" i="30" a="1"/>
  <c r="AS294" i="30" s="1"/>
  <c r="AR294" i="30" a="1"/>
  <c r="AR294" i="30" s="1"/>
  <c r="AQ294" i="30" a="1"/>
  <c r="AQ294" i="30" s="1"/>
  <c r="BA293" i="30" a="1"/>
  <c r="BA293" i="30" s="1"/>
  <c r="BD293" i="30" s="1"/>
  <c r="AX293" i="30" a="1"/>
  <c r="AX293" i="30" s="1"/>
  <c r="AW293" i="30" a="1"/>
  <c r="AW293" i="30" s="1"/>
  <c r="AV293" i="30" a="1"/>
  <c r="AV293" i="30" s="1"/>
  <c r="BA292" i="30" a="1"/>
  <c r="BA292" i="30" s="1"/>
  <c r="AX292" i="30" a="1"/>
  <c r="AX292" i="30" s="1"/>
  <c r="AW292" i="30" a="1"/>
  <c r="AW292" i="30" s="1"/>
  <c r="AV292" i="30" a="1"/>
  <c r="AV292" i="30" s="1"/>
  <c r="BA287" i="30" a="1"/>
  <c r="BA287" i="30" s="1"/>
  <c r="BD287" i="30" s="1"/>
  <c r="AX287" i="30" a="1"/>
  <c r="AX287" i="30" s="1"/>
  <c r="AW287" i="30" a="1"/>
  <c r="AW287" i="30" s="1"/>
  <c r="AV287" i="30" a="1"/>
  <c r="AV287" i="30" s="1"/>
  <c r="BA286" i="30" a="1"/>
  <c r="BA286" i="30" s="1"/>
  <c r="BD286" i="30" s="1"/>
  <c r="AX286" i="30" a="1"/>
  <c r="AX286" i="30" s="1"/>
  <c r="AW286" i="30" a="1"/>
  <c r="AW286" i="30" s="1"/>
  <c r="AV286" i="30" a="1"/>
  <c r="AV286" i="30" s="1"/>
  <c r="BA285" i="30" a="1"/>
  <c r="BA285" i="30" s="1"/>
  <c r="BD285" i="30" s="1"/>
  <c r="AX285" i="30" a="1"/>
  <c r="AX285" i="30" s="1"/>
  <c r="AW285" i="30" a="1"/>
  <c r="AW285" i="30" s="1"/>
  <c r="AV285" i="30" a="1"/>
  <c r="AV285" i="30" s="1"/>
  <c r="BA284" i="30" a="1"/>
  <c r="BA284" i="30" s="1"/>
  <c r="AZ284" i="30" a="1"/>
  <c r="AZ284" i="30" s="1"/>
  <c r="BC284" i="30" s="1"/>
  <c r="AX284" i="30" a="1"/>
  <c r="AX284" i="30" s="1"/>
  <c r="AW284" i="30" a="1"/>
  <c r="AW284" i="30" s="1"/>
  <c r="AV284" i="30" a="1"/>
  <c r="AV284" i="30" s="1"/>
  <c r="AU284" i="30" a="1"/>
  <c r="AU284" i="30" s="1"/>
  <c r="AT284" i="30" a="1"/>
  <c r="AT284" i="30" s="1"/>
  <c r="AS284" i="30" a="1"/>
  <c r="AS284" i="30" s="1"/>
  <c r="AR284" i="30" a="1"/>
  <c r="AR284" i="30" s="1"/>
  <c r="AQ284" i="30" a="1"/>
  <c r="AQ284" i="30" s="1"/>
  <c r="BA283" i="30" a="1"/>
  <c r="BA283" i="30" s="1"/>
  <c r="BD283" i="30" s="1"/>
  <c r="AX283" i="30" a="1"/>
  <c r="AX283" i="30" s="1"/>
  <c r="AW283" i="30" a="1"/>
  <c r="AW283" i="30" s="1"/>
  <c r="AV283" i="30" a="1"/>
  <c r="AV283" i="30" s="1"/>
  <c r="BA282" i="30" a="1"/>
  <c r="BA282" i="30" s="1"/>
  <c r="BD282" i="30" s="1"/>
  <c r="AX282" i="30" a="1"/>
  <c r="AX282" i="30" s="1"/>
  <c r="AW282" i="30" a="1"/>
  <c r="AW282" i="30" s="1"/>
  <c r="AV282" i="30" a="1"/>
  <c r="AV282" i="30" s="1"/>
  <c r="BA281" i="30" a="1"/>
  <c r="BA281" i="30" s="1"/>
  <c r="BD281" i="30" s="1"/>
  <c r="AX281" i="30" a="1"/>
  <c r="AX281" i="30" s="1"/>
  <c r="AW281" i="30" a="1"/>
  <c r="AW281" i="30" s="1"/>
  <c r="AV281" i="30" a="1"/>
  <c r="AV281" i="30" s="1"/>
  <c r="BA278" i="30" a="1"/>
  <c r="BA278" i="30" s="1"/>
  <c r="BD278" i="30" s="1"/>
  <c r="AX278" i="30" a="1"/>
  <c r="AX278" i="30" s="1"/>
  <c r="AW278" i="30" a="1"/>
  <c r="AW278" i="30" s="1"/>
  <c r="AV278" i="30" a="1"/>
  <c r="AV278" i="30" s="1"/>
  <c r="BA277" i="30" a="1"/>
  <c r="BA277" i="30" s="1"/>
  <c r="BD277" i="30" s="1"/>
  <c r="AX277" i="30" a="1"/>
  <c r="AX277" i="30" s="1"/>
  <c r="AW277" i="30" a="1"/>
  <c r="AW277" i="30" s="1"/>
  <c r="AV277" i="30" a="1"/>
  <c r="AV277" i="30" s="1"/>
  <c r="BA276" i="30" a="1"/>
  <c r="BA276" i="30" s="1"/>
  <c r="BD276" i="30" s="1"/>
  <c r="AX276" i="30" a="1"/>
  <c r="AX276" i="30" s="1"/>
  <c r="AW276" i="30" a="1"/>
  <c r="AW276" i="30" s="1"/>
  <c r="AV276" i="30" a="1"/>
  <c r="AV276" i="30" s="1"/>
  <c r="BA275" i="30" a="1"/>
  <c r="BA275" i="30" s="1"/>
  <c r="BD275" i="30" s="1"/>
  <c r="AX275" i="30" a="1"/>
  <c r="AX275" i="30" s="1"/>
  <c r="AW275" i="30" a="1"/>
  <c r="AW275" i="30" s="1"/>
  <c r="AV275" i="30" a="1"/>
  <c r="AV275" i="30" s="1"/>
  <c r="BA274" i="30" a="1"/>
  <c r="BA274" i="30" s="1"/>
  <c r="BD274" i="30" s="1"/>
  <c r="AX274" i="30" a="1"/>
  <c r="AX274" i="30" s="1"/>
  <c r="AW274" i="30" a="1"/>
  <c r="AW274" i="30" s="1"/>
  <c r="AV274" i="30" a="1"/>
  <c r="AV274" i="30" s="1"/>
  <c r="BA273" i="30" a="1"/>
  <c r="BA273" i="30" s="1"/>
  <c r="BD273" i="30" s="1"/>
  <c r="AX273" i="30" a="1"/>
  <c r="AX273" i="30" s="1"/>
  <c r="AW273" i="30" a="1"/>
  <c r="AW273" i="30" s="1"/>
  <c r="AV273" i="30" a="1"/>
  <c r="AV273" i="30" s="1"/>
  <c r="BA272" i="30" a="1"/>
  <c r="BA272" i="30" s="1"/>
  <c r="BD272" i="30" s="1"/>
  <c r="AX272" i="30" a="1"/>
  <c r="AX272" i="30" s="1"/>
  <c r="AW272" i="30" a="1"/>
  <c r="AW272" i="30" s="1"/>
  <c r="AV272" i="30" a="1"/>
  <c r="AV272" i="30" s="1"/>
  <c r="BA271" i="30" a="1"/>
  <c r="BA271" i="30" s="1"/>
  <c r="AX271" i="30" a="1"/>
  <c r="AX271" i="30" s="1"/>
  <c r="AW271" i="30" a="1"/>
  <c r="AW271" i="30" s="1"/>
  <c r="AV271" i="30" a="1"/>
  <c r="AV271" i="30" s="1"/>
  <c r="AX266" i="30"/>
  <c r="AW266" i="30"/>
  <c r="AX265" i="30"/>
  <c r="AW265" i="30"/>
  <c r="AX264" i="30"/>
  <c r="AW264" i="30"/>
  <c r="AX263" i="30"/>
  <c r="AW263" i="30"/>
  <c r="AX262" i="30"/>
  <c r="AW262" i="30"/>
  <c r="AX261" i="30"/>
  <c r="AW261" i="30"/>
  <c r="AX260" i="30"/>
  <c r="AW260" i="30"/>
  <c r="AX255" i="30"/>
  <c r="AW255" i="30"/>
  <c r="AX253" i="30"/>
  <c r="AW253" i="30"/>
  <c r="AV253" i="30"/>
  <c r="AX252" i="30"/>
  <c r="AW252" i="30"/>
  <c r="AV252" i="30"/>
  <c r="AX250" i="30"/>
  <c r="AW250" i="30"/>
  <c r="AX248" i="30"/>
  <c r="AW248" i="30"/>
  <c r="AX245" i="30"/>
  <c r="AW245" i="30"/>
  <c r="AX244" i="30"/>
  <c r="AW244" i="30"/>
  <c r="AX243" i="30"/>
  <c r="AW243" i="30"/>
  <c r="AX242" i="30"/>
  <c r="AW242" i="30"/>
  <c r="AX239" i="30"/>
  <c r="AW239" i="30"/>
  <c r="AX238" i="30"/>
  <c r="AW238" i="30"/>
  <c r="AX237" i="30"/>
  <c r="AW237" i="30"/>
  <c r="AX236" i="30"/>
  <c r="AW236" i="30"/>
  <c r="AX230" i="30"/>
  <c r="AW230" i="30"/>
  <c r="AX229" i="30"/>
  <c r="AW229" i="30"/>
  <c r="AX226" i="30"/>
  <c r="AW226" i="30"/>
  <c r="AX223" i="30"/>
  <c r="AW223" i="30"/>
  <c r="AX222" i="30"/>
  <c r="AW222" i="30"/>
  <c r="AX216" i="30"/>
  <c r="AW216" i="30"/>
  <c r="AX215" i="30"/>
  <c r="AW215" i="30"/>
  <c r="AX214" i="30"/>
  <c r="AW214" i="30"/>
  <c r="AX211" i="30"/>
  <c r="AW211" i="30"/>
  <c r="AX210" i="30"/>
  <c r="AW210" i="30"/>
  <c r="AX209" i="30"/>
  <c r="AW209" i="30"/>
  <c r="AX208" i="30"/>
  <c r="AW208" i="30"/>
  <c r="AX207" i="30"/>
  <c r="AW207" i="30"/>
  <c r="AX206" i="30"/>
  <c r="AW206" i="30"/>
  <c r="AX205" i="30"/>
  <c r="AW205" i="30"/>
  <c r="AX204" i="30"/>
  <c r="AW204" i="30"/>
  <c r="AX202" i="30"/>
  <c r="AW202" i="30"/>
  <c r="AX201" i="30"/>
  <c r="AW201" i="30"/>
  <c r="AX200" i="30"/>
  <c r="AW200" i="30"/>
  <c r="AX199" i="30"/>
  <c r="AW199" i="30"/>
  <c r="AX198" i="30"/>
  <c r="AW198" i="30"/>
  <c r="AX197" i="30"/>
  <c r="AW197" i="30"/>
  <c r="AX196" i="30"/>
  <c r="AW196" i="30"/>
  <c r="AX195" i="30"/>
  <c r="AW195" i="30"/>
  <c r="AX193" i="30"/>
  <c r="AW193" i="30"/>
  <c r="AX192" i="30"/>
  <c r="AW192" i="30"/>
  <c r="AX191" i="30"/>
  <c r="AW191" i="30"/>
  <c r="AX190" i="30"/>
  <c r="AW190" i="30"/>
  <c r="BA184" i="30"/>
  <c r="AX184" i="30"/>
  <c r="AW184" i="30"/>
  <c r="AV184" i="30"/>
  <c r="AU184" i="30"/>
  <c r="AX180" i="30"/>
  <c r="AW180" i="30"/>
  <c r="AX178" i="30"/>
  <c r="AW178" i="30"/>
  <c r="AX177" i="30"/>
  <c r="AW177" i="30"/>
  <c r="AX176" i="30"/>
  <c r="AW176" i="30"/>
  <c r="AX175" i="30"/>
  <c r="AW175" i="30"/>
  <c r="AX174" i="30"/>
  <c r="AW174" i="30"/>
  <c r="AX171" i="30"/>
  <c r="AW171" i="30"/>
  <c r="AX170" i="30"/>
  <c r="AW170" i="30"/>
  <c r="AX169" i="30"/>
  <c r="AW169" i="30"/>
  <c r="AX168" i="30"/>
  <c r="AW168" i="30"/>
  <c r="AX167" i="30"/>
  <c r="AW167" i="30"/>
  <c r="AX166" i="30"/>
  <c r="AW166" i="30"/>
  <c r="AX165" i="30"/>
  <c r="AW165" i="30"/>
  <c r="AX163" i="30"/>
  <c r="AW163" i="30"/>
  <c r="AX162" i="30"/>
  <c r="AW162" i="30"/>
  <c r="AX161" i="30"/>
  <c r="AW161" i="30"/>
  <c r="AX160" i="30"/>
  <c r="AW160" i="30"/>
  <c r="AX159" i="30"/>
  <c r="AW159" i="30"/>
  <c r="AX158" i="30"/>
  <c r="AW158" i="30"/>
  <c r="AX157" i="30"/>
  <c r="AW157" i="30"/>
  <c r="AX156" i="30"/>
  <c r="AW156" i="30"/>
  <c r="AX155" i="30"/>
  <c r="AW155" i="30"/>
  <c r="AO10" i="30"/>
  <c r="AN10" i="30"/>
  <c r="AM10" i="30"/>
  <c r="AL10" i="30"/>
  <c r="AK10" i="30"/>
  <c r="AJ10" i="30"/>
  <c r="AI10" i="30"/>
  <c r="AH10" i="30"/>
  <c r="AG10" i="30"/>
  <c r="AF10" i="30"/>
  <c r="AE10" i="30"/>
  <c r="AD10" i="30"/>
  <c r="AC10" i="30"/>
  <c r="AB10" i="30"/>
  <c r="AA10" i="30"/>
  <c r="Z10" i="30"/>
  <c r="Y10" i="30"/>
  <c r="X10" i="30"/>
  <c r="W10" i="30"/>
  <c r="V10" i="30"/>
  <c r="U10" i="30"/>
  <c r="T10" i="30"/>
  <c r="S10" i="30"/>
  <c r="R10" i="30"/>
  <c r="AX6" i="30"/>
  <c r="AW6" i="30"/>
  <c r="AT6" i="30"/>
  <c r="AS6" i="30"/>
  <c r="U1" i="6"/>
  <c r="R1" i="6"/>
  <c r="AF921" i="6"/>
  <c r="AE921" i="6"/>
  <c r="AD921" i="6"/>
  <c r="AF920" i="6"/>
  <c r="AE920" i="6"/>
  <c r="AD920" i="6"/>
  <c r="AF919" i="6"/>
  <c r="AE919" i="6"/>
  <c r="AD919" i="6"/>
  <c r="AF918" i="6"/>
  <c r="AE918" i="6"/>
  <c r="AD918" i="6"/>
  <c r="AF917" i="6"/>
  <c r="AE917" i="6"/>
  <c r="AD917" i="6"/>
  <c r="AF916" i="6"/>
  <c r="AE916" i="6"/>
  <c r="AD916" i="6"/>
  <c r="AF915" i="6"/>
  <c r="AE915" i="6"/>
  <c r="AD915" i="6"/>
  <c r="AF914" i="6"/>
  <c r="AE914" i="6"/>
  <c r="AD914" i="6"/>
  <c r="AF913" i="6"/>
  <c r="AE913" i="6"/>
  <c r="AD913" i="6"/>
  <c r="AF912" i="6"/>
  <c r="AE912" i="6"/>
  <c r="AD912" i="6"/>
  <c r="AF911" i="6"/>
  <c r="AE911" i="6"/>
  <c r="AD911" i="6"/>
  <c r="AF910" i="6"/>
  <c r="AE910" i="6"/>
  <c r="AD910" i="6"/>
  <c r="AF909" i="6"/>
  <c r="AE909" i="6"/>
  <c r="AD909" i="6"/>
  <c r="AF908" i="6"/>
  <c r="AE908" i="6"/>
  <c r="AD908" i="6"/>
  <c r="AF907" i="6"/>
  <c r="AE907" i="6"/>
  <c r="AD907" i="6"/>
  <c r="AF906" i="6"/>
  <c r="AE906" i="6"/>
  <c r="AD906" i="6"/>
  <c r="AF905" i="6"/>
  <c r="AE905" i="6"/>
  <c r="AD905" i="6"/>
  <c r="AF904" i="6"/>
  <c r="AF207" i="30" s="1"/>
  <c r="BE207" i="30" s="1"/>
  <c r="AE904" i="6"/>
  <c r="AE207" i="30" s="1"/>
  <c r="AD904" i="6"/>
  <c r="AD207" i="30" s="1"/>
  <c r="AF903" i="6"/>
  <c r="AE903" i="6"/>
  <c r="AD903" i="6"/>
  <c r="AF902" i="6"/>
  <c r="AE902" i="6"/>
  <c r="AD902" i="6"/>
  <c r="AF901" i="6"/>
  <c r="AE901" i="6"/>
  <c r="AD901" i="6"/>
  <c r="AF900" i="6"/>
  <c r="AE900" i="6"/>
  <c r="AD900" i="6"/>
  <c r="AF899" i="6"/>
  <c r="AE899" i="6"/>
  <c r="AD899" i="6"/>
  <c r="AF898" i="6"/>
  <c r="AE898" i="6"/>
  <c r="AD898" i="6"/>
  <c r="AF897" i="6"/>
  <c r="AE897" i="6"/>
  <c r="AD897" i="6"/>
  <c r="AF896" i="6"/>
  <c r="AF180" i="30" s="1"/>
  <c r="AE896" i="6"/>
  <c r="AE180" i="30" s="1"/>
  <c r="AD896" i="6"/>
  <c r="AD180" i="30" s="1"/>
  <c r="AF895" i="6"/>
  <c r="AE895" i="6"/>
  <c r="AD895" i="6"/>
  <c r="AF894" i="6"/>
  <c r="AE894" i="6"/>
  <c r="AD894" i="6"/>
  <c r="AF893" i="6"/>
  <c r="AE893" i="6"/>
  <c r="AD893" i="6"/>
  <c r="AF892" i="6"/>
  <c r="AE892" i="6"/>
  <c r="AD892" i="6"/>
  <c r="AF891" i="6"/>
  <c r="AE891" i="6"/>
  <c r="AD891" i="6"/>
  <c r="AF890" i="6"/>
  <c r="AE890" i="6"/>
  <c r="AD890" i="6"/>
  <c r="AF889" i="6"/>
  <c r="AE889" i="6"/>
  <c r="AD889" i="6"/>
  <c r="AF888" i="6"/>
  <c r="AE888" i="6"/>
  <c r="AD888" i="6"/>
  <c r="AF887" i="6"/>
  <c r="AE887" i="6"/>
  <c r="AD887" i="6"/>
  <c r="AF886" i="6"/>
  <c r="AE886" i="6"/>
  <c r="AD886" i="6"/>
  <c r="AF885" i="6"/>
  <c r="AE885" i="6"/>
  <c r="AD885" i="6"/>
  <c r="AF884" i="6"/>
  <c r="AE884" i="6"/>
  <c r="AD884" i="6"/>
  <c r="AF883" i="6"/>
  <c r="AE883" i="6"/>
  <c r="AD883" i="6"/>
  <c r="AF882" i="6"/>
  <c r="AE882" i="6"/>
  <c r="AD882" i="6"/>
  <c r="AF881" i="6"/>
  <c r="AE881" i="6"/>
  <c r="AD881" i="6"/>
  <c r="AF880" i="6"/>
  <c r="AE880" i="6"/>
  <c r="AD880" i="6"/>
  <c r="AF879" i="6"/>
  <c r="AE879" i="6"/>
  <c r="AD879" i="6"/>
  <c r="AF878" i="6"/>
  <c r="AE878" i="6"/>
  <c r="AD878" i="6"/>
  <c r="AF877" i="6"/>
  <c r="AE877" i="6"/>
  <c r="AD877" i="6"/>
  <c r="AF876" i="6"/>
  <c r="AE876" i="6"/>
  <c r="AD876" i="6"/>
  <c r="AF875" i="6"/>
  <c r="AE875" i="6"/>
  <c r="AD875" i="6"/>
  <c r="AF874" i="6"/>
  <c r="AE874" i="6"/>
  <c r="AD874" i="6"/>
  <c r="AF873" i="6"/>
  <c r="AF169" i="30" s="1"/>
  <c r="AE873" i="6"/>
  <c r="AE169" i="30" s="1"/>
  <c r="AD873" i="6"/>
  <c r="AD169" i="30" s="1"/>
  <c r="AF872" i="6"/>
  <c r="AF204" i="30" s="1"/>
  <c r="BE204" i="30" s="1"/>
  <c r="AE872" i="6"/>
  <c r="AE204" i="30" s="1"/>
  <c r="AD872" i="6"/>
  <c r="AD204" i="30" s="1"/>
  <c r="AF871" i="6"/>
  <c r="AE871" i="6"/>
  <c r="AD871" i="6"/>
  <c r="AF870" i="6"/>
  <c r="AE870" i="6"/>
  <c r="AD870" i="6"/>
  <c r="AF869" i="6"/>
  <c r="AE869" i="6"/>
  <c r="AD869" i="6"/>
  <c r="AF868" i="6"/>
  <c r="AE868" i="6"/>
  <c r="AD868" i="6"/>
  <c r="AF867" i="6"/>
  <c r="AE867" i="6"/>
  <c r="AD867" i="6"/>
  <c r="AF866" i="6"/>
  <c r="AE866" i="6"/>
  <c r="AD866" i="6"/>
  <c r="AF865" i="6"/>
  <c r="AE865" i="6"/>
  <c r="AD865" i="6"/>
  <c r="AF864" i="6"/>
  <c r="AE864" i="6"/>
  <c r="AD864" i="6"/>
  <c r="AF863" i="6"/>
  <c r="AE863" i="6"/>
  <c r="AD863" i="6"/>
  <c r="AF862" i="6"/>
  <c r="AE862" i="6"/>
  <c r="AD862" i="6"/>
  <c r="AF861" i="6"/>
  <c r="AE861" i="6"/>
  <c r="AD861" i="6"/>
  <c r="AF860" i="6"/>
  <c r="AE860" i="6"/>
  <c r="AD860" i="6"/>
  <c r="AF859" i="6"/>
  <c r="AE859" i="6"/>
  <c r="AD859" i="6"/>
  <c r="AF858" i="6"/>
  <c r="AE858" i="6"/>
  <c r="AD858" i="6"/>
  <c r="AF857" i="6"/>
  <c r="AE857" i="6"/>
  <c r="AD857" i="6"/>
  <c r="AF856" i="6"/>
  <c r="AE856" i="6"/>
  <c r="AD856" i="6"/>
  <c r="AF855" i="6"/>
  <c r="AE855" i="6"/>
  <c r="AD855" i="6"/>
  <c r="AF854" i="6"/>
  <c r="AE854" i="6"/>
  <c r="AD854" i="6"/>
  <c r="AF853" i="6"/>
  <c r="AE853" i="6"/>
  <c r="AD853" i="6"/>
  <c r="AF852" i="6"/>
  <c r="AE852" i="6"/>
  <c r="AD852" i="6"/>
  <c r="AF851" i="6"/>
  <c r="AE851" i="6"/>
  <c r="AD851" i="6"/>
  <c r="AF850" i="6"/>
  <c r="AE850" i="6"/>
  <c r="AD850" i="6"/>
  <c r="AF849" i="6"/>
  <c r="AE849" i="6"/>
  <c r="AD849" i="6"/>
  <c r="AF848" i="6"/>
  <c r="AF203" i="30" s="1"/>
  <c r="BE203" i="30" s="1"/>
  <c r="AE848" i="6"/>
  <c r="AE203" i="30" s="1"/>
  <c r="AD848" i="6"/>
  <c r="AD203" i="30" s="1"/>
  <c r="AF847" i="6"/>
  <c r="AF159" i="30" s="1"/>
  <c r="AE847" i="6"/>
  <c r="AE159" i="30" s="1"/>
  <c r="AD847" i="6"/>
  <c r="AD159" i="30" s="1"/>
  <c r="AF846" i="6"/>
  <c r="AE846" i="6"/>
  <c r="AD846" i="6"/>
  <c r="AF845" i="6"/>
  <c r="AE845" i="6"/>
  <c r="AD845" i="6"/>
  <c r="AF844" i="6"/>
  <c r="AE844" i="6"/>
  <c r="AD844" i="6"/>
  <c r="AF843" i="6"/>
  <c r="AE843" i="6"/>
  <c r="AD843" i="6"/>
  <c r="AF842" i="6"/>
  <c r="AE842" i="6"/>
  <c r="AD842" i="6"/>
  <c r="AF841" i="6"/>
  <c r="AE841" i="6"/>
  <c r="AD841" i="6"/>
  <c r="AF840" i="6"/>
  <c r="AE840" i="6"/>
  <c r="AD840" i="6"/>
  <c r="AF839" i="6"/>
  <c r="AE839" i="6"/>
  <c r="AD839" i="6"/>
  <c r="AF838" i="6"/>
  <c r="AE838" i="6"/>
  <c r="AD838" i="6"/>
  <c r="AF837" i="6"/>
  <c r="AE837" i="6"/>
  <c r="AD837" i="6"/>
  <c r="AF836" i="6"/>
  <c r="AE836" i="6"/>
  <c r="AD836" i="6"/>
  <c r="AF835" i="6"/>
  <c r="AE835" i="6"/>
  <c r="AD835" i="6"/>
  <c r="AF834" i="6"/>
  <c r="AE834" i="6"/>
  <c r="AD834" i="6"/>
  <c r="AF833" i="6"/>
  <c r="AE833" i="6"/>
  <c r="AD833" i="6"/>
  <c r="AF832" i="6"/>
  <c r="AE832" i="6"/>
  <c r="AD832" i="6"/>
  <c r="AF831" i="6"/>
  <c r="AE831" i="6"/>
  <c r="AD831" i="6"/>
  <c r="AF830" i="6"/>
  <c r="AE830" i="6"/>
  <c r="AD830" i="6"/>
  <c r="AF829" i="6"/>
  <c r="AE829" i="6"/>
  <c r="AD829" i="6"/>
  <c r="AF828" i="6"/>
  <c r="AE828" i="6"/>
  <c r="AD828" i="6"/>
  <c r="AF827" i="6"/>
  <c r="AE827" i="6"/>
  <c r="AD827" i="6"/>
  <c r="AF826" i="6"/>
  <c r="AE826" i="6"/>
  <c r="AD826" i="6"/>
  <c r="AF825" i="6"/>
  <c r="AE825" i="6"/>
  <c r="AD825" i="6"/>
  <c r="AF824" i="6"/>
  <c r="AE824" i="6"/>
  <c r="AD824" i="6"/>
  <c r="AF823" i="6"/>
  <c r="AE823" i="6"/>
  <c r="AD823" i="6"/>
  <c r="AF822" i="6"/>
  <c r="AE822" i="6"/>
  <c r="AD822" i="6"/>
  <c r="AF821" i="6"/>
  <c r="AE821" i="6"/>
  <c r="AD821" i="6"/>
  <c r="AF820" i="6"/>
  <c r="AE820" i="6"/>
  <c r="AD820" i="6"/>
  <c r="AF819" i="6"/>
  <c r="AE819" i="6"/>
  <c r="AD819" i="6"/>
  <c r="AF818" i="6"/>
  <c r="AF208" i="30" s="1"/>
  <c r="BE208" i="30" s="1"/>
  <c r="AE818" i="6"/>
  <c r="AE208" i="30" s="1"/>
  <c r="AD818" i="6"/>
  <c r="AD208" i="30" s="1"/>
  <c r="AF817" i="6"/>
  <c r="AE817" i="6"/>
  <c r="AD817" i="6"/>
  <c r="AF816" i="6"/>
  <c r="AF232" i="30" s="1"/>
  <c r="AE816" i="6"/>
  <c r="AE232" i="30" s="1"/>
  <c r="AD816" i="6"/>
  <c r="AD232" i="30" s="1"/>
  <c r="AF815" i="6"/>
  <c r="AF224" i="30" s="1"/>
  <c r="AE815" i="6"/>
  <c r="AE224" i="30" s="1"/>
  <c r="AD815" i="6"/>
  <c r="AD224" i="30" s="1"/>
  <c r="AF814" i="6"/>
  <c r="AE814" i="6"/>
  <c r="AD814" i="6"/>
  <c r="AF813" i="6"/>
  <c r="AE813" i="6"/>
  <c r="AD813" i="6"/>
  <c r="AF812" i="6"/>
  <c r="AE812" i="6"/>
  <c r="AD812" i="6"/>
  <c r="AF811" i="6"/>
  <c r="AE811" i="6"/>
  <c r="AD811" i="6"/>
  <c r="AF810" i="6"/>
  <c r="AE810" i="6"/>
  <c r="AD810" i="6"/>
  <c r="AF809" i="6"/>
  <c r="AE809" i="6"/>
  <c r="AD809" i="6"/>
  <c r="AF808" i="6"/>
  <c r="AE808" i="6"/>
  <c r="AD808" i="6"/>
  <c r="AF807" i="6"/>
  <c r="AE807" i="6"/>
  <c r="AD807" i="6"/>
  <c r="AF806" i="6"/>
  <c r="AE806" i="6"/>
  <c r="AD806" i="6"/>
  <c r="AF805" i="6"/>
  <c r="AE805" i="6"/>
  <c r="AD805" i="6"/>
  <c r="AF804" i="6"/>
  <c r="AE804" i="6"/>
  <c r="AD804" i="6"/>
  <c r="AF803" i="6"/>
  <c r="AE803" i="6"/>
  <c r="AD803" i="6"/>
  <c r="AF802" i="6"/>
  <c r="AE802" i="6"/>
  <c r="AD802" i="6"/>
  <c r="AF801" i="6"/>
  <c r="AE801" i="6"/>
  <c r="AD801" i="6"/>
  <c r="AF800" i="6"/>
  <c r="AE800" i="6"/>
  <c r="AD800" i="6"/>
  <c r="AF799" i="6"/>
  <c r="AE799" i="6"/>
  <c r="AD799" i="6"/>
  <c r="AF798" i="6"/>
  <c r="AE798" i="6"/>
  <c r="AD798" i="6"/>
  <c r="AF797" i="6"/>
  <c r="AE797" i="6"/>
  <c r="AD797" i="6"/>
  <c r="AF796" i="6"/>
  <c r="AE796" i="6"/>
  <c r="AD796" i="6"/>
  <c r="AF795" i="6"/>
  <c r="AF158" i="30" s="1"/>
  <c r="AE795" i="6"/>
  <c r="AE158" i="30" s="1"/>
  <c r="AD795" i="6"/>
  <c r="AF794" i="6"/>
  <c r="AE794" i="6"/>
  <c r="AD794" i="6"/>
  <c r="AF793" i="6"/>
  <c r="AE793" i="6"/>
  <c r="AD793" i="6"/>
  <c r="AF792" i="6"/>
  <c r="AE792" i="6"/>
  <c r="AD792" i="6"/>
  <c r="AF791" i="6"/>
  <c r="AE791" i="6"/>
  <c r="AD791" i="6"/>
  <c r="AF790" i="6"/>
  <c r="AE790" i="6"/>
  <c r="AD790" i="6"/>
  <c r="AF789" i="6"/>
  <c r="AE789" i="6"/>
  <c r="AD789" i="6"/>
  <c r="AF788" i="6"/>
  <c r="AE788" i="6"/>
  <c r="AD788" i="6"/>
  <c r="AF787" i="6"/>
  <c r="AE787" i="6"/>
  <c r="AD787" i="6"/>
  <c r="AF786" i="6"/>
  <c r="AE786" i="6"/>
  <c r="AD786" i="6"/>
  <c r="AF785" i="6"/>
  <c r="AE785" i="6"/>
  <c r="AD785" i="6"/>
  <c r="AF784" i="6"/>
  <c r="AE784" i="6"/>
  <c r="AD784" i="6"/>
  <c r="AF783" i="6"/>
  <c r="AE783" i="6"/>
  <c r="AD783" i="6"/>
  <c r="AF782" i="6"/>
  <c r="AF156" i="30" s="1"/>
  <c r="AE782" i="6"/>
  <c r="AE156" i="30" s="1"/>
  <c r="AD782" i="6"/>
  <c r="AF781" i="6"/>
  <c r="AE781" i="6"/>
  <c r="AD781" i="6"/>
  <c r="AF780" i="6"/>
  <c r="AE780" i="6"/>
  <c r="AD780" i="6"/>
  <c r="AF779" i="6"/>
  <c r="AE779" i="6"/>
  <c r="AD779" i="6"/>
  <c r="AF778" i="6"/>
  <c r="AE778" i="6"/>
  <c r="AD778" i="6"/>
  <c r="AF777" i="6"/>
  <c r="AE777" i="6"/>
  <c r="AD777" i="6"/>
  <c r="AF776" i="6"/>
  <c r="AE776" i="6"/>
  <c r="AD776" i="6"/>
  <c r="AF775" i="6"/>
  <c r="AE775" i="6"/>
  <c r="AD775" i="6"/>
  <c r="AF774" i="6"/>
  <c r="AE774" i="6"/>
  <c r="AD774" i="6"/>
  <c r="AF773" i="6"/>
  <c r="AE773" i="6"/>
  <c r="AD773" i="6"/>
  <c r="AF772" i="6"/>
  <c r="AE772" i="6"/>
  <c r="AD772" i="6"/>
  <c r="AF771" i="6"/>
  <c r="AE771" i="6"/>
  <c r="AD771" i="6"/>
  <c r="AF770" i="6"/>
  <c r="AE770" i="6"/>
  <c r="AD770" i="6"/>
  <c r="AF769" i="6"/>
  <c r="AE769" i="6"/>
  <c r="AD769" i="6"/>
  <c r="AF768" i="6"/>
  <c r="AE768" i="6"/>
  <c r="AD768" i="6"/>
  <c r="AF767" i="6"/>
  <c r="AE767" i="6"/>
  <c r="AD767" i="6"/>
  <c r="AF766" i="6"/>
  <c r="AF174" i="30" s="1"/>
  <c r="AE766" i="6"/>
  <c r="AE174" i="30" s="1"/>
  <c r="AD766" i="6"/>
  <c r="AF765" i="6"/>
  <c r="AE765" i="6"/>
  <c r="AD765" i="6"/>
  <c r="AF764" i="6"/>
  <c r="AE764" i="6"/>
  <c r="AD764" i="6"/>
  <c r="AF763" i="6"/>
  <c r="AE763" i="6"/>
  <c r="AD763" i="6"/>
  <c r="AF762" i="6"/>
  <c r="AE762" i="6"/>
  <c r="AD762" i="6"/>
  <c r="AF761" i="6"/>
  <c r="AE761" i="6"/>
  <c r="AD761" i="6"/>
  <c r="AF760" i="6"/>
  <c r="AE760" i="6"/>
  <c r="AD760" i="6"/>
  <c r="AF759" i="6"/>
  <c r="AE759" i="6"/>
  <c r="AD759" i="6"/>
  <c r="AF758" i="6"/>
  <c r="AE758" i="6"/>
  <c r="AD758" i="6"/>
  <c r="AF757" i="6"/>
  <c r="AF170" i="30" s="1"/>
  <c r="AE757" i="6"/>
  <c r="AE170" i="30" s="1"/>
  <c r="AD757" i="6"/>
  <c r="AD170" i="30" s="1"/>
  <c r="AF756" i="6"/>
  <c r="AE756" i="6"/>
  <c r="AD756" i="6"/>
  <c r="AF755" i="6"/>
  <c r="AE755" i="6"/>
  <c r="AD755" i="6"/>
  <c r="AF754" i="6"/>
  <c r="AE754" i="6"/>
  <c r="AD754" i="6"/>
  <c r="AF753" i="6"/>
  <c r="AE753" i="6"/>
  <c r="AD753" i="6"/>
  <c r="AF752" i="6"/>
  <c r="AE752" i="6"/>
  <c r="AD752" i="6"/>
  <c r="AF751" i="6"/>
  <c r="AE751" i="6"/>
  <c r="AD751" i="6"/>
  <c r="AF750" i="6"/>
  <c r="AE750" i="6"/>
  <c r="AD750" i="6"/>
  <c r="AF749" i="6"/>
  <c r="AE749" i="6"/>
  <c r="AD749" i="6"/>
  <c r="AF748" i="6"/>
  <c r="AE748" i="6"/>
  <c r="AD748" i="6"/>
  <c r="AF747" i="6"/>
  <c r="AE747" i="6"/>
  <c r="AD747" i="6"/>
  <c r="AF746" i="6"/>
  <c r="AE746" i="6"/>
  <c r="AD746" i="6"/>
  <c r="AF745" i="6"/>
  <c r="AE745" i="6"/>
  <c r="AD745" i="6"/>
  <c r="AF744" i="6"/>
  <c r="AE744" i="6"/>
  <c r="AD744" i="6"/>
  <c r="AF743" i="6"/>
  <c r="AF177" i="30" s="1"/>
  <c r="AE743" i="6"/>
  <c r="AE177" i="30" s="1"/>
  <c r="AD743" i="6"/>
  <c r="AD177" i="30" s="1"/>
  <c r="BC177" i="30"/>
  <c r="AF742" i="6"/>
  <c r="AE742" i="6"/>
  <c r="AD742" i="6"/>
  <c r="AF741" i="6"/>
  <c r="AE741" i="6"/>
  <c r="AD741" i="6"/>
  <c r="AF740" i="6"/>
  <c r="AE740" i="6"/>
  <c r="AD740" i="6"/>
  <c r="AF739" i="6"/>
  <c r="AE739" i="6"/>
  <c r="AD739" i="6"/>
  <c r="AF738" i="6"/>
  <c r="AE738" i="6"/>
  <c r="AD738" i="6"/>
  <c r="AF737" i="6"/>
  <c r="AE737" i="6"/>
  <c r="AD737" i="6"/>
  <c r="AF736" i="6"/>
  <c r="AE736" i="6"/>
  <c r="AD736" i="6"/>
  <c r="AF735" i="6"/>
  <c r="AE735" i="6"/>
  <c r="AD735" i="6"/>
  <c r="AF734" i="6"/>
  <c r="AE734" i="6"/>
  <c r="AD734" i="6"/>
  <c r="AF733" i="6"/>
  <c r="AE733" i="6"/>
  <c r="AD733" i="6"/>
  <c r="AF732" i="6"/>
  <c r="AE732" i="6"/>
  <c r="AD732" i="6"/>
  <c r="AF731" i="6"/>
  <c r="AE731" i="6"/>
  <c r="AD731" i="6"/>
  <c r="AF730" i="6"/>
  <c r="AE730" i="6"/>
  <c r="AD730" i="6"/>
  <c r="AF729" i="6"/>
  <c r="AE729" i="6"/>
  <c r="AD729" i="6"/>
  <c r="AF728" i="6"/>
  <c r="AE728" i="6"/>
  <c r="AD728" i="6"/>
  <c r="AF727" i="6"/>
  <c r="AE727" i="6"/>
  <c r="AD727" i="6"/>
  <c r="AF726" i="6"/>
  <c r="AE726" i="6"/>
  <c r="AD726" i="6"/>
  <c r="AF725" i="6"/>
  <c r="AE725" i="6"/>
  <c r="AD725" i="6"/>
  <c r="AF724" i="6"/>
  <c r="AE724" i="6"/>
  <c r="AD724" i="6"/>
  <c r="AF723" i="6"/>
  <c r="AE723" i="6"/>
  <c r="AD723" i="6"/>
  <c r="AF722" i="6"/>
  <c r="AE722" i="6"/>
  <c r="AD722" i="6"/>
  <c r="AF721" i="6"/>
  <c r="AE721" i="6"/>
  <c r="AD721" i="6"/>
  <c r="AF720" i="6"/>
  <c r="AE720" i="6"/>
  <c r="AD720" i="6"/>
  <c r="AF719" i="6"/>
  <c r="AE719" i="6"/>
  <c r="AD719" i="6"/>
  <c r="AF718" i="6"/>
  <c r="AE718" i="6"/>
  <c r="AD718" i="6"/>
  <c r="AF717" i="6"/>
  <c r="AE717" i="6"/>
  <c r="AD717" i="6"/>
  <c r="AF716" i="6"/>
  <c r="AE716" i="6"/>
  <c r="AD716" i="6"/>
  <c r="AF715" i="6"/>
  <c r="AE715" i="6"/>
  <c r="AD715" i="6"/>
  <c r="AF714" i="6"/>
  <c r="AE714" i="6"/>
  <c r="AD714" i="6"/>
  <c r="AF713" i="6"/>
  <c r="AF244" i="30" s="1"/>
  <c r="AE713" i="6"/>
  <c r="AE244" i="30" s="1"/>
  <c r="AD713" i="6"/>
  <c r="AD244" i="30" s="1"/>
  <c r="AF712" i="6"/>
  <c r="AE712" i="6"/>
  <c r="AD712" i="6"/>
  <c r="AF711" i="6"/>
  <c r="AE711" i="6"/>
  <c r="AD711" i="6"/>
  <c r="AF710" i="6"/>
  <c r="AE710" i="6"/>
  <c r="AD710" i="6"/>
  <c r="AF709" i="6"/>
  <c r="AE709" i="6"/>
  <c r="AD709" i="6"/>
  <c r="AF708" i="6"/>
  <c r="AE708" i="6"/>
  <c r="AD708" i="6"/>
  <c r="AF707" i="6"/>
  <c r="AE707" i="6"/>
  <c r="AD707" i="6"/>
  <c r="AF706" i="6"/>
  <c r="AE706" i="6"/>
  <c r="AD706" i="6"/>
  <c r="AF705" i="6"/>
  <c r="AE705" i="6"/>
  <c r="AD705" i="6"/>
  <c r="AF704" i="6"/>
  <c r="AE704" i="6"/>
  <c r="AD704" i="6"/>
  <c r="AF703" i="6"/>
  <c r="AE703" i="6"/>
  <c r="AD703" i="6"/>
  <c r="AF702" i="6"/>
  <c r="AE702" i="6"/>
  <c r="AD702" i="6"/>
  <c r="AF701" i="6"/>
  <c r="AE701" i="6"/>
  <c r="AD701" i="6"/>
  <c r="AF700" i="6"/>
  <c r="AE700" i="6"/>
  <c r="AD700" i="6"/>
  <c r="AF699" i="6"/>
  <c r="AE699" i="6"/>
  <c r="AD699" i="6"/>
  <c r="AF698" i="6"/>
  <c r="AE698" i="6"/>
  <c r="AD698" i="6"/>
  <c r="AF697" i="6"/>
  <c r="AE697" i="6"/>
  <c r="AD697" i="6"/>
  <c r="AF696" i="6"/>
  <c r="AF236" i="30" s="1"/>
  <c r="AE696" i="6"/>
  <c r="AE236" i="30" s="1"/>
  <c r="AD696" i="6"/>
  <c r="AF695" i="6"/>
  <c r="AE695" i="6"/>
  <c r="AD695" i="6"/>
  <c r="AF694" i="6"/>
  <c r="AE694" i="6"/>
  <c r="AD694" i="6"/>
  <c r="AF693" i="6"/>
  <c r="AF237" i="30" s="1"/>
  <c r="AE693" i="6"/>
  <c r="AE237" i="30" s="1"/>
  <c r="AD693" i="6"/>
  <c r="AD237" i="30" s="1"/>
  <c r="AF692" i="6"/>
  <c r="AE692" i="6"/>
  <c r="AD692" i="6"/>
  <c r="AF691" i="6"/>
  <c r="AE691" i="6"/>
  <c r="AD691" i="6"/>
  <c r="AF690" i="6"/>
  <c r="AE690" i="6"/>
  <c r="AD690" i="6"/>
  <c r="AF689" i="6"/>
  <c r="AE689" i="6"/>
  <c r="AD689" i="6"/>
  <c r="AF688" i="6"/>
  <c r="AE688" i="6"/>
  <c r="AD688" i="6"/>
  <c r="AF687" i="6"/>
  <c r="AE687" i="6"/>
  <c r="AD687" i="6"/>
  <c r="AF686" i="6"/>
  <c r="AE686" i="6"/>
  <c r="AD686" i="6"/>
  <c r="AF685" i="6"/>
  <c r="AE685" i="6"/>
  <c r="AD685" i="6"/>
  <c r="AF684" i="6"/>
  <c r="AE684" i="6"/>
  <c r="AD684" i="6"/>
  <c r="AF683" i="6"/>
  <c r="AE683" i="6"/>
  <c r="AD683" i="6"/>
  <c r="AF682" i="6"/>
  <c r="AE682" i="6"/>
  <c r="AD682" i="6"/>
  <c r="AF681" i="6"/>
  <c r="AF155" i="30" s="1"/>
  <c r="AE681" i="6"/>
  <c r="AE155" i="30" s="1"/>
  <c r="AD681" i="6"/>
  <c r="AD155" i="30" s="1"/>
  <c r="AF680" i="6"/>
  <c r="AE680" i="6"/>
  <c r="AD680" i="6"/>
  <c r="AF679" i="6"/>
  <c r="AE679" i="6"/>
  <c r="AD679" i="6"/>
  <c r="AF678" i="6"/>
  <c r="AE678" i="6"/>
  <c r="AD678" i="6"/>
  <c r="AF677" i="6"/>
  <c r="AF201" i="30" s="1"/>
  <c r="BE201" i="30" s="1"/>
  <c r="AE677" i="6"/>
  <c r="AE201" i="30" s="1"/>
  <c r="AD677" i="6"/>
  <c r="AF676" i="6"/>
  <c r="AE676" i="6"/>
  <c r="AD676" i="6"/>
  <c r="AF675" i="6"/>
  <c r="AE675" i="6"/>
  <c r="AD675" i="6"/>
  <c r="AF674" i="6"/>
  <c r="AE674" i="6"/>
  <c r="AD674" i="6"/>
  <c r="AF673" i="6"/>
  <c r="AE673" i="6"/>
  <c r="AD673" i="6"/>
  <c r="AF672" i="6"/>
  <c r="AE672" i="6"/>
  <c r="AD672" i="6"/>
  <c r="AF671" i="6"/>
  <c r="AE671" i="6"/>
  <c r="AD671" i="6"/>
  <c r="AF670" i="6"/>
  <c r="AE670" i="6"/>
  <c r="AD670" i="6"/>
  <c r="AF669" i="6"/>
  <c r="AE669" i="6"/>
  <c r="AD669" i="6"/>
  <c r="AF668" i="6"/>
  <c r="AE668" i="6"/>
  <c r="AD668" i="6"/>
  <c r="AF667" i="6"/>
  <c r="AE667" i="6"/>
  <c r="AD667" i="6"/>
  <c r="AF666" i="6"/>
  <c r="AE666" i="6"/>
  <c r="AD666" i="6"/>
  <c r="AF665" i="6"/>
  <c r="AE665" i="6"/>
  <c r="AD665" i="6"/>
  <c r="AF664" i="6"/>
  <c r="AE664" i="6"/>
  <c r="AD664" i="6"/>
  <c r="AF663" i="6"/>
  <c r="AE663" i="6"/>
  <c r="AD663" i="6"/>
  <c r="AF662" i="6"/>
  <c r="AE662" i="6"/>
  <c r="AD662" i="6"/>
  <c r="AF661" i="6"/>
  <c r="AE661" i="6"/>
  <c r="AD661" i="6"/>
  <c r="AF660" i="6"/>
  <c r="AE660" i="6"/>
  <c r="AD660" i="6"/>
  <c r="AF659" i="6"/>
  <c r="AE659" i="6"/>
  <c r="AD659" i="6"/>
  <c r="AF658" i="6"/>
  <c r="AE658" i="6"/>
  <c r="AD658" i="6"/>
  <c r="AF657" i="6"/>
  <c r="AE657" i="6"/>
  <c r="AD657" i="6"/>
  <c r="AF656" i="6"/>
  <c r="AE656" i="6"/>
  <c r="AD656" i="6"/>
  <c r="AF655" i="6"/>
  <c r="AE655" i="6"/>
  <c r="AD655" i="6"/>
  <c r="AF654" i="6"/>
  <c r="AE654" i="6"/>
  <c r="AD654" i="6"/>
  <c r="AF653" i="6"/>
  <c r="AE653" i="6"/>
  <c r="AD653" i="6"/>
  <c r="AF652" i="6"/>
  <c r="AE652" i="6"/>
  <c r="AD652" i="6"/>
  <c r="AF651" i="6"/>
  <c r="AE651" i="6"/>
  <c r="AD651" i="6"/>
  <c r="AF650" i="6"/>
  <c r="AE650" i="6"/>
  <c r="AD650" i="6"/>
  <c r="AF649" i="6"/>
  <c r="AE649" i="6"/>
  <c r="AD649" i="6"/>
  <c r="AF648" i="6"/>
  <c r="AE648" i="6"/>
  <c r="AD648" i="6"/>
  <c r="AF647" i="6"/>
  <c r="AE647" i="6"/>
  <c r="AD647" i="6"/>
  <c r="AF646" i="6"/>
  <c r="AE646" i="6"/>
  <c r="AD646" i="6"/>
  <c r="AF645" i="6"/>
  <c r="AE645" i="6"/>
  <c r="AD645" i="6"/>
  <c r="AF644" i="6"/>
  <c r="AF211" i="30" s="1"/>
  <c r="BE211" i="30" s="1"/>
  <c r="AE644" i="6"/>
  <c r="AE211" i="30" s="1"/>
  <c r="AD644" i="6"/>
  <c r="AD211" i="30" s="1"/>
  <c r="AF643" i="6"/>
  <c r="AE643" i="6"/>
  <c r="AD643" i="6"/>
  <c r="AF642" i="6"/>
  <c r="AE642" i="6"/>
  <c r="AD642" i="6"/>
  <c r="AF641" i="6"/>
  <c r="AE641" i="6"/>
  <c r="AD641" i="6"/>
  <c r="AF640" i="6"/>
  <c r="AE640" i="6"/>
  <c r="AD640" i="6"/>
  <c r="AF639" i="6"/>
  <c r="AE639" i="6"/>
  <c r="AD639" i="6"/>
  <c r="AF638" i="6"/>
  <c r="AE638" i="6"/>
  <c r="AD638" i="6"/>
  <c r="AF637" i="6"/>
  <c r="AE637" i="6"/>
  <c r="AD637" i="6"/>
  <c r="AF636" i="6"/>
  <c r="AE636" i="6"/>
  <c r="AD636" i="6"/>
  <c r="AF635" i="6"/>
  <c r="AF193" i="30" s="1"/>
  <c r="BE193" i="30" s="1"/>
  <c r="AE635" i="6"/>
  <c r="AE193" i="30" s="1"/>
  <c r="AD635" i="6"/>
  <c r="AD193" i="30" s="1"/>
  <c r="AF634" i="6"/>
  <c r="AE634" i="6"/>
  <c r="AD634" i="6"/>
  <c r="AF633" i="6"/>
  <c r="AE633" i="6"/>
  <c r="AD633" i="6"/>
  <c r="AF632" i="6"/>
  <c r="AE632" i="6"/>
  <c r="AD632" i="6"/>
  <c r="AF631" i="6"/>
  <c r="AE631" i="6"/>
  <c r="AD631" i="6"/>
  <c r="AF630" i="6"/>
  <c r="AF167" i="30" s="1"/>
  <c r="AE630" i="6"/>
  <c r="AE167" i="30" s="1"/>
  <c r="AD630" i="6"/>
  <c r="AD167" i="30" s="1"/>
  <c r="AF629" i="6"/>
  <c r="AE629" i="6"/>
  <c r="AD629" i="6"/>
  <c r="AF628" i="6"/>
  <c r="AE628" i="6"/>
  <c r="AD628" i="6"/>
  <c r="AF627" i="6"/>
  <c r="AF168" i="30" s="1"/>
  <c r="AE627" i="6"/>
  <c r="AE168" i="30" s="1"/>
  <c r="AD627" i="6"/>
  <c r="AF626" i="6"/>
  <c r="AE626" i="6"/>
  <c r="AD626" i="6"/>
  <c r="AF625" i="6"/>
  <c r="AE625" i="6"/>
  <c r="AD625" i="6"/>
  <c r="AF624" i="6"/>
  <c r="AF172" i="30" s="1"/>
  <c r="AE624" i="6"/>
  <c r="AE172" i="30" s="1"/>
  <c r="AD624" i="6"/>
  <c r="AD172" i="30" s="1"/>
  <c r="AF623" i="6"/>
  <c r="AE623" i="6"/>
  <c r="AD623" i="6"/>
  <c r="AF622" i="6"/>
  <c r="AE622" i="6"/>
  <c r="AD622" i="6"/>
  <c r="AF621" i="6"/>
  <c r="AF175" i="30" s="1"/>
  <c r="AE621" i="6"/>
  <c r="AE175" i="30" s="1"/>
  <c r="AD621" i="6"/>
  <c r="AD175" i="30" s="1"/>
  <c r="AF620" i="6"/>
  <c r="AF229" i="30" s="1"/>
  <c r="AE620" i="6"/>
  <c r="AE229" i="30" s="1"/>
  <c r="AD620" i="6"/>
  <c r="AD229" i="30" s="1"/>
  <c r="AF619" i="6"/>
  <c r="AF233" i="30" s="1"/>
  <c r="AE619" i="6"/>
  <c r="AE233" i="30" s="1"/>
  <c r="AD619" i="6"/>
  <c r="AD233" i="30" s="1"/>
  <c r="AF618" i="6"/>
  <c r="AE618" i="6"/>
  <c r="AD618" i="6"/>
  <c r="AF617" i="6"/>
  <c r="AE617" i="6"/>
  <c r="AD617" i="6"/>
  <c r="AF616" i="6"/>
  <c r="AE616" i="6"/>
  <c r="AD616" i="6"/>
  <c r="AF615" i="6"/>
  <c r="AE615" i="6"/>
  <c r="AD615" i="6"/>
  <c r="AF614" i="6"/>
  <c r="AE614" i="6"/>
  <c r="AD614" i="6"/>
  <c r="AF613" i="6"/>
  <c r="AF166" i="30" s="1"/>
  <c r="AE613" i="6"/>
  <c r="AE166" i="30" s="1"/>
  <c r="AD613" i="6"/>
  <c r="AD166" i="30" s="1"/>
  <c r="AF612" i="6"/>
  <c r="AE612" i="6"/>
  <c r="AD612" i="6"/>
  <c r="AF611" i="6"/>
  <c r="AE611" i="6"/>
  <c r="AD611" i="6"/>
  <c r="AF610" i="6"/>
  <c r="AE610" i="6"/>
  <c r="AD610" i="6"/>
  <c r="AF609" i="6"/>
  <c r="AE609" i="6"/>
  <c r="AD609" i="6"/>
  <c r="AF608" i="6"/>
  <c r="AE608" i="6"/>
  <c r="AD608" i="6"/>
  <c r="AF607" i="6"/>
  <c r="AE607" i="6"/>
  <c r="AD607" i="6"/>
  <c r="AF606" i="6"/>
  <c r="AE606" i="6"/>
  <c r="AD606" i="6"/>
  <c r="AF605" i="6"/>
  <c r="AE605" i="6"/>
  <c r="AD605" i="6"/>
  <c r="AF604" i="6"/>
  <c r="AE604" i="6"/>
  <c r="AD604" i="6"/>
  <c r="AF603" i="6"/>
  <c r="AE603" i="6"/>
  <c r="AD603" i="6"/>
  <c r="AF602" i="6"/>
  <c r="AE602" i="6"/>
  <c r="AD602" i="6"/>
  <c r="AF601" i="6"/>
  <c r="AE601" i="6"/>
  <c r="AD601" i="6"/>
  <c r="AF600" i="6"/>
  <c r="AF157" i="30" s="1"/>
  <c r="AE600" i="6"/>
  <c r="AE157" i="30" s="1"/>
  <c r="AD600" i="6"/>
  <c r="AF599" i="6"/>
  <c r="AE599" i="6"/>
  <c r="AD599" i="6"/>
  <c r="AF598" i="6"/>
  <c r="AF225" i="30" s="1"/>
  <c r="AE598" i="6"/>
  <c r="AE225" i="30" s="1"/>
  <c r="AD598" i="6"/>
  <c r="AD225" i="30" s="1"/>
  <c r="AF597" i="6"/>
  <c r="AF161" i="30" s="1"/>
  <c r="AE597" i="6"/>
  <c r="AE161" i="30" s="1"/>
  <c r="AD597" i="6"/>
  <c r="AF596" i="6"/>
  <c r="AF223" i="30" s="1"/>
  <c r="AE596" i="6"/>
  <c r="AE223" i="30" s="1"/>
  <c r="AD596" i="6"/>
  <c r="AD223" i="30" s="1"/>
  <c r="AF595" i="6"/>
  <c r="AE595" i="6"/>
  <c r="AD595" i="6"/>
  <c r="AF594" i="6"/>
  <c r="AF222" i="30" s="1"/>
  <c r="AE594" i="6"/>
  <c r="AE222" i="30" s="1"/>
  <c r="AD594" i="6"/>
  <c r="AD222" i="30" s="1"/>
  <c r="AF593" i="6"/>
  <c r="AE593" i="6"/>
  <c r="AD593" i="6"/>
  <c r="AF592" i="6"/>
  <c r="AE592" i="6"/>
  <c r="AD592" i="6"/>
  <c r="AF591" i="6"/>
  <c r="AE591" i="6"/>
  <c r="AD591" i="6"/>
  <c r="AF590" i="6"/>
  <c r="AE590" i="6"/>
  <c r="AD590" i="6"/>
  <c r="AF589" i="6"/>
  <c r="AE589" i="6"/>
  <c r="AD589" i="6"/>
  <c r="AF588" i="6"/>
  <c r="AE588" i="6"/>
  <c r="AD588" i="6"/>
  <c r="AF587" i="6"/>
  <c r="AE587" i="6"/>
  <c r="AD587" i="6"/>
  <c r="AF586" i="6"/>
  <c r="AE586" i="6"/>
  <c r="AD586" i="6"/>
  <c r="AF585" i="6"/>
  <c r="AE585" i="6"/>
  <c r="AD585" i="6"/>
  <c r="AF584" i="6"/>
  <c r="AE584" i="6"/>
  <c r="AD584" i="6"/>
  <c r="AF583" i="6"/>
  <c r="AE583" i="6"/>
  <c r="AD583" i="6"/>
  <c r="AF582" i="6"/>
  <c r="AE582" i="6"/>
  <c r="AD582" i="6"/>
  <c r="AF581" i="6"/>
  <c r="AE581" i="6"/>
  <c r="AD581" i="6"/>
  <c r="AF580" i="6"/>
  <c r="AE580" i="6"/>
  <c r="AD580" i="6"/>
  <c r="AF579" i="6"/>
  <c r="AE579" i="6"/>
  <c r="AD579" i="6"/>
  <c r="AF578" i="6"/>
  <c r="AE578" i="6"/>
  <c r="AD578" i="6"/>
  <c r="AF577" i="6"/>
  <c r="AE577" i="6"/>
  <c r="AD577" i="6"/>
  <c r="AF576" i="6"/>
  <c r="AE576" i="6"/>
  <c r="AD576" i="6"/>
  <c r="AF575" i="6"/>
  <c r="AE575" i="6"/>
  <c r="AD575" i="6"/>
  <c r="AF574" i="6"/>
  <c r="AE574" i="6"/>
  <c r="AD574" i="6"/>
  <c r="AF573" i="6"/>
  <c r="AE573" i="6"/>
  <c r="AD573" i="6"/>
  <c r="AF572" i="6"/>
  <c r="AE572" i="6"/>
  <c r="AD572" i="6"/>
  <c r="AF571" i="6"/>
  <c r="AE571" i="6"/>
  <c r="AD571" i="6"/>
  <c r="AF570" i="6"/>
  <c r="AE570" i="6"/>
  <c r="AD570" i="6"/>
  <c r="AF569" i="6"/>
  <c r="AE569" i="6"/>
  <c r="AD569" i="6"/>
  <c r="AF568" i="6"/>
  <c r="AE568" i="6"/>
  <c r="AD568" i="6"/>
  <c r="AF567" i="6"/>
  <c r="AE567" i="6"/>
  <c r="AD567" i="6"/>
  <c r="AF566" i="6"/>
  <c r="AE566" i="6"/>
  <c r="AD566" i="6"/>
  <c r="AF565" i="6"/>
  <c r="AE565" i="6"/>
  <c r="AD565" i="6"/>
  <c r="AF564" i="6"/>
  <c r="AE564" i="6"/>
  <c r="AD564" i="6"/>
  <c r="AF563" i="6"/>
  <c r="AE563" i="6"/>
  <c r="AD563" i="6"/>
  <c r="AF562" i="6"/>
  <c r="AE562" i="6"/>
  <c r="AD562" i="6"/>
  <c r="AF561" i="6"/>
  <c r="AE561" i="6"/>
  <c r="AD561" i="6"/>
  <c r="AF560" i="6"/>
  <c r="AE560" i="6"/>
  <c r="AD560" i="6"/>
  <c r="AF559" i="6"/>
  <c r="AE559" i="6"/>
  <c r="AD559" i="6"/>
  <c r="AF558" i="6"/>
  <c r="AE558" i="6"/>
  <c r="AD558" i="6"/>
  <c r="AF557" i="6"/>
  <c r="AE557" i="6"/>
  <c r="AD557" i="6"/>
  <c r="AF556" i="6"/>
  <c r="AE556" i="6"/>
  <c r="AD556" i="6"/>
  <c r="AF555" i="6"/>
  <c r="AE555" i="6"/>
  <c r="AD555" i="6"/>
  <c r="AF554" i="6"/>
  <c r="AE554" i="6"/>
  <c r="AD554" i="6"/>
  <c r="AF553" i="6"/>
  <c r="AE553" i="6"/>
  <c r="AD553" i="6"/>
  <c r="AF552" i="6"/>
  <c r="AE552" i="6"/>
  <c r="AD552" i="6"/>
  <c r="AF551" i="6"/>
  <c r="AE551" i="6"/>
  <c r="AD551" i="6"/>
  <c r="AF550" i="6"/>
  <c r="AE550" i="6"/>
  <c r="AD550" i="6"/>
  <c r="AF549" i="6"/>
  <c r="AE549" i="6"/>
  <c r="AD549" i="6"/>
  <c r="AF548" i="6"/>
  <c r="AE548" i="6"/>
  <c r="AD548" i="6"/>
  <c r="AF547" i="6"/>
  <c r="AE547" i="6"/>
  <c r="AD547" i="6"/>
  <c r="AF546" i="6"/>
  <c r="AE546" i="6"/>
  <c r="AD546" i="6"/>
  <c r="AF545" i="6"/>
  <c r="AE545" i="6"/>
  <c r="AD545" i="6"/>
  <c r="AF544" i="6"/>
  <c r="AE544" i="6"/>
  <c r="AD544" i="6"/>
  <c r="AF543" i="6"/>
  <c r="AE543" i="6"/>
  <c r="AD543" i="6"/>
  <c r="AF542" i="6"/>
  <c r="AE542" i="6"/>
  <c r="AD542" i="6"/>
  <c r="AF541" i="6"/>
  <c r="AE541" i="6"/>
  <c r="AD541" i="6"/>
  <c r="AF540" i="6"/>
  <c r="AE540" i="6"/>
  <c r="AD540" i="6"/>
  <c r="AF539" i="6"/>
  <c r="AE539" i="6"/>
  <c r="AD539" i="6"/>
  <c r="AF538" i="6"/>
  <c r="AE538" i="6"/>
  <c r="AD538" i="6"/>
  <c r="AF537" i="6"/>
  <c r="AE537" i="6"/>
  <c r="AD537" i="6"/>
  <c r="AF536" i="6"/>
  <c r="AE536" i="6"/>
  <c r="AD536" i="6"/>
  <c r="AF535" i="6"/>
  <c r="AE535" i="6"/>
  <c r="AD535" i="6"/>
  <c r="AF534" i="6"/>
  <c r="AE534" i="6"/>
  <c r="AD534" i="6"/>
  <c r="AF533" i="6"/>
  <c r="AE533" i="6"/>
  <c r="AD533" i="6"/>
  <c r="AF532" i="6"/>
  <c r="AE532" i="6"/>
  <c r="AD532" i="6"/>
  <c r="AF531" i="6"/>
  <c r="AE531" i="6"/>
  <c r="AD531" i="6"/>
  <c r="AF530" i="6"/>
  <c r="AE530" i="6"/>
  <c r="AD530" i="6"/>
  <c r="AF529" i="6"/>
  <c r="AE529" i="6"/>
  <c r="AD529" i="6"/>
  <c r="AF528" i="6"/>
  <c r="AE528" i="6"/>
  <c r="AD528" i="6"/>
  <c r="AF527" i="6"/>
  <c r="AE527" i="6"/>
  <c r="AD527" i="6"/>
  <c r="AF526" i="6"/>
  <c r="AE526" i="6"/>
  <c r="AD526" i="6"/>
  <c r="AF525" i="6"/>
  <c r="AE525" i="6"/>
  <c r="AD525" i="6"/>
  <c r="AF524" i="6"/>
  <c r="AE524" i="6"/>
  <c r="AD524" i="6"/>
  <c r="AF523" i="6"/>
  <c r="AE523" i="6"/>
  <c r="AD523" i="6"/>
  <c r="AF522" i="6"/>
  <c r="AE522" i="6"/>
  <c r="AD522" i="6"/>
  <c r="AF521" i="6"/>
  <c r="AE521" i="6"/>
  <c r="AD521" i="6"/>
  <c r="AF520" i="6"/>
  <c r="AE520" i="6"/>
  <c r="AD520" i="6"/>
  <c r="AF519" i="6"/>
  <c r="AE519" i="6"/>
  <c r="AD519" i="6"/>
  <c r="AF518" i="6"/>
  <c r="AE518" i="6"/>
  <c r="AD518" i="6"/>
  <c r="AF517" i="6"/>
  <c r="AE517" i="6"/>
  <c r="AD517" i="6"/>
  <c r="AF516" i="6"/>
  <c r="AE516" i="6"/>
  <c r="AD516" i="6"/>
  <c r="AF515" i="6"/>
  <c r="AE515" i="6"/>
  <c r="AD515" i="6"/>
  <c r="AF514" i="6"/>
  <c r="AE514" i="6"/>
  <c r="AD514" i="6"/>
  <c r="AF513" i="6"/>
  <c r="AE513" i="6"/>
  <c r="AD513" i="6"/>
  <c r="AF512" i="6"/>
  <c r="AE512" i="6"/>
  <c r="AD512" i="6"/>
  <c r="AF511" i="6"/>
  <c r="AE511" i="6"/>
  <c r="AD511" i="6"/>
  <c r="AF510" i="6"/>
  <c r="AE510" i="6"/>
  <c r="AD510" i="6"/>
  <c r="AF509" i="6"/>
  <c r="AE509" i="6"/>
  <c r="AD509" i="6"/>
  <c r="AF508" i="6"/>
  <c r="AE508" i="6"/>
  <c r="AD508" i="6"/>
  <c r="AF507" i="6"/>
  <c r="AE507" i="6"/>
  <c r="AD507" i="6"/>
  <c r="AF506" i="6"/>
  <c r="AE506" i="6"/>
  <c r="AD506" i="6"/>
  <c r="AF505" i="6"/>
  <c r="AE505" i="6"/>
  <c r="AD505" i="6"/>
  <c r="AF504" i="6"/>
  <c r="AE504" i="6"/>
  <c r="AD504" i="6"/>
  <c r="AF503" i="6"/>
  <c r="AE503" i="6"/>
  <c r="AD503" i="6"/>
  <c r="AF502" i="6"/>
  <c r="AE502" i="6"/>
  <c r="AD502" i="6"/>
  <c r="AF501" i="6"/>
  <c r="AE501" i="6"/>
  <c r="AD501" i="6"/>
  <c r="AF500" i="6"/>
  <c r="AE500" i="6"/>
  <c r="AD500" i="6"/>
  <c r="AF499" i="6"/>
  <c r="AE499" i="6"/>
  <c r="AD499" i="6"/>
  <c r="AF498" i="6"/>
  <c r="AE498" i="6"/>
  <c r="AD498" i="6"/>
  <c r="AF497" i="6"/>
  <c r="AE497" i="6"/>
  <c r="AD497" i="6"/>
  <c r="AF496" i="6"/>
  <c r="AE496" i="6"/>
  <c r="AD496" i="6"/>
  <c r="AF495" i="6"/>
  <c r="AE495" i="6"/>
  <c r="AD495" i="6"/>
  <c r="AF494" i="6"/>
  <c r="AE494" i="6"/>
  <c r="AD494" i="6"/>
  <c r="AF493" i="6"/>
  <c r="AE493" i="6"/>
  <c r="AD493" i="6"/>
  <c r="AF492" i="6"/>
  <c r="AE492" i="6"/>
  <c r="AD492" i="6"/>
  <c r="AO1" i="6"/>
  <c r="AN1" i="6"/>
  <c r="AM1" i="6"/>
  <c r="AL1" i="6"/>
  <c r="AK1" i="6"/>
  <c r="AJ1" i="6"/>
  <c r="AI1" i="6"/>
  <c r="AH1" i="6"/>
  <c r="AF1" i="6"/>
  <c r="AE1" i="6"/>
  <c r="AD1" i="6"/>
  <c r="AC1" i="6"/>
  <c r="AB1" i="6"/>
  <c r="AA1" i="6"/>
  <c r="Z1" i="6"/>
  <c r="Y1" i="6"/>
  <c r="X1" i="6"/>
  <c r="W1" i="6"/>
  <c r="V1" i="6"/>
  <c r="T1" i="6"/>
  <c r="S1" i="6"/>
  <c r="Q26" i="7"/>
  <c r="Q25" i="7"/>
  <c r="AH2" i="6"/>
  <c r="AI2" i="6"/>
  <c r="AJ2" i="6"/>
  <c r="AK2" i="6"/>
  <c r="AL2" i="6"/>
  <c r="AM2" i="6"/>
  <c r="AN2" i="6"/>
  <c r="AO2" i="6"/>
  <c r="BE166" i="30" l="1"/>
  <c r="BF166" i="30" s="1"/>
  <c r="BE167" i="30"/>
  <c r="BF167" i="30" s="1"/>
  <c r="BE168" i="30"/>
  <c r="BF168" i="30" s="1"/>
  <c r="BE180" i="30"/>
  <c r="BE169" i="30"/>
  <c r="BE175" i="30"/>
  <c r="BE174" i="30"/>
  <c r="BE177" i="30"/>
  <c r="BE170" i="30"/>
  <c r="BE172" i="30"/>
  <c r="AD162" i="30"/>
  <c r="AE162" i="30"/>
  <c r="BD196" i="30"/>
  <c r="BD203" i="30"/>
  <c r="AF162" i="30"/>
  <c r="AF231" i="30"/>
  <c r="BD198" i="30"/>
  <c r="BD207" i="30"/>
  <c r="BD225" i="30"/>
  <c r="BD172" i="30"/>
  <c r="BD224" i="30"/>
  <c r="BD208" i="30"/>
  <c r="BD233" i="30"/>
  <c r="BD223" i="30"/>
  <c r="BD229" i="30"/>
  <c r="BD155" i="30"/>
  <c r="BD232" i="30"/>
  <c r="BD204" i="30"/>
  <c r="AD230" i="30"/>
  <c r="AE226" i="30"/>
  <c r="AE227" i="30" s="1"/>
  <c r="AD231" i="30"/>
  <c r="AF230" i="30"/>
  <c r="AE171" i="30"/>
  <c r="AE230" i="30"/>
  <c r="AE231" i="30"/>
  <c r="AF171" i="30"/>
  <c r="AD226" i="30"/>
  <c r="AD160" i="30"/>
  <c r="AD238" i="30"/>
  <c r="AE238" i="30"/>
  <c r="AE209" i="30"/>
  <c r="AV191" i="30"/>
  <c r="AD209" i="30"/>
  <c r="AF209" i="30"/>
  <c r="BE209" i="30" s="1"/>
  <c r="AD248" i="30"/>
  <c r="AE248" i="30"/>
  <c r="AF160" i="30"/>
  <c r="AE195" i="30"/>
  <c r="AD197" i="30"/>
  <c r="AF199" i="30"/>
  <c r="BE199" i="30" s="1"/>
  <c r="AF190" i="30"/>
  <c r="BE190" i="30" s="1"/>
  <c r="AE192" i="30"/>
  <c r="Q23" i="7"/>
  <c r="AF248" i="30"/>
  <c r="AF195" i="30"/>
  <c r="BE195" i="30" s="1"/>
  <c r="AE197" i="30"/>
  <c r="AF192" i="30"/>
  <c r="BE192" i="30" s="1"/>
  <c r="AD199" i="30"/>
  <c r="AE199" i="30"/>
  <c r="AF165" i="30"/>
  <c r="AE176" i="30"/>
  <c r="AE181" i="30" s="1"/>
  <c r="AV165" i="30"/>
  <c r="AD190" i="30"/>
  <c r="AF176" i="30"/>
  <c r="AE190" i="30"/>
  <c r="AF197" i="30"/>
  <c r="BE197" i="30" s="1"/>
  <c r="AV200" i="30"/>
  <c r="AV195" i="30"/>
  <c r="AF23" i="7"/>
  <c r="AE242" i="30"/>
  <c r="AD202" i="30"/>
  <c r="AV162" i="30"/>
  <c r="AV226" i="30"/>
  <c r="AD205" i="30"/>
  <c r="AF206" i="30"/>
  <c r="BE206" i="30" s="1"/>
  <c r="AV238" i="30"/>
  <c r="AV201" i="30"/>
  <c r="AV243" i="30"/>
  <c r="AV229" i="30"/>
  <c r="AV178" i="30"/>
  <c r="AE165" i="30"/>
  <c r="AG160" i="30"/>
  <c r="AV160" i="30" s="1"/>
  <c r="AD15" i="7"/>
  <c r="AE205" i="30"/>
  <c r="AD210" i="30"/>
  <c r="AD245" i="30"/>
  <c r="AV210" i="30"/>
  <c r="AF205" i="30"/>
  <c r="BE205" i="30" s="1"/>
  <c r="AE210" i="30"/>
  <c r="AD200" i="30"/>
  <c r="AE245" i="30"/>
  <c r="AV205" i="30"/>
  <c r="AF210" i="30"/>
  <c r="BE210" i="30" s="1"/>
  <c r="AE200" i="30"/>
  <c r="AF245" i="30"/>
  <c r="AD242" i="30"/>
  <c r="AV190" i="30"/>
  <c r="AV176" i="30"/>
  <c r="AF226" i="30"/>
  <c r="AV192" i="30"/>
  <c r="AV245" i="30"/>
  <c r="AV199" i="30"/>
  <c r="AF200" i="30"/>
  <c r="BE200" i="30" s="1"/>
  <c r="AE206" i="30"/>
  <c r="AF242" i="30"/>
  <c r="AE202" i="30"/>
  <c r="AV206" i="30"/>
  <c r="AE160" i="30"/>
  <c r="AF202" i="30"/>
  <c r="BE202" i="30" s="1"/>
  <c r="AV242" i="30"/>
  <c r="AV202" i="30"/>
  <c r="AV175" i="30"/>
  <c r="AV168" i="30"/>
  <c r="AD191" i="30"/>
  <c r="AE191" i="30"/>
  <c r="AG156" i="30"/>
  <c r="AV156" i="30" s="1"/>
  <c r="AV197" i="30"/>
  <c r="AD206" i="30"/>
  <c r="AF16" i="7"/>
  <c r="AD192" i="30"/>
  <c r="AD18" i="7"/>
  <c r="AF238" i="30"/>
  <c r="AD161" i="30"/>
  <c r="AD195" i="30"/>
  <c r="AG491" i="6"/>
  <c r="AD158" i="30"/>
  <c r="AD171" i="30"/>
  <c r="AD201" i="30"/>
  <c r="AF191" i="30"/>
  <c r="BE191" i="30" s="1"/>
  <c r="AD156" i="30"/>
  <c r="AD176" i="30"/>
  <c r="AD165" i="30"/>
  <c r="AD157" i="30"/>
  <c r="AD236" i="30"/>
  <c r="AD174" i="30"/>
  <c r="AV209" i="30"/>
  <c r="AD168" i="30"/>
  <c r="AV155" i="30"/>
  <c r="AW194" i="30"/>
  <c r="AW189" i="30"/>
  <c r="AX299" i="30" a="1"/>
  <c r="AX299" i="30" s="1"/>
  <c r="AI212" i="30"/>
  <c r="AI217" i="30" s="1"/>
  <c r="AW181" i="30"/>
  <c r="AN212" i="30"/>
  <c r="AN217" i="30" s="1"/>
  <c r="AX246" i="30"/>
  <c r="AX227" i="30"/>
  <c r="AV171" i="30"/>
  <c r="AL212" i="30"/>
  <c r="AL217" i="30" s="1"/>
  <c r="AW246" i="30"/>
  <c r="AK184" i="30"/>
  <c r="AK212" i="30"/>
  <c r="AK217" i="30" s="1"/>
  <c r="AX173" i="30"/>
  <c r="AX189" i="30"/>
  <c r="AI184" i="30"/>
  <c r="AH184" i="30"/>
  <c r="AF19" i="7"/>
  <c r="AF21" i="7"/>
  <c r="AF97" i="7" s="1"/>
  <c r="AU97" i="7" s="1"/>
  <c r="AF18" i="7"/>
  <c r="Q19" i="7"/>
  <c r="AS159" i="30"/>
  <c r="AT170" i="30"/>
  <c r="AR180" i="30"/>
  <c r="Q18" i="7"/>
  <c r="Q15" i="7"/>
  <c r="AU175" i="30"/>
  <c r="AQ158" i="30"/>
  <c r="BC158" i="30"/>
  <c r="AW173" i="30"/>
  <c r="AQ177" i="30"/>
  <c r="BC174" i="30"/>
  <c r="AR199" i="30"/>
  <c r="AT202" i="30"/>
  <c r="AS171" i="30"/>
  <c r="AT180" i="30"/>
  <c r="AS176" i="30"/>
  <c r="AR176" i="30"/>
  <c r="BC160" i="30"/>
  <c r="AX181" i="30"/>
  <c r="AX194" i="30"/>
  <c r="AR167" i="30"/>
  <c r="AH212" i="30"/>
  <c r="AH217" i="30" s="1"/>
  <c r="AM212" i="30"/>
  <c r="AX240" i="30"/>
  <c r="AJ212" i="30"/>
  <c r="AW227" i="30"/>
  <c r="AO212" i="30"/>
  <c r="AO217" i="30" s="1"/>
  <c r="AW240" i="30"/>
  <c r="BD271" i="30"/>
  <c r="BD279" i="30" s="1"/>
  <c r="BA279" i="30"/>
  <c r="AV288" i="30"/>
  <c r="AV279" i="30"/>
  <c r="BA297" i="30"/>
  <c r="BD292" i="30"/>
  <c r="BD297" i="30" s="1"/>
  <c r="AW279" i="30"/>
  <c r="AX279" i="30"/>
  <c r="AX288" i="30"/>
  <c r="BD284" i="30"/>
  <c r="BD288" i="30" s="1"/>
  <c r="BA288" i="30"/>
  <c r="AX297" i="30"/>
  <c r="AW288" i="30"/>
  <c r="AV297" i="30"/>
  <c r="AW297" i="30"/>
  <c r="Q16" i="7"/>
  <c r="Q21" i="7"/>
  <c r="AF105" i="7" l="1"/>
  <c r="AU105" i="7" s="1"/>
  <c r="AU107" i="7" s="1"/>
  <c r="BE165" i="30"/>
  <c r="BF165" i="30" s="1"/>
  <c r="BE171" i="30"/>
  <c r="BF171" i="30" s="1"/>
  <c r="AF181" i="30"/>
  <c r="BE176" i="30"/>
  <c r="BD175" i="30"/>
  <c r="BD231" i="30"/>
  <c r="AV248" i="30"/>
  <c r="BD206" i="30"/>
  <c r="BD197" i="30"/>
  <c r="BD205" i="30"/>
  <c r="BD230" i="30"/>
  <c r="BD210" i="30"/>
  <c r="BD202" i="30"/>
  <c r="BD199" i="30"/>
  <c r="BD209" i="30"/>
  <c r="AD227" i="30"/>
  <c r="BD226" i="30"/>
  <c r="BD200" i="30"/>
  <c r="BD201" i="30"/>
  <c r="AF239" i="30"/>
  <c r="AF173" i="30"/>
  <c r="AE173" i="30"/>
  <c r="AE239" i="30"/>
  <c r="AE240" i="30" s="1"/>
  <c r="AF194" i="30"/>
  <c r="AF163" i="30"/>
  <c r="AE194" i="30"/>
  <c r="AF189" i="30"/>
  <c r="AE189" i="30"/>
  <c r="AF246" i="30"/>
  <c r="AF305" i="30" s="1"/>
  <c r="BA175" i="30"/>
  <c r="AG181" i="30"/>
  <c r="AG246" i="30"/>
  <c r="AG305" i="30" s="1"/>
  <c r="AF227" i="30"/>
  <c r="AD246" i="30"/>
  <c r="AD305" i="30" s="1"/>
  <c r="AG173" i="30"/>
  <c r="AE163" i="30"/>
  <c r="AE246" i="30"/>
  <c r="AE305" i="30" s="1"/>
  <c r="AG163" i="30"/>
  <c r="AG189" i="30"/>
  <c r="AD173" i="30"/>
  <c r="AU171" i="30"/>
  <c r="BA171" i="30" s="1"/>
  <c r="AD181" i="30"/>
  <c r="AD163" i="30"/>
  <c r="AG194" i="30"/>
  <c r="AD194" i="30"/>
  <c r="AD189" i="30"/>
  <c r="AD239" i="30"/>
  <c r="AI219" i="30"/>
  <c r="AK219" i="30"/>
  <c r="AH219" i="30"/>
  <c r="AS167" i="30"/>
  <c r="AQ197" i="30"/>
  <c r="AT206" i="30"/>
  <c r="AS204" i="30"/>
  <c r="AT162" i="30"/>
  <c r="AT222" i="30"/>
  <c r="AT193" i="30"/>
  <c r="AR243" i="30"/>
  <c r="AS245" i="30"/>
  <c r="AR190" i="30"/>
  <c r="AS156" i="30"/>
  <c r="AR222" i="30"/>
  <c r="AR169" i="30"/>
  <c r="AS201" i="30"/>
  <c r="AR168" i="30"/>
  <c r="AR205" i="30"/>
  <c r="AS205" i="30"/>
  <c r="AQ174" i="30"/>
  <c r="AT156" i="30"/>
  <c r="AR202" i="30"/>
  <c r="AR252" i="30"/>
  <c r="AR245" i="30"/>
  <c r="AR177" i="30"/>
  <c r="AQ160" i="30"/>
  <c r="AT200" i="30"/>
  <c r="AR175" i="30"/>
  <c r="AT238" i="30"/>
  <c r="AT207" i="30"/>
  <c r="AR193" i="30"/>
  <c r="AT210" i="30"/>
  <c r="AW290" i="30"/>
  <c r="AU162" i="30"/>
  <c r="BA162" i="30" s="1"/>
  <c r="BD167" i="30"/>
  <c r="AT205" i="30"/>
  <c r="AT191" i="30"/>
  <c r="AT167" i="30"/>
  <c r="AR192" i="30"/>
  <c r="AT198" i="30"/>
  <c r="AT244" i="30"/>
  <c r="AR248" i="30"/>
  <c r="V305" i="30"/>
  <c r="AS226" i="30"/>
  <c r="AR201" i="30"/>
  <c r="W305" i="30"/>
  <c r="AR155" i="30"/>
  <c r="AT245" i="30"/>
  <c r="AR229" i="30"/>
  <c r="BD290" i="30"/>
  <c r="AV290" i="30"/>
  <c r="AR196" i="30"/>
  <c r="AT201" i="30"/>
  <c r="AT175" i="30"/>
  <c r="AS160" i="30"/>
  <c r="AS175" i="30"/>
  <c r="AT243" i="30"/>
  <c r="AS169" i="30"/>
  <c r="BD162" i="30"/>
  <c r="AS198" i="30"/>
  <c r="AT158" i="30"/>
  <c r="AS223" i="30"/>
  <c r="AT168" i="30"/>
  <c r="AS192" i="30"/>
  <c r="AS209" i="30"/>
  <c r="AR211" i="30"/>
  <c r="AS170" i="30"/>
  <c r="S305" i="30"/>
  <c r="AT230" i="30"/>
  <c r="AR191" i="30"/>
  <c r="AS193" i="30"/>
  <c r="AT169" i="30"/>
  <c r="AS243" i="30"/>
  <c r="T305" i="30"/>
  <c r="AU167" i="30"/>
  <c r="BA167" i="30" s="1"/>
  <c r="AU223" i="30"/>
  <c r="BA223" i="30" s="1"/>
  <c r="AS190" i="30"/>
  <c r="AS165" i="30"/>
  <c r="AQ171" i="30"/>
  <c r="BC171" i="30"/>
  <c r="AS196" i="30"/>
  <c r="AS195" i="30"/>
  <c r="AU209" i="30"/>
  <c r="BA209" i="30" s="1"/>
  <c r="BD253" i="30"/>
  <c r="G40" i="9" s="1"/>
  <c r="AU253" i="30"/>
  <c r="BA253" i="30" s="1"/>
  <c r="AR170" i="30"/>
  <c r="BD176" i="30"/>
  <c r="AU176" i="30"/>
  <c r="BA176" i="30" s="1"/>
  <c r="AR223" i="30"/>
  <c r="AT242" i="30"/>
  <c r="AR238" i="30"/>
  <c r="BD252" i="30"/>
  <c r="AU252" i="30"/>
  <c r="BA252" i="30" s="1"/>
  <c r="BD237" i="30"/>
  <c r="AU237" i="30"/>
  <c r="BA237" i="30" s="1"/>
  <c r="AQ252" i="30"/>
  <c r="BC252" i="30"/>
  <c r="BC170" i="30"/>
  <c r="AQ170" i="30"/>
  <c r="AM184" i="30"/>
  <c r="AX183" i="30"/>
  <c r="AJ217" i="30"/>
  <c r="AW217" i="30" s="1"/>
  <c r="AW212" i="30"/>
  <c r="AU198" i="30"/>
  <c r="BA198" i="30" s="1"/>
  <c r="AU210" i="30"/>
  <c r="BA210" i="30" s="1"/>
  <c r="AU248" i="30"/>
  <c r="BD248" i="30"/>
  <c r="G37" i="9" s="1"/>
  <c r="AT236" i="30"/>
  <c r="AS230" i="30"/>
  <c r="AS158" i="30"/>
  <c r="AN219" i="30"/>
  <c r="AN184" i="30"/>
  <c r="AS180" i="30"/>
  <c r="AT197" i="30"/>
  <c r="AU207" i="30"/>
  <c r="BA207" i="30" s="1"/>
  <c r="AQ180" i="30"/>
  <c r="BC180" i="30"/>
  <c r="AU204" i="30"/>
  <c r="BA204" i="30" s="1"/>
  <c r="BD174" i="30"/>
  <c r="AU174" i="30"/>
  <c r="AU201" i="30"/>
  <c r="BA201" i="30" s="1"/>
  <c r="AU170" i="30"/>
  <c r="BA170" i="30" s="1"/>
  <c r="BD170" i="30"/>
  <c r="AQ210" i="30"/>
  <c r="AQ201" i="30"/>
  <c r="AU199" i="30"/>
  <c r="BA199" i="30" s="1"/>
  <c r="AT196" i="30"/>
  <c r="AT204" i="30"/>
  <c r="AQ211" i="30"/>
  <c r="BC211" i="30"/>
  <c r="AS237" i="30"/>
  <c r="Z305" i="30"/>
  <c r="AQ230" i="30"/>
  <c r="AT252" i="30"/>
  <c r="BC238" i="30"/>
  <c r="AQ238" i="30"/>
  <c r="AS244" i="30"/>
  <c r="BD157" i="30"/>
  <c r="G9" i="9" s="1"/>
  <c r="AU157" i="30"/>
  <c r="BA157" i="30" s="1"/>
  <c r="AT165" i="30"/>
  <c r="AU177" i="30"/>
  <c r="BA177" i="30" s="1"/>
  <c r="BD177" i="30"/>
  <c r="AX212" i="30"/>
  <c r="AM217" i="30"/>
  <c r="AX217" i="30" s="1"/>
  <c r="AT157" i="30"/>
  <c r="AQ202" i="30"/>
  <c r="BD171" i="30"/>
  <c r="AS197" i="30"/>
  <c r="AT211" i="30"/>
  <c r="BC162" i="30"/>
  <c r="AQ162" i="30"/>
  <c r="AQ200" i="30"/>
  <c r="AR171" i="30"/>
  <c r="BD178" i="30"/>
  <c r="AU178" i="30"/>
  <c r="BA178" i="30" s="1"/>
  <c r="AS202" i="30"/>
  <c r="AR226" i="30"/>
  <c r="AT223" i="30"/>
  <c r="AR195" i="30"/>
  <c r="AR158" i="30"/>
  <c r="AS200" i="30"/>
  <c r="BD238" i="30"/>
  <c r="AU238" i="30"/>
  <c r="BA238" i="30" s="1"/>
  <c r="AU197" i="30"/>
  <c r="BA197" i="30" s="1"/>
  <c r="AR230" i="30"/>
  <c r="AT229" i="30"/>
  <c r="BD242" i="30"/>
  <c r="AU242" i="30"/>
  <c r="BA242" i="30" s="1"/>
  <c r="AR157" i="30"/>
  <c r="AT155" i="30"/>
  <c r="BC157" i="30"/>
  <c r="AQ157" i="30"/>
  <c r="AQ159" i="30"/>
  <c r="BC159" i="30"/>
  <c r="AQ229" i="30"/>
  <c r="AB305" i="30"/>
  <c r="AL219" i="30"/>
  <c r="AL184" i="30"/>
  <c r="AT199" i="30"/>
  <c r="AU206" i="30"/>
  <c r="BA206" i="30" s="1"/>
  <c r="AQ226" i="30"/>
  <c r="AT237" i="30"/>
  <c r="AQ243" i="30"/>
  <c r="BC243" i="30"/>
  <c r="AS252" i="30"/>
  <c r="AU156" i="30"/>
  <c r="BA156" i="30" s="1"/>
  <c r="BD156" i="30"/>
  <c r="G8" i="9" s="1"/>
  <c r="AQ192" i="30"/>
  <c r="BC192" i="30"/>
  <c r="AR210" i="30"/>
  <c r="AT253" i="30"/>
  <c r="AQ222" i="30"/>
  <c r="BD160" i="30"/>
  <c r="G12" i="9" s="1"/>
  <c r="AU160" i="30"/>
  <c r="BA160" i="30" s="1"/>
  <c r="AS222" i="30"/>
  <c r="AT176" i="30"/>
  <c r="AQ191" i="30"/>
  <c r="BC191" i="30"/>
  <c r="AQ205" i="30"/>
  <c r="AQ199" i="30"/>
  <c r="AU222" i="30"/>
  <c r="AU243" i="30"/>
  <c r="BA243" i="30" s="1"/>
  <c r="BD243" i="30"/>
  <c r="AR253" i="30"/>
  <c r="BC244" i="30"/>
  <c r="AQ244" i="30"/>
  <c r="AC305" i="30"/>
  <c r="AR244" i="30"/>
  <c r="AQ196" i="30"/>
  <c r="BD165" i="30"/>
  <c r="AU165" i="30"/>
  <c r="BA165" i="30" s="1"/>
  <c r="AU208" i="30"/>
  <c r="BA208" i="30" s="1"/>
  <c r="BC156" i="30"/>
  <c r="AQ156" i="30"/>
  <c r="BA290" i="30"/>
  <c r="AS174" i="30"/>
  <c r="AR174" i="30"/>
  <c r="AT190" i="30"/>
  <c r="AQ167" i="30"/>
  <c r="BC167" i="30"/>
  <c r="AR206" i="30"/>
  <c r="AR200" i="30"/>
  <c r="AU196" i="30"/>
  <c r="BA196" i="30" s="1"/>
  <c r="AQ209" i="30"/>
  <c r="AQ208" i="30"/>
  <c r="AS229" i="30"/>
  <c r="AR197" i="30"/>
  <c r="AU202" i="30"/>
  <c r="BA202" i="30" s="1"/>
  <c r="AR156" i="30"/>
  <c r="BC165" i="30"/>
  <c r="AQ165" i="30"/>
  <c r="AX290" i="30"/>
  <c r="AR159" i="30"/>
  <c r="AU200" i="30"/>
  <c r="BA200" i="30" s="1"/>
  <c r="AT160" i="30"/>
  <c r="AU205" i="30"/>
  <c r="BA205" i="30" s="1"/>
  <c r="AU226" i="30"/>
  <c r="BA226" i="30" s="1"/>
  <c r="BD191" i="30"/>
  <c r="AU191" i="30"/>
  <c r="BA191" i="30" s="1"/>
  <c r="BC237" i="30"/>
  <c r="AQ237" i="30"/>
  <c r="AT226" i="30"/>
  <c r="BC248" i="30"/>
  <c r="AQ248" i="30"/>
  <c r="AS236" i="30"/>
  <c r="AT177" i="30"/>
  <c r="BC175" i="30"/>
  <c r="AQ175" i="30"/>
  <c r="AQ169" i="30"/>
  <c r="BC169" i="30"/>
  <c r="AR160" i="30"/>
  <c r="AT171" i="30"/>
  <c r="AQ168" i="30"/>
  <c r="BC168" i="30"/>
  <c r="AU155" i="30"/>
  <c r="BA155" i="30" s="1"/>
  <c r="BD236" i="30"/>
  <c r="AU236" i="30"/>
  <c r="BA236" i="30" s="1"/>
  <c r="AS206" i="30"/>
  <c r="AQ204" i="30"/>
  <c r="AQ223" i="30"/>
  <c r="AS162" i="30"/>
  <c r="AU168" i="30"/>
  <c r="BA168" i="30" s="1"/>
  <c r="BD168" i="30"/>
  <c r="AR165" i="30"/>
  <c r="AT159" i="30"/>
  <c r="AQ242" i="30"/>
  <c r="BC242" i="30"/>
  <c r="AS157" i="30"/>
  <c r="AU195" i="30"/>
  <c r="BA195" i="30" s="1"/>
  <c r="BD195" i="30"/>
  <c r="AQ207" i="30"/>
  <c r="AS177" i="30"/>
  <c r="AU230" i="30"/>
  <c r="BA230" i="30" s="1"/>
  <c r="AQ206" i="30"/>
  <c r="AS207" i="30"/>
  <c r="AS211" i="30"/>
  <c r="BD158" i="30"/>
  <c r="G11" i="9" s="1"/>
  <c r="AU158" i="30"/>
  <c r="BA158" i="30" s="1"/>
  <c r="AT192" i="30"/>
  <c r="AR208" i="30"/>
  <c r="AR204" i="30"/>
  <c r="BD169" i="30"/>
  <c r="AU169" i="30"/>
  <c r="BA169" i="30" s="1"/>
  <c r="BD193" i="30"/>
  <c r="AU193" i="30"/>
  <c r="BA193" i="30" s="1"/>
  <c r="BD192" i="30"/>
  <c r="AU192" i="30"/>
  <c r="BA192" i="30" s="1"/>
  <c r="AR207" i="30"/>
  <c r="AR162" i="30"/>
  <c r="BD180" i="30"/>
  <c r="AU180" i="30"/>
  <c r="BA180" i="30" s="1"/>
  <c r="AT208" i="30"/>
  <c r="AQ198" i="30"/>
  <c r="AR209" i="30"/>
  <c r="AR242" i="30"/>
  <c r="Y305" i="30"/>
  <c r="AR236" i="30"/>
  <c r="AS238" i="30"/>
  <c r="AT174" i="30"/>
  <c r="BC195" i="30"/>
  <c r="AQ195" i="30"/>
  <c r="AS168" i="30"/>
  <c r="AQ190" i="30"/>
  <c r="BC190" i="30"/>
  <c r="BD159" i="30"/>
  <c r="G10" i="9" s="1"/>
  <c r="AU159" i="30"/>
  <c r="BA159" i="30" s="1"/>
  <c r="AS199" i="30"/>
  <c r="AW183" i="30"/>
  <c r="AJ184" i="30"/>
  <c r="BC236" i="30"/>
  <c r="AQ236" i="30"/>
  <c r="AQ245" i="30"/>
  <c r="BC245" i="30"/>
  <c r="AU211" i="30"/>
  <c r="BA211" i="30" s="1"/>
  <c r="BD211" i="30"/>
  <c r="AU244" i="30"/>
  <c r="BA244" i="30" s="1"/>
  <c r="BD244" i="30"/>
  <c r="AU229" i="30"/>
  <c r="BA229" i="30" s="1"/>
  <c r="AQ155" i="30"/>
  <c r="BC155" i="30"/>
  <c r="AQ176" i="30"/>
  <c r="BC176" i="30"/>
  <c r="AS191" i="30"/>
  <c r="AT209" i="30"/>
  <c r="AS155" i="30"/>
  <c r="AS208" i="30"/>
  <c r="AQ193" i="30"/>
  <c r="BC193" i="30"/>
  <c r="BD190" i="30"/>
  <c r="AU190" i="30"/>
  <c r="BA190" i="30" s="1"/>
  <c r="AU245" i="30"/>
  <c r="BA245" i="30" s="1"/>
  <c r="BD245" i="30"/>
  <c r="AT195" i="30"/>
  <c r="AS242" i="30"/>
  <c r="AS210" i="30"/>
  <c r="AR237" i="30"/>
  <c r="AS253" i="30"/>
  <c r="AS248" i="30"/>
  <c r="AQ253" i="30"/>
  <c r="BC253" i="30"/>
  <c r="AT248" i="30"/>
  <c r="AO219" i="30"/>
  <c r="AO184" i="30"/>
  <c r="AR198" i="30"/>
  <c r="Q17" i="7"/>
  <c r="Q20" i="7" s="1"/>
  <c r="Q22" i="7" s="1"/>
  <c r="Q24" i="7" s="1"/>
  <c r="Q27" i="7" s="1"/>
  <c r="AG183" i="30" l="1"/>
  <c r="AG184" i="30" s="1"/>
  <c r="AG186" i="30"/>
  <c r="AG187" i="30" s="1"/>
  <c r="AV163" i="30"/>
  <c r="AG314" i="30"/>
  <c r="AG316" i="30" s="1"/>
  <c r="AF107" i="7"/>
  <c r="BA248" i="30"/>
  <c r="BE181" i="30"/>
  <c r="AV189" i="30"/>
  <c r="BE189" i="30"/>
  <c r="BE173" i="30"/>
  <c r="AV194" i="30"/>
  <c r="BE194" i="30"/>
  <c r="AD240" i="30"/>
  <c r="AF240" i="30"/>
  <c r="AV173" i="30"/>
  <c r="AV181" i="30"/>
  <c r="AV246" i="30"/>
  <c r="AV239" i="30"/>
  <c r="BD173" i="30"/>
  <c r="G16" i="9" s="1"/>
  <c r="AE183" i="30"/>
  <c r="AF183" i="30"/>
  <c r="AF212" i="30"/>
  <c r="AE212" i="30"/>
  <c r="AD212" i="30"/>
  <c r="AD183" i="30"/>
  <c r="AD186" i="30" s="1"/>
  <c r="AD187" i="30" s="1"/>
  <c r="AG212" i="30"/>
  <c r="AJ219" i="30"/>
  <c r="AW219" i="30" s="1"/>
  <c r="AZ205" i="30"/>
  <c r="AZ167" i="30"/>
  <c r="AZ158" i="30"/>
  <c r="AZ197" i="30"/>
  <c r="AZ193" i="30"/>
  <c r="AZ245" i="30"/>
  <c r="AZ177" i="30"/>
  <c r="AZ201" i="30"/>
  <c r="AZ192" i="30"/>
  <c r="BC212" i="30"/>
  <c r="AR161" i="30"/>
  <c r="AZ252" i="30"/>
  <c r="AZ171" i="30"/>
  <c r="AZ165" i="30"/>
  <c r="AT194" i="30"/>
  <c r="AZ155" i="30"/>
  <c r="AZ169" i="30"/>
  <c r="AT161" i="30"/>
  <c r="AZ222" i="30"/>
  <c r="AZ253" i="30"/>
  <c r="AZ160" i="30"/>
  <c r="AZ168" i="30"/>
  <c r="AZ175" i="30"/>
  <c r="AZ156" i="30"/>
  <c r="AR194" i="30"/>
  <c r="AZ200" i="30"/>
  <c r="AR163" i="30"/>
  <c r="AZ223" i="30"/>
  <c r="AZ180" i="30"/>
  <c r="AZ198" i="30"/>
  <c r="AZ226" i="30"/>
  <c r="AZ176" i="30"/>
  <c r="AZ243" i="30"/>
  <c r="AZ238" i="30"/>
  <c r="AZ202" i="30"/>
  <c r="AS227" i="30"/>
  <c r="AA305" i="30"/>
  <c r="AT246" i="30"/>
  <c r="AZ199" i="30"/>
  <c r="BD246" i="30"/>
  <c r="G34" i="9" s="1"/>
  <c r="AU246" i="30"/>
  <c r="AU181" i="30"/>
  <c r="BD181" i="30"/>
  <c r="AZ196" i="30"/>
  <c r="BD189" i="30"/>
  <c r="AU189" i="30"/>
  <c r="AZ174" i="30"/>
  <c r="AZ230" i="30"/>
  <c r="AS189" i="30"/>
  <c r="AZ248" i="30"/>
  <c r="AT189" i="30"/>
  <c r="AZ195" i="30"/>
  <c r="AZ209" i="30"/>
  <c r="AZ157" i="30"/>
  <c r="AZ242" i="30"/>
  <c r="AR189" i="30"/>
  <c r="AQ194" i="30"/>
  <c r="BC194" i="30"/>
  <c r="BD161" i="30"/>
  <c r="G13" i="9" s="1"/>
  <c r="AU161" i="30"/>
  <c r="BA161" i="30" s="1"/>
  <c r="AM219" i="30"/>
  <c r="AX219" i="30" s="1"/>
  <c r="X305" i="30"/>
  <c r="AS246" i="30"/>
  <c r="AT227" i="30"/>
  <c r="U305" i="30"/>
  <c r="AR246" i="30"/>
  <c r="AZ191" i="30"/>
  <c r="BC163" i="30"/>
  <c r="AQ163" i="30"/>
  <c r="AZ170" i="30"/>
  <c r="AR227" i="30"/>
  <c r="AU194" i="30"/>
  <c r="BD194" i="30"/>
  <c r="AZ207" i="30"/>
  <c r="R305" i="30"/>
  <c r="AQ246" i="30"/>
  <c r="BC246" i="30"/>
  <c r="AZ211" i="30"/>
  <c r="AZ210" i="30"/>
  <c r="AS194" i="30"/>
  <c r="AZ162" i="30"/>
  <c r="AZ236" i="30"/>
  <c r="BC189" i="30"/>
  <c r="AQ189" i="30"/>
  <c r="AZ208" i="30"/>
  <c r="AZ229" i="30"/>
  <c r="AZ237" i="30"/>
  <c r="BA174" i="30"/>
  <c r="AZ190" i="30"/>
  <c r="AZ206" i="30"/>
  <c r="AS163" i="30"/>
  <c r="AZ204" i="30"/>
  <c r="AZ159" i="30"/>
  <c r="AS161" i="30"/>
  <c r="AZ244" i="30"/>
  <c r="AQ161" i="30"/>
  <c r="BC161" i="30"/>
  <c r="F22" i="9" l="1"/>
  <c r="BA189" i="30"/>
  <c r="BE212" i="30"/>
  <c r="BA194" i="30"/>
  <c r="G17" i="9"/>
  <c r="BA181" i="30"/>
  <c r="AF186" i="30"/>
  <c r="AF187" i="30" s="1"/>
  <c r="AF184" i="30"/>
  <c r="AE184" i="30"/>
  <c r="AE186" i="30"/>
  <c r="AE187" i="30" s="1"/>
  <c r="AD184" i="30"/>
  <c r="AV212" i="30"/>
  <c r="AV183" i="30"/>
  <c r="AS212" i="30"/>
  <c r="AZ161" i="30"/>
  <c r="AQ212" i="30"/>
  <c r="BC227" i="30"/>
  <c r="AQ227" i="30"/>
  <c r="AZ227" i="30" s="1"/>
  <c r="BA246" i="30"/>
  <c r="AT166" i="30"/>
  <c r="AZ194" i="30"/>
  <c r="BD163" i="30"/>
  <c r="BD183" i="30" s="1"/>
  <c r="AU163" i="30"/>
  <c r="BA163" i="30" s="1"/>
  <c r="BD166" i="30"/>
  <c r="AU166" i="30"/>
  <c r="BA166" i="30" s="1"/>
  <c r="AS166" i="30"/>
  <c r="AR212" i="30"/>
  <c r="AU227" i="30"/>
  <c r="AT212" i="30"/>
  <c r="AT163" i="30"/>
  <c r="AZ163" i="30" s="1"/>
  <c r="AZ246" i="30"/>
  <c r="AR166" i="30"/>
  <c r="AU212" i="30"/>
  <c r="BD212" i="30"/>
  <c r="G25" i="9" s="1"/>
  <c r="AZ189" i="30"/>
  <c r="AQ166" i="30"/>
  <c r="BC166" i="30"/>
  <c r="BD184" i="30" l="1"/>
  <c r="G23" i="9" s="1"/>
  <c r="G22" i="9"/>
  <c r="BD186" i="30"/>
  <c r="BD187" i="30" s="1"/>
  <c r="BA212" i="30"/>
  <c r="AZ212" i="30"/>
  <c r="AZ166" i="30"/>
  <c r="BC239" i="30"/>
  <c r="AQ239" i="30"/>
  <c r="AT173" i="30"/>
  <c r="AS239" i="30"/>
  <c r="AS240" i="30"/>
  <c r="AU173" i="30"/>
  <c r="BA173" i="30" s="1"/>
  <c r="BD239" i="30"/>
  <c r="AU239" i="30"/>
  <c r="BA239" i="30" s="1"/>
  <c r="AQ173" i="30"/>
  <c r="AR173" i="30"/>
  <c r="AS173" i="30"/>
  <c r="AT239" i="30"/>
  <c r="AT240" i="30"/>
  <c r="AR239" i="30"/>
  <c r="AR240" i="30"/>
  <c r="AZ173" i="30" l="1"/>
  <c r="BC240" i="30"/>
  <c r="AQ240" i="30"/>
  <c r="AZ240" i="30" s="1"/>
  <c r="AZ239" i="30"/>
  <c r="AU240" i="30"/>
  <c r="AU183" i="30"/>
  <c r="BA183" i="30" s="1"/>
  <c r="A492" i="6" l="1"/>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491" i="6"/>
  <c r="AE15" i="7" l="1"/>
  <c r="H75" i="9" l="1"/>
  <c r="W75" i="9" s="1"/>
  <c r="Z75" i="9" s="1"/>
  <c r="X75" i="9" l="1"/>
  <c r="AA75" i="9" s="1"/>
  <c r="I83" i="9"/>
  <c r="I80" i="9"/>
  <c r="I77" i="9"/>
  <c r="I69" i="9"/>
  <c r="I56" i="9"/>
  <c r="I55" i="9"/>
  <c r="I54" i="9"/>
  <c r="I53" i="9"/>
  <c r="I52" i="9"/>
  <c r="I51" i="9"/>
  <c r="I57" i="9" l="1"/>
  <c r="AE113" i="7" l="1"/>
  <c r="AF322" i="30" s="1"/>
  <c r="AF292" i="30"/>
  <c r="AU292" i="30" s="1" a="1"/>
  <c r="AU292" i="30" s="1"/>
  <c r="AF291" i="30"/>
  <c r="AF290" i="30"/>
  <c r="AF289" i="30"/>
  <c r="AF288" i="30"/>
  <c r="AF287" i="30"/>
  <c r="AU287" i="30" s="1" a="1"/>
  <c r="AU287" i="30" s="1"/>
  <c r="AF286" i="30"/>
  <c r="AU286" i="30" s="1" a="1"/>
  <c r="AU286" i="30" s="1"/>
  <c r="AF285" i="30"/>
  <c r="AU282" i="30" a="1"/>
  <c r="AU282" i="30" s="1"/>
  <c r="AU281" i="30" a="1"/>
  <c r="AU281" i="30" s="1"/>
  <c r="AU278" i="30" a="1"/>
  <c r="AU278" i="30" s="1"/>
  <c r="AU277" i="30" a="1"/>
  <c r="AU277" i="30" s="1"/>
  <c r="AU276" i="30" a="1"/>
  <c r="AU276" i="30" s="1"/>
  <c r="AU275" i="30" a="1"/>
  <c r="AU275" i="30" s="1"/>
  <c r="AU274" i="30" a="1"/>
  <c r="AU274" i="30" s="1"/>
  <c r="AU273" i="30" a="1"/>
  <c r="AU273" i="30" s="1"/>
  <c r="AU272" i="30" a="1"/>
  <c r="AU272" i="30" s="1"/>
  <c r="AU285" i="30" l="1" a="1"/>
  <c r="AU285" i="30" s="1"/>
  <c r="AF293" i="30"/>
  <c r="AU293" i="30" s="1" a="1"/>
  <c r="AU293" i="30" s="1"/>
  <c r="AF295" i="30"/>
  <c r="AF297" i="30" l="1"/>
  <c r="AF299" i="30" s="1"/>
  <c r="AU299" i="30" s="1" a="1"/>
  <c r="AU299" i="30" s="1"/>
  <c r="AU295" i="30" a="1"/>
  <c r="AU295" i="30" s="1"/>
  <c r="AU297" i="30" s="1"/>
  <c r="C45" i="28" l="1"/>
  <c r="O20" i="25" l="1"/>
  <c r="N20" i="25"/>
  <c r="D20" i="25" l="1"/>
  <c r="E20" i="25"/>
  <c r="F20" i="25"/>
  <c r="F22" i="25" s="1"/>
  <c r="G20" i="25"/>
  <c r="H20" i="25"/>
  <c r="I20" i="25"/>
  <c r="J20" i="25"/>
  <c r="K20" i="25"/>
  <c r="L20" i="25"/>
  <c r="M20" i="25"/>
  <c r="C20" i="25"/>
  <c r="AD113" i="7" l="1"/>
  <c r="AC113" i="7"/>
  <c r="AB113" i="7"/>
  <c r="AA113" i="7"/>
  <c r="Z113" i="7"/>
  <c r="AS113" i="7" s="1"/>
  <c r="Y113" i="7"/>
  <c r="X113" i="7"/>
  <c r="W113" i="7"/>
  <c r="AR113" i="7" s="1"/>
  <c r="V113" i="7"/>
  <c r="U113" i="7"/>
  <c r="T113" i="7"/>
  <c r="AQ113" i="7" s="1"/>
  <c r="S113" i="7"/>
  <c r="R113" i="7"/>
  <c r="Q113" i="7"/>
  <c r="Q112" i="7"/>
  <c r="Q111" i="7"/>
  <c r="Q106" i="7"/>
  <c r="Q104" i="7"/>
  <c r="Q101" i="7"/>
  <c r="Q100" i="7"/>
  <c r="Q99" i="7"/>
  <c r="R322" i="30" l="1"/>
  <c r="BB113" i="7"/>
  <c r="AY113" i="7"/>
  <c r="AP113" i="7"/>
  <c r="R308" i="30"/>
  <c r="R309" i="30"/>
  <c r="R310" i="30"/>
  <c r="R313" i="30"/>
  <c r="R315" i="30"/>
  <c r="BC113" i="7"/>
  <c r="AZ113" i="7"/>
  <c r="AT113" i="7"/>
  <c r="R321" i="30"/>
  <c r="Q114" i="7"/>
  <c r="R320" i="30"/>
  <c r="S322" i="30"/>
  <c r="T322" i="30"/>
  <c r="AB322" i="30"/>
  <c r="V322" i="30"/>
  <c r="AC322" i="30"/>
  <c r="AD322" i="30"/>
  <c r="W322" i="30"/>
  <c r="X322" i="30"/>
  <c r="U322" i="30"/>
  <c r="Y322" i="30"/>
  <c r="Z322" i="30"/>
  <c r="AE322" i="30"/>
  <c r="AA322" i="30"/>
  <c r="Q92" i="7"/>
  <c r="Q86" i="7"/>
  <c r="Q76" i="7"/>
  <c r="AE89" i="7"/>
  <c r="AE96" i="7" s="1"/>
  <c r="AE88" i="7"/>
  <c r="AE90" i="7"/>
  <c r="AE91" i="7"/>
  <c r="S285" i="30"/>
  <c r="T285" i="30"/>
  <c r="U285" i="30"/>
  <c r="V285" i="30"/>
  <c r="W285" i="30"/>
  <c r="X285" i="30"/>
  <c r="Y285" i="30"/>
  <c r="Z285" i="30"/>
  <c r="AA285" i="30"/>
  <c r="AB285" i="30"/>
  <c r="AC285" i="30"/>
  <c r="AD285" i="30"/>
  <c r="S286" i="30"/>
  <c r="T286" i="30"/>
  <c r="AQ286" i="30" s="1" a="1"/>
  <c r="AQ286" i="30" s="1"/>
  <c r="U286" i="30"/>
  <c r="V286" i="30"/>
  <c r="W286" i="30"/>
  <c r="AR286" i="30" s="1" a="1"/>
  <c r="AR286" i="30" s="1"/>
  <c r="X286" i="30"/>
  <c r="Y286" i="30"/>
  <c r="Z286" i="30"/>
  <c r="AS286" i="30" s="1" a="1"/>
  <c r="AS286" i="30" s="1"/>
  <c r="AA286" i="30"/>
  <c r="AB286" i="30"/>
  <c r="AC286" i="30"/>
  <c r="AD286" i="30"/>
  <c r="S287" i="30"/>
  <c r="T287" i="30"/>
  <c r="AQ287" i="30" s="1" a="1"/>
  <c r="AQ287" i="30" s="1"/>
  <c r="U287" i="30"/>
  <c r="V287" i="30"/>
  <c r="W287" i="30"/>
  <c r="AR287" i="30" s="1" a="1"/>
  <c r="AR287" i="30" s="1"/>
  <c r="X287" i="30"/>
  <c r="Y287" i="30"/>
  <c r="Z287" i="30"/>
  <c r="AS287" i="30" s="1" a="1"/>
  <c r="AS287" i="30" s="1"/>
  <c r="AA287" i="30"/>
  <c r="AB287" i="30"/>
  <c r="AC287" i="30"/>
  <c r="AD287" i="30"/>
  <c r="S288" i="30"/>
  <c r="T288" i="30"/>
  <c r="U288" i="30"/>
  <c r="V288" i="30"/>
  <c r="W288" i="30"/>
  <c r="X288" i="30"/>
  <c r="Y288" i="30"/>
  <c r="Z288" i="30"/>
  <c r="AA288" i="30"/>
  <c r="AB288" i="30"/>
  <c r="AC288" i="30"/>
  <c r="AD288" i="30"/>
  <c r="S289" i="30"/>
  <c r="T289" i="30"/>
  <c r="U289" i="30"/>
  <c r="V289" i="30"/>
  <c r="W289" i="30"/>
  <c r="X289" i="30"/>
  <c r="Y289" i="30"/>
  <c r="Z289" i="30"/>
  <c r="AA289" i="30"/>
  <c r="AB289" i="30"/>
  <c r="AC289" i="30"/>
  <c r="AD289" i="30"/>
  <c r="S290" i="30"/>
  <c r="T290" i="30"/>
  <c r="U290" i="30"/>
  <c r="V290" i="30"/>
  <c r="W290" i="30"/>
  <c r="X290" i="30"/>
  <c r="Y290" i="30"/>
  <c r="Z290" i="30"/>
  <c r="AA290" i="30"/>
  <c r="AB290" i="30"/>
  <c r="AC290" i="30"/>
  <c r="AD290" i="30"/>
  <c r="S291" i="30"/>
  <c r="T291" i="30"/>
  <c r="U291" i="30"/>
  <c r="V291" i="30"/>
  <c r="W291" i="30"/>
  <c r="X291" i="30"/>
  <c r="Y291" i="30"/>
  <c r="Z291" i="30"/>
  <c r="AA291" i="30"/>
  <c r="AB291" i="30"/>
  <c r="AC291" i="30"/>
  <c r="AD291" i="30"/>
  <c r="S292" i="30"/>
  <c r="T292" i="30"/>
  <c r="AQ292" i="30" s="1" a="1"/>
  <c r="AQ292" i="30" s="1"/>
  <c r="U292" i="30"/>
  <c r="V292" i="30"/>
  <c r="W292" i="30"/>
  <c r="AR292" i="30" s="1" a="1"/>
  <c r="AR292" i="30" s="1"/>
  <c r="X292" i="30"/>
  <c r="Y292" i="30"/>
  <c r="Z292" i="30"/>
  <c r="AS292" i="30" s="1" a="1"/>
  <c r="AS292" i="30" s="1"/>
  <c r="AA292" i="30"/>
  <c r="AB292" i="30"/>
  <c r="AC292" i="30"/>
  <c r="AD292" i="30"/>
  <c r="AQ272" i="30" a="1"/>
  <c r="AQ272" i="30" s="1"/>
  <c r="AR272" i="30" a="1"/>
  <c r="AR272" i="30" s="1"/>
  <c r="AS272" i="30" a="1"/>
  <c r="AS272" i="30" s="1"/>
  <c r="AQ273" i="30" a="1"/>
  <c r="AQ273" i="30" s="1"/>
  <c r="AR273" i="30" a="1"/>
  <c r="AR273" i="30" s="1"/>
  <c r="AS273" i="30" a="1"/>
  <c r="AS273" i="30" s="1"/>
  <c r="AQ274" i="30" a="1"/>
  <c r="AQ274" i="30" s="1"/>
  <c r="AR274" i="30" a="1"/>
  <c r="AR274" i="30" s="1"/>
  <c r="AS274" i="30" a="1"/>
  <c r="AS274" i="30" s="1"/>
  <c r="AQ275" i="30" a="1"/>
  <c r="AQ275" i="30" s="1"/>
  <c r="AR275" i="30" a="1"/>
  <c r="AR275" i="30" s="1"/>
  <c r="AS275" i="30" a="1"/>
  <c r="AS275" i="30" s="1"/>
  <c r="AQ276" i="30" a="1"/>
  <c r="AQ276" i="30" s="1"/>
  <c r="AR276" i="30" a="1"/>
  <c r="AR276" i="30" s="1"/>
  <c r="AS276" i="30" a="1"/>
  <c r="AS276" i="30" s="1"/>
  <c r="AQ277" i="30" a="1"/>
  <c r="AQ277" i="30" s="1"/>
  <c r="AR277" i="30" a="1"/>
  <c r="AR277" i="30" s="1"/>
  <c r="AS277" i="30" a="1"/>
  <c r="AS277" i="30" s="1"/>
  <c r="AQ278" i="30" a="1"/>
  <c r="AQ278" i="30" s="1"/>
  <c r="AR278" i="30" a="1"/>
  <c r="AR278" i="30" s="1"/>
  <c r="AS278" i="30" a="1"/>
  <c r="AS278" i="30" s="1"/>
  <c r="AQ281" i="30" a="1"/>
  <c r="AQ281" i="30" s="1"/>
  <c r="AR281" i="30" a="1"/>
  <c r="AR281" i="30" s="1"/>
  <c r="AS281" i="30" a="1"/>
  <c r="AS281" i="30" s="1"/>
  <c r="AQ282" i="30" a="1"/>
  <c r="AQ282" i="30" s="1"/>
  <c r="AR282" i="30" a="1"/>
  <c r="AR282" i="30" s="1"/>
  <c r="AS282" i="30" a="1"/>
  <c r="AS282" i="30" s="1"/>
  <c r="R272" i="30"/>
  <c r="R273" i="30"/>
  <c r="R274" i="30"/>
  <c r="R275" i="30"/>
  <c r="R276" i="30"/>
  <c r="R277" i="30"/>
  <c r="R278" i="30"/>
  <c r="R279" i="30"/>
  <c r="R280" i="30"/>
  <c r="R281" i="30"/>
  <c r="R282" i="30"/>
  <c r="R323" i="30" l="1"/>
  <c r="AZ276" i="30" a="1"/>
  <c r="AZ276" i="30" s="1"/>
  <c r="BC276" i="30" s="1"/>
  <c r="AT276" i="30" a="1"/>
  <c r="AT276" i="30" s="1"/>
  <c r="AT286" i="30" a="1"/>
  <c r="AT286" i="30" s="1"/>
  <c r="AZ286" i="30" a="1"/>
  <c r="AZ286" i="30" s="1"/>
  <c r="BC286" i="30" s="1"/>
  <c r="R287" i="30"/>
  <c r="AE83" i="7"/>
  <c r="AE290" i="30"/>
  <c r="AA293" i="30"/>
  <c r="AS285" i="30" a="1"/>
  <c r="AS285" i="30" s="1"/>
  <c r="Z293" i="30"/>
  <c r="AS293" i="30" s="1" a="1"/>
  <c r="AS293" i="30" s="1"/>
  <c r="AE82" i="7"/>
  <c r="AE289" i="30"/>
  <c r="R286" i="30"/>
  <c r="AE84" i="7"/>
  <c r="AE291" i="30"/>
  <c r="AB293" i="30"/>
  <c r="Y293" i="30"/>
  <c r="AZ282" i="30" a="1"/>
  <c r="AZ282" i="30" s="1"/>
  <c r="BC282" i="30" s="1"/>
  <c r="AT282" i="30" a="1"/>
  <c r="AT282" i="30" s="1"/>
  <c r="AT274" i="30" a="1"/>
  <c r="AT274" i="30" s="1"/>
  <c r="AZ274" i="30" a="1"/>
  <c r="AZ274" i="30" s="1"/>
  <c r="BC274" i="30" s="1"/>
  <c r="AE81" i="7"/>
  <c r="AE288" i="30"/>
  <c r="AE85" i="7"/>
  <c r="AE292" i="30"/>
  <c r="X293" i="30"/>
  <c r="R290" i="30"/>
  <c r="AT285" i="30" a="1"/>
  <c r="AT285" i="30" s="1"/>
  <c r="AZ285" i="30" a="1"/>
  <c r="AZ285" i="30" s="1"/>
  <c r="BC285" i="30" s="1"/>
  <c r="AC293" i="30"/>
  <c r="AZ277" i="30" a="1"/>
  <c r="AZ277" i="30" s="1"/>
  <c r="BC277" i="30" s="1"/>
  <c r="AT277" i="30" a="1"/>
  <c r="AT277" i="30" s="1"/>
  <c r="AT287" i="30" a="1"/>
  <c r="AT287" i="30" s="1"/>
  <c r="AZ287" i="30" a="1"/>
  <c r="AZ287" i="30" s="1"/>
  <c r="BC287" i="30" s="1"/>
  <c r="AR285" i="30" a="1"/>
  <c r="AR285" i="30" s="1"/>
  <c r="W293" i="30"/>
  <c r="AR293" i="30" s="1" a="1"/>
  <c r="AR293" i="30" s="1"/>
  <c r="AE80" i="7"/>
  <c r="AE287" i="30"/>
  <c r="R289" i="30"/>
  <c r="AT292" i="30" a="1"/>
  <c r="AT292" i="30" s="1"/>
  <c r="AZ292" i="30" a="1"/>
  <c r="AZ292" i="30" s="1"/>
  <c r="V293" i="30"/>
  <c r="U293" i="30"/>
  <c r="AT278" i="30" a="1"/>
  <c r="AT278" i="30" s="1"/>
  <c r="AZ278" i="30" a="1"/>
  <c r="AZ278" i="30" s="1"/>
  <c r="BC278" i="30" s="1"/>
  <c r="AQ285" i="30" a="1"/>
  <c r="AQ285" i="30" s="1"/>
  <c r="T293" i="30"/>
  <c r="AQ293" i="30" s="1" a="1"/>
  <c r="AQ293" i="30" s="1"/>
  <c r="AT281" i="30" a="1"/>
  <c r="AT281" i="30" s="1"/>
  <c r="AZ281" i="30" a="1"/>
  <c r="AZ281" i="30" s="1"/>
  <c r="BC281" i="30" s="1"/>
  <c r="AT273" i="30" a="1"/>
  <c r="AT273" i="30" s="1"/>
  <c r="AZ273" i="30" a="1"/>
  <c r="AZ273" i="30" s="1"/>
  <c r="BC273" i="30" s="1"/>
  <c r="S293" i="30"/>
  <c r="AT275" i="30" a="1"/>
  <c r="AT275" i="30" s="1"/>
  <c r="AZ275" i="30" a="1"/>
  <c r="AZ275" i="30" s="1"/>
  <c r="BC275" i="30" s="1"/>
  <c r="R288" i="30"/>
  <c r="R285" i="30"/>
  <c r="AT272" i="30" a="1"/>
  <c r="AT272" i="30" s="1"/>
  <c r="AZ272" i="30" a="1"/>
  <c r="AZ272" i="30" s="1"/>
  <c r="BC272" i="30" s="1"/>
  <c r="R292" i="30"/>
  <c r="AE78" i="7"/>
  <c r="AE111" i="7" s="1"/>
  <c r="AF320" i="30" s="1"/>
  <c r="AE285" i="30"/>
  <c r="AE75" i="7"/>
  <c r="AE74" i="7"/>
  <c r="AE104" i="7" s="1"/>
  <c r="AF313" i="30" s="1"/>
  <c r="AE73" i="7"/>
  <c r="AE101" i="7" s="1"/>
  <c r="AF310" i="30" s="1"/>
  <c r="AE72" i="7"/>
  <c r="AE106" i="7" s="1"/>
  <c r="AF315" i="30" s="1"/>
  <c r="AE71" i="7"/>
  <c r="AE70" i="7"/>
  <c r="AE69" i="7"/>
  <c r="AE68" i="7"/>
  <c r="AE67" i="7"/>
  <c r="AE66" i="7"/>
  <c r="AE65" i="7"/>
  <c r="R291" i="30"/>
  <c r="AE79" i="7"/>
  <c r="AE286" i="30"/>
  <c r="AD293" i="30"/>
  <c r="AE92" i="7"/>
  <c r="AE112" i="7"/>
  <c r="Y88" i="7"/>
  <c r="Y112" i="7" s="1"/>
  <c r="Z89" i="7"/>
  <c r="Y91" i="7"/>
  <c r="Y90" i="7"/>
  <c r="X89" i="7"/>
  <c r="X96" i="7" s="1"/>
  <c r="AA91" i="7"/>
  <c r="AA90" i="7"/>
  <c r="AA88" i="7"/>
  <c r="AA112" i="7" s="1"/>
  <c r="AB89" i="7"/>
  <c r="AB96" i="7" s="1"/>
  <c r="X91" i="7"/>
  <c r="X90" i="7"/>
  <c r="X88" i="7"/>
  <c r="X112" i="7" s="1"/>
  <c r="Y89" i="7"/>
  <c r="Y96" i="7" s="1"/>
  <c r="U89" i="7"/>
  <c r="U96" i="7" s="1"/>
  <c r="S89" i="7"/>
  <c r="S96" i="7" s="1"/>
  <c r="Z91" i="7"/>
  <c r="Z90" i="7"/>
  <c r="Z88" i="7"/>
  <c r="AA89" i="7"/>
  <c r="AA96" i="7" s="1"/>
  <c r="W91" i="7"/>
  <c r="W90" i="7"/>
  <c r="W88" i="7"/>
  <c r="V91" i="7"/>
  <c r="V90" i="7"/>
  <c r="V88" i="7"/>
  <c r="V112" i="7" s="1"/>
  <c r="W89" i="7"/>
  <c r="S91" i="7"/>
  <c r="S90" i="7"/>
  <c r="S88" i="7"/>
  <c r="S112" i="7" s="1"/>
  <c r="T89" i="7"/>
  <c r="AC91" i="7"/>
  <c r="AC90" i="7"/>
  <c r="AC88" i="7"/>
  <c r="AD89" i="7"/>
  <c r="AD96" i="7" s="1"/>
  <c r="AD74" i="7"/>
  <c r="AD104" i="7" s="1"/>
  <c r="AE313" i="30" s="1"/>
  <c r="AD72" i="7"/>
  <c r="AD106" i="7" s="1"/>
  <c r="X82" i="7"/>
  <c r="AC74" i="7"/>
  <c r="AC68" i="7"/>
  <c r="W83" i="7"/>
  <c r="AR83" i="7" s="1"/>
  <c r="AB73" i="7"/>
  <c r="AB101" i="7" s="1"/>
  <c r="AB72" i="7"/>
  <c r="AB106" i="7" s="1"/>
  <c r="AB65" i="7"/>
  <c r="V82" i="7"/>
  <c r="AA74" i="7"/>
  <c r="AA104" i="7" s="1"/>
  <c r="AB313" i="30" s="1"/>
  <c r="AA70" i="7"/>
  <c r="U83" i="7"/>
  <c r="Z73" i="7"/>
  <c r="Z70" i="7"/>
  <c r="T84" i="7"/>
  <c r="T79" i="7"/>
  <c r="R71" i="7"/>
  <c r="Y70" i="7"/>
  <c r="Y69" i="7"/>
  <c r="Y68" i="7"/>
  <c r="Y67" i="7"/>
  <c r="Y66" i="7"/>
  <c r="Y65" i="7"/>
  <c r="S85" i="7"/>
  <c r="S84" i="7"/>
  <c r="S83" i="7"/>
  <c r="S82" i="7"/>
  <c r="S81" i="7"/>
  <c r="S80" i="7"/>
  <c r="S79" i="7"/>
  <c r="S78" i="7"/>
  <c r="R70" i="7"/>
  <c r="X75" i="7"/>
  <c r="X74" i="7"/>
  <c r="X104" i="7" s="1"/>
  <c r="Y313" i="30" s="1"/>
  <c r="X73" i="7"/>
  <c r="X101" i="7" s="1"/>
  <c r="X72" i="7"/>
  <c r="X106" i="7" s="1"/>
  <c r="X71" i="7"/>
  <c r="X70" i="7"/>
  <c r="X69" i="7"/>
  <c r="X68" i="7"/>
  <c r="X67" i="7"/>
  <c r="X66" i="7"/>
  <c r="X65" i="7"/>
  <c r="R85" i="7"/>
  <c r="R84" i="7"/>
  <c r="R83" i="7"/>
  <c r="R82" i="7"/>
  <c r="R81" i="7"/>
  <c r="R80" i="7"/>
  <c r="R79" i="7"/>
  <c r="R78" i="7"/>
  <c r="U91" i="7"/>
  <c r="U90" i="7"/>
  <c r="U88" i="7"/>
  <c r="V89" i="7"/>
  <c r="V96" i="7" s="1"/>
  <c r="AD68" i="7"/>
  <c r="X80" i="7"/>
  <c r="AC69" i="7"/>
  <c r="W80" i="7"/>
  <c r="AB71" i="7"/>
  <c r="V81" i="7"/>
  <c r="R73" i="7"/>
  <c r="AA67" i="7"/>
  <c r="U79" i="7"/>
  <c r="Z68" i="7"/>
  <c r="AS68" i="7" s="1"/>
  <c r="T85" i="7"/>
  <c r="T78" i="7"/>
  <c r="R69" i="7"/>
  <c r="W75" i="7"/>
  <c r="W74" i="7"/>
  <c r="W73" i="7"/>
  <c r="W72" i="7"/>
  <c r="W71" i="7"/>
  <c r="W70" i="7"/>
  <c r="W69" i="7"/>
  <c r="W68" i="7"/>
  <c r="W67" i="7"/>
  <c r="W66" i="7"/>
  <c r="AR66" i="7" s="1"/>
  <c r="W65" i="7"/>
  <c r="AR65" i="7" s="1"/>
  <c r="Q59" i="7"/>
  <c r="T91" i="7"/>
  <c r="AQ91" i="7" s="1"/>
  <c r="T90" i="7"/>
  <c r="AQ90" i="7" s="1"/>
  <c r="T88" i="7"/>
  <c r="AD67" i="7"/>
  <c r="X84" i="7"/>
  <c r="AC70" i="7"/>
  <c r="W85" i="7"/>
  <c r="W78" i="7"/>
  <c r="AB68" i="7"/>
  <c r="V80" i="7"/>
  <c r="AA75" i="7"/>
  <c r="R68" i="7"/>
  <c r="V75" i="7"/>
  <c r="V74" i="7"/>
  <c r="V104" i="7" s="1"/>
  <c r="W313" i="30" s="1"/>
  <c r="V73" i="7"/>
  <c r="V101" i="7" s="1"/>
  <c r="V72" i="7"/>
  <c r="V106" i="7" s="1"/>
  <c r="V71" i="7"/>
  <c r="V70" i="7"/>
  <c r="V69" i="7"/>
  <c r="V68" i="7"/>
  <c r="V67" i="7"/>
  <c r="V66" i="7"/>
  <c r="V65" i="7"/>
  <c r="AD85" i="7"/>
  <c r="AD84" i="7"/>
  <c r="AD83" i="7"/>
  <c r="AD82" i="7"/>
  <c r="AD81" i="7"/>
  <c r="AD80" i="7"/>
  <c r="AD79" i="7"/>
  <c r="AD78" i="7"/>
  <c r="AD65" i="7"/>
  <c r="X79" i="7"/>
  <c r="AC73" i="7"/>
  <c r="AC66" i="7"/>
  <c r="W84" i="7"/>
  <c r="AR84" i="7" s="1"/>
  <c r="AB74" i="7"/>
  <c r="AB104" i="7" s="1"/>
  <c r="AC313" i="30" s="1"/>
  <c r="AB66" i="7"/>
  <c r="V84" i="7"/>
  <c r="AA73" i="7"/>
  <c r="AA101" i="7" s="1"/>
  <c r="AA66" i="7"/>
  <c r="U84" i="7"/>
  <c r="Z71" i="7"/>
  <c r="T81" i="7"/>
  <c r="AQ81" i="7" s="1"/>
  <c r="Y71" i="7"/>
  <c r="U75" i="7"/>
  <c r="U74" i="7"/>
  <c r="U104" i="7" s="1"/>
  <c r="V313" i="30" s="1"/>
  <c r="U73" i="7"/>
  <c r="U101" i="7" s="1"/>
  <c r="U72" i="7"/>
  <c r="U106" i="7" s="1"/>
  <c r="U71" i="7"/>
  <c r="U70" i="7"/>
  <c r="U69" i="7"/>
  <c r="U68" i="7"/>
  <c r="U67" i="7"/>
  <c r="U66" i="7"/>
  <c r="U65" i="7"/>
  <c r="AC85" i="7"/>
  <c r="AC84" i="7"/>
  <c r="AC83" i="7"/>
  <c r="AC82" i="7"/>
  <c r="AC81" i="7"/>
  <c r="AC80" i="7"/>
  <c r="AC79" i="7"/>
  <c r="AC78" i="7"/>
  <c r="R91" i="7"/>
  <c r="R90" i="7"/>
  <c r="R88" i="7"/>
  <c r="AD69" i="7"/>
  <c r="X85" i="7"/>
  <c r="X78" i="7"/>
  <c r="AC72" i="7"/>
  <c r="W81" i="7"/>
  <c r="R74" i="7"/>
  <c r="AA72" i="7"/>
  <c r="AA106" i="7" s="1"/>
  <c r="U81" i="7"/>
  <c r="R72" i="7"/>
  <c r="Z67" i="7"/>
  <c r="Y72" i="7"/>
  <c r="Y106" i="7" s="1"/>
  <c r="T71" i="7"/>
  <c r="T66" i="7"/>
  <c r="AB82" i="7"/>
  <c r="AB78" i="7"/>
  <c r="R89" i="7"/>
  <c r="AD70" i="7"/>
  <c r="X81" i="7"/>
  <c r="AC75" i="7"/>
  <c r="AC65" i="7"/>
  <c r="AB67" i="7"/>
  <c r="V79" i="7"/>
  <c r="AA69" i="7"/>
  <c r="U85" i="7"/>
  <c r="U78" i="7"/>
  <c r="Z75" i="7"/>
  <c r="Z66" i="7"/>
  <c r="T80" i="7"/>
  <c r="Y75" i="7"/>
  <c r="R66" i="7"/>
  <c r="T69" i="7"/>
  <c r="AB81" i="7"/>
  <c r="S74" i="7"/>
  <c r="S104" i="7" s="1"/>
  <c r="T313" i="30" s="1"/>
  <c r="S72" i="7"/>
  <c r="S106" i="7" s="1"/>
  <c r="S68" i="7"/>
  <c r="S67" i="7"/>
  <c r="S66" i="7"/>
  <c r="S65" i="7"/>
  <c r="AA85" i="7"/>
  <c r="AA84" i="7"/>
  <c r="AA83" i="7"/>
  <c r="AA82" i="7"/>
  <c r="AA81" i="7"/>
  <c r="AA80" i="7"/>
  <c r="AA79" i="7"/>
  <c r="AA78" i="7"/>
  <c r="AD91" i="7"/>
  <c r="AD90" i="7"/>
  <c r="AD88" i="7"/>
  <c r="AD71" i="7"/>
  <c r="AC67" i="7"/>
  <c r="W79" i="7"/>
  <c r="AB69" i="7"/>
  <c r="V85" i="7"/>
  <c r="V78" i="7"/>
  <c r="AA68" i="7"/>
  <c r="U80" i="7"/>
  <c r="Z69" i="7"/>
  <c r="AS69" i="7" s="1"/>
  <c r="T83" i="7"/>
  <c r="Y73" i="7"/>
  <c r="Y101" i="7" s="1"/>
  <c r="T74" i="7"/>
  <c r="T72" i="7"/>
  <c r="T67" i="7"/>
  <c r="AB85" i="7"/>
  <c r="AB80" i="7"/>
  <c r="S75" i="7"/>
  <c r="S70" i="7"/>
  <c r="Z85" i="7"/>
  <c r="AS85" i="7" s="1"/>
  <c r="Z84" i="7"/>
  <c r="Z83" i="7"/>
  <c r="Z82" i="7"/>
  <c r="AS82" i="7" s="1"/>
  <c r="Z81" i="7"/>
  <c r="Z80" i="7"/>
  <c r="Z79" i="7"/>
  <c r="Z78" i="7"/>
  <c r="AS78" i="7" s="1"/>
  <c r="AD75" i="7"/>
  <c r="AD73" i="7"/>
  <c r="AD101" i="7" s="1"/>
  <c r="AD66" i="7"/>
  <c r="X83" i="7"/>
  <c r="R75" i="7"/>
  <c r="AC71" i="7"/>
  <c r="W82" i="7"/>
  <c r="AB75" i="7"/>
  <c r="AB70" i="7"/>
  <c r="V83" i="7"/>
  <c r="AA71" i="7"/>
  <c r="AA65" i="7"/>
  <c r="U82" i="7"/>
  <c r="Z74" i="7"/>
  <c r="Z72" i="7"/>
  <c r="Z65" i="7"/>
  <c r="T82" i="7"/>
  <c r="Y74" i="7"/>
  <c r="Y104" i="7" s="1"/>
  <c r="Z313" i="30" s="1"/>
  <c r="R67" i="7"/>
  <c r="T75" i="7"/>
  <c r="T73" i="7"/>
  <c r="T70" i="7"/>
  <c r="AQ70" i="7" s="1"/>
  <c r="T68" i="7"/>
  <c r="AQ68" i="7" s="1"/>
  <c r="T65" i="7"/>
  <c r="AB84" i="7"/>
  <c r="AB83" i="7"/>
  <c r="AB79" i="7"/>
  <c r="R65" i="7"/>
  <c r="S73" i="7"/>
  <c r="S101" i="7" s="1"/>
  <c r="S71" i="7"/>
  <c r="S69" i="7"/>
  <c r="Y85" i="7"/>
  <c r="Y84" i="7"/>
  <c r="Y83" i="7"/>
  <c r="Y82" i="7"/>
  <c r="Y81" i="7"/>
  <c r="Y80" i="7"/>
  <c r="Y79" i="7"/>
  <c r="Y78" i="7"/>
  <c r="AB91" i="7"/>
  <c r="AB90" i="7"/>
  <c r="AB88" i="7"/>
  <c r="AC89" i="7"/>
  <c r="Q43" i="7"/>
  <c r="Q53" i="7"/>
  <c r="AR81" i="7" l="1"/>
  <c r="AQ78" i="7"/>
  <c r="AS71" i="7"/>
  <c r="AS80" i="7"/>
  <c r="AQ69" i="7"/>
  <c r="AQ85" i="7"/>
  <c r="AQ88" i="7"/>
  <c r="AR75" i="7"/>
  <c r="AR91" i="7"/>
  <c r="AZ89" i="7"/>
  <c r="AT89" i="7"/>
  <c r="BC89" i="7"/>
  <c r="Z106" i="7"/>
  <c r="AS106" i="7" s="1"/>
  <c r="AS72" i="7"/>
  <c r="T106" i="7"/>
  <c r="AQ106" i="7" s="1"/>
  <c r="AQ72" i="7"/>
  <c r="BC65" i="7"/>
  <c r="AZ65" i="7"/>
  <c r="AT65" i="7"/>
  <c r="R104" i="7"/>
  <c r="AP74" i="7"/>
  <c r="BB74" i="7"/>
  <c r="AY74" i="7"/>
  <c r="AZ83" i="7"/>
  <c r="BC83" i="7"/>
  <c r="AT83" i="7"/>
  <c r="Z101" i="7"/>
  <c r="AS101" i="7" s="1"/>
  <c r="AS73" i="7"/>
  <c r="AZ96" i="7"/>
  <c r="AT96" i="7"/>
  <c r="BC96" i="7"/>
  <c r="AY65" i="7"/>
  <c r="AP65" i="7"/>
  <c r="BB65" i="7"/>
  <c r="Z104" i="7"/>
  <c r="AS74" i="7"/>
  <c r="T104" i="7"/>
  <c r="AQ74" i="7"/>
  <c r="BC75" i="7"/>
  <c r="AZ75" i="7"/>
  <c r="AT75" i="7"/>
  <c r="AT84" i="7"/>
  <c r="BC84" i="7"/>
  <c r="AZ84" i="7"/>
  <c r="AY69" i="7"/>
  <c r="BB69" i="7"/>
  <c r="AP69" i="7"/>
  <c r="AC112" i="7"/>
  <c r="AD321" i="30" s="1"/>
  <c r="AT88" i="7"/>
  <c r="BC88" i="7"/>
  <c r="AZ88" i="7"/>
  <c r="AS79" i="7"/>
  <c r="AC106" i="7"/>
  <c r="BC72" i="7"/>
  <c r="AT72" i="7"/>
  <c r="AZ72" i="7"/>
  <c r="AZ85" i="7"/>
  <c r="BC85" i="7"/>
  <c r="AT85" i="7"/>
  <c r="BC90" i="7"/>
  <c r="AZ90" i="7"/>
  <c r="AT90" i="7"/>
  <c r="Z112" i="7"/>
  <c r="AS88" i="7"/>
  <c r="AQ83" i="7"/>
  <c r="BC91" i="7"/>
  <c r="AZ91" i="7"/>
  <c r="AT91" i="7"/>
  <c r="AS90" i="7"/>
  <c r="AS81" i="7"/>
  <c r="BB66" i="7"/>
  <c r="AY66" i="7"/>
  <c r="AP66" i="7"/>
  <c r="AY89" i="7"/>
  <c r="BB89" i="7"/>
  <c r="AP89" i="7"/>
  <c r="AY78" i="7"/>
  <c r="BB78" i="7"/>
  <c r="AP78" i="7"/>
  <c r="T96" i="7"/>
  <c r="AQ96" i="7" s="1"/>
  <c r="AQ89" i="7"/>
  <c r="AQ92" i="7" s="1"/>
  <c r="AS91" i="7"/>
  <c r="Z96" i="7"/>
  <c r="AS96" i="7" s="1"/>
  <c r="AS89" i="7"/>
  <c r="AQ65" i="7"/>
  <c r="BB68" i="7"/>
  <c r="AY68" i="7"/>
  <c r="AP68" i="7"/>
  <c r="AY79" i="7"/>
  <c r="AP79" i="7"/>
  <c r="BB79" i="7"/>
  <c r="AS83" i="7"/>
  <c r="AQ80" i="7"/>
  <c r="BB88" i="7"/>
  <c r="AP88" i="7"/>
  <c r="AY88" i="7"/>
  <c r="AR67" i="7"/>
  <c r="AY80" i="7"/>
  <c r="AP80" i="7"/>
  <c r="BB80" i="7"/>
  <c r="AS84" i="7"/>
  <c r="AS66" i="7"/>
  <c r="AQ66" i="7"/>
  <c r="AY90" i="7"/>
  <c r="AP90" i="7"/>
  <c r="BB90" i="7"/>
  <c r="AR68" i="7"/>
  <c r="R101" i="7"/>
  <c r="S310" i="30" s="1"/>
  <c r="BB73" i="7"/>
  <c r="AY73" i="7"/>
  <c r="AP73" i="7"/>
  <c r="AY81" i="7"/>
  <c r="AP81" i="7"/>
  <c r="BB81" i="7"/>
  <c r="T101" i="7"/>
  <c r="AQ101" i="7" s="1"/>
  <c r="AQ73" i="7"/>
  <c r="AR82" i="7"/>
  <c r="AS75" i="7"/>
  <c r="AQ71" i="7"/>
  <c r="BB91" i="7"/>
  <c r="AY91" i="7"/>
  <c r="AP91" i="7"/>
  <c r="AR69" i="7"/>
  <c r="BB82" i="7"/>
  <c r="AP82" i="7"/>
  <c r="AY82" i="7"/>
  <c r="W96" i="7"/>
  <c r="AR96" i="7" s="1"/>
  <c r="AR89" i="7"/>
  <c r="AQ75" i="7"/>
  <c r="BC71" i="7"/>
  <c r="AT71" i="7"/>
  <c r="AZ71" i="7"/>
  <c r="AZ78" i="7"/>
  <c r="AT78" i="7"/>
  <c r="BC78" i="7"/>
  <c r="AR78" i="7"/>
  <c r="AR70" i="7"/>
  <c r="AP83" i="7"/>
  <c r="BB83" i="7"/>
  <c r="AY83" i="7"/>
  <c r="AY70" i="7"/>
  <c r="AP70" i="7"/>
  <c r="BB70" i="7"/>
  <c r="AZ68" i="7"/>
  <c r="AT68" i="7"/>
  <c r="BC68" i="7"/>
  <c r="AP67" i="7"/>
  <c r="BB67" i="7"/>
  <c r="AY67" i="7"/>
  <c r="BB75" i="7"/>
  <c r="AP75" i="7"/>
  <c r="AY75" i="7"/>
  <c r="AR79" i="7"/>
  <c r="AS67" i="7"/>
  <c r="AT79" i="7"/>
  <c r="AZ79" i="7"/>
  <c r="BC79" i="7"/>
  <c r="BC66" i="7"/>
  <c r="AT66" i="7"/>
  <c r="AZ66" i="7"/>
  <c r="AR85" i="7"/>
  <c r="AR71" i="7"/>
  <c r="AR80" i="7"/>
  <c r="AP84" i="7"/>
  <c r="BB84" i="7"/>
  <c r="AY84" i="7"/>
  <c r="BB71" i="7"/>
  <c r="AY71" i="7"/>
  <c r="AP71" i="7"/>
  <c r="AC104" i="7"/>
  <c r="BC74" i="7"/>
  <c r="AT74" i="7"/>
  <c r="AZ74" i="7"/>
  <c r="BC67" i="7"/>
  <c r="AT67" i="7"/>
  <c r="AZ67" i="7"/>
  <c r="R106" i="7"/>
  <c r="S315" i="30" s="1"/>
  <c r="AP72" i="7"/>
  <c r="BB72" i="7"/>
  <c r="AY72" i="7"/>
  <c r="AZ80" i="7"/>
  <c r="AT80" i="7"/>
  <c r="BC80" i="7"/>
  <c r="AC101" i="7"/>
  <c r="BC73" i="7"/>
  <c r="AZ73" i="7"/>
  <c r="AT73" i="7"/>
  <c r="AT70" i="7"/>
  <c r="AZ70" i="7"/>
  <c r="BC70" i="7"/>
  <c r="W106" i="7"/>
  <c r="AR106" i="7" s="1"/>
  <c r="AR72" i="7"/>
  <c r="AZ69" i="7"/>
  <c r="AT69" i="7"/>
  <c r="BC69" i="7"/>
  <c r="AY85" i="7"/>
  <c r="BB85" i="7"/>
  <c r="AP85" i="7"/>
  <c r="AQ79" i="7"/>
  <c r="AQ82" i="7"/>
  <c r="BC81" i="7"/>
  <c r="AT81" i="7"/>
  <c r="AZ81" i="7"/>
  <c r="W101" i="7"/>
  <c r="AR101" i="7" s="1"/>
  <c r="AR73" i="7"/>
  <c r="AQ84" i="7"/>
  <c r="W112" i="7"/>
  <c r="AR112" i="7" s="1"/>
  <c r="AR88" i="7"/>
  <c r="AS65" i="7"/>
  <c r="AQ67" i="7"/>
  <c r="AT82" i="7"/>
  <c r="BC82" i="7"/>
  <c r="AZ82" i="7"/>
  <c r="W104" i="7"/>
  <c r="AR74" i="7"/>
  <c r="AS70" i="7"/>
  <c r="AR90" i="7"/>
  <c r="AE100" i="7"/>
  <c r="AF309" i="30" s="1"/>
  <c r="AE76" i="7"/>
  <c r="AE99" i="7"/>
  <c r="AF308" i="30" s="1"/>
  <c r="Y310" i="30"/>
  <c r="AC315" i="30"/>
  <c r="AB321" i="30"/>
  <c r="AE86" i="7"/>
  <c r="AC310" i="30"/>
  <c r="AE293" i="30"/>
  <c r="AB315" i="30"/>
  <c r="W315" i="30"/>
  <c r="R295" i="30"/>
  <c r="R297" i="30" s="1"/>
  <c r="AE310" i="30"/>
  <c r="Z315" i="30"/>
  <c r="AD315" i="30"/>
  <c r="V315" i="30"/>
  <c r="AZ293" i="30" a="1"/>
  <c r="AZ293" i="30" s="1"/>
  <c r="BC293" i="30" s="1"/>
  <c r="AT293" i="30" a="1"/>
  <c r="AT293" i="30" s="1"/>
  <c r="T315" i="30"/>
  <c r="T321" i="30"/>
  <c r="T310" i="30"/>
  <c r="Y321" i="30"/>
  <c r="W321" i="30"/>
  <c r="AF321" i="30"/>
  <c r="AF323" i="30" s="1"/>
  <c r="BC292" i="30"/>
  <c r="V310" i="30"/>
  <c r="AB310" i="30"/>
  <c r="Y315" i="30"/>
  <c r="AE315" i="30"/>
  <c r="W310" i="30"/>
  <c r="Z321" i="30"/>
  <c r="Z310" i="30"/>
  <c r="R293" i="30"/>
  <c r="AE114" i="7"/>
  <c r="AC92" i="7"/>
  <c r="S92" i="7"/>
  <c r="Z92" i="7"/>
  <c r="R96" i="7"/>
  <c r="Y92" i="7"/>
  <c r="AA92" i="7"/>
  <c r="X92" i="7"/>
  <c r="AC99" i="7"/>
  <c r="Z99" i="7"/>
  <c r="W92" i="7"/>
  <c r="T99" i="7"/>
  <c r="S111" i="7"/>
  <c r="T320" i="30" s="1"/>
  <c r="S86" i="7"/>
  <c r="AB112" i="7"/>
  <c r="AB92" i="7"/>
  <c r="S76" i="7"/>
  <c r="X111" i="7"/>
  <c r="Y320" i="30" s="1"/>
  <c r="X86" i="7"/>
  <c r="U100" i="7"/>
  <c r="AA76" i="7"/>
  <c r="W111" i="7"/>
  <c r="W86" i="7"/>
  <c r="T111" i="7"/>
  <c r="T86" i="7"/>
  <c r="AA100" i="7"/>
  <c r="V99" i="7"/>
  <c r="X76" i="7"/>
  <c r="R111" i="7"/>
  <c r="R86" i="7"/>
  <c r="T76" i="7"/>
  <c r="S100" i="7"/>
  <c r="R100" i="7"/>
  <c r="W76" i="7"/>
  <c r="Y76" i="7"/>
  <c r="V111" i="7"/>
  <c r="W320" i="30" s="1"/>
  <c r="V86" i="7"/>
  <c r="T112" i="7"/>
  <c r="T92" i="7"/>
  <c r="Z111" i="7"/>
  <c r="Z86" i="7"/>
  <c r="AC100" i="7"/>
  <c r="Y111" i="7"/>
  <c r="Z320" i="30" s="1"/>
  <c r="Y86" i="7"/>
  <c r="AB111" i="7"/>
  <c r="AC320" i="30" s="1"/>
  <c r="AB86" i="7"/>
  <c r="U99" i="7"/>
  <c r="X100" i="7"/>
  <c r="Y100" i="7"/>
  <c r="Z76" i="7"/>
  <c r="AD100" i="7"/>
  <c r="S99" i="7"/>
  <c r="W100" i="7"/>
  <c r="V92" i="7"/>
  <c r="AD76" i="7"/>
  <c r="X99" i="7"/>
  <c r="Y99" i="7"/>
  <c r="AB76" i="7"/>
  <c r="AD111" i="7"/>
  <c r="AE320" i="30" s="1"/>
  <c r="AD86" i="7"/>
  <c r="R99" i="7"/>
  <c r="U112" i="7"/>
  <c r="U92" i="7"/>
  <c r="R76" i="7"/>
  <c r="AB99" i="7"/>
  <c r="V76" i="7"/>
  <c r="U111" i="7"/>
  <c r="V320" i="30" s="1"/>
  <c r="U86" i="7"/>
  <c r="AC111" i="7"/>
  <c r="AC86" i="7"/>
  <c r="AA111" i="7"/>
  <c r="AB320" i="30" s="1"/>
  <c r="AA86" i="7"/>
  <c r="V100" i="7"/>
  <c r="T100" i="7"/>
  <c r="R112" i="7"/>
  <c r="R92" i="7"/>
  <c r="AB100" i="7"/>
  <c r="AD99" i="7"/>
  <c r="W99" i="7"/>
  <c r="AR99" i="7" s="1"/>
  <c r="AA99" i="7"/>
  <c r="U76" i="7"/>
  <c r="AD112" i="7"/>
  <c r="AD92" i="7"/>
  <c r="Z100" i="7"/>
  <c r="AC76" i="7"/>
  <c r="X315" i="30" l="1"/>
  <c r="X310" i="30"/>
  <c r="AS86" i="7"/>
  <c r="AA315" i="30"/>
  <c r="X321" i="30"/>
  <c r="BC92" i="7"/>
  <c r="AP76" i="7"/>
  <c r="AY86" i="7"/>
  <c r="AS112" i="7"/>
  <c r="AT92" i="7"/>
  <c r="AR100" i="7"/>
  <c r="AQ86" i="7"/>
  <c r="AQ112" i="7"/>
  <c r="AA310" i="30"/>
  <c r="AS99" i="7"/>
  <c r="AT99" i="7"/>
  <c r="BC99" i="7"/>
  <c r="AZ99" i="7"/>
  <c r="X320" i="30"/>
  <c r="AR111" i="7"/>
  <c r="AR114" i="7" s="1"/>
  <c r="X313" i="30"/>
  <c r="AR104" i="7"/>
  <c r="BC101" i="7"/>
  <c r="AT101" i="7"/>
  <c r="AZ101" i="7"/>
  <c r="AR92" i="7"/>
  <c r="AY96" i="7"/>
  <c r="AP96" i="7"/>
  <c r="BB96" i="7"/>
  <c r="BC76" i="7"/>
  <c r="AS76" i="7"/>
  <c r="AP86" i="7"/>
  <c r="AY92" i="7"/>
  <c r="AA321" i="30"/>
  <c r="AP92" i="7"/>
  <c r="AR86" i="7"/>
  <c r="BB92" i="7"/>
  <c r="AP106" i="7"/>
  <c r="AY106" i="7"/>
  <c r="BB106" i="7"/>
  <c r="AZ86" i="7"/>
  <c r="U320" i="30"/>
  <c r="AQ111" i="7"/>
  <c r="AQ76" i="7"/>
  <c r="AT112" i="7"/>
  <c r="BC112" i="7"/>
  <c r="AZ112" i="7"/>
  <c r="AA313" i="30"/>
  <c r="AS104" i="7"/>
  <c r="S313" i="30"/>
  <c r="AP104" i="7"/>
  <c r="BB104" i="7"/>
  <c r="AY104" i="7"/>
  <c r="BB76" i="7"/>
  <c r="AT76" i="7"/>
  <c r="U310" i="30"/>
  <c r="AD313" i="30"/>
  <c r="BC104" i="7"/>
  <c r="AZ104" i="7"/>
  <c r="AT104" i="7"/>
  <c r="AP112" i="7"/>
  <c r="BB112" i="7"/>
  <c r="AY112" i="7"/>
  <c r="AY99" i="7"/>
  <c r="BB99" i="7"/>
  <c r="AP99" i="7"/>
  <c r="BB100" i="7"/>
  <c r="AY100" i="7"/>
  <c r="AP100" i="7"/>
  <c r="AQ100" i="7"/>
  <c r="AR76" i="7"/>
  <c r="AS92" i="7"/>
  <c r="S320" i="30"/>
  <c r="BB111" i="7"/>
  <c r="AY111" i="7"/>
  <c r="AP111" i="7"/>
  <c r="AS100" i="7"/>
  <c r="AZ100" i="7"/>
  <c r="BC100" i="7"/>
  <c r="AT100" i="7"/>
  <c r="AD310" i="30"/>
  <c r="BB101" i="7"/>
  <c r="AP101" i="7"/>
  <c r="AY101" i="7"/>
  <c r="BC106" i="7"/>
  <c r="AT106" i="7"/>
  <c r="AZ106" i="7"/>
  <c r="AD320" i="30"/>
  <c r="BC111" i="7"/>
  <c r="BC114" i="7" s="1"/>
  <c r="AZ111" i="7"/>
  <c r="AT111" i="7"/>
  <c r="U315" i="30"/>
  <c r="AY76" i="7"/>
  <c r="BC86" i="7"/>
  <c r="AA320" i="30"/>
  <c r="AA323" i="30" s="1"/>
  <c r="AS111" i="7"/>
  <c r="AQ99" i="7"/>
  <c r="AZ76" i="7"/>
  <c r="AT86" i="7"/>
  <c r="BB86" i="7"/>
  <c r="AZ92" i="7"/>
  <c r="U313" i="30"/>
  <c r="AQ104" i="7"/>
  <c r="Y323" i="30"/>
  <c r="W323" i="30"/>
  <c r="AD323" i="30"/>
  <c r="X323" i="30"/>
  <c r="AB323" i="30"/>
  <c r="AE321" i="30"/>
  <c r="AE323" i="30" s="1"/>
  <c r="V321" i="30"/>
  <c r="V323" i="30" s="1"/>
  <c r="Z309" i="30"/>
  <c r="V308" i="30"/>
  <c r="AD308" i="30"/>
  <c r="W309" i="30"/>
  <c r="Z308" i="30"/>
  <c r="X308" i="30"/>
  <c r="S309" i="30"/>
  <c r="W308" i="30"/>
  <c r="AB308" i="30"/>
  <c r="Y308" i="30"/>
  <c r="Z323" i="30"/>
  <c r="T309" i="30"/>
  <c r="AC321" i="30"/>
  <c r="AC323" i="30" s="1"/>
  <c r="AA308" i="30"/>
  <c r="AB309" i="30"/>
  <c r="AE308" i="30"/>
  <c r="AC309" i="30"/>
  <c r="Y309" i="30"/>
  <c r="V309" i="30"/>
  <c r="AD309" i="30"/>
  <c r="T323" i="30"/>
  <c r="S308" i="30"/>
  <c r="AC308" i="30"/>
  <c r="S321" i="30"/>
  <c r="X309" i="30"/>
  <c r="AA309" i="30"/>
  <c r="U309" i="30"/>
  <c r="AE309" i="30"/>
  <c r="T308" i="30"/>
  <c r="U321" i="30"/>
  <c r="U308" i="30"/>
  <c r="R299" i="30"/>
  <c r="V114" i="7"/>
  <c r="R114" i="7"/>
  <c r="AA114" i="7"/>
  <c r="AB114" i="7"/>
  <c r="S114" i="7"/>
  <c r="AC114" i="7"/>
  <c r="Y114" i="7"/>
  <c r="T114" i="7"/>
  <c r="U114" i="7"/>
  <c r="Z114" i="7"/>
  <c r="X114" i="7"/>
  <c r="AD114" i="7"/>
  <c r="W114" i="7"/>
  <c r="AS114" i="7" l="1"/>
  <c r="AZ114" i="7"/>
  <c r="AP114" i="7"/>
  <c r="U323" i="30"/>
  <c r="AQ114" i="7"/>
  <c r="S323" i="30"/>
  <c r="AY114" i="7"/>
  <c r="AT114" i="7"/>
  <c r="BB114" i="7"/>
  <c r="AF491" i="6"/>
  <c r="AF489" i="6" s="1"/>
  <c r="A2" i="7" l="1"/>
  <c r="C9" i="23"/>
  <c r="AR53" i="7" l="1"/>
  <c r="AR43" i="7"/>
  <c r="AQ53" i="7"/>
  <c r="AQ43" i="7"/>
  <c r="AL59" i="7" l="1"/>
  <c r="Q61" i="7"/>
  <c r="Q63" i="7" s="1"/>
  <c r="Y295" i="30"/>
  <c r="Y297" i="30" s="1"/>
  <c r="Y299" i="30" s="1"/>
  <c r="T295" i="30"/>
  <c r="AT53" i="7"/>
  <c r="AJ59" i="7"/>
  <c r="AV59" i="7"/>
  <c r="AV61" i="7" s="1"/>
  <c r="AG53" i="7"/>
  <c r="AN53" i="7"/>
  <c r="AB295" i="30"/>
  <c r="AB297" i="30" s="1"/>
  <c r="AB299" i="30" s="1"/>
  <c r="AH59" i="7"/>
  <c r="AH61" i="7" s="1"/>
  <c r="AH63" i="7" s="1"/>
  <c r="AU59" i="7"/>
  <c r="AV43" i="7"/>
  <c r="AU43" i="7"/>
  <c r="AS43" i="7"/>
  <c r="AT43" i="7"/>
  <c r="AI53" i="7"/>
  <c r="AV53" i="7"/>
  <c r="AU53" i="7"/>
  <c r="AS53" i="7"/>
  <c r="AH53" i="7"/>
  <c r="AN59" i="7"/>
  <c r="AM53" i="7"/>
  <c r="AG59" i="7"/>
  <c r="AG61" i="7" s="1"/>
  <c r="AG63" i="7" s="1"/>
  <c r="AI59" i="7"/>
  <c r="AI61" i="7" s="1"/>
  <c r="AI63" i="7" s="1"/>
  <c r="AK59" i="7"/>
  <c r="AK61" i="7" s="1"/>
  <c r="AK63" i="7" s="1"/>
  <c r="AN43" i="7"/>
  <c r="S295" i="30"/>
  <c r="S297" i="30" s="1"/>
  <c r="S299" i="30" s="1"/>
  <c r="AM59" i="7"/>
  <c r="AG43" i="7"/>
  <c r="AK43" i="7"/>
  <c r="AM43" i="7"/>
  <c r="U295" i="30"/>
  <c r="U297" i="30" s="1"/>
  <c r="U299" i="30" s="1"/>
  <c r="AJ53" i="7"/>
  <c r="AI43" i="7"/>
  <c r="AH43" i="7"/>
  <c r="AA295" i="30"/>
  <c r="AA297" i="30" s="1"/>
  <c r="AA299" i="30" s="1"/>
  <c r="AC295" i="30"/>
  <c r="V295" i="30"/>
  <c r="V297" i="30" s="1"/>
  <c r="V299" i="30" s="1"/>
  <c r="AL53" i="7"/>
  <c r="X295" i="30"/>
  <c r="X297" i="30" s="1"/>
  <c r="X299" i="30" s="1"/>
  <c r="Z295" i="30"/>
  <c r="AL43" i="7"/>
  <c r="AK53" i="7"/>
  <c r="AJ43" i="7"/>
  <c r="W295" i="30"/>
  <c r="AU61" i="7" l="1"/>
  <c r="AU63" i="7"/>
  <c r="AN61" i="7"/>
  <c r="AN63" i="7" s="1"/>
  <c r="AJ61" i="7"/>
  <c r="AJ63" i="7" s="1"/>
  <c r="AV63" i="7"/>
  <c r="AM61" i="7"/>
  <c r="AM63" i="7" s="1"/>
  <c r="AL61" i="7"/>
  <c r="AL63" i="7" s="1"/>
  <c r="AE295" i="30"/>
  <c r="AE297" i="30" s="1"/>
  <c r="AE299" i="30" s="1"/>
  <c r="AD295" i="30"/>
  <c r="AD297" i="30" s="1"/>
  <c r="AD299" i="30" s="1"/>
  <c r="AQ295" i="30" a="1"/>
  <c r="AQ295" i="30" s="1"/>
  <c r="AQ297" i="30" s="1"/>
  <c r="T297" i="30"/>
  <c r="T299" i="30" s="1"/>
  <c r="AQ299" i="30" s="1" a="1"/>
  <c r="AQ299" i="30" s="1"/>
  <c r="AR295" i="30" a="1"/>
  <c r="AR295" i="30" s="1"/>
  <c r="AR297" i="30" s="1"/>
  <c r="W297" i="30"/>
  <c r="W299" i="30" s="1"/>
  <c r="AR299" i="30" s="1" a="1"/>
  <c r="AR299" i="30" s="1"/>
  <c r="AZ295" i="30" a="1"/>
  <c r="AZ295" i="30" s="1"/>
  <c r="AT295" i="30" a="1"/>
  <c r="AT295" i="30" s="1"/>
  <c r="AT297" i="30" s="1"/>
  <c r="AC297" i="30"/>
  <c r="AC299" i="30" s="1"/>
  <c r="Z297" i="30"/>
  <c r="Z299" i="30" s="1"/>
  <c r="AS299" i="30" s="1" a="1"/>
  <c r="AS299" i="30" s="1"/>
  <c r="AS295" i="30" a="1"/>
  <c r="AS295" i="30" s="1"/>
  <c r="AS297" i="30" s="1"/>
  <c r="V63" i="7"/>
  <c r="S63" i="7"/>
  <c r="X63" i="7"/>
  <c r="Y63" i="7"/>
  <c r="T63" i="7"/>
  <c r="U63" i="7"/>
  <c r="W63" i="7"/>
  <c r="AA63" i="7"/>
  <c r="AB63" i="7"/>
  <c r="Z63" i="7"/>
  <c r="R63" i="7"/>
  <c r="AC63" i="7"/>
  <c r="AR59" i="7"/>
  <c r="AQ59" i="7"/>
  <c r="AS59" i="7"/>
  <c r="AS61" i="7" s="1"/>
  <c r="AS63" i="7" s="1"/>
  <c r="AW59" i="7"/>
  <c r="AW43" i="7"/>
  <c r="AW53" i="7"/>
  <c r="AQ61" i="7" l="1"/>
  <c r="AQ63" i="7" s="1"/>
  <c r="AR61" i="7"/>
  <c r="AR63" i="7" s="1"/>
  <c r="AW61" i="7"/>
  <c r="AW63" i="7" s="1"/>
  <c r="BC295" i="30"/>
  <c r="BC297" i="30" s="1"/>
  <c r="AZ297" i="30"/>
  <c r="AZ299" i="30" a="1"/>
  <c r="AZ299" i="30" s="1"/>
  <c r="BC299" i="30" s="1"/>
  <c r="AT299" i="30" a="1"/>
  <c r="AT299" i="30" s="1"/>
  <c r="BD16" i="21" l="1"/>
  <c r="AE491" i="6" l="1"/>
  <c r="AE489" i="6" s="1"/>
  <c r="AE24" i="21" l="1"/>
  <c r="AF24" i="21"/>
  <c r="AG24" i="21"/>
  <c r="AH24" i="21"/>
  <c r="AI24" i="21"/>
  <c r="AJ24" i="21"/>
  <c r="AK24" i="21"/>
  <c r="AL24" i="21"/>
  <c r="AM24" i="21"/>
  <c r="AN24" i="21"/>
  <c r="AO24" i="21"/>
  <c r="AD24" i="21"/>
  <c r="N32" i="9"/>
  <c r="S32" i="9" s="1"/>
  <c r="M32" i="9"/>
  <c r="R32" i="9" s="1"/>
  <c r="L32" i="9"/>
  <c r="Q32" i="9" s="1"/>
  <c r="O32" i="9"/>
  <c r="T32" i="9" l="1"/>
  <c r="AQ39" i="21" l="1"/>
  <c r="AR39" i="21"/>
  <c r="AS39" i="21"/>
  <c r="AT39" i="21"/>
  <c r="AU39" i="21"/>
  <c r="AV39" i="21"/>
  <c r="AW39" i="21"/>
  <c r="AX39" i="21"/>
  <c r="AZ39" i="21"/>
  <c r="BA39" i="21"/>
  <c r="BC39" i="21"/>
  <c r="BD39" i="21"/>
  <c r="AD44" i="21"/>
  <c r="AE44" i="21"/>
  <c r="AF44" i="21"/>
  <c r="AG44" i="21"/>
  <c r="AH44" i="21"/>
  <c r="AI44" i="21"/>
  <c r="AJ44" i="21"/>
  <c r="AK44" i="21"/>
  <c r="AL44" i="21"/>
  <c r="AM44" i="21"/>
  <c r="AN44" i="21"/>
  <c r="AO44" i="21"/>
  <c r="BC70" i="21"/>
  <c r="BD70" i="21"/>
  <c r="BC71" i="21"/>
  <c r="BD71" i="21"/>
  <c r="J40" i="9" s="1"/>
  <c r="BC66" i="21"/>
  <c r="BD66" i="21"/>
  <c r="J37" i="9" s="1"/>
  <c r="BC64" i="21"/>
  <c r="BD64" i="21"/>
  <c r="J34" i="9" s="1"/>
  <c r="BC58" i="21"/>
  <c r="BD58" i="21"/>
  <c r="BC59" i="21"/>
  <c r="BD59" i="21"/>
  <c r="J26" i="9" s="1"/>
  <c r="BC50" i="21"/>
  <c r="BD50" i="21"/>
  <c r="BC51" i="21"/>
  <c r="BD51" i="21"/>
  <c r="BC52" i="21"/>
  <c r="BD52" i="21"/>
  <c r="BC53" i="21"/>
  <c r="BD53" i="21"/>
  <c r="BC54" i="21"/>
  <c r="BD54" i="21"/>
  <c r="BC55" i="21"/>
  <c r="BD55" i="21"/>
  <c r="BC48" i="21"/>
  <c r="BD48" i="21"/>
  <c r="BC26" i="21"/>
  <c r="BD26" i="21"/>
  <c r="BC29" i="21"/>
  <c r="BD29" i="21"/>
  <c r="BC32" i="21"/>
  <c r="BD32" i="21"/>
  <c r="BC33" i="21"/>
  <c r="BD33" i="21"/>
  <c r="BC28" i="21"/>
  <c r="BD28" i="21"/>
  <c r="BC30" i="21"/>
  <c r="BD30" i="21"/>
  <c r="BC34" i="21"/>
  <c r="BD34" i="21"/>
  <c r="BC31" i="21"/>
  <c r="BD31" i="21"/>
  <c r="BC40" i="21"/>
  <c r="BD40" i="21"/>
  <c r="BC37" i="21"/>
  <c r="BD37" i="21"/>
  <c r="BC36" i="21"/>
  <c r="BD36" i="21"/>
  <c r="BC38" i="21"/>
  <c r="BD38" i="21"/>
  <c r="BC41" i="21"/>
  <c r="BD41" i="21"/>
  <c r="BC42" i="21"/>
  <c r="BD42" i="21"/>
  <c r="BC43" i="21"/>
  <c r="BD43" i="21"/>
  <c r="BC16" i="21"/>
  <c r="J8" i="9"/>
  <c r="BC19" i="21"/>
  <c r="BD19" i="21"/>
  <c r="J10" i="9" s="1"/>
  <c r="BC18" i="21"/>
  <c r="BD18" i="21"/>
  <c r="J11" i="9" s="1"/>
  <c r="BC21" i="21"/>
  <c r="BD21" i="21"/>
  <c r="BC20" i="21"/>
  <c r="BD20" i="21"/>
  <c r="J12" i="9" s="1"/>
  <c r="BC22" i="21"/>
  <c r="BD22" i="21"/>
  <c r="BC23" i="21"/>
  <c r="BD23" i="21"/>
  <c r="BC17" i="21"/>
  <c r="BD17" i="21"/>
  <c r="J9" i="9" s="1"/>
  <c r="BA70" i="21"/>
  <c r="BA71" i="21"/>
  <c r="BA66" i="21"/>
  <c r="BA64" i="21"/>
  <c r="BA58" i="21"/>
  <c r="BA59" i="21"/>
  <c r="BA50" i="21"/>
  <c r="BA51" i="21"/>
  <c r="BA52" i="21"/>
  <c r="BA53" i="21"/>
  <c r="BA54" i="21"/>
  <c r="BA55" i="21"/>
  <c r="BA48" i="21"/>
  <c r="BA26" i="21"/>
  <c r="BA29" i="21"/>
  <c r="BA32" i="21"/>
  <c r="BA33" i="21"/>
  <c r="BA28" i="21"/>
  <c r="BA30" i="21"/>
  <c r="BA34" i="21"/>
  <c r="BA31" i="21"/>
  <c r="BA40" i="21"/>
  <c r="BA37" i="21"/>
  <c r="BA36" i="21"/>
  <c r="BA38" i="21"/>
  <c r="BA41" i="21"/>
  <c r="BA42" i="21"/>
  <c r="BA43" i="21"/>
  <c r="BA17" i="21"/>
  <c r="BA16" i="21"/>
  <c r="BA19" i="21"/>
  <c r="BA18" i="21"/>
  <c r="BA21" i="21"/>
  <c r="BA20" i="21"/>
  <c r="BA22" i="21"/>
  <c r="BA23" i="21"/>
  <c r="AZ71" i="21"/>
  <c r="AZ70" i="21"/>
  <c r="AZ66" i="21"/>
  <c r="AZ64" i="21"/>
  <c r="AZ48" i="21"/>
  <c r="AZ58" i="21"/>
  <c r="AZ59" i="21"/>
  <c r="AZ50" i="21"/>
  <c r="AZ51" i="21"/>
  <c r="AZ52" i="21"/>
  <c r="AZ53" i="21"/>
  <c r="AZ54" i="21"/>
  <c r="AZ55" i="21"/>
  <c r="AZ26" i="21"/>
  <c r="AZ29" i="21"/>
  <c r="AZ32" i="21"/>
  <c r="AZ33" i="21"/>
  <c r="AZ28" i="21"/>
  <c r="AZ30" i="21"/>
  <c r="AZ34" i="21"/>
  <c r="AZ31" i="21"/>
  <c r="AZ40" i="21"/>
  <c r="AZ37" i="21"/>
  <c r="AZ36" i="21"/>
  <c r="AZ38" i="21"/>
  <c r="AZ41" i="21"/>
  <c r="AZ42" i="21"/>
  <c r="AZ43" i="21"/>
  <c r="AZ17" i="21"/>
  <c r="AZ16" i="21"/>
  <c r="AZ19" i="21"/>
  <c r="AZ18" i="21"/>
  <c r="AZ21" i="21"/>
  <c r="AZ20" i="21"/>
  <c r="AZ22" i="21"/>
  <c r="AZ23" i="21"/>
  <c r="AQ40" i="21"/>
  <c r="AR40" i="21"/>
  <c r="AS40" i="21"/>
  <c r="AT40" i="21"/>
  <c r="AU40" i="21"/>
  <c r="AV40" i="21"/>
  <c r="AW40" i="21"/>
  <c r="AX40" i="21"/>
  <c r="AQ37" i="21"/>
  <c r="AR37" i="21"/>
  <c r="AS37" i="21"/>
  <c r="AT37" i="21"/>
  <c r="AU37" i="21"/>
  <c r="AV37" i="21"/>
  <c r="AW37" i="21"/>
  <c r="AX37" i="21"/>
  <c r="AQ36" i="21"/>
  <c r="AR36" i="21"/>
  <c r="AS36" i="21"/>
  <c r="AT36" i="21"/>
  <c r="AU36" i="21"/>
  <c r="AV36" i="21"/>
  <c r="AW36" i="21"/>
  <c r="AX36" i="21"/>
  <c r="AQ38" i="21"/>
  <c r="AR38" i="21"/>
  <c r="AS38" i="21"/>
  <c r="AT38" i="21"/>
  <c r="AU38" i="21"/>
  <c r="AV38" i="21"/>
  <c r="AW38" i="21"/>
  <c r="AX38" i="21"/>
  <c r="AQ41" i="21"/>
  <c r="AR41" i="21"/>
  <c r="AS41" i="21"/>
  <c r="AT41" i="21"/>
  <c r="AU41" i="21"/>
  <c r="AV41" i="21"/>
  <c r="AW41" i="21"/>
  <c r="AX41" i="21"/>
  <c r="AQ42" i="21"/>
  <c r="AR42" i="21"/>
  <c r="AS42" i="21"/>
  <c r="AT42" i="21"/>
  <c r="AU42" i="21"/>
  <c r="AV42" i="21"/>
  <c r="AW42" i="21"/>
  <c r="AX42" i="21"/>
  <c r="AQ43" i="21"/>
  <c r="AR43" i="21"/>
  <c r="AS43" i="21"/>
  <c r="AT43" i="21"/>
  <c r="AU43" i="21"/>
  <c r="AV43" i="21"/>
  <c r="AW43" i="21"/>
  <c r="AX43" i="21"/>
  <c r="AQ48" i="21"/>
  <c r="AR48" i="21"/>
  <c r="AS48" i="21"/>
  <c r="AT48" i="21"/>
  <c r="AU48" i="21"/>
  <c r="AV48" i="21"/>
  <c r="AW48" i="21"/>
  <c r="AX48" i="21"/>
  <c r="AQ50" i="21"/>
  <c r="AR50" i="21"/>
  <c r="AS50" i="21"/>
  <c r="AT50" i="21"/>
  <c r="AU50" i="21"/>
  <c r="AV50" i="21"/>
  <c r="AW50" i="21"/>
  <c r="AX50" i="21"/>
  <c r="AQ51" i="21"/>
  <c r="AR51" i="21"/>
  <c r="AS51" i="21"/>
  <c r="AT51" i="21"/>
  <c r="AU51" i="21"/>
  <c r="AV51" i="21"/>
  <c r="AW51" i="21"/>
  <c r="AX51" i="21"/>
  <c r="AQ52" i="21"/>
  <c r="AR52" i="21"/>
  <c r="AS52" i="21"/>
  <c r="AT52" i="21"/>
  <c r="AU52" i="21"/>
  <c r="AV52" i="21"/>
  <c r="AW52" i="21"/>
  <c r="AX52" i="21"/>
  <c r="AQ53" i="21"/>
  <c r="AR53" i="21"/>
  <c r="AS53" i="21"/>
  <c r="AT53" i="21"/>
  <c r="AU53" i="21"/>
  <c r="AV53" i="21"/>
  <c r="AW53" i="21"/>
  <c r="AX53" i="21"/>
  <c r="AQ54" i="21"/>
  <c r="AR54" i="21"/>
  <c r="AS54" i="21"/>
  <c r="AT54" i="21"/>
  <c r="AU54" i="21"/>
  <c r="AV54" i="21"/>
  <c r="AW54" i="21"/>
  <c r="AX54" i="21"/>
  <c r="AQ55" i="21"/>
  <c r="AR55" i="21"/>
  <c r="AS55" i="21"/>
  <c r="AT55" i="21"/>
  <c r="AU55" i="21"/>
  <c r="AV55" i="21"/>
  <c r="AW55" i="21"/>
  <c r="AX55" i="21"/>
  <c r="AQ58" i="21"/>
  <c r="AR58" i="21"/>
  <c r="AS58" i="21"/>
  <c r="AT58" i="21"/>
  <c r="AU58" i="21"/>
  <c r="AV58" i="21"/>
  <c r="AW58" i="21"/>
  <c r="AX58" i="21"/>
  <c r="AQ59" i="21"/>
  <c r="AR59" i="21"/>
  <c r="AS59" i="21"/>
  <c r="AT59" i="21"/>
  <c r="AU59" i="21"/>
  <c r="AV59" i="21"/>
  <c r="AW59" i="21"/>
  <c r="AX59" i="21"/>
  <c r="AQ64" i="21"/>
  <c r="AR64" i="21"/>
  <c r="AS64" i="21"/>
  <c r="AT64" i="21"/>
  <c r="AU64" i="21"/>
  <c r="AV64" i="21"/>
  <c r="AW64" i="21"/>
  <c r="AX64" i="21"/>
  <c r="AQ66" i="21"/>
  <c r="AR66" i="21"/>
  <c r="AS66" i="21"/>
  <c r="AT66" i="21"/>
  <c r="AU66" i="21"/>
  <c r="AV66" i="21"/>
  <c r="AW66" i="21"/>
  <c r="AX66" i="21"/>
  <c r="AQ70" i="21"/>
  <c r="AR70" i="21"/>
  <c r="AS70" i="21"/>
  <c r="AT70" i="21"/>
  <c r="AU70" i="21"/>
  <c r="AV70" i="21"/>
  <c r="AW70" i="21"/>
  <c r="AX70" i="21"/>
  <c r="AQ71" i="21"/>
  <c r="AR71" i="21"/>
  <c r="AS71" i="21"/>
  <c r="AT71" i="21"/>
  <c r="AU71" i="21"/>
  <c r="AV71" i="21"/>
  <c r="AW71" i="21"/>
  <c r="AX71" i="21"/>
  <c r="AQ26" i="21"/>
  <c r="AR26" i="21"/>
  <c r="AS26" i="21"/>
  <c r="AT26" i="21"/>
  <c r="AU26" i="21"/>
  <c r="AV26" i="21"/>
  <c r="AW26" i="21"/>
  <c r="AX26" i="21"/>
  <c r="AQ29" i="21"/>
  <c r="AR29" i="21"/>
  <c r="AS29" i="21"/>
  <c r="AT29" i="21"/>
  <c r="AU29" i="21"/>
  <c r="AV29" i="21"/>
  <c r="AW29" i="21"/>
  <c r="AX29" i="21"/>
  <c r="AQ32" i="21"/>
  <c r="AR32" i="21"/>
  <c r="AS32" i="21"/>
  <c r="AT32" i="21"/>
  <c r="AU32" i="21"/>
  <c r="AV32" i="21"/>
  <c r="AW32" i="21"/>
  <c r="AX32" i="21"/>
  <c r="AQ33" i="21"/>
  <c r="AR33" i="21"/>
  <c r="AS33" i="21"/>
  <c r="AT33" i="21"/>
  <c r="AU33" i="21"/>
  <c r="AV33" i="21"/>
  <c r="AW33" i="21"/>
  <c r="AX33" i="21"/>
  <c r="AQ28" i="21"/>
  <c r="AR28" i="21"/>
  <c r="AS28" i="21"/>
  <c r="AT28" i="21"/>
  <c r="AU28" i="21"/>
  <c r="AV28" i="21"/>
  <c r="AW28" i="21"/>
  <c r="AX28" i="21"/>
  <c r="AQ30" i="21"/>
  <c r="AR30" i="21"/>
  <c r="AS30" i="21"/>
  <c r="AT30" i="21"/>
  <c r="AU30" i="21"/>
  <c r="AV30" i="21"/>
  <c r="AW30" i="21"/>
  <c r="AX30" i="21"/>
  <c r="AQ34" i="21"/>
  <c r="AR34" i="21"/>
  <c r="AS34" i="21"/>
  <c r="AT34" i="21"/>
  <c r="AU34" i="21"/>
  <c r="AV34" i="21"/>
  <c r="AW34" i="21"/>
  <c r="AX34" i="21"/>
  <c r="AQ31" i="21"/>
  <c r="AR31" i="21"/>
  <c r="AS31" i="21"/>
  <c r="AT31" i="21"/>
  <c r="AU31" i="21"/>
  <c r="AV31" i="21"/>
  <c r="AW31" i="21"/>
  <c r="AX31" i="21"/>
  <c r="AQ16" i="21"/>
  <c r="AR16" i="21"/>
  <c r="AS16" i="21"/>
  <c r="AT16" i="21"/>
  <c r="AU16" i="21"/>
  <c r="AV16" i="21"/>
  <c r="AW16" i="21"/>
  <c r="AX16" i="21"/>
  <c r="AQ19" i="21"/>
  <c r="AR19" i="21"/>
  <c r="AS19" i="21"/>
  <c r="AT19" i="21"/>
  <c r="AU19" i="21"/>
  <c r="AV19" i="21"/>
  <c r="AW19" i="21"/>
  <c r="AX19" i="21"/>
  <c r="AQ18" i="21"/>
  <c r="AR18" i="21"/>
  <c r="AS18" i="21"/>
  <c r="AT18" i="21"/>
  <c r="AU18" i="21"/>
  <c r="AV18" i="21"/>
  <c r="AW18" i="21"/>
  <c r="AX18" i="21"/>
  <c r="AQ21" i="21"/>
  <c r="AR21" i="21"/>
  <c r="AS21" i="21"/>
  <c r="AT21" i="21"/>
  <c r="AU21" i="21"/>
  <c r="AV21" i="21"/>
  <c r="AW21" i="21"/>
  <c r="AX21" i="21"/>
  <c r="AQ20" i="21"/>
  <c r="AR20" i="21"/>
  <c r="AS20" i="21"/>
  <c r="AT20" i="21"/>
  <c r="AU20" i="21"/>
  <c r="AV20" i="21"/>
  <c r="AW20" i="21"/>
  <c r="AX20" i="21"/>
  <c r="AQ22" i="21"/>
  <c r="AR22" i="21"/>
  <c r="AS22" i="21"/>
  <c r="AT22" i="21"/>
  <c r="AU22" i="21"/>
  <c r="AV22" i="21"/>
  <c r="AW22" i="21"/>
  <c r="AX22" i="21"/>
  <c r="AQ23" i="21"/>
  <c r="AR23" i="21"/>
  <c r="AS23" i="21"/>
  <c r="AT23" i="21"/>
  <c r="AU23" i="21"/>
  <c r="AV23" i="21"/>
  <c r="AW23" i="21"/>
  <c r="AX23" i="21"/>
  <c r="AR17" i="21"/>
  <c r="AS17" i="21"/>
  <c r="AT17" i="21"/>
  <c r="AU17" i="21"/>
  <c r="AV17" i="21"/>
  <c r="AW17" i="21"/>
  <c r="AX17" i="21"/>
  <c r="AQ17" i="21"/>
  <c r="AX6" i="21"/>
  <c r="AW6" i="21"/>
  <c r="I60" i="9" l="1"/>
  <c r="J13" i="9"/>
  <c r="J14" i="9" s="1"/>
  <c r="BD44" i="21"/>
  <c r="J17" i="9" s="1"/>
  <c r="AO56" i="21" l="1"/>
  <c r="AN56" i="21"/>
  <c r="AM56" i="21"/>
  <c r="AL56" i="21"/>
  <c r="AK56" i="21"/>
  <c r="AJ56" i="21"/>
  <c r="AI56" i="21"/>
  <c r="AH56" i="21"/>
  <c r="AG56" i="21"/>
  <c r="AF56" i="21"/>
  <c r="AE56" i="21"/>
  <c r="AD56" i="21"/>
  <c r="AX44" i="21"/>
  <c r="AW44" i="21"/>
  <c r="AV44" i="21"/>
  <c r="AO35" i="21"/>
  <c r="AN35" i="21"/>
  <c r="AM35" i="21"/>
  <c r="AX35" i="21" s="1"/>
  <c r="AL35" i="21"/>
  <c r="AK35" i="21"/>
  <c r="AJ35" i="21"/>
  <c r="AI35" i="21"/>
  <c r="AH35" i="21"/>
  <c r="AG35" i="21"/>
  <c r="AF35" i="21"/>
  <c r="AE35" i="21"/>
  <c r="AD35" i="21"/>
  <c r="Q35" i="21"/>
  <c r="P35" i="21"/>
  <c r="O35" i="21"/>
  <c r="N35" i="21"/>
  <c r="M35" i="21"/>
  <c r="L35" i="21"/>
  <c r="K35" i="21"/>
  <c r="J35" i="21"/>
  <c r="I35" i="21"/>
  <c r="H35" i="21"/>
  <c r="G35" i="21"/>
  <c r="F35" i="21"/>
  <c r="E35" i="21"/>
  <c r="AX24" i="21"/>
  <c r="AW24" i="21"/>
  <c r="AV24" i="21"/>
  <c r="BD24" i="21"/>
  <c r="AD10" i="21"/>
  <c r="AX56" i="21" l="1"/>
  <c r="BD35" i="21"/>
  <c r="J16" i="9" s="1"/>
  <c r="J18" i="9" s="1"/>
  <c r="J20" i="9" s="1"/>
  <c r="I59" i="9"/>
  <c r="I61" i="9" s="1"/>
  <c r="I63" i="9" s="1"/>
  <c r="BD56" i="21"/>
  <c r="J25" i="9" s="1"/>
  <c r="J27" i="9" s="1"/>
  <c r="I68" i="9"/>
  <c r="I70" i="9" s="1"/>
  <c r="AD60" i="21"/>
  <c r="AV56" i="21"/>
  <c r="AW35" i="21"/>
  <c r="BA56" i="21"/>
  <c r="AU56" i="21"/>
  <c r="AU44" i="21"/>
  <c r="BA44" i="21"/>
  <c r="BA35" i="21"/>
  <c r="AU35" i="21"/>
  <c r="AU24" i="21"/>
  <c r="BA24" i="21"/>
  <c r="AW56" i="21"/>
  <c r="AV35" i="21"/>
  <c r="AJ46" i="21"/>
  <c r="AM46" i="21"/>
  <c r="AG46" i="21"/>
  <c r="AH46" i="21"/>
  <c r="AI46" i="21"/>
  <c r="AK46" i="21"/>
  <c r="AL46" i="21"/>
  <c r="AN46" i="21"/>
  <c r="AO46" i="21"/>
  <c r="AD46" i="21"/>
  <c r="AF46" i="21"/>
  <c r="AE46" i="21"/>
  <c r="J29" i="9" l="1"/>
  <c r="J35" i="9" s="1"/>
  <c r="J38" i="9" s="1"/>
  <c r="J31" i="9"/>
  <c r="I64" i="9"/>
  <c r="I74" i="9"/>
  <c r="I72" i="9"/>
  <c r="BD46" i="21"/>
  <c r="AX46" i="21"/>
  <c r="J21" i="9"/>
  <c r="AW46" i="21"/>
  <c r="AD47" i="21"/>
  <c r="AU46" i="21"/>
  <c r="BA46" i="21"/>
  <c r="AV46" i="21"/>
  <c r="AD68" i="21"/>
  <c r="AD62" i="21"/>
  <c r="AE60" i="21"/>
  <c r="AF60" i="21"/>
  <c r="AG60" i="21"/>
  <c r="AH60" i="21"/>
  <c r="AI60" i="21"/>
  <c r="AJ60" i="21"/>
  <c r="AK60" i="21"/>
  <c r="AL60" i="21"/>
  <c r="AM60" i="21"/>
  <c r="AN60" i="21"/>
  <c r="AO60" i="21"/>
  <c r="AF47" i="21"/>
  <c r="AO10" i="21"/>
  <c r="AN10" i="21"/>
  <c r="AM10" i="21"/>
  <c r="AL10" i="21"/>
  <c r="AK10" i="21"/>
  <c r="AJ10" i="21"/>
  <c r="AI10" i="21"/>
  <c r="AH10" i="21"/>
  <c r="AG10" i="21"/>
  <c r="AF10" i="21"/>
  <c r="AE10" i="21"/>
  <c r="BD60" i="21" l="1"/>
  <c r="I78" i="9"/>
  <c r="I81" i="9" s="1"/>
  <c r="I84" i="9" s="1"/>
  <c r="I85" i="9" s="1"/>
  <c r="I73" i="9"/>
  <c r="AU60" i="21"/>
  <c r="AW60" i="21"/>
  <c r="AV60" i="21"/>
  <c r="BA60" i="21"/>
  <c r="AD73" i="21"/>
  <c r="AX60" i="21"/>
  <c r="AG62" i="21"/>
  <c r="AH68" i="21"/>
  <c r="AH73" i="21" s="1"/>
  <c r="AH76" i="21" s="1"/>
  <c r="AM47" i="21"/>
  <c r="AE47" i="21"/>
  <c r="AO62" i="21"/>
  <c r="AO47" i="21"/>
  <c r="AO68" i="21"/>
  <c r="AO73" i="21" s="1"/>
  <c r="AO76" i="21" s="1"/>
  <c r="AN62" i="21"/>
  <c r="AN47" i="21"/>
  <c r="AN68" i="21"/>
  <c r="AN73" i="21" s="1"/>
  <c r="AN76" i="21" s="1"/>
  <c r="AL47" i="21"/>
  <c r="AL68" i="21"/>
  <c r="AL73" i="21" s="1"/>
  <c r="AL76" i="21" s="1"/>
  <c r="AL62" i="21"/>
  <c r="AK68" i="21"/>
  <c r="AK73" i="21" s="1"/>
  <c r="AK76" i="21" s="1"/>
  <c r="AK62" i="21"/>
  <c r="AK47" i="21"/>
  <c r="AJ68" i="21"/>
  <c r="AJ62" i="21"/>
  <c r="AJ47" i="21"/>
  <c r="AI68" i="21"/>
  <c r="AI73" i="21" s="1"/>
  <c r="AI76" i="21" s="1"/>
  <c r="AI62" i="21"/>
  <c r="AI47" i="21"/>
  <c r="AG68" i="21"/>
  <c r="AF68" i="21"/>
  <c r="AF73" i="21" s="1"/>
  <c r="AF76" i="21" s="1"/>
  <c r="AH47" i="21"/>
  <c r="AF62" i="21"/>
  <c r="AG47" i="21"/>
  <c r="AH62" i="21"/>
  <c r="AV62" i="21" l="1"/>
  <c r="AW62" i="21"/>
  <c r="AJ73" i="21"/>
  <c r="AW68" i="21"/>
  <c r="AG73" i="21"/>
  <c r="AV68" i="21"/>
  <c r="AD76" i="21"/>
  <c r="AE68" i="21"/>
  <c r="BD68" i="21" s="1"/>
  <c r="AE62" i="21"/>
  <c r="BD62" i="21" s="1"/>
  <c r="AM62" i="21"/>
  <c r="AX62" i="21" s="1"/>
  <c r="AM68" i="21"/>
  <c r="AM73" i="21" l="1"/>
  <c r="AX68" i="21"/>
  <c r="AE73" i="21"/>
  <c r="BD73" i="21" s="1"/>
  <c r="BA68" i="21"/>
  <c r="AU68" i="21"/>
  <c r="AJ76" i="21"/>
  <c r="AW73" i="21"/>
  <c r="BA62" i="21"/>
  <c r="AU62" i="21"/>
  <c r="AG76" i="21"/>
  <c r="AV73" i="21"/>
  <c r="AM76" i="21" l="1"/>
  <c r="AX73" i="21"/>
  <c r="AE76" i="21"/>
  <c r="AU73" i="21"/>
  <c r="BA73" i="21"/>
  <c r="AD216" i="30" l="1"/>
  <c r="AD491" i="6"/>
  <c r="AD489" i="6" s="1"/>
  <c r="AE216" i="30"/>
  <c r="AD52" i="12"/>
  <c r="AE52" i="12"/>
  <c r="AF52" i="12"/>
  <c r="AG52" i="12"/>
  <c r="AH52" i="12"/>
  <c r="AI52" i="12"/>
  <c r="AJ52" i="12"/>
  <c r="AK52" i="12"/>
  <c r="AL52" i="12"/>
  <c r="AM52" i="12"/>
  <c r="AN52" i="12"/>
  <c r="AM20" i="12"/>
  <c r="AL20" i="12"/>
  <c r="AK20" i="12"/>
  <c r="AJ20" i="12"/>
  <c r="AI20" i="12"/>
  <c r="AH20" i="12"/>
  <c r="AG20" i="12"/>
  <c r="AF20" i="12"/>
  <c r="AE20" i="12"/>
  <c r="AD20" i="12"/>
  <c r="AC20" i="12"/>
  <c r="AB20" i="12"/>
  <c r="AN20" i="12"/>
  <c r="Q20" i="12"/>
  <c r="AV6" i="7"/>
  <c r="AW6" i="7"/>
  <c r="AG15" i="7"/>
  <c r="AG31" i="12" s="1"/>
  <c r="AH15" i="7"/>
  <c r="AH31" i="12" s="1"/>
  <c r="AI15" i="7"/>
  <c r="AI31" i="12" s="1"/>
  <c r="AJ15" i="7"/>
  <c r="AJ31" i="12" s="1"/>
  <c r="AK15" i="7"/>
  <c r="AK31" i="12" s="1"/>
  <c r="AL15" i="7"/>
  <c r="AL31" i="12" s="1"/>
  <c r="AM15" i="7"/>
  <c r="AM31" i="12" s="1"/>
  <c r="AN15" i="7"/>
  <c r="AN31" i="12" s="1"/>
  <c r="AD16" i="7"/>
  <c r="AE16" i="7"/>
  <c r="AF32" i="12"/>
  <c r="AG16" i="7"/>
  <c r="AG32" i="12" s="1"/>
  <c r="AH16" i="7"/>
  <c r="AI16" i="7"/>
  <c r="AJ16" i="7"/>
  <c r="AJ32" i="12" s="1"/>
  <c r="AK16" i="7"/>
  <c r="AK32" i="12" s="1"/>
  <c r="AL16" i="7"/>
  <c r="AL32" i="12" s="1"/>
  <c r="AM16" i="7"/>
  <c r="AM32" i="12" s="1"/>
  <c r="AN16" i="7"/>
  <c r="AN32" i="12" s="1"/>
  <c r="AG18" i="7"/>
  <c r="AH18" i="7"/>
  <c r="AI18" i="7"/>
  <c r="AJ18" i="7"/>
  <c r="AK18" i="7"/>
  <c r="AL18" i="7"/>
  <c r="AM18" i="7"/>
  <c r="AN18" i="7"/>
  <c r="AD19" i="7"/>
  <c r="AE19" i="7"/>
  <c r="AF53" i="12"/>
  <c r="AG19" i="7"/>
  <c r="AG53" i="12" s="1"/>
  <c r="AH19" i="7"/>
  <c r="AH53" i="12" s="1"/>
  <c r="AI19" i="7"/>
  <c r="AI53" i="12" s="1"/>
  <c r="AJ19" i="7"/>
  <c r="AJ53" i="12" s="1"/>
  <c r="AK19" i="7"/>
  <c r="AK53" i="12" s="1"/>
  <c r="AL19" i="7"/>
  <c r="AL53" i="12" s="1"/>
  <c r="AM19" i="7"/>
  <c r="AM53" i="12" s="1"/>
  <c r="AN19" i="7"/>
  <c r="AN53" i="12" s="1"/>
  <c r="AD21" i="7"/>
  <c r="AE21" i="7"/>
  <c r="AG21" i="7"/>
  <c r="AH21" i="7"/>
  <c r="AI21" i="7"/>
  <c r="AJ21" i="7"/>
  <c r="AK21" i="7"/>
  <c r="AL21" i="7"/>
  <c r="AM21" i="7"/>
  <c r="AN21" i="7"/>
  <c r="AD23" i="7"/>
  <c r="AE23" i="7"/>
  <c r="AF41" i="12"/>
  <c r="AG23" i="7"/>
  <c r="AG41" i="12" s="1"/>
  <c r="AH23" i="7"/>
  <c r="AH41" i="12" s="1"/>
  <c r="AI23" i="7"/>
  <c r="AI41" i="12" s="1"/>
  <c r="AJ23" i="7"/>
  <c r="AJ41" i="12" s="1"/>
  <c r="AK23" i="7"/>
  <c r="AK41" i="12" s="1"/>
  <c r="AL23" i="7"/>
  <c r="AL41" i="12" s="1"/>
  <c r="AM23" i="7"/>
  <c r="AM41" i="12" s="1"/>
  <c r="AN23" i="7"/>
  <c r="AN41" i="12" s="1"/>
  <c r="AC25" i="7"/>
  <c r="AD25" i="7"/>
  <c r="AD43" i="12" s="1"/>
  <c r="AE25" i="7"/>
  <c r="AE43" i="12" s="1"/>
  <c r="AF43" i="12"/>
  <c r="AG25" i="7"/>
  <c r="AG43" i="12" s="1"/>
  <c r="AH25" i="7"/>
  <c r="AH43" i="12" s="1"/>
  <c r="AI25" i="7"/>
  <c r="AI43" i="12" s="1"/>
  <c r="AJ25" i="7"/>
  <c r="AJ43" i="12" s="1"/>
  <c r="AK25" i="7"/>
  <c r="AK43" i="12" s="1"/>
  <c r="AL25" i="7"/>
  <c r="AL43" i="12" s="1"/>
  <c r="AM25" i="7"/>
  <c r="AM43" i="12" s="1"/>
  <c r="AN25" i="7"/>
  <c r="AN43" i="12" s="1"/>
  <c r="AC26" i="7"/>
  <c r="AD26" i="7"/>
  <c r="AD44" i="12" s="1"/>
  <c r="AE26" i="7"/>
  <c r="AE44" i="12" s="1"/>
  <c r="AG26" i="7"/>
  <c r="AG44" i="12" s="1"/>
  <c r="AH26" i="7"/>
  <c r="AH44" i="12" s="1"/>
  <c r="AI26" i="7"/>
  <c r="AJ26" i="7"/>
  <c r="AJ44" i="12" s="1"/>
  <c r="AK26" i="7"/>
  <c r="AK44" i="12" s="1"/>
  <c r="AL26" i="7"/>
  <c r="AM26" i="7"/>
  <c r="AM44" i="12" s="1"/>
  <c r="AN26" i="7"/>
  <c r="AN44" i="12" s="1"/>
  <c r="AG265" i="30" l="1"/>
  <c r="AV265" i="30" s="1"/>
  <c r="AG216" i="30"/>
  <c r="AV216" i="30" s="1"/>
  <c r="AD31" i="12"/>
  <c r="AE32" i="12"/>
  <c r="AD32" i="12"/>
  <c r="AD41" i="12"/>
  <c r="AE41" i="12"/>
  <c r="AE53" i="12"/>
  <c r="AF265" i="30" s="1"/>
  <c r="AD53" i="12"/>
  <c r="AE265" i="30" s="1"/>
  <c r="AD97" i="7"/>
  <c r="AD105" i="7" s="1"/>
  <c r="AE314" i="30" s="1"/>
  <c r="AE316" i="30" s="1"/>
  <c r="AE97" i="7"/>
  <c r="AE105" i="7" s="1"/>
  <c r="AC43" i="12"/>
  <c r="AZ25" i="7"/>
  <c r="AC44" i="12"/>
  <c r="AZ26" i="7"/>
  <c r="AC18" i="7"/>
  <c r="AC52" i="12"/>
  <c r="AC15" i="7"/>
  <c r="AC16" i="7"/>
  <c r="AC21" i="7"/>
  <c r="AC23" i="7"/>
  <c r="AC19" i="7"/>
  <c r="AJ34" i="12"/>
  <c r="AK34" i="12"/>
  <c r="AW19" i="7"/>
  <c r="AI34" i="12"/>
  <c r="AG34" i="12"/>
  <c r="AH34" i="12"/>
  <c r="AF34" i="12"/>
  <c r="AL34" i="12"/>
  <c r="AM34" i="12"/>
  <c r="AN34" i="12"/>
  <c r="AE17" i="7"/>
  <c r="AE31" i="12"/>
  <c r="AH17" i="7"/>
  <c r="AH20" i="7" s="1"/>
  <c r="AH22" i="7" s="1"/>
  <c r="AH24" i="7" s="1"/>
  <c r="AH27" i="7" s="1"/>
  <c r="AH32" i="12"/>
  <c r="AH33" i="12" s="1"/>
  <c r="AV16" i="7"/>
  <c r="AI32" i="12"/>
  <c r="AI33" i="12" s="1"/>
  <c r="AD39" i="12"/>
  <c r="AE39" i="12"/>
  <c r="AF39" i="12"/>
  <c r="AG39" i="12"/>
  <c r="AH39" i="12"/>
  <c r="AI39" i="12"/>
  <c r="AJ39" i="12"/>
  <c r="AK39" i="12"/>
  <c r="AL39" i="12"/>
  <c r="AM39" i="12"/>
  <c r="AN39" i="12"/>
  <c r="AU26" i="7"/>
  <c r="AF44" i="12"/>
  <c r="AV26" i="7"/>
  <c r="AI44" i="12"/>
  <c r="AL44" i="12"/>
  <c r="AW26" i="7"/>
  <c r="AG33" i="12"/>
  <c r="AJ33" i="12"/>
  <c r="AK33" i="12"/>
  <c r="AL33" i="12"/>
  <c r="AM33" i="12"/>
  <c r="AN33" i="12"/>
  <c r="BC25" i="7"/>
  <c r="AV18" i="7"/>
  <c r="AV19" i="7"/>
  <c r="AU16" i="7"/>
  <c r="AW23" i="7"/>
  <c r="AW25" i="7"/>
  <c r="AU23" i="7"/>
  <c r="AV15" i="7"/>
  <c r="AU18" i="7"/>
  <c r="AV23" i="7"/>
  <c r="AW15" i="7"/>
  <c r="AW16" i="7"/>
  <c r="AU25" i="7"/>
  <c r="AW18" i="7"/>
  <c r="BC26" i="7"/>
  <c r="AU19" i="7"/>
  <c r="AV25" i="7"/>
  <c r="AT25" i="7"/>
  <c r="AT26" i="7"/>
  <c r="AV21" i="7"/>
  <c r="AU21" i="7"/>
  <c r="AW21" i="7"/>
  <c r="AK17" i="7"/>
  <c r="AK20" i="7" s="1"/>
  <c r="AK22" i="7" s="1"/>
  <c r="AK24" i="7" s="1"/>
  <c r="AK27" i="7" s="1"/>
  <c r="AG17" i="7"/>
  <c r="AG20" i="7" s="1"/>
  <c r="AG22" i="7" s="1"/>
  <c r="AG24" i="7" s="1"/>
  <c r="AG27" i="7" s="1"/>
  <c r="AD17" i="7"/>
  <c r="AM17" i="7"/>
  <c r="AM20" i="7" s="1"/>
  <c r="AM22" i="7" s="1"/>
  <c r="AM24" i="7" s="1"/>
  <c r="AM27" i="7" s="1"/>
  <c r="AJ17" i="7"/>
  <c r="AJ20" i="7" s="1"/>
  <c r="AJ22" i="7" s="1"/>
  <c r="AJ24" i="7" s="1"/>
  <c r="AJ27" i="7" s="1"/>
  <c r="AI17" i="7"/>
  <c r="AI20" i="7" s="1"/>
  <c r="AI22" i="7" s="1"/>
  <c r="AI24" i="7" s="1"/>
  <c r="AI27" i="7" s="1"/>
  <c r="AN17" i="7"/>
  <c r="AN20" i="7" s="1"/>
  <c r="AN22" i="7" s="1"/>
  <c r="AN24" i="7" s="1"/>
  <c r="AN27" i="7" s="1"/>
  <c r="AL17" i="7"/>
  <c r="AL20" i="7" s="1"/>
  <c r="AL22" i="7" s="1"/>
  <c r="AL24" i="7" s="1"/>
  <c r="AL27" i="7" s="1"/>
  <c r="AE33" i="12" l="1"/>
  <c r="AD33" i="12"/>
  <c r="AE107" i="7"/>
  <c r="AF314" i="30"/>
  <c r="AF316" i="30" s="1"/>
  <c r="AZ16" i="7"/>
  <c r="AC97" i="7"/>
  <c r="AD107" i="7"/>
  <c r="AT15" i="7"/>
  <c r="BC21" i="7"/>
  <c r="AZ21" i="7"/>
  <c r="AC41" i="12"/>
  <c r="AZ23" i="7"/>
  <c r="AC53" i="12"/>
  <c r="AZ19" i="7"/>
  <c r="AC17" i="7"/>
  <c r="AC34" i="12"/>
  <c r="AT21" i="7"/>
  <c r="BC19" i="7"/>
  <c r="AT19" i="7"/>
  <c r="AC32" i="12"/>
  <c r="BC16" i="7"/>
  <c r="BC23" i="7"/>
  <c r="AC31" i="12"/>
  <c r="AT16" i="7"/>
  <c r="AC39" i="12"/>
  <c r="AT23" i="7"/>
  <c r="AV17" i="7"/>
  <c r="AV20" i="7" s="1"/>
  <c r="AV22" i="7" s="1"/>
  <c r="AV24" i="7" s="1"/>
  <c r="AV27" i="7" s="1"/>
  <c r="AW17" i="7"/>
  <c r="AW20" i="7" s="1"/>
  <c r="AW22" i="7" s="1"/>
  <c r="AW24" i="7" s="1"/>
  <c r="AW27" i="7" s="1"/>
  <c r="AC105" i="7" l="1"/>
  <c r="AT97" i="7"/>
  <c r="BC97" i="7"/>
  <c r="AZ97" i="7"/>
  <c r="AD265" i="30"/>
  <c r="AT17" i="7"/>
  <c r="AC20" i="7"/>
  <c r="AC33" i="12"/>
  <c r="AD314" i="30" l="1"/>
  <c r="AD316" i="30" s="1"/>
  <c r="AZ105" i="7"/>
  <c r="AZ107" i="7" s="1"/>
  <c r="BC105" i="7"/>
  <c r="BC107" i="7" s="1"/>
  <c r="AT105" i="7"/>
  <c r="AT107" i="7" s="1"/>
  <c r="AC107" i="7"/>
  <c r="AU265" i="30"/>
  <c r="BA265" i="30" s="1"/>
  <c r="BD265" i="30"/>
  <c r="AC22" i="7"/>
  <c r="AC24" i="7" l="1"/>
  <c r="AC27" i="7" l="1"/>
  <c r="AB26" i="7"/>
  <c r="AB25" i="7"/>
  <c r="AC491" i="6"/>
  <c r="AC489" i="6" s="1"/>
  <c r="AC98" i="7" l="1"/>
  <c r="AB16" i="7"/>
  <c r="AB19" i="7"/>
  <c r="AB23" i="7"/>
  <c r="AB21" i="7"/>
  <c r="AB15" i="7"/>
  <c r="AB18" i="7"/>
  <c r="AC102" i="7" l="1"/>
  <c r="AC109" i="7" s="1"/>
  <c r="AC116" i="7" s="1"/>
  <c r="AC121" i="7" s="1"/>
  <c r="AD307" i="30"/>
  <c r="AB97" i="7"/>
  <c r="AB105" i="7" s="1"/>
  <c r="AC314" i="30" s="1"/>
  <c r="AC316" i="30" s="1"/>
  <c r="AB17" i="7"/>
  <c r="AB20" i="7" s="1"/>
  <c r="AB22" i="7" s="1"/>
  <c r="AB24" i="7" s="1"/>
  <c r="AB27" i="7" s="1"/>
  <c r="AB98" i="7" l="1"/>
  <c r="AB107" i="7"/>
  <c r="AC307" i="30" l="1"/>
  <c r="AB102" i="7"/>
  <c r="AB109" i="7" s="1"/>
  <c r="AB116" i="7" s="1"/>
  <c r="AB121" i="7" s="1"/>
  <c r="AB491" i="6"/>
  <c r="AB489" i="6" s="1"/>
  <c r="AA15" i="7" l="1"/>
  <c r="AA491" i="6" l="1"/>
  <c r="AA489" i="6" s="1"/>
  <c r="Z15" i="7" l="1"/>
  <c r="Z26" i="7" l="1"/>
  <c r="Z25" i="7"/>
  <c r="Z23" i="7"/>
  <c r="Z21" i="7"/>
  <c r="Z19" i="7"/>
  <c r="Z16" i="7"/>
  <c r="Z97" i="7" l="1"/>
  <c r="Z17" i="7"/>
  <c r="Z105" i="7" l="1"/>
  <c r="Z107" i="7" s="1"/>
  <c r="AA314" i="30" l="1"/>
  <c r="AA316" i="30" s="1"/>
  <c r="Z491" i="6"/>
  <c r="Z489" i="6" s="1"/>
  <c r="Y26" i="7"/>
  <c r="Y25" i="7"/>
  <c r="Y23" i="7" l="1"/>
  <c r="Y15" i="7" l="1"/>
  <c r="Y16" i="7"/>
  <c r="Y21" i="7"/>
  <c r="Y19" i="7"/>
  <c r="Y97" i="7" l="1"/>
  <c r="Y105" i="7" s="1"/>
  <c r="Z314" i="30" s="1"/>
  <c r="Z316" i="30" s="1"/>
  <c r="Y17" i="7"/>
  <c r="Y107" i="7" l="1"/>
  <c r="D2" i="9" l="1"/>
  <c r="F7" i="9" l="1"/>
  <c r="F40" i="9" l="1"/>
  <c r="F37" i="9"/>
  <c r="F17" i="9"/>
  <c r="F34" i="9"/>
  <c r="F16" i="9"/>
  <c r="F25" i="9"/>
  <c r="F23" i="9"/>
  <c r="F8" i="9"/>
  <c r="F9" i="9"/>
  <c r="F10" i="9"/>
  <c r="F11" i="9"/>
  <c r="F12" i="9"/>
  <c r="F13" i="9"/>
  <c r="I34" i="9"/>
  <c r="I9" i="9"/>
  <c r="I11" i="9"/>
  <c r="I40" i="9"/>
  <c r="I13" i="9"/>
  <c r="I12" i="9"/>
  <c r="I8" i="9"/>
  <c r="I10" i="9"/>
  <c r="I37" i="9"/>
  <c r="I26" i="9"/>
  <c r="I16" i="9"/>
  <c r="I17" i="9"/>
  <c r="I25" i="9"/>
  <c r="D7" i="9"/>
  <c r="E7" i="9"/>
  <c r="X26" i="7"/>
  <c r="X25" i="7"/>
  <c r="Y491" i="6"/>
  <c r="Y489" i="6" s="1"/>
  <c r="D40" i="9" l="1"/>
  <c r="D37" i="9"/>
  <c r="D17" i="9"/>
  <c r="D34" i="9"/>
  <c r="D16" i="9"/>
  <c r="D25" i="9"/>
  <c r="E40" i="9"/>
  <c r="H40" i="9" s="1"/>
  <c r="E37" i="9"/>
  <c r="H37" i="9" s="1"/>
  <c r="E16" i="9"/>
  <c r="H16" i="9" s="1"/>
  <c r="E34" i="9"/>
  <c r="H34" i="9" s="1"/>
  <c r="E17" i="9"/>
  <c r="H17" i="9" s="1"/>
  <c r="E25" i="9"/>
  <c r="H25" i="9" s="1"/>
  <c r="E22" i="9"/>
  <c r="H22" i="9" s="1"/>
  <c r="E23" i="9"/>
  <c r="H23" i="9" s="1"/>
  <c r="F14" i="9"/>
  <c r="D13" i="9"/>
  <c r="D8" i="9"/>
  <c r="D12" i="9"/>
  <c r="D10" i="9"/>
  <c r="D9" i="9"/>
  <c r="D11" i="9"/>
  <c r="E8" i="9"/>
  <c r="H8" i="9" s="1"/>
  <c r="E10" i="9"/>
  <c r="H10" i="9" s="1"/>
  <c r="E9" i="9"/>
  <c r="H9" i="9" s="1"/>
  <c r="E11" i="9"/>
  <c r="H11" i="9" s="1"/>
  <c r="E12" i="9"/>
  <c r="H12" i="9" s="1"/>
  <c r="E13" i="9"/>
  <c r="H13" i="9" s="1"/>
  <c r="I18" i="9"/>
  <c r="I14" i="9"/>
  <c r="I27" i="9"/>
  <c r="X23" i="7"/>
  <c r="X16" i="7"/>
  <c r="X15" i="7"/>
  <c r="X21" i="7"/>
  <c r="X18" i="7"/>
  <c r="X19" i="7"/>
  <c r="E14" i="9" l="1"/>
  <c r="H14" i="9" s="1"/>
  <c r="X97" i="7"/>
  <c r="X105" i="7" s="1"/>
  <c r="Y314" i="30" s="1"/>
  <c r="Y316" i="30" s="1"/>
  <c r="I20" i="9"/>
  <c r="I29" i="9" s="1"/>
  <c r="X17" i="7"/>
  <c r="X20" i="7" s="1"/>
  <c r="X22" i="7" s="1"/>
  <c r="X24" i="7" s="1"/>
  <c r="X27" i="7" s="1"/>
  <c r="X98" i="7" l="1"/>
  <c r="X102" i="7" s="1"/>
  <c r="X107" i="7"/>
  <c r="I31" i="9"/>
  <c r="I21" i="9"/>
  <c r="I30" i="9"/>
  <c r="I35" i="9"/>
  <c r="Y307" i="30" l="1"/>
  <c r="X109" i="7"/>
  <c r="X116" i="7" s="1"/>
  <c r="X121" i="7" s="1"/>
  <c r="J30" i="9"/>
  <c r="I38" i="9"/>
  <c r="J41" i="9" l="1"/>
  <c r="I41" i="9"/>
  <c r="I42" i="9" l="1"/>
  <c r="J42" i="9" l="1"/>
  <c r="W56" i="21"/>
  <c r="V56" i="21"/>
  <c r="U56" i="21"/>
  <c r="T56" i="21"/>
  <c r="S56" i="21"/>
  <c r="R56" i="21"/>
  <c r="BC56" i="21" s="1"/>
  <c r="Q56" i="21"/>
  <c r="P56" i="21"/>
  <c r="O56" i="21"/>
  <c r="N56" i="21"/>
  <c r="M56" i="21"/>
  <c r="L56" i="21"/>
  <c r="K56" i="21"/>
  <c r="J56" i="21"/>
  <c r="I56" i="21"/>
  <c r="H56" i="21"/>
  <c r="G56" i="21"/>
  <c r="F56" i="21"/>
  <c r="E56" i="21"/>
  <c r="X56" i="21"/>
  <c r="Q44" i="21"/>
  <c r="P44" i="21"/>
  <c r="O44" i="21"/>
  <c r="N44" i="21"/>
  <c r="M44" i="21"/>
  <c r="L44" i="21"/>
  <c r="K44" i="21"/>
  <c r="J44" i="21"/>
  <c r="I44" i="21"/>
  <c r="H44" i="21"/>
  <c r="G44" i="21"/>
  <c r="F44" i="21"/>
  <c r="E44" i="21"/>
  <c r="AR56" i="21" l="1"/>
  <c r="AQ56" i="21"/>
  <c r="X491" i="6" l="1"/>
  <c r="X489" i="6" s="1"/>
  <c r="A16" i="23" l="1"/>
  <c r="A15" i="23"/>
  <c r="R24" i="21" l="1"/>
  <c r="BC24" i="21" s="1"/>
  <c r="AC56" i="21"/>
  <c r="AC60" i="21" s="1"/>
  <c r="AB56" i="21"/>
  <c r="AB60" i="21" s="1"/>
  <c r="AA56" i="21"/>
  <c r="Z56" i="21"/>
  <c r="Z60" i="21" s="1"/>
  <c r="Y56" i="21"/>
  <c r="X60" i="21"/>
  <c r="AC24" i="21"/>
  <c r="AC35" i="21" s="1"/>
  <c r="AC44" i="21" s="1"/>
  <c r="AB24" i="21"/>
  <c r="AB35" i="21" s="1"/>
  <c r="AB44" i="21" s="1"/>
  <c r="AA24" i="21"/>
  <c r="Z24" i="21"/>
  <c r="Z35" i="21" s="1"/>
  <c r="Z44" i="21" s="1"/>
  <c r="Y24" i="21"/>
  <c r="Y35" i="21" s="1"/>
  <c r="Y44" i="21" s="1"/>
  <c r="X24" i="21"/>
  <c r="W24" i="21"/>
  <c r="V24" i="21"/>
  <c r="V35" i="21" s="1"/>
  <c r="V44" i="21" s="1"/>
  <c r="U24" i="21"/>
  <c r="T24" i="21"/>
  <c r="T35" i="21" s="1"/>
  <c r="T44" i="21" s="1"/>
  <c r="S24" i="21"/>
  <c r="S35" i="21" s="1"/>
  <c r="S44" i="21" s="1"/>
  <c r="W491" i="6"/>
  <c r="W489" i="6" s="1"/>
  <c r="V491" i="6"/>
  <c r="V489" i="6" s="1"/>
  <c r="R491" i="6"/>
  <c r="R489" i="6" s="1"/>
  <c r="S491" i="6"/>
  <c r="S489" i="6" s="1"/>
  <c r="T491" i="6"/>
  <c r="T489" i="6" s="1"/>
  <c r="U491" i="6"/>
  <c r="U489" i="6" s="1"/>
  <c r="AC10" i="21"/>
  <c r="AB10" i="21"/>
  <c r="AA10" i="21"/>
  <c r="Z10" i="21"/>
  <c r="Y10" i="21"/>
  <c r="X10" i="21"/>
  <c r="W10" i="21"/>
  <c r="V10" i="21"/>
  <c r="U10" i="21"/>
  <c r="T10" i="21"/>
  <c r="S10" i="21"/>
  <c r="R10" i="21"/>
  <c r="AT6" i="21"/>
  <c r="AS6" i="21"/>
  <c r="F15" i="3" a="1"/>
  <c r="F15" i="3" s="1"/>
  <c r="S60" i="21"/>
  <c r="T60" i="21"/>
  <c r="V60" i="21"/>
  <c r="R25" i="7"/>
  <c r="R43" i="12" s="1"/>
  <c r="S25" i="7"/>
  <c r="S43" i="12" s="1"/>
  <c r="T25" i="7"/>
  <c r="T43" i="12" s="1"/>
  <c r="U25" i="7"/>
  <c r="U43" i="12" s="1"/>
  <c r="R26" i="7"/>
  <c r="S26" i="7"/>
  <c r="S44" i="12" s="1"/>
  <c r="T26" i="7"/>
  <c r="T44" i="12" s="1"/>
  <c r="U26" i="7"/>
  <c r="U44" i="12" s="1"/>
  <c r="R20" i="12"/>
  <c r="S20" i="12"/>
  <c r="T20" i="12"/>
  <c r="U20" i="12"/>
  <c r="V20" i="12"/>
  <c r="W20" i="12"/>
  <c r="X20" i="12"/>
  <c r="Y20" i="12"/>
  <c r="Z20" i="12"/>
  <c r="AA20" i="12"/>
  <c r="Y31" i="12"/>
  <c r="AA31" i="12"/>
  <c r="AB31" i="12"/>
  <c r="W16" i="7"/>
  <c r="Y32" i="12"/>
  <c r="AA16" i="7"/>
  <c r="AB32" i="12"/>
  <c r="W19" i="7"/>
  <c r="X53" i="12"/>
  <c r="Y265" i="30" s="1"/>
  <c r="Y53" i="12"/>
  <c r="Z265" i="30" s="1"/>
  <c r="AA19" i="7"/>
  <c r="AB53" i="12"/>
  <c r="AC265" i="30" s="1"/>
  <c r="W21" i="7"/>
  <c r="Z39" i="12"/>
  <c r="AA21" i="7"/>
  <c r="AB39" i="12"/>
  <c r="W23" i="7"/>
  <c r="X41" i="12"/>
  <c r="Y41" i="12"/>
  <c r="Z41" i="12"/>
  <c r="AA23" i="7"/>
  <c r="AB41" i="12"/>
  <c r="V25" i="7"/>
  <c r="V43" i="12" s="1"/>
  <c r="W25" i="7"/>
  <c r="W43" i="12" s="1"/>
  <c r="X43" i="12"/>
  <c r="Y43" i="12"/>
  <c r="Z43" i="12"/>
  <c r="AA25" i="7"/>
  <c r="AA43" i="12" s="1"/>
  <c r="AB43" i="12"/>
  <c r="V26" i="7"/>
  <c r="V44" i="12" s="1"/>
  <c r="W26" i="7"/>
  <c r="X44" i="12"/>
  <c r="Y44" i="12"/>
  <c r="Z44" i="12"/>
  <c r="AA26" i="7"/>
  <c r="AA44" i="12" s="1"/>
  <c r="AB44" i="12"/>
  <c r="W52" i="12"/>
  <c r="X52" i="12"/>
  <c r="Y52" i="12"/>
  <c r="Z52" i="12"/>
  <c r="AA52" i="12"/>
  <c r="AB52" i="12"/>
  <c r="L3"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49" i="16"/>
  <c r="L48" i="16"/>
  <c r="L47" i="16"/>
  <c r="S29" i="16"/>
  <c r="R29" i="16"/>
  <c r="L20" i="16"/>
  <c r="P13" i="16" s="1"/>
  <c r="L46" i="16"/>
  <c r="L45" i="16"/>
  <c r="L44" i="16"/>
  <c r="L43" i="16"/>
  <c r="L42" i="16"/>
  <c r="L41" i="16"/>
  <c r="L40" i="16"/>
  <c r="O17" i="16" s="1"/>
  <c r="C46" i="16"/>
  <c r="C45" i="16"/>
  <c r="C44" i="16"/>
  <c r="C43" i="16"/>
  <c r="C42" i="16"/>
  <c r="C41" i="16"/>
  <c r="C40" i="16"/>
  <c r="L5" i="16"/>
  <c r="P3" i="16" s="1"/>
  <c r="L12" i="16"/>
  <c r="L15" i="16"/>
  <c r="L14" i="16"/>
  <c r="L13" i="16"/>
  <c r="L39" i="16"/>
  <c r="P20" i="16" s="1"/>
  <c r="L38" i="16"/>
  <c r="L37" i="16"/>
  <c r="L36" i="16"/>
  <c r="L35" i="16"/>
  <c r="L34" i="16"/>
  <c r="L33" i="16"/>
  <c r="P16" i="16" s="1"/>
  <c r="L32" i="16"/>
  <c r="L31" i="16"/>
  <c r="L30" i="16"/>
  <c r="O14" i="16" s="1"/>
  <c r="L29" i="16"/>
  <c r="L28" i="16"/>
  <c r="L27" i="16"/>
  <c r="L26" i="16"/>
  <c r="L25" i="16"/>
  <c r="L24" i="16"/>
  <c r="L23" i="16"/>
  <c r="L22" i="16"/>
  <c r="L21" i="16"/>
  <c r="L19" i="16"/>
  <c r="L18" i="16"/>
  <c r="L17" i="16"/>
  <c r="O12" i="16" s="1"/>
  <c r="L16" i="16"/>
  <c r="P12" i="16" s="1"/>
  <c r="L11" i="16"/>
  <c r="L10" i="16"/>
  <c r="L9" i="16"/>
  <c r="L8" i="16"/>
  <c r="L7" i="16"/>
  <c r="L6" i="16"/>
  <c r="L4" i="16"/>
  <c r="C2" i="13"/>
  <c r="D2" i="13" s="1"/>
  <c r="E2" i="13" s="1"/>
  <c r="AS16" i="11"/>
  <c r="AO20" i="11"/>
  <c r="AP20" i="11"/>
  <c r="AS22" i="11"/>
  <c r="AS25" i="11"/>
  <c r="AS26" i="11"/>
  <c r="AT47" i="11"/>
  <c r="AT55" i="11"/>
  <c r="AT58" i="11"/>
  <c r="AT60" i="11"/>
  <c r="AT63" i="11"/>
  <c r="AR6" i="7"/>
  <c r="AS6" i="7"/>
  <c r="F9" i="3" a="1"/>
  <c r="F9" i="3" s="1"/>
  <c r="F2" i="9"/>
  <c r="O15" i="11"/>
  <c r="O16" i="11" s="1"/>
  <c r="W15" i="11"/>
  <c r="H15" i="11"/>
  <c r="E15" i="11" s="1"/>
  <c r="P15" i="11"/>
  <c r="P16" i="11" s="1"/>
  <c r="X15" i="11"/>
  <c r="X16" i="11" s="1"/>
  <c r="K19" i="11"/>
  <c r="K20" i="11" s="1"/>
  <c r="S19" i="11"/>
  <c r="S20" i="11" s="1"/>
  <c r="AA19" i="11"/>
  <c r="AA20" i="11" s="1"/>
  <c r="O23" i="11"/>
  <c r="O24" i="11" s="1"/>
  <c r="W23" i="11"/>
  <c r="AI23" i="11" s="1"/>
  <c r="AI24" i="11" s="1"/>
  <c r="H27" i="11"/>
  <c r="E27" i="11" s="1"/>
  <c r="P27" i="11"/>
  <c r="P30" i="11" s="1"/>
  <c r="X27" i="11"/>
  <c r="X30" i="11" s="1"/>
  <c r="M28" i="11"/>
  <c r="U28" i="11"/>
  <c r="J29" i="11"/>
  <c r="R29" i="11"/>
  <c r="Z29" i="11"/>
  <c r="AJ29" i="11" s="1"/>
  <c r="M33" i="11"/>
  <c r="M39" i="11" s="1"/>
  <c r="M41" i="11" s="1"/>
  <c r="M42" i="11" s="1"/>
  <c r="U33" i="11"/>
  <c r="J34" i="11"/>
  <c r="R34" i="11"/>
  <c r="Z34" i="11"/>
  <c r="O35" i="11"/>
  <c r="W35" i="11"/>
  <c r="AI35" i="11" s="1"/>
  <c r="L36" i="11"/>
  <c r="T36" i="11"/>
  <c r="AH36" i="11" s="1"/>
  <c r="AB36" i="11"/>
  <c r="I37" i="11"/>
  <c r="Q37" i="11"/>
  <c r="AG37" i="11" s="1"/>
  <c r="Y37" i="11"/>
  <c r="N38" i="11"/>
  <c r="AF38" i="11" s="1"/>
  <c r="V38" i="11"/>
  <c r="H47" i="11"/>
  <c r="H57" i="11" s="1"/>
  <c r="P47" i="11"/>
  <c r="I15" i="11"/>
  <c r="I16" i="11"/>
  <c r="Q15" i="11"/>
  <c r="Q16" i="11" s="1"/>
  <c r="Y15" i="11"/>
  <c r="Y16" i="11" s="1"/>
  <c r="L19" i="11"/>
  <c r="L20" i="11"/>
  <c r="T19" i="11"/>
  <c r="AM19" i="11" s="1"/>
  <c r="AM20" i="11" s="1"/>
  <c r="AB19" i="11"/>
  <c r="AB20" i="11" s="1"/>
  <c r="H23" i="11"/>
  <c r="H24" i="11" s="1"/>
  <c r="P23" i="11"/>
  <c r="P24" i="11" s="1"/>
  <c r="X23" i="11"/>
  <c r="X24" i="11" s="1"/>
  <c r="I27" i="11"/>
  <c r="I30" i="11" s="1"/>
  <c r="Q27" i="11"/>
  <c r="Y27" i="11"/>
  <c r="N28" i="11"/>
  <c r="V28" i="11"/>
  <c r="K29" i="11"/>
  <c r="AE29" i="11" s="1"/>
  <c r="S29" i="11"/>
  <c r="AA29" i="11"/>
  <c r="N33" i="11"/>
  <c r="N39" i="11" s="1"/>
  <c r="N41" i="11" s="1"/>
  <c r="N42" i="11" s="1"/>
  <c r="V33" i="11"/>
  <c r="K34" i="11"/>
  <c r="AE34" i="11" s="1"/>
  <c r="S34" i="11"/>
  <c r="AA34" i="11"/>
  <c r="H35" i="11"/>
  <c r="AO35" i="11" s="1"/>
  <c r="P35" i="11"/>
  <c r="X35" i="11"/>
  <c r="M36" i="11"/>
  <c r="U36" i="11"/>
  <c r="J37" i="11"/>
  <c r="R37" i="11"/>
  <c r="Z37" i="11"/>
  <c r="AJ37" i="11" s="1"/>
  <c r="O38" i="11"/>
  <c r="W38" i="11"/>
  <c r="AI38" i="11" s="1"/>
  <c r="J15" i="11"/>
  <c r="J16" i="11" s="1"/>
  <c r="R15" i="11"/>
  <c r="R16" i="11"/>
  <c r="Z15" i="11"/>
  <c r="AJ15" i="11" s="1"/>
  <c r="AJ16" i="11" s="1"/>
  <c r="M19" i="11"/>
  <c r="M20" i="11" s="1"/>
  <c r="U19" i="11"/>
  <c r="U20" i="11" s="1"/>
  <c r="I23" i="11"/>
  <c r="I24" i="11" s="1"/>
  <c r="Q23" i="11"/>
  <c r="Y23" i="11"/>
  <c r="Y24" i="11" s="1"/>
  <c r="J27" i="11"/>
  <c r="J30" i="11" s="1"/>
  <c r="R27" i="11"/>
  <c r="R30" i="11" s="1"/>
  <c r="Z27" i="11"/>
  <c r="AJ27" i="11" s="1"/>
  <c r="AJ30" i="11" s="1"/>
  <c r="O28" i="11"/>
  <c r="W28" i="11"/>
  <c r="AI28" i="11" s="1"/>
  <c r="L29" i="11"/>
  <c r="T29" i="11"/>
  <c r="AM29" i="11" s="1"/>
  <c r="AB29" i="11"/>
  <c r="O33" i="11"/>
  <c r="O39" i="11" s="1"/>
  <c r="O41" i="11" s="1"/>
  <c r="O42" i="11" s="1"/>
  <c r="W33" i="11"/>
  <c r="L34" i="11"/>
  <c r="T34" i="11"/>
  <c r="AB34" i="11"/>
  <c r="I35" i="11"/>
  <c r="Q35" i="11"/>
  <c r="AG35" i="11" s="1"/>
  <c r="Y35" i="11"/>
  <c r="N36" i="11"/>
  <c r="AF36" i="11" s="1"/>
  <c r="V36" i="11"/>
  <c r="K37" i="11"/>
  <c r="AE37" i="11" s="1"/>
  <c r="S37" i="11"/>
  <c r="AA37" i="11"/>
  <c r="H38" i="11"/>
  <c r="E38" i="11" s="1"/>
  <c r="P38" i="11"/>
  <c r="X38" i="11"/>
  <c r="J47" i="11"/>
  <c r="R47" i="11"/>
  <c r="R57" i="11" s="1"/>
  <c r="Z47" i="11"/>
  <c r="K15" i="11"/>
  <c r="S15" i="11"/>
  <c r="S16" i="11" s="1"/>
  <c r="AA15" i="11"/>
  <c r="AA16" i="11" s="1"/>
  <c r="N19" i="11"/>
  <c r="AF19" i="11" s="1"/>
  <c r="AF20" i="11" s="1"/>
  <c r="V19" i="11"/>
  <c r="V20" i="11" s="1"/>
  <c r="J23" i="11"/>
  <c r="J24" i="11"/>
  <c r="R23" i="11"/>
  <c r="R24" i="11" s="1"/>
  <c r="Z23" i="11"/>
  <c r="L15" i="11"/>
  <c r="L16" i="11" s="1"/>
  <c r="T15" i="11"/>
  <c r="AB15" i="11"/>
  <c r="AB16" i="11" s="1"/>
  <c r="O19" i="11"/>
  <c r="O20" i="11"/>
  <c r="W19" i="11"/>
  <c r="AI19" i="11" s="1"/>
  <c r="AI20" i="11" s="1"/>
  <c r="K23" i="11"/>
  <c r="AE23" i="11" s="1"/>
  <c r="AE24" i="11" s="1"/>
  <c r="S23" i="11"/>
  <c r="S24" i="11" s="1"/>
  <c r="AA23" i="11"/>
  <c r="AA24" i="11" s="1"/>
  <c r="L27" i="11"/>
  <c r="L30" i="11" s="1"/>
  <c r="T27" i="11"/>
  <c r="AH27" i="11" s="1"/>
  <c r="AH30" i="11" s="1"/>
  <c r="AB27" i="11"/>
  <c r="AB30" i="11" s="1"/>
  <c r="I28" i="11"/>
  <c r="Q28" i="11"/>
  <c r="AG28" i="11" s="1"/>
  <c r="Y28" i="11"/>
  <c r="N29" i="11"/>
  <c r="V29" i="11"/>
  <c r="I33" i="11"/>
  <c r="Q33" i="11"/>
  <c r="AG33" i="11" s="1"/>
  <c r="AG39" i="11" s="1"/>
  <c r="AG41" i="11" s="1"/>
  <c r="AG42" i="11" s="1"/>
  <c r="Y33" i="11"/>
  <c r="Y39" i="11" s="1"/>
  <c r="Y41" i="11" s="1"/>
  <c r="Y42" i="11" s="1"/>
  <c r="N34" i="11"/>
  <c r="AF34" i="11" s="1"/>
  <c r="V34" i="11"/>
  <c r="K35" i="11"/>
  <c r="AE35" i="11" s="1"/>
  <c r="S35" i="11"/>
  <c r="AA35" i="11"/>
  <c r="H36" i="11"/>
  <c r="AO36" i="11" s="1"/>
  <c r="P36" i="11"/>
  <c r="X36" i="11"/>
  <c r="M37" i="11"/>
  <c r="U37" i="11"/>
  <c r="J38" i="11"/>
  <c r="R38" i="11"/>
  <c r="Z38" i="11"/>
  <c r="AJ38" i="11" s="1"/>
  <c r="M15" i="11"/>
  <c r="M16" i="11" s="1"/>
  <c r="U15" i="11"/>
  <c r="U16" i="11" s="1"/>
  <c r="H19" i="11"/>
  <c r="AL19" i="11" s="1"/>
  <c r="AL20" i="11" s="1"/>
  <c r="P19" i="11"/>
  <c r="P20" i="11" s="1"/>
  <c r="X19" i="11"/>
  <c r="X20" i="11"/>
  <c r="L23" i="11"/>
  <c r="L24" i="11" s="1"/>
  <c r="T23" i="11"/>
  <c r="AH23" i="11" s="1"/>
  <c r="AH24" i="11" s="1"/>
  <c r="AB23" i="11"/>
  <c r="AB24" i="11" s="1"/>
  <c r="M27" i="11"/>
  <c r="U27" i="11"/>
  <c r="J28" i="11"/>
  <c r="R28" i="11"/>
  <c r="Z28" i="11"/>
  <c r="AJ28" i="11" s="1"/>
  <c r="O29" i="11"/>
  <c r="W29" i="11"/>
  <c r="AI29" i="11" s="1"/>
  <c r="J33" i="11"/>
  <c r="J39" i="11" s="1"/>
  <c r="J41" i="11" s="1"/>
  <c r="J42" i="11" s="1"/>
  <c r="R33" i="11"/>
  <c r="R39" i="11" s="1"/>
  <c r="R41" i="11" s="1"/>
  <c r="R42" i="11" s="1"/>
  <c r="Z33" i="11"/>
  <c r="AJ33" i="11" s="1"/>
  <c r="AJ39" i="11" s="1"/>
  <c r="AJ41" i="11" s="1"/>
  <c r="O34" i="11"/>
  <c r="W34" i="11"/>
  <c r="AI34" i="11" s="1"/>
  <c r="L35" i="11"/>
  <c r="T35" i="11"/>
  <c r="AH35" i="11" s="1"/>
  <c r="AB35" i="11"/>
  <c r="I36" i="11"/>
  <c r="Q36" i="11"/>
  <c r="Y36" i="11"/>
  <c r="N37" i="11"/>
  <c r="AF37" i="11" s="1"/>
  <c r="V37" i="11"/>
  <c r="K38" i="11"/>
  <c r="S38" i="11"/>
  <c r="AA38" i="11"/>
  <c r="I19" i="11"/>
  <c r="I20" i="11" s="1"/>
  <c r="S27" i="11"/>
  <c r="S30" i="11" s="1"/>
  <c r="AA28" i="11"/>
  <c r="M29" i="11"/>
  <c r="H33" i="11"/>
  <c r="H39" i="11" s="1"/>
  <c r="AB33" i="11"/>
  <c r="P34" i="11"/>
  <c r="V35" i="11"/>
  <c r="J36" i="11"/>
  <c r="P37" i="11"/>
  <c r="Y38" i="11"/>
  <c r="M47" i="11"/>
  <c r="M57" i="11" s="1"/>
  <c r="W47" i="11"/>
  <c r="AI47" i="11" s="1"/>
  <c r="AI57" i="11" s="1"/>
  <c r="M48" i="11"/>
  <c r="U48" i="11"/>
  <c r="J49" i="11"/>
  <c r="R49" i="11"/>
  <c r="Z49" i="11"/>
  <c r="AJ49" i="11" s="1"/>
  <c r="O50" i="11"/>
  <c r="W50" i="11"/>
  <c r="L51" i="11"/>
  <c r="T51" i="11"/>
  <c r="AM51" i="11" s="1"/>
  <c r="AB51" i="11"/>
  <c r="I52" i="11"/>
  <c r="Q52" i="11"/>
  <c r="AG52" i="11" s="1"/>
  <c r="Y52" i="11"/>
  <c r="N53" i="11"/>
  <c r="AF53" i="11" s="1"/>
  <c r="V53" i="11"/>
  <c r="K54" i="11"/>
  <c r="AE54" i="11" s="1"/>
  <c r="S54" i="11"/>
  <c r="AA54" i="11"/>
  <c r="H55" i="11"/>
  <c r="AL55" i="11" s="1"/>
  <c r="P55" i="11"/>
  <c r="X55" i="11"/>
  <c r="L56" i="11"/>
  <c r="T56" i="11"/>
  <c r="AH56" i="11" s="1"/>
  <c r="AB56" i="11"/>
  <c r="N60" i="11"/>
  <c r="N64" i="11" s="1"/>
  <c r="V60" i="11"/>
  <c r="V64" i="11" s="1"/>
  <c r="J61" i="11"/>
  <c r="R61" i="11"/>
  <c r="Z61" i="11"/>
  <c r="AJ61" i="11" s="1"/>
  <c r="N15" i="11"/>
  <c r="N16" i="11" s="1"/>
  <c r="J19" i="11"/>
  <c r="J20" i="11" s="1"/>
  <c r="V27" i="11"/>
  <c r="V30" i="11" s="1"/>
  <c r="H28" i="11"/>
  <c r="AD28" i="11" s="1"/>
  <c r="AB28" i="11"/>
  <c r="P29" i="11"/>
  <c r="K33" i="11"/>
  <c r="Q34" i="11"/>
  <c r="AG34" i="11"/>
  <c r="Z35" i="11"/>
  <c r="AJ35" i="11" s="1"/>
  <c r="K36" i="11"/>
  <c r="AE36" i="11" s="1"/>
  <c r="T37" i="11"/>
  <c r="AP37" i="11" s="1"/>
  <c r="AB38" i="11"/>
  <c r="N47" i="11"/>
  <c r="N57" i="11" s="1"/>
  <c r="X47" i="11"/>
  <c r="X57" i="11" s="1"/>
  <c r="N48" i="11"/>
  <c r="AF48" i="11" s="1"/>
  <c r="V48" i="11"/>
  <c r="K49" i="11"/>
  <c r="S49" i="11"/>
  <c r="AA49" i="11"/>
  <c r="H50" i="11"/>
  <c r="F50" i="11" s="1"/>
  <c r="P50" i="11"/>
  <c r="X50" i="11"/>
  <c r="M51" i="11"/>
  <c r="U51" i="11"/>
  <c r="J52" i="11"/>
  <c r="R52" i="11"/>
  <c r="Z52" i="11"/>
  <c r="AJ52" i="11" s="1"/>
  <c r="O53" i="11"/>
  <c r="W53" i="11"/>
  <c r="AI53" i="11" s="1"/>
  <c r="L54" i="11"/>
  <c r="T54" i="11"/>
  <c r="AB54" i="11"/>
  <c r="I55" i="11"/>
  <c r="Q55" i="11"/>
  <c r="Y55" i="11"/>
  <c r="M56" i="11"/>
  <c r="U56" i="11"/>
  <c r="V15" i="11"/>
  <c r="V16" i="11" s="1"/>
  <c r="Q19" i="11"/>
  <c r="AG19" i="11" s="1"/>
  <c r="AG20" i="11" s="1"/>
  <c r="W27" i="11"/>
  <c r="AI27" i="11" s="1"/>
  <c r="AI30" i="11" s="1"/>
  <c r="K28" i="11"/>
  <c r="AE28" i="11" s="1"/>
  <c r="Q29" i="11"/>
  <c r="AG29" i="11" s="1"/>
  <c r="L33" i="11"/>
  <c r="L39" i="11" s="1"/>
  <c r="L41" i="11" s="1"/>
  <c r="L42" i="11" s="1"/>
  <c r="U34" i="11"/>
  <c r="O36" i="11"/>
  <c r="W37" i="11"/>
  <c r="AI37" i="11" s="1"/>
  <c r="I38" i="11"/>
  <c r="O47" i="11"/>
  <c r="Y47" i="11"/>
  <c r="O48" i="11"/>
  <c r="W48" i="11"/>
  <c r="AI48" i="11" s="1"/>
  <c r="L49" i="11"/>
  <c r="T49" i="11"/>
  <c r="AM49" i="11" s="1"/>
  <c r="AB49" i="11"/>
  <c r="I50" i="11"/>
  <c r="Q50" i="11"/>
  <c r="AG50" i="11" s="1"/>
  <c r="Y50" i="11"/>
  <c r="N51" i="11"/>
  <c r="V51" i="11"/>
  <c r="K52" i="11"/>
  <c r="S52" i="11"/>
  <c r="AA52" i="11"/>
  <c r="H53" i="11"/>
  <c r="AL53" i="11" s="1"/>
  <c r="P53" i="11"/>
  <c r="X53" i="11"/>
  <c r="M54" i="11"/>
  <c r="U54" i="11"/>
  <c r="J55" i="11"/>
  <c r="R55" i="11"/>
  <c r="Z55" i="11"/>
  <c r="AJ55" i="11"/>
  <c r="N56" i="11"/>
  <c r="AF56" i="11" s="1"/>
  <c r="V56" i="11"/>
  <c r="H60" i="11"/>
  <c r="H64" i="11" s="1"/>
  <c r="P60" i="11"/>
  <c r="X60" i="11"/>
  <c r="L61" i="11"/>
  <c r="T61" i="11"/>
  <c r="AM61" i="11" s="1"/>
  <c r="AB61" i="11"/>
  <c r="R19" i="11"/>
  <c r="R20" i="11" s="1"/>
  <c r="AA27" i="11"/>
  <c r="AA30" i="11" s="1"/>
  <c r="L28" i="11"/>
  <c r="U29" i="11"/>
  <c r="P33" i="11"/>
  <c r="P39" i="11"/>
  <c r="P41" i="11" s="1"/>
  <c r="P42" i="11" s="1"/>
  <c r="X34" i="11"/>
  <c r="J35" i="11"/>
  <c r="R36" i="11"/>
  <c r="X37" i="11"/>
  <c r="L38" i="11"/>
  <c r="Q47" i="11"/>
  <c r="AG47" i="11" s="1"/>
  <c r="AG57" i="11" s="1"/>
  <c r="AA47" i="11"/>
  <c r="AA57" i="11" s="1"/>
  <c r="H48" i="11"/>
  <c r="AL48" i="11" s="1"/>
  <c r="P48" i="11"/>
  <c r="X48" i="11"/>
  <c r="M49" i="11"/>
  <c r="U49" i="11"/>
  <c r="J50" i="11"/>
  <c r="R50" i="11"/>
  <c r="Z50" i="11"/>
  <c r="AJ50" i="11" s="1"/>
  <c r="O51" i="11"/>
  <c r="W51" i="11"/>
  <c r="AI51" i="11" s="1"/>
  <c r="L52" i="11"/>
  <c r="T52" i="11"/>
  <c r="AB52" i="11"/>
  <c r="I53" i="11"/>
  <c r="Q53" i="11"/>
  <c r="AG53" i="11" s="1"/>
  <c r="Y53" i="11"/>
  <c r="N54" i="11"/>
  <c r="AF54" i="11" s="1"/>
  <c r="V54" i="11"/>
  <c r="K55" i="11"/>
  <c r="AE55" i="11" s="1"/>
  <c r="S55" i="11"/>
  <c r="AA55" i="11"/>
  <c r="O56" i="11"/>
  <c r="W56" i="11"/>
  <c r="AI56" i="11" s="1"/>
  <c r="I60" i="11"/>
  <c r="I64" i="11" s="1"/>
  <c r="Q60" i="11"/>
  <c r="Y60" i="11"/>
  <c r="Y19" i="11"/>
  <c r="Y20" i="11"/>
  <c r="M23" i="11"/>
  <c r="M24" i="11" s="1"/>
  <c r="P28" i="11"/>
  <c r="X29" i="11"/>
  <c r="S33" i="11"/>
  <c r="S39" i="11" s="1"/>
  <c r="S41" i="11" s="1"/>
  <c r="S42" i="11" s="1"/>
  <c r="Y34" i="11"/>
  <c r="M35" i="11"/>
  <c r="S36" i="11"/>
  <c r="AB37" i="11"/>
  <c r="M38" i="11"/>
  <c r="S47" i="11"/>
  <c r="AB47" i="11"/>
  <c r="I48" i="11"/>
  <c r="Q48" i="11"/>
  <c r="AG48" i="11" s="1"/>
  <c r="Y48" i="11"/>
  <c r="N49" i="11"/>
  <c r="AF49" i="11" s="1"/>
  <c r="V49" i="11"/>
  <c r="K50" i="11"/>
  <c r="AE50" i="11" s="1"/>
  <c r="S50" i="11"/>
  <c r="AA50" i="11"/>
  <c r="H51" i="11"/>
  <c r="AD51" i="11" s="1"/>
  <c r="P51" i="11"/>
  <c r="X51" i="11"/>
  <c r="M52" i="11"/>
  <c r="U52" i="11"/>
  <c r="J53" i="11"/>
  <c r="R53" i="11"/>
  <c r="Z53" i="11"/>
  <c r="AJ53" i="11" s="1"/>
  <c r="O54" i="11"/>
  <c r="W54" i="11"/>
  <c r="AI54" i="11" s="1"/>
  <c r="L55" i="11"/>
  <c r="T55" i="11"/>
  <c r="AP55" i="11" s="1"/>
  <c r="AB55" i="11"/>
  <c r="H56" i="11"/>
  <c r="AD56" i="11" s="1"/>
  <c r="P56" i="11"/>
  <c r="X56" i="11"/>
  <c r="J60" i="11"/>
  <c r="J64" i="11" s="1"/>
  <c r="R60" i="11"/>
  <c r="R64" i="11" s="1"/>
  <c r="Z60" i="11"/>
  <c r="N61" i="11"/>
  <c r="V61" i="11"/>
  <c r="K62" i="11"/>
  <c r="AE62" i="11" s="1"/>
  <c r="S62" i="11"/>
  <c r="AA62" i="11"/>
  <c r="H63" i="11"/>
  <c r="AL63" i="11" s="1"/>
  <c r="P63" i="11"/>
  <c r="X63" i="11"/>
  <c r="U23" i="11"/>
  <c r="U24" i="11" s="1"/>
  <c r="S28" i="11"/>
  <c r="X33" i="11"/>
  <c r="X39" i="11" s="1"/>
  <c r="X41" i="11" s="1"/>
  <c r="X42" i="11" s="1"/>
  <c r="N35" i="11"/>
  <c r="AF35" i="11" s="1"/>
  <c r="AA36" i="11"/>
  <c r="T38" i="11"/>
  <c r="AM38" i="11" s="1"/>
  <c r="K47" i="11"/>
  <c r="AE47" i="11" s="1"/>
  <c r="AE57" i="11" s="1"/>
  <c r="S48" i="11"/>
  <c r="Y49" i="11"/>
  <c r="M50" i="11"/>
  <c r="S51" i="11"/>
  <c r="M53" i="11"/>
  <c r="X54" i="11"/>
  <c r="K56" i="11"/>
  <c r="AE56" i="11" s="1"/>
  <c r="W60" i="11"/>
  <c r="AI60" i="11" s="1"/>
  <c r="AI64" i="11" s="1"/>
  <c r="O61" i="11"/>
  <c r="AA61" i="11"/>
  <c r="M62" i="11"/>
  <c r="V62" i="11"/>
  <c r="N63" i="11"/>
  <c r="W63" i="11"/>
  <c r="J67" i="11"/>
  <c r="J69" i="11" s="1"/>
  <c r="R67" i="11"/>
  <c r="R69" i="11" s="1"/>
  <c r="Z67" i="11"/>
  <c r="AJ67" i="11" s="1"/>
  <c r="AJ69" i="11" s="1"/>
  <c r="O68" i="11"/>
  <c r="W68" i="11"/>
  <c r="AI68" i="11" s="1"/>
  <c r="J72" i="11"/>
  <c r="J74" i="11" s="1"/>
  <c r="R72" i="11"/>
  <c r="Z72" i="11"/>
  <c r="Z74" i="11" s="1"/>
  <c r="O73" i="11"/>
  <c r="W73" i="11"/>
  <c r="J77" i="11"/>
  <c r="R77" i="11"/>
  <c r="Z77" i="11"/>
  <c r="Z80" i="11" s="1"/>
  <c r="O78" i="11"/>
  <c r="W78" i="11"/>
  <c r="AI78" i="11" s="1"/>
  <c r="V23" i="11"/>
  <c r="V24" i="11" s="1"/>
  <c r="T28" i="11"/>
  <c r="AM28" i="11" s="1"/>
  <c r="AA33" i="11"/>
  <c r="AA39" i="11" s="1"/>
  <c r="AA41" i="11" s="1"/>
  <c r="AA42" i="11" s="1"/>
  <c r="R35" i="11"/>
  <c r="H37" i="11"/>
  <c r="AL37" i="11" s="1"/>
  <c r="U38" i="11"/>
  <c r="L47" i="11"/>
  <c r="L57" i="11" s="1"/>
  <c r="T48" i="11"/>
  <c r="AM48" i="11" s="1"/>
  <c r="H49" i="11"/>
  <c r="AO49" i="11" s="1"/>
  <c r="N50" i="11"/>
  <c r="AF50" i="11" s="1"/>
  <c r="Y51" i="11"/>
  <c r="H52" i="11"/>
  <c r="AO52" i="11" s="1"/>
  <c r="S53" i="11"/>
  <c r="Y54" i="11"/>
  <c r="M55" i="11"/>
  <c r="Q56" i="11"/>
  <c r="AG56" i="11" s="1"/>
  <c r="K60" i="11"/>
  <c r="AE60" i="11" s="1"/>
  <c r="AE64" i="11" s="1"/>
  <c r="AA60" i="11"/>
  <c r="P61" i="11"/>
  <c r="N62" i="11"/>
  <c r="AF62" i="11" s="1"/>
  <c r="W62" i="11"/>
  <c r="O63" i="11"/>
  <c r="Y63" i="11"/>
  <c r="K67" i="11"/>
  <c r="AE67" i="11" s="1"/>
  <c r="AE69" i="11" s="1"/>
  <c r="S67" i="11"/>
  <c r="S69" i="11" s="1"/>
  <c r="AA67" i="11"/>
  <c r="AA69" i="11" s="1"/>
  <c r="H68" i="11"/>
  <c r="F68" i="11" s="1"/>
  <c r="P68" i="11"/>
  <c r="X68" i="11"/>
  <c r="K72" i="11"/>
  <c r="AE72" i="11" s="1"/>
  <c r="AE74" i="11" s="1"/>
  <c r="S72" i="11"/>
  <c r="S74" i="11" s="1"/>
  <c r="AA72" i="11"/>
  <c r="H73" i="11"/>
  <c r="AO73" i="11" s="1"/>
  <c r="P73" i="11"/>
  <c r="X73" i="11"/>
  <c r="K77" i="11"/>
  <c r="K80" i="11" s="1"/>
  <c r="S77" i="11"/>
  <c r="S80" i="11" s="1"/>
  <c r="AA77" i="11"/>
  <c r="AA80" i="11" s="1"/>
  <c r="H78" i="11"/>
  <c r="F78" i="11" s="1"/>
  <c r="P78" i="11"/>
  <c r="X78" i="11"/>
  <c r="M79" i="11"/>
  <c r="U79" i="11"/>
  <c r="K27" i="11"/>
  <c r="AE27" i="11" s="1"/>
  <c r="AE30" i="11" s="1"/>
  <c r="X28" i="11"/>
  <c r="H34" i="11"/>
  <c r="AO34" i="11" s="1"/>
  <c r="U35" i="11"/>
  <c r="L37" i="11"/>
  <c r="T47" i="11"/>
  <c r="T57" i="11" s="1"/>
  <c r="Z48" i="11"/>
  <c r="AJ48" i="11" s="1"/>
  <c r="I49" i="11"/>
  <c r="T50" i="11"/>
  <c r="AM50" i="11" s="1"/>
  <c r="Z51" i="11"/>
  <c r="AJ51" i="11" s="1"/>
  <c r="N52" i="11"/>
  <c r="T53" i="11"/>
  <c r="AP53" i="11" s="1"/>
  <c r="H54" i="11"/>
  <c r="AL54" i="11" s="1"/>
  <c r="Z54" i="11"/>
  <c r="AJ54" i="11" s="1"/>
  <c r="N55" i="11"/>
  <c r="R56" i="11"/>
  <c r="L60" i="11"/>
  <c r="L64" i="11" s="1"/>
  <c r="AB60" i="11"/>
  <c r="Q61" i="11"/>
  <c r="O62" i="11"/>
  <c r="X62" i="11"/>
  <c r="Q63" i="11"/>
  <c r="Z63" i="11"/>
  <c r="AJ63" i="11" s="1"/>
  <c r="L67" i="11"/>
  <c r="T67" i="11"/>
  <c r="AM67" i="11" s="1"/>
  <c r="AM69" i="11" s="1"/>
  <c r="AB67" i="11"/>
  <c r="AB69" i="11" s="1"/>
  <c r="I68" i="11"/>
  <c r="Q68" i="11"/>
  <c r="AG68" i="11" s="1"/>
  <c r="Y68" i="11"/>
  <c r="L72" i="11"/>
  <c r="T72" i="11"/>
  <c r="AH72" i="11" s="1"/>
  <c r="AH74" i="11" s="1"/>
  <c r="AB72" i="11"/>
  <c r="AB74" i="11" s="1"/>
  <c r="I73" i="11"/>
  <c r="Q73" i="11"/>
  <c r="AG73" i="11" s="1"/>
  <c r="Y73" i="11"/>
  <c r="L77" i="11"/>
  <c r="L80" i="11" s="1"/>
  <c r="T77" i="11"/>
  <c r="T80" i="11" s="1"/>
  <c r="AB77" i="11"/>
  <c r="I78" i="11"/>
  <c r="Q78" i="11"/>
  <c r="AG78" i="11" s="1"/>
  <c r="Y78" i="11"/>
  <c r="O27" i="11"/>
  <c r="O30" i="11" s="1"/>
  <c r="H29" i="11"/>
  <c r="F29" i="11" s="1"/>
  <c r="M34" i="11"/>
  <c r="V47" i="11"/>
  <c r="V57" i="11" s="1"/>
  <c r="J48" i="11"/>
  <c r="AB48" i="11"/>
  <c r="P49" i="11"/>
  <c r="V50" i="11"/>
  <c r="J51" i="11"/>
  <c r="P52" i="11"/>
  <c r="AA53" i="11"/>
  <c r="J54" i="11"/>
  <c r="U55" i="11"/>
  <c r="Y56" i="11"/>
  <c r="O60" i="11"/>
  <c r="O64" i="11" s="1"/>
  <c r="H61" i="11"/>
  <c r="U61" i="11"/>
  <c r="H62" i="11"/>
  <c r="E62" i="11" s="1"/>
  <c r="Q62" i="11"/>
  <c r="AG62" i="11"/>
  <c r="Z62" i="11"/>
  <c r="AJ62" i="11" s="1"/>
  <c r="J63" i="11"/>
  <c r="S63" i="11"/>
  <c r="AB63" i="11"/>
  <c r="N67" i="11"/>
  <c r="V67" i="11"/>
  <c r="V69" i="11" s="1"/>
  <c r="K68" i="11"/>
  <c r="AE68" i="11" s="1"/>
  <c r="S68" i="11"/>
  <c r="AA68" i="11"/>
  <c r="N72" i="11"/>
  <c r="V72" i="11"/>
  <c r="K73" i="11"/>
  <c r="AE73" i="11" s="1"/>
  <c r="S73" i="11"/>
  <c r="AA73" i="11"/>
  <c r="N77" i="11"/>
  <c r="AF77" i="11" s="1"/>
  <c r="AF80" i="11" s="1"/>
  <c r="V77" i="11"/>
  <c r="V80" i="11" s="1"/>
  <c r="K78" i="11"/>
  <c r="S78" i="11"/>
  <c r="AA78" i="11"/>
  <c r="H79" i="11"/>
  <c r="E79" i="11" s="1"/>
  <c r="P79" i="11"/>
  <c r="X79" i="11"/>
  <c r="K83" i="11"/>
  <c r="AE83" i="11" s="1"/>
  <c r="AE84" i="11" s="1"/>
  <c r="S83" i="11"/>
  <c r="S84" i="11" s="1"/>
  <c r="I29" i="11"/>
  <c r="K48" i="11"/>
  <c r="AE48" i="11" s="1"/>
  <c r="Q49" i="11"/>
  <c r="AG49" i="11" s="1"/>
  <c r="AB50" i="11"/>
  <c r="K51" i="11"/>
  <c r="AE51" i="11" s="1"/>
  <c r="V52" i="11"/>
  <c r="AB53" i="11"/>
  <c r="P54" i="11"/>
  <c r="V55" i="11"/>
  <c r="Z56" i="11"/>
  <c r="AJ56" i="11" s="1"/>
  <c r="S60" i="11"/>
  <c r="S64" i="11" s="1"/>
  <c r="I61" i="11"/>
  <c r="W61" i="11"/>
  <c r="I62" i="11"/>
  <c r="R62" i="11"/>
  <c r="AB62" i="11"/>
  <c r="K63" i="11"/>
  <c r="AE63" i="11" s="1"/>
  <c r="T63" i="11"/>
  <c r="AP63" i="11" s="1"/>
  <c r="O67" i="11"/>
  <c r="O69" i="11" s="1"/>
  <c r="W67" i="11"/>
  <c r="W69" i="11" s="1"/>
  <c r="L68" i="11"/>
  <c r="T68" i="11"/>
  <c r="AP68" i="11" s="1"/>
  <c r="AB68" i="11"/>
  <c r="O72" i="11"/>
  <c r="O74" i="11"/>
  <c r="W72" i="11"/>
  <c r="AI72" i="11" s="1"/>
  <c r="AI74" i="11" s="1"/>
  <c r="L73" i="11"/>
  <c r="T73" i="11"/>
  <c r="AB73" i="11"/>
  <c r="O77" i="11"/>
  <c r="W77" i="11"/>
  <c r="AI77" i="11" s="1"/>
  <c r="AI80" i="11" s="1"/>
  <c r="L78" i="11"/>
  <c r="T78" i="11"/>
  <c r="AM78" i="11" s="1"/>
  <c r="AB78" i="11"/>
  <c r="I79" i="11"/>
  <c r="Q79" i="11"/>
  <c r="AG79" i="11" s="1"/>
  <c r="Y79" i="11"/>
  <c r="N23" i="11"/>
  <c r="AF23" i="11" s="1"/>
  <c r="AF24" i="11" s="1"/>
  <c r="I47" i="11"/>
  <c r="I57" i="11" s="1"/>
  <c r="U50" i="11"/>
  <c r="O55" i="11"/>
  <c r="AA56" i="11"/>
  <c r="R63" i="11"/>
  <c r="I67" i="11"/>
  <c r="I69" i="11"/>
  <c r="R68" i="11"/>
  <c r="M72" i="11"/>
  <c r="M74" i="11" s="1"/>
  <c r="U73" i="11"/>
  <c r="P77" i="11"/>
  <c r="P80" i="11" s="1"/>
  <c r="V78" i="11"/>
  <c r="S79" i="11"/>
  <c r="L83" i="11"/>
  <c r="L84" i="11"/>
  <c r="U83" i="11"/>
  <c r="U84" i="11" s="1"/>
  <c r="H87" i="11"/>
  <c r="F87" i="11" s="1"/>
  <c r="P87" i="11"/>
  <c r="X87" i="11"/>
  <c r="M88" i="11"/>
  <c r="U88" i="11"/>
  <c r="U47" i="11"/>
  <c r="O52" i="11"/>
  <c r="W55" i="11"/>
  <c r="AI55" i="11" s="1"/>
  <c r="M60" i="11"/>
  <c r="M64" i="11" s="1"/>
  <c r="K61" i="11"/>
  <c r="AE61" i="11" s="1"/>
  <c r="U63" i="11"/>
  <c r="M67" i="11"/>
  <c r="M69" i="11" s="1"/>
  <c r="U68" i="11"/>
  <c r="P72" i="11"/>
  <c r="P74" i="11" s="1"/>
  <c r="V73" i="11"/>
  <c r="Q77" i="11"/>
  <c r="Z78" i="11"/>
  <c r="AJ78" i="11" s="1"/>
  <c r="T79" i="11"/>
  <c r="AP79" i="11" s="1"/>
  <c r="M83" i="11"/>
  <c r="M84" i="11" s="1"/>
  <c r="V83" i="11"/>
  <c r="V84" i="11" s="1"/>
  <c r="I87" i="11"/>
  <c r="I89" i="11" s="1"/>
  <c r="I91" i="11" s="1"/>
  <c r="I92" i="11" s="1"/>
  <c r="Q87" i="11"/>
  <c r="AG87" i="11" s="1"/>
  <c r="AG89" i="11" s="1"/>
  <c r="AG91" i="11" s="1"/>
  <c r="AG92" i="11" s="1"/>
  <c r="Y87" i="11"/>
  <c r="N88" i="11"/>
  <c r="AF88" i="11" s="1"/>
  <c r="V88" i="11"/>
  <c r="Z19" i="11"/>
  <c r="AJ19" i="11" s="1"/>
  <c r="AJ20" i="11" s="1"/>
  <c r="Y29" i="11"/>
  <c r="O49" i="11"/>
  <c r="W52" i="11"/>
  <c r="AI52" i="11" s="1"/>
  <c r="I54" i="11"/>
  <c r="T60" i="11"/>
  <c r="M61" i="11"/>
  <c r="J62" i="11"/>
  <c r="V63" i="11"/>
  <c r="P67" i="11"/>
  <c r="P69" i="11" s="1"/>
  <c r="V68" i="11"/>
  <c r="Q72" i="11"/>
  <c r="AG72" i="11" s="1"/>
  <c r="AG74" i="11" s="1"/>
  <c r="Z73" i="11"/>
  <c r="AJ73" i="11" s="1"/>
  <c r="U77" i="11"/>
  <c r="U80" i="11" s="1"/>
  <c r="J79" i="11"/>
  <c r="V79" i="11"/>
  <c r="N83" i="11"/>
  <c r="N84" i="11" s="1"/>
  <c r="W83" i="11"/>
  <c r="J87" i="11"/>
  <c r="J89" i="11" s="1"/>
  <c r="J91" i="11" s="1"/>
  <c r="J92" i="11" s="1"/>
  <c r="R87" i="11"/>
  <c r="R89" i="11" s="1"/>
  <c r="R91" i="11" s="1"/>
  <c r="R92" i="11" s="1"/>
  <c r="Z87" i="11"/>
  <c r="Z89" i="11" s="1"/>
  <c r="Z91" i="11" s="1"/>
  <c r="Z92" i="11" s="1"/>
  <c r="O88" i="11"/>
  <c r="W88" i="11"/>
  <c r="AI88" i="11" s="1"/>
  <c r="W36" i="11"/>
  <c r="AI36" i="11" s="1"/>
  <c r="W49" i="11"/>
  <c r="AI49" i="11" s="1"/>
  <c r="I51" i="11"/>
  <c r="X52" i="11"/>
  <c r="Q54" i="11"/>
  <c r="AG54" i="11" s="1"/>
  <c r="U60" i="11"/>
  <c r="S61" i="11"/>
  <c r="L62" i="11"/>
  <c r="AA63" i="11"/>
  <c r="Q67" i="11"/>
  <c r="Q69" i="11" s="1"/>
  <c r="Z68" i="11"/>
  <c r="AJ68" i="11" s="1"/>
  <c r="U72" i="11"/>
  <c r="U74" i="11" s="1"/>
  <c r="X77" i="11"/>
  <c r="X80" i="11" s="1"/>
  <c r="J78" i="11"/>
  <c r="K79" i="11"/>
  <c r="AE79" i="11" s="1"/>
  <c r="W79" i="11"/>
  <c r="AI79" i="11" s="1"/>
  <c r="O83" i="11"/>
  <c r="O84" i="11" s="1"/>
  <c r="X83" i="11"/>
  <c r="X84" i="11" s="1"/>
  <c r="K87" i="11"/>
  <c r="K89" i="11" s="1"/>
  <c r="K91" i="11" s="1"/>
  <c r="K92" i="11" s="1"/>
  <c r="S87" i="11"/>
  <c r="S89" i="11" s="1"/>
  <c r="S91" i="11" s="1"/>
  <c r="S92" i="11" s="1"/>
  <c r="AA87" i="11"/>
  <c r="AA89" i="11" s="1"/>
  <c r="AA91" i="11" s="1"/>
  <c r="AA92" i="11" s="1"/>
  <c r="H88" i="11"/>
  <c r="AO88" i="11" s="1"/>
  <c r="P88" i="11"/>
  <c r="X88" i="11"/>
  <c r="N27" i="11"/>
  <c r="N30" i="11" s="1"/>
  <c r="T33" i="11"/>
  <c r="AM33" i="11" s="1"/>
  <c r="R48" i="11"/>
  <c r="AA51" i="11"/>
  <c r="L53" i="11"/>
  <c r="J56" i="11"/>
  <c r="U62" i="11"/>
  <c r="L63" i="11"/>
  <c r="Y67" i="11"/>
  <c r="Y69" i="11" s="1"/>
  <c r="M68" i="11"/>
  <c r="H72" i="11"/>
  <c r="AD72" i="11" s="1"/>
  <c r="AD74" i="11" s="1"/>
  <c r="N73" i="11"/>
  <c r="AF73" i="11" s="1"/>
  <c r="I77" i="11"/>
  <c r="I80" i="11" s="1"/>
  <c r="R78" i="11"/>
  <c r="O79" i="11"/>
  <c r="AB79" i="11"/>
  <c r="I83" i="11"/>
  <c r="I84" i="11" s="1"/>
  <c r="R83" i="11"/>
  <c r="R84" i="11" s="1"/>
  <c r="AA83" i="11"/>
  <c r="AA84" i="11" s="1"/>
  <c r="N87" i="11"/>
  <c r="AF87" i="11" s="1"/>
  <c r="AF89" i="11" s="1"/>
  <c r="AF91" i="11" s="1"/>
  <c r="AF92" i="11" s="1"/>
  <c r="V87" i="11"/>
  <c r="V89" i="11"/>
  <c r="K88" i="11"/>
  <c r="AE88" i="11" s="1"/>
  <c r="S88" i="11"/>
  <c r="AA88" i="11"/>
  <c r="I34" i="11"/>
  <c r="Q38" i="11"/>
  <c r="AG38" i="11" s="1"/>
  <c r="AA48" i="11"/>
  <c r="L50" i="11"/>
  <c r="U53" i="11"/>
  <c r="S56" i="11"/>
  <c r="Y62" i="11"/>
  <c r="M63" i="11"/>
  <c r="H67" i="11"/>
  <c r="N68" i="11"/>
  <c r="AF68" i="11"/>
  <c r="I72" i="11"/>
  <c r="I74" i="11" s="1"/>
  <c r="R73" i="11"/>
  <c r="M77" i="11"/>
  <c r="M80" i="11" s="1"/>
  <c r="U78" i="11"/>
  <c r="R79" i="11"/>
  <c r="J83" i="11"/>
  <c r="J84" i="11" s="1"/>
  <c r="T83" i="11"/>
  <c r="AH83" i="11" s="1"/>
  <c r="AH84" i="11" s="1"/>
  <c r="AB83" i="11"/>
  <c r="AB84" i="11" s="1"/>
  <c r="O87" i="11"/>
  <c r="O89" i="11" s="1"/>
  <c r="O91" i="11" s="1"/>
  <c r="O92" i="11" s="1"/>
  <c r="W87" i="11"/>
  <c r="AI87" i="11" s="1"/>
  <c r="AI89" i="11" s="1"/>
  <c r="AI91" i="11" s="1"/>
  <c r="L88" i="11"/>
  <c r="T88" i="11"/>
  <c r="AM88" i="11" s="1"/>
  <c r="AB88" i="11"/>
  <c r="I56" i="11"/>
  <c r="Y61" i="11"/>
  <c r="J73" i="11"/>
  <c r="Y77" i="11"/>
  <c r="Y80" i="11" s="1"/>
  <c r="Z79" i="11"/>
  <c r="AJ79" i="11"/>
  <c r="AB87" i="11"/>
  <c r="AB89" i="11" s="1"/>
  <c r="AB91" i="11" s="1"/>
  <c r="AB92" i="11" s="1"/>
  <c r="Y88" i="11"/>
  <c r="Z36" i="11"/>
  <c r="AJ36" i="11" s="1"/>
  <c r="Q51" i="11"/>
  <c r="AG51" i="11" s="1"/>
  <c r="P62" i="11"/>
  <c r="M73" i="11"/>
  <c r="AA79" i="11"/>
  <c r="Z88" i="11"/>
  <c r="AJ88" i="11" s="1"/>
  <c r="O37" i="11"/>
  <c r="R51" i="11"/>
  <c r="T62" i="11"/>
  <c r="M78" i="11"/>
  <c r="N78" i="11"/>
  <c r="AF78" i="11" s="1"/>
  <c r="H83" i="11"/>
  <c r="H84" i="11" s="1"/>
  <c r="L48" i="11"/>
  <c r="X72" i="11"/>
  <c r="X74" i="11" s="1"/>
  <c r="L79" i="11"/>
  <c r="Y83" i="11"/>
  <c r="Y84" i="11" s="1"/>
  <c r="T87" i="11"/>
  <c r="AM87" i="11" s="1"/>
  <c r="Q88" i="11"/>
  <c r="X49" i="11"/>
  <c r="X61" i="11"/>
  <c r="J68" i="11"/>
  <c r="Y72" i="11"/>
  <c r="Y74" i="11" s="1"/>
  <c r="H77" i="11"/>
  <c r="H80" i="11" s="1"/>
  <c r="E80" i="11" s="1"/>
  <c r="N79" i="11"/>
  <c r="AF79" i="11" s="1"/>
  <c r="Z83" i="11"/>
  <c r="Z84" i="11" s="1"/>
  <c r="U87" i="11"/>
  <c r="U89" i="11" s="1"/>
  <c r="U91" i="11" s="1"/>
  <c r="U92" i="11" s="1"/>
  <c r="R88" i="11"/>
  <c r="K53" i="11"/>
  <c r="AE53" i="11" s="1"/>
  <c r="L87" i="11"/>
  <c r="L89" i="11" s="1"/>
  <c r="L91" i="11" s="1"/>
  <c r="L92" i="11" s="1"/>
  <c r="R54" i="11"/>
  <c r="M87" i="11"/>
  <c r="M89" i="11" s="1"/>
  <c r="M91" i="11" s="1"/>
  <c r="M92" i="11" s="1"/>
  <c r="U67" i="11"/>
  <c r="U69" i="11" s="1"/>
  <c r="I88" i="11"/>
  <c r="P83" i="11"/>
  <c r="P84" i="11" s="1"/>
  <c r="Q83" i="11"/>
  <c r="AG83" i="11" s="1"/>
  <c r="AG84" i="11" s="1"/>
  <c r="I63" i="11"/>
  <c r="J88" i="11"/>
  <c r="X67" i="11"/>
  <c r="X69" i="11" s="1"/>
  <c r="AL78" i="11"/>
  <c r="AD78" i="11"/>
  <c r="AO78" i="11"/>
  <c r="AH52" i="11"/>
  <c r="AM52" i="11"/>
  <c r="AP52" i="11"/>
  <c r="T24" i="11"/>
  <c r="AF29" i="11"/>
  <c r="AI33" i="11"/>
  <c r="AI39" i="11" s="1"/>
  <c r="AI41" i="11" s="1"/>
  <c r="W39" i="11"/>
  <c r="W41" i="11" s="1"/>
  <c r="W42" i="11" s="1"/>
  <c r="AF33" i="11"/>
  <c r="AF39" i="11" s="1"/>
  <c r="AF41" i="11" s="1"/>
  <c r="AF42" i="11" s="1"/>
  <c r="N89" i="11"/>
  <c r="AL29" i="11"/>
  <c r="E29" i="11"/>
  <c r="AO29" i="11"/>
  <c r="AD29" i="11"/>
  <c r="AG61" i="11"/>
  <c r="AF52" i="11"/>
  <c r="AL34" i="11"/>
  <c r="F34" i="11"/>
  <c r="AJ77" i="11"/>
  <c r="AJ80" i="11"/>
  <c r="AP61" i="11"/>
  <c r="AH61" i="11"/>
  <c r="AM35" i="11"/>
  <c r="J57" i="11"/>
  <c r="U39" i="11"/>
  <c r="U41" i="11" s="1"/>
  <c r="U42" i="11" s="1"/>
  <c r="AL72" i="11"/>
  <c r="AL74" i="11" s="1"/>
  <c r="E72" i="11"/>
  <c r="F72" i="11"/>
  <c r="AI83" i="11"/>
  <c r="AI84" i="11" s="1"/>
  <c r="W84" i="11"/>
  <c r="X89" i="11"/>
  <c r="X91" i="11" s="1"/>
  <c r="X92" i="11" s="1"/>
  <c r="AH68" i="11"/>
  <c r="AM68" i="11"/>
  <c r="AB64" i="11"/>
  <c r="AI62" i="11"/>
  <c r="R80" i="11"/>
  <c r="AF61" i="11"/>
  <c r="Y64" i="11"/>
  <c r="AE52" i="11"/>
  <c r="AO50" i="11"/>
  <c r="AL50" i="11"/>
  <c r="AD50" i="11"/>
  <c r="E50" i="11"/>
  <c r="F28" i="11"/>
  <c r="AO28" i="11"/>
  <c r="AP51" i="11"/>
  <c r="AH51" i="11"/>
  <c r="AB39" i="11"/>
  <c r="AB41" i="11" s="1"/>
  <c r="AB42" i="11" s="1"/>
  <c r="AE38" i="11"/>
  <c r="P57" i="11"/>
  <c r="AD27" i="11"/>
  <c r="AD30" i="11" s="1"/>
  <c r="AO27" i="11"/>
  <c r="AO30" i="11" s="1"/>
  <c r="AD15" i="11"/>
  <c r="AD16" i="11"/>
  <c r="E83" i="11"/>
  <c r="AL83" i="11"/>
  <c r="AL84" i="11"/>
  <c r="AF83" i="11"/>
  <c r="AF84" i="11" s="1"/>
  <c r="AH79" i="11"/>
  <c r="AM79" i="11"/>
  <c r="P89" i="11"/>
  <c r="P91" i="11" s="1"/>
  <c r="P92" i="11" s="1"/>
  <c r="O80" i="11"/>
  <c r="AI61" i="11"/>
  <c r="N69" i="11"/>
  <c r="AF67" i="11"/>
  <c r="AF69" i="11" s="1"/>
  <c r="AL61" i="11"/>
  <c r="E61" i="11"/>
  <c r="AO61" i="11"/>
  <c r="AD61" i="11"/>
  <c r="F61" i="11"/>
  <c r="AL52" i="11"/>
  <c r="AD52" i="11"/>
  <c r="J80" i="11"/>
  <c r="Z64" i="11"/>
  <c r="AJ60" i="11"/>
  <c r="AJ64" i="11" s="1"/>
  <c r="AG60" i="11"/>
  <c r="Q64" i="11"/>
  <c r="X64" i="11"/>
  <c r="AD33" i="11"/>
  <c r="AD39" i="11" s="1"/>
  <c r="AD41" i="11" s="1"/>
  <c r="AD42" i="11" s="1"/>
  <c r="E33" i="11"/>
  <c r="F33" i="11"/>
  <c r="AO33" i="11"/>
  <c r="AO39" i="11" s="1"/>
  <c r="AO41" i="11" s="1"/>
  <c r="AL33" i="11"/>
  <c r="AL39" i="11" s="1"/>
  <c r="AL41" i="11" s="1"/>
  <c r="AL42" i="11" s="1"/>
  <c r="AG23" i="11"/>
  <c r="AG24" i="11" s="1"/>
  <c r="Q24" i="11"/>
  <c r="E47" i="11"/>
  <c r="AL47" i="11"/>
  <c r="AL57" i="11" s="1"/>
  <c r="F47" i="11"/>
  <c r="AD47" i="11"/>
  <c r="W24" i="11"/>
  <c r="W16" i="11"/>
  <c r="AI15" i="11"/>
  <c r="AI16" i="11" s="1"/>
  <c r="AL67" i="11"/>
  <c r="AL69" i="11" s="1"/>
  <c r="E67" i="11"/>
  <c r="H69" i="11"/>
  <c r="F69" i="11" s="1"/>
  <c r="F67" i="11"/>
  <c r="AO67" i="11"/>
  <c r="AO69" i="11" s="1"/>
  <c r="AD67" i="11"/>
  <c r="AD69" i="11" s="1"/>
  <c r="E87" i="11"/>
  <c r="H89" i="11"/>
  <c r="H91" i="11" s="1"/>
  <c r="F91" i="11" s="1"/>
  <c r="AO87" i="11"/>
  <c r="AO89" i="11" s="1"/>
  <c r="AO91" i="11" s="1"/>
  <c r="AD87" i="11"/>
  <c r="AD89" i="11" s="1"/>
  <c r="AD91" i="11" s="1"/>
  <c r="AD92" i="11" s="1"/>
  <c r="AL87" i="11"/>
  <c r="AL89" i="11" s="1"/>
  <c r="AL91" i="11" s="1"/>
  <c r="AL92" i="11" s="1"/>
  <c r="AI67" i="11"/>
  <c r="AI69" i="11" s="1"/>
  <c r="AL79" i="11"/>
  <c r="L69" i="11"/>
  <c r="AO68" i="11"/>
  <c r="AL68" i="11"/>
  <c r="AI73" i="11"/>
  <c r="K57" i="11"/>
  <c r="P64" i="11"/>
  <c r="AF51" i="11"/>
  <c r="AG55" i="11"/>
  <c r="AM56" i="11"/>
  <c r="AP56" i="11"/>
  <c r="AI50" i="11"/>
  <c r="AL77" i="11"/>
  <c r="AL80" i="11" s="1"/>
  <c r="E77" i="11"/>
  <c r="F77" i="11"/>
  <c r="AO77" i="11"/>
  <c r="AO80" i="11" s="1"/>
  <c r="Q84" i="11"/>
  <c r="AG88" i="11"/>
  <c r="AG77" i="11"/>
  <c r="Q80" i="11"/>
  <c r="AP73" i="11"/>
  <c r="AH73" i="11"/>
  <c r="AM73" i="11"/>
  <c r="V74" i="11"/>
  <c r="T74" i="11"/>
  <c r="AF55" i="11"/>
  <c r="AA64" i="11"/>
  <c r="AP38" i="11"/>
  <c r="AH38" i="11"/>
  <c r="F51" i="11"/>
  <c r="AO51" i="11"/>
  <c r="Q57" i="11"/>
  <c r="E60" i="11"/>
  <c r="F60" i="11"/>
  <c r="AO60" i="11"/>
  <c r="AO64" i="11" s="1"/>
  <c r="AD60" i="11"/>
  <c r="AD64" i="11" s="1"/>
  <c r="Y57" i="11"/>
  <c r="AE49" i="11"/>
  <c r="Z39" i="11"/>
  <c r="Z41" i="11" s="1"/>
  <c r="Z42" i="11" s="1"/>
  <c r="U30" i="11"/>
  <c r="AP27" i="11"/>
  <c r="AP30" i="11" s="1"/>
  <c r="AH15" i="11"/>
  <c r="AH16" i="11" s="1"/>
  <c r="AM15" i="11"/>
  <c r="AM16" i="11" s="1"/>
  <c r="T16" i="11"/>
  <c r="AP15" i="11"/>
  <c r="AP16" i="11" s="1"/>
  <c r="AF28" i="11"/>
  <c r="AP62" i="11"/>
  <c r="AH62" i="11"/>
  <c r="AM62" i="11"/>
  <c r="AP60" i="11"/>
  <c r="AP64" i="11" s="1"/>
  <c r="AM60" i="11"/>
  <c r="AM64" i="11" s="1"/>
  <c r="T64" i="11"/>
  <c r="AH60" i="11"/>
  <c r="AH64" i="11" s="1"/>
  <c r="Y89" i="11"/>
  <c r="Y91" i="11" s="1"/>
  <c r="Y92" i="11" s="1"/>
  <c r="N74" i="11"/>
  <c r="AF72" i="11"/>
  <c r="AF74" i="11" s="1"/>
  <c r="AB80" i="11"/>
  <c r="L74" i="11"/>
  <c r="AG63" i="11"/>
  <c r="AH47" i="11"/>
  <c r="AH57" i="11" s="1"/>
  <c r="AD49" i="11"/>
  <c r="E49" i="11"/>
  <c r="F49" i="11"/>
  <c r="AJ72" i="11"/>
  <c r="AJ74" i="11" s="1"/>
  <c r="AI63" i="11"/>
  <c r="AB57" i="11"/>
  <c r="O57" i="11"/>
  <c r="AG36" i="11"/>
  <c r="M30" i="11"/>
  <c r="F36" i="11"/>
  <c r="I39" i="11"/>
  <c r="I41" i="11" s="1"/>
  <c r="I42" i="11" s="1"/>
  <c r="K16" i="11"/>
  <c r="AE15" i="11"/>
  <c r="AE16" i="11" s="1"/>
  <c r="AM34" i="11"/>
  <c r="AP34" i="11"/>
  <c r="AH34" i="11"/>
  <c r="Y30" i="11"/>
  <c r="AJ34" i="11"/>
  <c r="AL88" i="11"/>
  <c r="U64" i="11"/>
  <c r="AJ87" i="11"/>
  <c r="AJ89" i="11"/>
  <c r="AJ91" i="11" s="1"/>
  <c r="U57" i="11"/>
  <c r="AE78" i="11"/>
  <c r="V91" i="11"/>
  <c r="V92" i="11" s="1"/>
  <c r="AM77" i="11"/>
  <c r="AM80" i="11" s="1"/>
  <c r="AA74" i="11"/>
  <c r="K69" i="11"/>
  <c r="R74" i="11"/>
  <c r="AF63" i="11"/>
  <c r="S57" i="11"/>
  <c r="E53" i="11"/>
  <c r="F53" i="11"/>
  <c r="AO53" i="11"/>
  <c r="AM54" i="11"/>
  <c r="AH54" i="11"/>
  <c r="AP54" i="11"/>
  <c r="K39" i="11"/>
  <c r="K41" i="11" s="1"/>
  <c r="K42" i="11" s="1"/>
  <c r="AE33" i="11"/>
  <c r="AJ23" i="11"/>
  <c r="AJ24" i="11" s="1"/>
  <c r="Z24" i="11"/>
  <c r="Z57" i="11"/>
  <c r="AJ47" i="11"/>
  <c r="AJ57" i="11" s="1"/>
  <c r="V39" i="11"/>
  <c r="V41" i="11" s="1"/>
  <c r="V42" i="11" s="1"/>
  <c r="AG27" i="11"/>
  <c r="AG30" i="11"/>
  <c r="Q30" i="11"/>
  <c r="AE39" i="11"/>
  <c r="AE41" i="11"/>
  <c r="AE42" i="11" s="1"/>
  <c r="AD57" i="11"/>
  <c r="AG80" i="11"/>
  <c r="N91" i="11"/>
  <c r="N92" i="11" s="1"/>
  <c r="AG64" i="11"/>
  <c r="AS24" i="21" l="1"/>
  <c r="E51" i="11"/>
  <c r="AH48" i="11"/>
  <c r="AH87" i="11"/>
  <c r="AH89" i="11" s="1"/>
  <c r="AH91" i="11" s="1"/>
  <c r="AL51" i="11"/>
  <c r="AE77" i="11"/>
  <c r="AE80" i="11" s="1"/>
  <c r="AP78" i="11"/>
  <c r="AP48" i="11"/>
  <c r="AD36" i="11"/>
  <c r="AL49" i="11"/>
  <c r="AF15" i="11"/>
  <c r="AF16" i="11" s="1"/>
  <c r="AL38" i="11"/>
  <c r="W64" i="11"/>
  <c r="F15" i="11"/>
  <c r="E55" i="11"/>
  <c r="AL36" i="11"/>
  <c r="AH19" i="11"/>
  <c r="AH20" i="11" s="1"/>
  <c r="AD38" i="11"/>
  <c r="AO47" i="11"/>
  <c r="AO57" i="11" s="1"/>
  <c r="AO62" i="11"/>
  <c r="H16" i="11"/>
  <c r="AD73" i="11"/>
  <c r="AO38" i="11"/>
  <c r="AF27" i="11"/>
  <c r="AF30" i="11" s="1"/>
  <c r="W80" i="11"/>
  <c r="F62" i="11"/>
  <c r="E73" i="11"/>
  <c r="AG67" i="11"/>
  <c r="AG69" i="11" s="1"/>
  <c r="AL73" i="11"/>
  <c r="N80" i="11"/>
  <c r="P5" i="16"/>
  <c r="AL15" i="11"/>
  <c r="AL16" i="11" s="1"/>
  <c r="AD62" i="11"/>
  <c r="E23" i="11"/>
  <c r="AO56" i="11"/>
  <c r="AM63" i="11"/>
  <c r="F38" i="11"/>
  <c r="AH63" i="11"/>
  <c r="F73" i="11"/>
  <c r="F37" i="11"/>
  <c r="AE87" i="11"/>
  <c r="AE89" i="11" s="1"/>
  <c r="AE91" i="11" s="1"/>
  <c r="AE92" i="11" s="1"/>
  <c r="F56" i="11"/>
  <c r="E36" i="11"/>
  <c r="E89" i="11"/>
  <c r="T30" i="11"/>
  <c r="AP72" i="11"/>
  <c r="AP74" i="11" s="1"/>
  <c r="AD77" i="11"/>
  <c r="AD80" i="11" s="1"/>
  <c r="AD23" i="11"/>
  <c r="AD24" i="11" s="1"/>
  <c r="AO37" i="11"/>
  <c r="AL56" i="11"/>
  <c r="O3" i="16"/>
  <c r="AH78" i="11"/>
  <c r="AP47" i="11"/>
  <c r="AP57" i="11" s="1"/>
  <c r="AM47" i="11"/>
  <c r="AM57" i="11" s="1"/>
  <c r="AM27" i="11"/>
  <c r="AM30" i="11" s="1"/>
  <c r="AM72" i="11"/>
  <c r="AM74" i="11" s="1"/>
  <c r="AO15" i="11"/>
  <c r="AO16" i="11" s="1"/>
  <c r="E37" i="11"/>
  <c r="H74" i="11"/>
  <c r="E74" i="11" s="1"/>
  <c r="AD37" i="11"/>
  <c r="E57" i="11"/>
  <c r="F57" i="11"/>
  <c r="E64" i="11"/>
  <c r="F64" i="11"/>
  <c r="F39" i="11"/>
  <c r="E39" i="11"/>
  <c r="H41" i="11"/>
  <c r="Z20" i="11"/>
  <c r="F80" i="11"/>
  <c r="AF60" i="11"/>
  <c r="AF64" i="11" s="1"/>
  <c r="Z30" i="11"/>
  <c r="AL60" i="11"/>
  <c r="AL64" i="11" s="1"/>
  <c r="E68" i="11"/>
  <c r="AD83" i="11"/>
  <c r="AD84" i="11" s="1"/>
  <c r="AL27" i="11"/>
  <c r="AL30" i="11" s="1"/>
  <c r="AL62" i="11"/>
  <c r="AM23" i="11"/>
  <c r="AM24" i="11" s="1"/>
  <c r="E56" i="11"/>
  <c r="S30" i="16"/>
  <c r="E69" i="11"/>
  <c r="AD53" i="11"/>
  <c r="T84" i="11"/>
  <c r="F89" i="11"/>
  <c r="E63" i="11"/>
  <c r="AD68" i="11"/>
  <c r="AM83" i="11"/>
  <c r="AM84" i="11" s="1"/>
  <c r="H30" i="11"/>
  <c r="F30" i="11" s="1"/>
  <c r="AL28" i="11"/>
  <c r="AD34" i="11"/>
  <c r="AP23" i="11"/>
  <c r="AP24" i="11" s="1"/>
  <c r="AP36" i="11"/>
  <c r="AM36" i="11"/>
  <c r="AO48" i="11"/>
  <c r="AH50" i="11"/>
  <c r="E28" i="11"/>
  <c r="K24" i="11"/>
  <c r="AD55" i="11"/>
  <c r="F48" i="11"/>
  <c r="AP50" i="11"/>
  <c r="N24" i="11"/>
  <c r="AO55" i="11"/>
  <c r="P17" i="16"/>
  <c r="E48" i="11"/>
  <c r="F55" i="11"/>
  <c r="AD48" i="11"/>
  <c r="AH67" i="11"/>
  <c r="AH69" i="11" s="1"/>
  <c r="AH33" i="11"/>
  <c r="AH39" i="11" s="1"/>
  <c r="AH41" i="11" s="1"/>
  <c r="P14" i="16"/>
  <c r="T69" i="11"/>
  <c r="T39" i="11"/>
  <c r="T41" i="11" s="1"/>
  <c r="T42" i="11" s="1"/>
  <c r="F27" i="11"/>
  <c r="AP35" i="11"/>
  <c r="AG15" i="11"/>
  <c r="AG16" i="11" s="1"/>
  <c r="AO79" i="11"/>
  <c r="F83" i="11"/>
  <c r="AM89" i="11"/>
  <c r="AM91" i="11" s="1"/>
  <c r="AN87" i="11" s="1"/>
  <c r="E24" i="11"/>
  <c r="F24" i="11"/>
  <c r="E84" i="11"/>
  <c r="F84" i="11"/>
  <c r="AP29" i="11"/>
  <c r="AP77" i="11"/>
  <c r="AP80" i="11" s="1"/>
  <c r="T89" i="11"/>
  <c r="T91" i="11" s="1"/>
  <c r="T92" i="11" s="1"/>
  <c r="F63" i="11"/>
  <c r="AP83" i="11"/>
  <c r="AP84" i="11" s="1"/>
  <c r="F35" i="11"/>
  <c r="F52" i="11"/>
  <c r="AO83" i="11"/>
  <c r="AO84" i="11" s="1"/>
  <c r="W20" i="11"/>
  <c r="AO72" i="11"/>
  <c r="AO74" i="11" s="1"/>
  <c r="E34" i="11"/>
  <c r="Z16" i="11"/>
  <c r="F88" i="11"/>
  <c r="W30" i="11"/>
  <c r="K64" i="11"/>
  <c r="F79" i="11"/>
  <c r="AL23" i="11"/>
  <c r="AL24" i="11" s="1"/>
  <c r="AH29" i="11"/>
  <c r="AP33" i="11"/>
  <c r="AP39" i="11" s="1"/>
  <c r="AP41" i="11" s="1"/>
  <c r="E78" i="11"/>
  <c r="W57" i="11"/>
  <c r="E88" i="11"/>
  <c r="AP28" i="11"/>
  <c r="F54" i="11"/>
  <c r="AD88" i="11"/>
  <c r="AH28" i="11"/>
  <c r="AP87" i="11"/>
  <c r="AP89" i="11" s="1"/>
  <c r="AP91" i="11" s="1"/>
  <c r="T20" i="11"/>
  <c r="Q39" i="11"/>
  <c r="Q41" i="11" s="1"/>
  <c r="Q42" i="11" s="1"/>
  <c r="H20" i="11"/>
  <c r="AD79" i="11"/>
  <c r="AO23" i="11"/>
  <c r="AO24" i="11" s="1"/>
  <c r="N20" i="11"/>
  <c r="AM37" i="11"/>
  <c r="K30" i="11"/>
  <c r="E54" i="11"/>
  <c r="W74" i="11"/>
  <c r="F19" i="11"/>
  <c r="F23" i="11"/>
  <c r="AH37" i="11"/>
  <c r="AF47" i="11"/>
  <c r="AF57" i="11" s="1"/>
  <c r="K74" i="11"/>
  <c r="AM53" i="11"/>
  <c r="AD54" i="11"/>
  <c r="E19" i="11"/>
  <c r="Z69" i="11"/>
  <c r="W89" i="11"/>
  <c r="W91" i="11" s="1"/>
  <c r="W92" i="11" s="1"/>
  <c r="AH53" i="11"/>
  <c r="O16" i="16"/>
  <c r="Q74" i="11"/>
  <c r="AO54" i="11"/>
  <c r="K84" i="11"/>
  <c r="AD35" i="11"/>
  <c r="Q20" i="11"/>
  <c r="Q89" i="11"/>
  <c r="Q91" i="11" s="1"/>
  <c r="Q92" i="11" s="1"/>
  <c r="AO63" i="11"/>
  <c r="AD19" i="11"/>
  <c r="AD20" i="11" s="1"/>
  <c r="E35" i="11"/>
  <c r="AM55" i="11"/>
  <c r="AH49" i="11"/>
  <c r="AE19" i="11"/>
  <c r="AE20" i="11" s="1"/>
  <c r="AH77" i="11"/>
  <c r="AH80" i="11" s="1"/>
  <c r="AD63" i="11"/>
  <c r="AL35" i="11"/>
  <c r="E52" i="11"/>
  <c r="AP67" i="11"/>
  <c r="AP69" i="11" s="1"/>
  <c r="AH55" i="11"/>
  <c r="AP49" i="11"/>
  <c r="C2" i="30"/>
  <c r="C2" i="7"/>
  <c r="AC35" i="12" s="1"/>
  <c r="AH88" i="11"/>
  <c r="F74" i="11"/>
  <c r="AP88" i="11"/>
  <c r="H92" i="11"/>
  <c r="F92" i="11" s="1"/>
  <c r="AM39" i="11"/>
  <c r="AM41" i="11" s="1"/>
  <c r="AJ83" i="11"/>
  <c r="AJ84" i="11" s="1"/>
  <c r="AR216" i="30"/>
  <c r="AT216" i="30"/>
  <c r="AQ216" i="30"/>
  <c r="BC216" i="30"/>
  <c r="AS216" i="30"/>
  <c r="W32" i="12"/>
  <c r="AA41" i="12"/>
  <c r="W41" i="12"/>
  <c r="W53" i="12"/>
  <c r="X265" i="30" s="1"/>
  <c r="AA53" i="12"/>
  <c r="AB265" i="30" s="1"/>
  <c r="AA97" i="7"/>
  <c r="W97" i="7"/>
  <c r="Q44" i="12"/>
  <c r="AY26" i="7"/>
  <c r="AY25" i="7"/>
  <c r="AI36" i="12"/>
  <c r="AI51" i="12" s="1"/>
  <c r="AJ36" i="12"/>
  <c r="AJ51" i="12" s="1"/>
  <c r="AM36" i="12"/>
  <c r="AM51" i="12" s="1"/>
  <c r="AL35" i="12"/>
  <c r="Q31" i="12"/>
  <c r="AT56" i="21"/>
  <c r="AR24" i="21"/>
  <c r="R35" i="21"/>
  <c r="BC35" i="21" s="1"/>
  <c r="AQ24" i="21"/>
  <c r="AZ24" i="21"/>
  <c r="AA35" i="21"/>
  <c r="AT24" i="21"/>
  <c r="AS56" i="21"/>
  <c r="AZ56" i="21"/>
  <c r="W35" i="21"/>
  <c r="W44" i="21" s="1"/>
  <c r="W46" i="21" s="1"/>
  <c r="W74" i="21" s="1"/>
  <c r="X35" i="21"/>
  <c r="AS35" i="21" s="1"/>
  <c r="U35" i="21"/>
  <c r="Q52" i="12"/>
  <c r="Q43" i="12"/>
  <c r="AA60" i="21"/>
  <c r="AT60" i="21" s="1"/>
  <c r="AB35" i="12"/>
  <c r="AB50" i="12" s="1"/>
  <c r="W35" i="12"/>
  <c r="W50" i="12" s="1"/>
  <c r="AA39" i="12"/>
  <c r="AB46" i="21"/>
  <c r="AB74" i="21" s="1"/>
  <c r="AC46" i="21"/>
  <c r="AC68" i="21" s="1"/>
  <c r="AC73" i="21" s="1"/>
  <c r="T23" i="7"/>
  <c r="Z35" i="12"/>
  <c r="C2" i="12"/>
  <c r="U35" i="12"/>
  <c r="U50" i="12" s="1"/>
  <c r="AA35" i="12"/>
  <c r="AA50" i="12" s="1"/>
  <c r="Y60" i="21"/>
  <c r="AS60" i="21" s="1"/>
  <c r="R23" i="7"/>
  <c r="R19" i="7"/>
  <c r="U19" i="7"/>
  <c r="Z46" i="21"/>
  <c r="Z68" i="21" s="1"/>
  <c r="Z73" i="21" s="1"/>
  <c r="U60" i="21"/>
  <c r="V23" i="7"/>
  <c r="U52" i="12"/>
  <c r="U23" i="7"/>
  <c r="T19" i="7"/>
  <c r="S23" i="7"/>
  <c r="S19" i="7"/>
  <c r="V52" i="12"/>
  <c r="U21" i="7"/>
  <c r="S52" i="12"/>
  <c r="V19" i="7"/>
  <c r="R52" i="12"/>
  <c r="U18" i="7"/>
  <c r="V21" i="7"/>
  <c r="V18" i="7"/>
  <c r="V16" i="7"/>
  <c r="U16" i="7"/>
  <c r="R16" i="7"/>
  <c r="S16" i="7"/>
  <c r="S21" i="7"/>
  <c r="V15" i="7"/>
  <c r="R21" i="7"/>
  <c r="R15" i="7"/>
  <c r="S15" i="7"/>
  <c r="U15" i="7"/>
  <c r="T21" i="7"/>
  <c r="R18" i="7"/>
  <c r="T52" i="12"/>
  <c r="T16" i="7"/>
  <c r="S18" i="7"/>
  <c r="T15" i="7"/>
  <c r="Q97" i="7"/>
  <c r="Y46" i="21"/>
  <c r="Y74" i="21" s="1"/>
  <c r="W60" i="21"/>
  <c r="A1" i="6"/>
  <c r="C11" i="23" s="1"/>
  <c r="A11" i="23" s="1"/>
  <c r="S36" i="12"/>
  <c r="R35" i="12"/>
  <c r="T35" i="12"/>
  <c r="W36" i="12"/>
  <c r="X36" i="12"/>
  <c r="Y36" i="12"/>
  <c r="U36" i="12"/>
  <c r="Z36" i="12"/>
  <c r="AA36" i="12"/>
  <c r="V36" i="12"/>
  <c r="AB36" i="12"/>
  <c r="T36" i="12"/>
  <c r="T18" i="7"/>
  <c r="AR23" i="7"/>
  <c r="AS21" i="7"/>
  <c r="AS15" i="7"/>
  <c r="BB25" i="7"/>
  <c r="AR26" i="7"/>
  <c r="AQ26" i="7"/>
  <c r="AR16" i="7"/>
  <c r="Z32" i="12"/>
  <c r="AS16" i="7"/>
  <c r="AP26" i="7"/>
  <c r="R44" i="12"/>
  <c r="AP25" i="7"/>
  <c r="Z53" i="12"/>
  <c r="AA265" i="30" s="1"/>
  <c r="AS19" i="7"/>
  <c r="AB33" i="12"/>
  <c r="W44" i="12"/>
  <c r="X32" i="12"/>
  <c r="AR19" i="7"/>
  <c r="AR25" i="7"/>
  <c r="AS23" i="7"/>
  <c r="AR21" i="7"/>
  <c r="BB26" i="7"/>
  <c r="AA32" i="12"/>
  <c r="AA33" i="12" s="1"/>
  <c r="AA17" i="7"/>
  <c r="X31" i="12"/>
  <c r="AS26" i="7"/>
  <c r="AB34" i="12"/>
  <c r="X34" i="12"/>
  <c r="Y33" i="12"/>
  <c r="V46" i="21"/>
  <c r="R60" i="21"/>
  <c r="BC60" i="21" s="1"/>
  <c r="T46" i="21"/>
  <c r="T68" i="21" s="1"/>
  <c r="T73" i="21" s="1"/>
  <c r="S46" i="21"/>
  <c r="AS25" i="7"/>
  <c r="Z31" i="12"/>
  <c r="Y39" i="12"/>
  <c r="AQ25" i="7"/>
  <c r="X39" i="12"/>
  <c r="W39" i="12"/>
  <c r="AA105" i="7" l="1"/>
  <c r="AS97" i="7"/>
  <c r="Q105" i="7"/>
  <c r="Q107" i="7" s="1"/>
  <c r="W105" i="7"/>
  <c r="W107" i="7" s="1"/>
  <c r="AR97" i="7"/>
  <c r="AI35" i="12"/>
  <c r="E16" i="11"/>
  <c r="F16" i="11"/>
  <c r="AH35" i="12"/>
  <c r="AH50" i="12" s="1"/>
  <c r="AF36" i="12"/>
  <c r="AG215" i="30" s="1"/>
  <c r="AN88" i="11"/>
  <c r="AN55" i="11"/>
  <c r="AN67" i="11"/>
  <c r="AG35" i="12"/>
  <c r="AG50" i="12" s="1"/>
  <c r="X35" i="12"/>
  <c r="X50" i="12" s="1"/>
  <c r="AH36" i="12"/>
  <c r="AH51" i="12" s="1"/>
  <c r="F41" i="11"/>
  <c r="E41" i="11"/>
  <c r="AN63" i="11"/>
  <c r="AD35" i="12"/>
  <c r="AE214" i="30" s="1"/>
  <c r="AE261" i="30" s="1"/>
  <c r="AN54" i="11"/>
  <c r="V35" i="12"/>
  <c r="V50" i="12" s="1"/>
  <c r="Q36" i="12"/>
  <c r="R215" i="30" s="1"/>
  <c r="Y35" i="12"/>
  <c r="Y50" i="12" s="1"/>
  <c r="AN35" i="12"/>
  <c r="AN50" i="12" s="1"/>
  <c r="E30" i="11"/>
  <c r="H42" i="11"/>
  <c r="F42" i="11" s="1"/>
  <c r="Q35" i="12"/>
  <c r="Q50" i="12" s="1"/>
  <c r="AF35" i="12"/>
  <c r="AN73" i="11"/>
  <c r="AN78" i="11"/>
  <c r="AN60" i="11"/>
  <c r="AN47" i="11"/>
  <c r="AN79" i="11"/>
  <c r="AN68" i="11"/>
  <c r="AN48" i="11"/>
  <c r="AN62" i="11"/>
  <c r="AM35" i="12"/>
  <c r="AM50" i="12" s="1"/>
  <c r="AG36" i="12"/>
  <c r="AG51" i="12" s="1"/>
  <c r="AN56" i="11"/>
  <c r="AN36" i="12"/>
  <c r="AN51" i="12" s="1"/>
  <c r="AE35" i="12"/>
  <c r="AF214" i="30" s="1"/>
  <c r="AF261" i="30" s="1"/>
  <c r="AN61" i="11"/>
  <c r="AN50" i="11"/>
  <c r="AN53" i="11"/>
  <c r="E20" i="11"/>
  <c r="F20" i="11"/>
  <c r="AN83" i="11"/>
  <c r="AK35" i="12"/>
  <c r="AK50" i="12" s="1"/>
  <c r="AD36" i="12"/>
  <c r="AE215" i="30" s="1"/>
  <c r="AE262" i="30" s="1"/>
  <c r="AN52" i="11"/>
  <c r="AJ35" i="12"/>
  <c r="AJ50" i="12" s="1"/>
  <c r="AC36" i="12"/>
  <c r="AC38" i="12" s="1"/>
  <c r="AC40" i="12" s="1"/>
  <c r="AC42" i="12" s="1"/>
  <c r="AC45" i="12" s="1"/>
  <c r="AC49" i="12" s="1"/>
  <c r="AN77" i="11"/>
  <c r="AN72" i="11"/>
  <c r="AK36" i="12"/>
  <c r="AK51" i="12" s="1"/>
  <c r="R36" i="12"/>
  <c r="R51" i="12" s="1"/>
  <c r="AN49" i="11"/>
  <c r="AN51" i="11"/>
  <c r="X215" i="30"/>
  <c r="T215" i="30"/>
  <c r="T262" i="30" s="1"/>
  <c r="AN36" i="11"/>
  <c r="AN19" i="11"/>
  <c r="AN35" i="11"/>
  <c r="AN23" i="11"/>
  <c r="AN37" i="11"/>
  <c r="AN27" i="11"/>
  <c r="AN28" i="11"/>
  <c r="AN38" i="11"/>
  <c r="AN29" i="11"/>
  <c r="AC215" i="30"/>
  <c r="U215" i="30"/>
  <c r="W215" i="30"/>
  <c r="W262" i="30" s="1"/>
  <c r="AB215" i="30"/>
  <c r="AB262" i="30" s="1"/>
  <c r="AA215" i="30"/>
  <c r="AA262" i="30" s="1"/>
  <c r="V215" i="30"/>
  <c r="V262" i="30" s="1"/>
  <c r="S35" i="12"/>
  <c r="S50" i="12" s="1"/>
  <c r="AL36" i="12"/>
  <c r="AL51" i="12" s="1"/>
  <c r="AE36" i="12"/>
  <c r="AF215" i="30" s="1"/>
  <c r="AF262" i="30" s="1"/>
  <c r="AN33" i="11"/>
  <c r="Z215" i="30"/>
  <c r="Z262" i="30" s="1"/>
  <c r="Y215" i="30"/>
  <c r="U214" i="30"/>
  <c r="V264" i="30"/>
  <c r="X264" i="30"/>
  <c r="AG263" i="30"/>
  <c r="AV263" i="30" s="1"/>
  <c r="AF263" i="30"/>
  <c r="AC263" i="30"/>
  <c r="AA214" i="30"/>
  <c r="AC214" i="30"/>
  <c r="AC261" i="30" s="1"/>
  <c r="V214" i="30"/>
  <c r="V261" i="30" s="1"/>
  <c r="U263" i="30"/>
  <c r="W263" i="30"/>
  <c r="R264" i="30"/>
  <c r="W264" i="30"/>
  <c r="Y264" i="30"/>
  <c r="Y263" i="30"/>
  <c r="X263" i="30"/>
  <c r="Z264" i="30"/>
  <c r="S264" i="30"/>
  <c r="AA264" i="30"/>
  <c r="X214" i="30"/>
  <c r="R263" i="30"/>
  <c r="Z263" i="30"/>
  <c r="T264" i="30"/>
  <c r="AB264" i="30"/>
  <c r="Y214" i="30"/>
  <c r="Y261" i="30" s="1"/>
  <c r="S214" i="30"/>
  <c r="S261" i="30" s="1"/>
  <c r="AG264" i="30"/>
  <c r="AV264" i="30" s="1"/>
  <c r="AD263" i="30"/>
  <c r="S263" i="30"/>
  <c r="AA263" i="30"/>
  <c r="AB214" i="30"/>
  <c r="AB261" i="30" s="1"/>
  <c r="U264" i="30"/>
  <c r="AC264" i="30"/>
  <c r="AE263" i="30"/>
  <c r="AF264" i="30"/>
  <c r="AB263" i="30"/>
  <c r="T263" i="30"/>
  <c r="V263" i="30"/>
  <c r="AE264" i="30"/>
  <c r="AD264" i="30"/>
  <c r="AD214" i="30"/>
  <c r="AN34" i="11"/>
  <c r="AG214" i="30"/>
  <c r="AT265" i="30"/>
  <c r="AS265" i="30"/>
  <c r="AZ216" i="30"/>
  <c r="G80" i="9"/>
  <c r="T31" i="12"/>
  <c r="V31" i="12"/>
  <c r="U31" i="12"/>
  <c r="S31" i="12"/>
  <c r="R31" i="12"/>
  <c r="S32" i="12"/>
  <c r="U32" i="12"/>
  <c r="V32" i="12"/>
  <c r="T32" i="12"/>
  <c r="R32" i="12"/>
  <c r="U41" i="12"/>
  <c r="T41" i="12"/>
  <c r="V41" i="12"/>
  <c r="R41" i="12"/>
  <c r="S41" i="12"/>
  <c r="S53" i="12"/>
  <c r="T265" i="30" s="1"/>
  <c r="T53" i="12"/>
  <c r="U265" i="30" s="1"/>
  <c r="U53" i="12"/>
  <c r="V265" i="30" s="1"/>
  <c r="V53" i="12"/>
  <c r="W265" i="30" s="1"/>
  <c r="R53" i="12"/>
  <c r="S265" i="30" s="1"/>
  <c r="V97" i="7"/>
  <c r="V105" i="7" s="1"/>
  <c r="W314" i="30" s="1"/>
  <c r="W316" i="30" s="1"/>
  <c r="T97" i="7"/>
  <c r="R97" i="7"/>
  <c r="R105" i="7" s="1"/>
  <c r="S314" i="30" s="1"/>
  <c r="S316" i="30" s="1"/>
  <c r="S97" i="7"/>
  <c r="S105" i="7" s="1"/>
  <c r="T314" i="30" s="1"/>
  <c r="T316" i="30" s="1"/>
  <c r="U97" i="7"/>
  <c r="U105" i="7" s="1"/>
  <c r="V314" i="30" s="1"/>
  <c r="V316" i="30" s="1"/>
  <c r="AA107" i="7"/>
  <c r="G83" i="9"/>
  <c r="G54" i="9"/>
  <c r="G53" i="9"/>
  <c r="Q39" i="12"/>
  <c r="AY21" i="7"/>
  <c r="Q53" i="12"/>
  <c r="R265" i="30" s="1"/>
  <c r="AY19" i="7"/>
  <c r="Q41" i="12"/>
  <c r="AY23" i="7"/>
  <c r="Q32" i="12"/>
  <c r="Q33" i="12" s="1"/>
  <c r="AY16" i="7"/>
  <c r="F83" i="9"/>
  <c r="F53" i="9"/>
  <c r="F54" i="9"/>
  <c r="F80" i="9"/>
  <c r="AF50" i="12"/>
  <c r="AL50" i="12"/>
  <c r="AC50" i="12"/>
  <c r="AI50" i="12"/>
  <c r="AI38" i="12"/>
  <c r="AI40" i="12" s="1"/>
  <c r="AI42" i="12" s="1"/>
  <c r="AI45" i="12" s="1"/>
  <c r="AI49" i="12" s="1"/>
  <c r="R44" i="21"/>
  <c r="BC44" i="21" s="1"/>
  <c r="AR35" i="21"/>
  <c r="AR60" i="21"/>
  <c r="AZ60" i="21"/>
  <c r="AQ60" i="21"/>
  <c r="AA44" i="21"/>
  <c r="AT35" i="21"/>
  <c r="AQ35" i="21"/>
  <c r="AZ35" i="21"/>
  <c r="E83" i="9"/>
  <c r="E53" i="9"/>
  <c r="E54" i="9"/>
  <c r="E80" i="9"/>
  <c r="U44" i="21"/>
  <c r="AR44" i="21" s="1"/>
  <c r="W47" i="21"/>
  <c r="W62" i="21"/>
  <c r="X44" i="21"/>
  <c r="AS44" i="21" s="1"/>
  <c r="Q34" i="12"/>
  <c r="Z50" i="12"/>
  <c r="AC74" i="21"/>
  <c r="AC47" i="21"/>
  <c r="Z62" i="21"/>
  <c r="AC62" i="21"/>
  <c r="W68" i="21"/>
  <c r="W73" i="21" s="1"/>
  <c r="AB68" i="21"/>
  <c r="AB73" i="21" s="1"/>
  <c r="AB62" i="21"/>
  <c r="AB47" i="21"/>
  <c r="T62" i="21"/>
  <c r="U34" i="12"/>
  <c r="Y47" i="21"/>
  <c r="Y62" i="21"/>
  <c r="S62" i="21"/>
  <c r="S74" i="21"/>
  <c r="Y68" i="21"/>
  <c r="Y73" i="21" s="1"/>
  <c r="T47" i="21"/>
  <c r="T74" i="21"/>
  <c r="V47" i="21"/>
  <c r="V74" i="21"/>
  <c r="Z47" i="21"/>
  <c r="Z74" i="21"/>
  <c r="AQ23" i="7"/>
  <c r="AP23" i="7"/>
  <c r="AP19" i="7"/>
  <c r="AQ19" i="7"/>
  <c r="V34" i="12"/>
  <c r="S34" i="12"/>
  <c r="U39" i="12"/>
  <c r="R34" i="12"/>
  <c r="T39" i="12"/>
  <c r="AP18" i="7"/>
  <c r="AQ21" i="7"/>
  <c r="V39" i="12"/>
  <c r="U17" i="7"/>
  <c r="U20" i="7" s="1"/>
  <c r="U22" i="7" s="1"/>
  <c r="U24" i="7" s="1"/>
  <c r="U27" i="7" s="1"/>
  <c r="W51" i="12"/>
  <c r="Z51" i="12"/>
  <c r="V17" i="7"/>
  <c r="V20" i="7" s="1"/>
  <c r="V22" i="7" s="1"/>
  <c r="V24" i="7" s="1"/>
  <c r="V27" i="7" s="1"/>
  <c r="R39" i="12"/>
  <c r="AQ15" i="7"/>
  <c r="S17" i="7"/>
  <c r="S20" i="7" s="1"/>
  <c r="S22" i="7" s="1"/>
  <c r="S24" i="7" s="1"/>
  <c r="S27" i="7" s="1"/>
  <c r="BB21" i="7"/>
  <c r="AI92" i="11"/>
  <c r="R17" i="7"/>
  <c r="R20" i="7" s="1"/>
  <c r="R22" i="7" s="1"/>
  <c r="R24" i="7" s="1"/>
  <c r="R27" i="7" s="1"/>
  <c r="AP16" i="7"/>
  <c r="AH42" i="11"/>
  <c r="AI42" i="11"/>
  <c r="Z33" i="12"/>
  <c r="AP21" i="7"/>
  <c r="S39" i="12"/>
  <c r="AQ16" i="7"/>
  <c r="AH92" i="11"/>
  <c r="AJ92" i="11"/>
  <c r="BB23" i="7"/>
  <c r="T17" i="7"/>
  <c r="T20" i="7" s="1"/>
  <c r="T22" i="7" s="1"/>
  <c r="T24" i="7" s="1"/>
  <c r="T27" i="7" s="1"/>
  <c r="V62" i="21"/>
  <c r="V68" i="21"/>
  <c r="V73" i="21" s="1"/>
  <c r="BB19" i="7"/>
  <c r="AJ42" i="11"/>
  <c r="BB16" i="7"/>
  <c r="AM42" i="11" s="1"/>
  <c r="T34" i="12"/>
  <c r="T51" i="12"/>
  <c r="V51" i="12"/>
  <c r="U51" i="12"/>
  <c r="AP15" i="7"/>
  <c r="AQ18" i="7"/>
  <c r="AB51" i="12"/>
  <c r="T50" i="12"/>
  <c r="S51" i="12"/>
  <c r="AA51" i="12"/>
  <c r="Y51" i="12"/>
  <c r="R50" i="12"/>
  <c r="X51" i="12"/>
  <c r="AS17" i="7"/>
  <c r="AB38" i="12"/>
  <c r="AB40" i="12" s="1"/>
  <c r="AB42" i="12" s="1"/>
  <c r="AB45" i="12" s="1"/>
  <c r="AB49" i="12" s="1"/>
  <c r="X33" i="12"/>
  <c r="X38" i="12" s="1"/>
  <c r="X40" i="12" s="1"/>
  <c r="X42" i="12" s="1"/>
  <c r="X45" i="12" s="1"/>
  <c r="X49" i="12" s="1"/>
  <c r="S68" i="21"/>
  <c r="S73" i="21" s="1"/>
  <c r="S47" i="21"/>
  <c r="AE50" i="12" l="1"/>
  <c r="R214" i="30"/>
  <c r="X314" i="30"/>
  <c r="X316" i="30" s="1"/>
  <c r="AR105" i="7"/>
  <c r="AR107" i="7" s="1"/>
  <c r="AJ38" i="12"/>
  <c r="AJ40" i="12" s="1"/>
  <c r="AJ42" i="12" s="1"/>
  <c r="AJ45" i="12" s="1"/>
  <c r="AJ49" i="12" s="1"/>
  <c r="AJ54" i="12" s="1"/>
  <c r="AJ55" i="12" s="1"/>
  <c r="T214" i="30"/>
  <c r="T261" i="30" s="1"/>
  <c r="AD50" i="12"/>
  <c r="AP97" i="7"/>
  <c r="T105" i="7"/>
  <c r="AQ97" i="7"/>
  <c r="AY97" i="7"/>
  <c r="BB97" i="7"/>
  <c r="R314" i="30"/>
  <c r="R316" i="30" s="1"/>
  <c r="AY105" i="7"/>
  <c r="AY107" i="7" s="1"/>
  <c r="AP105" i="7"/>
  <c r="AP107" i="7" s="1"/>
  <c r="BB105" i="7"/>
  <c r="BB107" i="7" s="1"/>
  <c r="AM38" i="12"/>
  <c r="AM40" i="12" s="1"/>
  <c r="AM42" i="12" s="1"/>
  <c r="AM45" i="12" s="1"/>
  <c r="AM49" i="12" s="1"/>
  <c r="AM54" i="12" s="1"/>
  <c r="AM55" i="12" s="1"/>
  <c r="AB314" i="30"/>
  <c r="AB316" i="30" s="1"/>
  <c r="AS105" i="7"/>
  <c r="AS107" i="7" s="1"/>
  <c r="AD51" i="12"/>
  <c r="AA217" i="30"/>
  <c r="S215" i="30"/>
  <c r="S217" i="30" s="1"/>
  <c r="Y217" i="30"/>
  <c r="AT263" i="30"/>
  <c r="AF51" i="12"/>
  <c r="AS215" i="30"/>
  <c r="AG262" i="30"/>
  <c r="AV262" i="30" s="1"/>
  <c r="F26" i="9"/>
  <c r="X262" i="30"/>
  <c r="AR215" i="30"/>
  <c r="AK38" i="12"/>
  <c r="AK40" i="12" s="1"/>
  <c r="AK42" i="12" s="1"/>
  <c r="AK45" i="12" s="1"/>
  <c r="AK49" i="12" s="1"/>
  <c r="AK54" i="12" s="1"/>
  <c r="AK55" i="12" s="1"/>
  <c r="Y262" i="30"/>
  <c r="AH38" i="12"/>
  <c r="AH40" i="12" s="1"/>
  <c r="AH42" i="12" s="1"/>
  <c r="AH45" i="12" s="1"/>
  <c r="AH49" i="12" s="1"/>
  <c r="AH54" i="12" s="1"/>
  <c r="AH55" i="12" s="1"/>
  <c r="Q51" i="12"/>
  <c r="X217" i="30"/>
  <c r="R262" i="30"/>
  <c r="R217" i="30"/>
  <c r="U262" i="30"/>
  <c r="AR262" i="30" s="1"/>
  <c r="AR264" i="30"/>
  <c r="V217" i="30"/>
  <c r="Z214" i="30"/>
  <c r="AS214" i="30" s="1"/>
  <c r="AC51" i="12"/>
  <c r="AC54" i="12" s="1"/>
  <c r="AC55" i="12" s="1"/>
  <c r="AL38" i="12"/>
  <c r="AL40" i="12" s="1"/>
  <c r="AL42" i="12" s="1"/>
  <c r="AL45" i="12" s="1"/>
  <c r="AL49" i="12" s="1"/>
  <c r="AL54" i="12" s="1"/>
  <c r="AL55" i="12" s="1"/>
  <c r="W214" i="30"/>
  <c r="W261" i="30" s="1"/>
  <c r="AB217" i="30"/>
  <c r="AD215" i="30"/>
  <c r="BD215" i="30" s="1"/>
  <c r="AG38" i="12"/>
  <c r="AG40" i="12" s="1"/>
  <c r="AG42" i="12" s="1"/>
  <c r="AG45" i="12" s="1"/>
  <c r="AG49" i="12" s="1"/>
  <c r="AG54" i="12" s="1"/>
  <c r="AG55" i="12" s="1"/>
  <c r="AT264" i="30"/>
  <c r="AN38" i="12"/>
  <c r="AN40" i="12" s="1"/>
  <c r="AN42" i="12" s="1"/>
  <c r="AN45" i="12" s="1"/>
  <c r="AN49" i="12" s="1"/>
  <c r="AN54" i="12" s="1"/>
  <c r="AN55" i="12" s="1"/>
  <c r="U217" i="30"/>
  <c r="AC217" i="30"/>
  <c r="AE51" i="12"/>
  <c r="AC262" i="30"/>
  <c r="AT262" i="30" s="1"/>
  <c r="AQ264" i="30"/>
  <c r="BC264" i="30"/>
  <c r="AT215" i="30"/>
  <c r="AR263" i="30"/>
  <c r="BC263" i="30"/>
  <c r="AQ263" i="30"/>
  <c r="AE217" i="30"/>
  <c r="AE250" i="30" s="1"/>
  <c r="AE255" i="30" s="1"/>
  <c r="AE260" i="30" s="1"/>
  <c r="AE266" i="30" s="1"/>
  <c r="R261" i="30"/>
  <c r="BC214" i="30"/>
  <c r="AQ214" i="30"/>
  <c r="X261" i="30"/>
  <c r="AA261" i="30"/>
  <c r="AT261" i="30" s="1"/>
  <c r="AT214" i="30"/>
  <c r="U261" i="30"/>
  <c r="AD261" i="30"/>
  <c r="AU214" i="30"/>
  <c r="BD264" i="30"/>
  <c r="AU264" i="30"/>
  <c r="BA264" i="30" s="1"/>
  <c r="AS263" i="30"/>
  <c r="AS264" i="30"/>
  <c r="BD263" i="30"/>
  <c r="AU263" i="30"/>
  <c r="BA263" i="30" s="1"/>
  <c r="D26" i="9"/>
  <c r="BD214" i="30"/>
  <c r="AG261" i="30"/>
  <c r="AV261" i="30" s="1"/>
  <c r="AG217" i="30"/>
  <c r="AG219" i="30" s="1"/>
  <c r="AG220" i="30" s="1"/>
  <c r="AV214" i="30"/>
  <c r="AV215" i="30"/>
  <c r="T33" i="12"/>
  <c r="T38" i="12" s="1"/>
  <c r="T40" i="12" s="1"/>
  <c r="T42" i="12" s="1"/>
  <c r="T45" i="12" s="1"/>
  <c r="T49" i="12" s="1"/>
  <c r="T54" i="12" s="1"/>
  <c r="T55" i="12" s="1"/>
  <c r="V33" i="12"/>
  <c r="V38" i="12" s="1"/>
  <c r="V40" i="12" s="1"/>
  <c r="V42" i="12" s="1"/>
  <c r="V45" i="12" s="1"/>
  <c r="V49" i="12" s="1"/>
  <c r="V54" i="12" s="1"/>
  <c r="V55" i="12" s="1"/>
  <c r="R33" i="12"/>
  <c r="R38" i="12" s="1"/>
  <c r="R40" i="12" s="1"/>
  <c r="R42" i="12" s="1"/>
  <c r="R45" i="12" s="1"/>
  <c r="R49" i="12" s="1"/>
  <c r="R54" i="12" s="1"/>
  <c r="R55" i="12" s="1"/>
  <c r="BC215" i="30"/>
  <c r="S33" i="12"/>
  <c r="S38" i="12" s="1"/>
  <c r="S40" i="12" s="1"/>
  <c r="S42" i="12" s="1"/>
  <c r="S45" i="12" s="1"/>
  <c r="S49" i="12" s="1"/>
  <c r="S54" i="12" s="1"/>
  <c r="S55" i="12" s="1"/>
  <c r="U33" i="12"/>
  <c r="U38" i="12" s="1"/>
  <c r="U40" i="12" s="1"/>
  <c r="U42" i="12" s="1"/>
  <c r="U45" i="12" s="1"/>
  <c r="U49" i="12" s="1"/>
  <c r="U54" i="12" s="1"/>
  <c r="U55" i="12" s="1"/>
  <c r="F52" i="9"/>
  <c r="E52" i="9"/>
  <c r="E51" i="9"/>
  <c r="S98" i="7"/>
  <c r="T98" i="7"/>
  <c r="V98" i="7"/>
  <c r="U98" i="7"/>
  <c r="R98" i="7"/>
  <c r="D80" i="9"/>
  <c r="D83" i="9"/>
  <c r="D69" i="9"/>
  <c r="D51" i="9"/>
  <c r="G51" i="9"/>
  <c r="D54" i="9"/>
  <c r="F51" i="9"/>
  <c r="E69" i="9"/>
  <c r="D52" i="9"/>
  <c r="D53" i="9"/>
  <c r="H80" i="9"/>
  <c r="T107" i="7"/>
  <c r="V107" i="7"/>
  <c r="S107" i="7"/>
  <c r="R107" i="7"/>
  <c r="U107" i="7"/>
  <c r="AI54" i="12"/>
  <c r="AI55" i="12" s="1"/>
  <c r="G55" i="9"/>
  <c r="G52" i="9"/>
  <c r="H54" i="9"/>
  <c r="H83" i="9"/>
  <c r="F69" i="9"/>
  <c r="H53" i="9"/>
  <c r="F55" i="9"/>
  <c r="AQ44" i="21"/>
  <c r="R46" i="21"/>
  <c r="R74" i="21" s="1"/>
  <c r="AT44" i="21"/>
  <c r="AA46" i="21"/>
  <c r="AZ44" i="21"/>
  <c r="E55" i="9"/>
  <c r="X46" i="21"/>
  <c r="AS46" i="21" s="1"/>
  <c r="U46" i="21"/>
  <c r="AR46" i="21" s="1"/>
  <c r="Q38" i="12"/>
  <c r="Q40" i="12" s="1"/>
  <c r="Q42" i="12" s="1"/>
  <c r="Q45" i="12" s="1"/>
  <c r="Q49" i="12" s="1"/>
  <c r="AP17" i="7"/>
  <c r="AP20" i="7" s="1"/>
  <c r="AP22" i="7" s="1"/>
  <c r="AP24" i="7" s="1"/>
  <c r="AP27" i="7" s="1"/>
  <c r="AQ17" i="7"/>
  <c r="AQ20" i="7" s="1"/>
  <c r="AQ22" i="7" s="1"/>
  <c r="AQ24" i="7" s="1"/>
  <c r="AQ27" i="7" s="1"/>
  <c r="X54" i="12"/>
  <c r="X55" i="12" s="1"/>
  <c r="AB54" i="12"/>
  <c r="AB55" i="12" s="1"/>
  <c r="AQ46" i="21" l="1"/>
  <c r="T217" i="30"/>
  <c r="AQ98" i="7"/>
  <c r="AQ102" i="7" s="1"/>
  <c r="U314" i="30"/>
  <c r="U316" i="30" s="1"/>
  <c r="AQ105" i="7"/>
  <c r="AQ107" i="7" s="1"/>
  <c r="AQ215" i="30"/>
  <c r="AZ215" i="30" s="1"/>
  <c r="S262" i="30"/>
  <c r="AQ262" i="30" s="1"/>
  <c r="W217" i="30"/>
  <c r="AR217" i="30" s="1"/>
  <c r="AR261" i="30"/>
  <c r="AR214" i="30"/>
  <c r="AZ214" i="30" s="1"/>
  <c r="AS262" i="30"/>
  <c r="Q54" i="12"/>
  <c r="BA214" i="30"/>
  <c r="AD217" i="30"/>
  <c r="AD250" i="30" s="1"/>
  <c r="AD262" i="30"/>
  <c r="BD262" i="30" s="1"/>
  <c r="AT217" i="30"/>
  <c r="AU215" i="30"/>
  <c r="BA215" i="30" s="1"/>
  <c r="AE219" i="30"/>
  <c r="AE220" i="30" s="1"/>
  <c r="Z261" i="30"/>
  <c r="AS261" i="30" s="1"/>
  <c r="Z217" i="30"/>
  <c r="AS217" i="30" s="1"/>
  <c r="AQ261" i="30"/>
  <c r="BC261" i="30"/>
  <c r="AU261" i="30"/>
  <c r="BA261" i="30" s="1"/>
  <c r="BD261" i="30"/>
  <c r="AZ263" i="30"/>
  <c r="AZ264" i="30"/>
  <c r="AV217" i="30"/>
  <c r="AV219" i="30"/>
  <c r="T307" i="30"/>
  <c r="BC262" i="30"/>
  <c r="AR265" i="30"/>
  <c r="BC265" i="30"/>
  <c r="AQ265" i="30"/>
  <c r="S307" i="30"/>
  <c r="V307" i="30"/>
  <c r="W307" i="30"/>
  <c r="U307" i="30"/>
  <c r="AQ217" i="30"/>
  <c r="BC217" i="30"/>
  <c r="T102" i="7"/>
  <c r="T109" i="7" s="1"/>
  <c r="T116" i="7" s="1"/>
  <c r="T121" i="7" s="1"/>
  <c r="U102" i="7"/>
  <c r="U109" i="7" s="1"/>
  <c r="U116" i="7" s="1"/>
  <c r="U121" i="7" s="1"/>
  <c r="S102" i="7"/>
  <c r="S109" i="7" s="1"/>
  <c r="S116" i="7" s="1"/>
  <c r="S121" i="7" s="1"/>
  <c r="R102" i="7"/>
  <c r="R109" i="7" s="1"/>
  <c r="R116" i="7" s="1"/>
  <c r="R121" i="7" s="1"/>
  <c r="V102" i="7"/>
  <c r="V109" i="7" s="1"/>
  <c r="V116" i="7" s="1"/>
  <c r="V121" i="7" s="1"/>
  <c r="H51" i="9"/>
  <c r="W51" i="9" s="1"/>
  <c r="Z51" i="9" s="1"/>
  <c r="E60" i="9"/>
  <c r="X80" i="9"/>
  <c r="AA80" i="9" s="1"/>
  <c r="W80" i="9"/>
  <c r="Z80" i="9" s="1"/>
  <c r="X53" i="9"/>
  <c r="AA53" i="9" s="1"/>
  <c r="W53" i="9"/>
  <c r="Z53" i="9" s="1"/>
  <c r="X83" i="9"/>
  <c r="AA83" i="9" s="1"/>
  <c r="W83" i="9"/>
  <c r="Z83" i="9" s="1"/>
  <c r="X54" i="9"/>
  <c r="AA54" i="9" s="1"/>
  <c r="W54" i="9"/>
  <c r="Z54" i="9" s="1"/>
  <c r="D56" i="9"/>
  <c r="N8" i="9"/>
  <c r="S8" i="9" s="1"/>
  <c r="L8" i="9"/>
  <c r="Q8" i="9" s="1"/>
  <c r="D77" i="9"/>
  <c r="D55" i="9"/>
  <c r="H52" i="9"/>
  <c r="G77" i="9"/>
  <c r="G68" i="9"/>
  <c r="G56" i="9"/>
  <c r="H55" i="9"/>
  <c r="F56" i="9"/>
  <c r="E56" i="9"/>
  <c r="BC46" i="21"/>
  <c r="R47" i="21"/>
  <c r="R62" i="21"/>
  <c r="R68" i="21"/>
  <c r="N40" i="9"/>
  <c r="S40" i="9" s="1"/>
  <c r="N37" i="9"/>
  <c r="S37" i="9" s="1"/>
  <c r="N10" i="9"/>
  <c r="S10" i="9" s="1"/>
  <c r="N11" i="9"/>
  <c r="S11" i="9" s="1"/>
  <c r="L10" i="9"/>
  <c r="Q10" i="9" s="1"/>
  <c r="M10" i="9"/>
  <c r="R10" i="9" s="1"/>
  <c r="L40" i="9"/>
  <c r="Q40" i="9" s="1"/>
  <c r="M40" i="9"/>
  <c r="R40" i="9" s="1"/>
  <c r="M11" i="9"/>
  <c r="R11" i="9" s="1"/>
  <c r="AZ46" i="21"/>
  <c r="O8" i="9"/>
  <c r="T8" i="9" s="1"/>
  <c r="AT46" i="21"/>
  <c r="AA62" i="21"/>
  <c r="AA74" i="21"/>
  <c r="AA47" i="21"/>
  <c r="AA68" i="21"/>
  <c r="L37" i="9"/>
  <c r="Q37" i="9" s="1"/>
  <c r="M37" i="9"/>
  <c r="R37" i="9" s="1"/>
  <c r="N9" i="9"/>
  <c r="S9" i="9" s="1"/>
  <c r="L9" i="9"/>
  <c r="Q9" i="9" s="1"/>
  <c r="M9" i="9"/>
  <c r="R9" i="9" s="1"/>
  <c r="O11" i="9"/>
  <c r="T11" i="9" s="1"/>
  <c r="O9" i="9"/>
  <c r="T9" i="9" s="1"/>
  <c r="O10" i="9"/>
  <c r="T10" i="9" s="1"/>
  <c r="M8" i="9"/>
  <c r="R8" i="9" s="1"/>
  <c r="L11" i="9"/>
  <c r="Q11" i="9" s="1"/>
  <c r="U74" i="21"/>
  <c r="U47" i="21"/>
  <c r="U62" i="21"/>
  <c r="U68" i="21"/>
  <c r="X74" i="21"/>
  <c r="X47" i="21"/>
  <c r="X68" i="21"/>
  <c r="AS68" i="21" s="1"/>
  <c r="X62" i="21"/>
  <c r="AS62" i="21" s="1"/>
  <c r="O40" i="9"/>
  <c r="T40" i="9" s="1"/>
  <c r="O37" i="9"/>
  <c r="T37" i="9" s="1"/>
  <c r="AQ109" i="7" l="1"/>
  <c r="AQ116" i="7" s="1"/>
  <c r="AQ121" i="7" s="1"/>
  <c r="AU262" i="30"/>
  <c r="BA262" i="30" s="1"/>
  <c r="AD219" i="30"/>
  <c r="AD220" i="30" s="1"/>
  <c r="AZ262" i="30"/>
  <c r="AZ217" i="30"/>
  <c r="AZ261" i="30"/>
  <c r="AD255" i="30"/>
  <c r="AD304" i="30" s="1"/>
  <c r="AZ265" i="30"/>
  <c r="AE304" i="30"/>
  <c r="G60" i="9"/>
  <c r="X51" i="9"/>
  <c r="AA51" i="9" s="1"/>
  <c r="D60" i="9"/>
  <c r="W55" i="9"/>
  <c r="Z55" i="9" s="1"/>
  <c r="X55" i="9"/>
  <c r="AA55" i="9" s="1"/>
  <c r="W52" i="9"/>
  <c r="Z52" i="9" s="1"/>
  <c r="X52" i="9"/>
  <c r="AA52" i="9" s="1"/>
  <c r="D57" i="9"/>
  <c r="E68" i="9"/>
  <c r="E70" i="9" s="1"/>
  <c r="G59" i="9"/>
  <c r="F77" i="9"/>
  <c r="G57" i="9"/>
  <c r="O34" i="9"/>
  <c r="T34" i="9" s="1"/>
  <c r="E77" i="9"/>
  <c r="BC68" i="21"/>
  <c r="AQ68" i="21"/>
  <c r="R73" i="21"/>
  <c r="BC62" i="21"/>
  <c r="AQ62" i="21"/>
  <c r="N12" i="9"/>
  <c r="S12" i="9" s="1"/>
  <c r="M12" i="9"/>
  <c r="R12" i="9" s="1"/>
  <c r="L34" i="9"/>
  <c r="Q34" i="9" s="1"/>
  <c r="N34" i="9"/>
  <c r="S34" i="9" s="1"/>
  <c r="AR68" i="21"/>
  <c r="AZ68" i="21"/>
  <c r="AR62" i="21"/>
  <c r="AZ62" i="21"/>
  <c r="AT68" i="21"/>
  <c r="AA73" i="21"/>
  <c r="AT62" i="21"/>
  <c r="L12" i="9"/>
  <c r="Q12" i="9" s="1"/>
  <c r="U73" i="21"/>
  <c r="X73" i="21"/>
  <c r="AS73" i="21" s="1"/>
  <c r="D27" i="9"/>
  <c r="AE306" i="30" l="1"/>
  <c r="AD260" i="30"/>
  <c r="G66" i="9"/>
  <c r="L17" i="9"/>
  <c r="Q17" i="9" s="1"/>
  <c r="G61" i="9"/>
  <c r="G63" i="9" s="1"/>
  <c r="E57" i="9"/>
  <c r="H56" i="9"/>
  <c r="F60" i="9"/>
  <c r="O17" i="9"/>
  <c r="T17" i="9" s="1"/>
  <c r="E59" i="9"/>
  <c r="Q98" i="7"/>
  <c r="H77" i="9"/>
  <c r="BC73" i="21"/>
  <c r="AQ73" i="21"/>
  <c r="M34" i="9"/>
  <c r="R34" i="9" s="1"/>
  <c r="N13" i="9"/>
  <c r="S13" i="9" s="1"/>
  <c r="E65" i="9"/>
  <c r="AT73" i="21"/>
  <c r="AR73" i="21"/>
  <c r="AZ73" i="21"/>
  <c r="M13" i="9"/>
  <c r="R13" i="9" s="1"/>
  <c r="O12" i="9"/>
  <c r="T12" i="9" s="1"/>
  <c r="L13" i="9"/>
  <c r="Q13" i="9" s="1"/>
  <c r="D14" i="9"/>
  <c r="O13" i="9"/>
  <c r="D18" i="9"/>
  <c r="R307" i="30" l="1"/>
  <c r="AP98" i="7"/>
  <c r="AP102" i="7" s="1"/>
  <c r="AP109" i="7" s="1"/>
  <c r="AP116" i="7" s="1"/>
  <c r="AP121" i="7" s="1"/>
  <c r="AP122" i="7" s="1"/>
  <c r="BB98" i="7"/>
  <c r="BB102" i="7" s="1"/>
  <c r="BB109" i="7" s="1"/>
  <c r="BB116" i="7" s="1"/>
  <c r="BB121" i="7" s="1"/>
  <c r="BB122" i="7" s="1"/>
  <c r="D20" i="9"/>
  <c r="D31" i="9" s="1"/>
  <c r="AD266" i="30"/>
  <c r="AD306" i="30" s="1"/>
  <c r="BD260" i="30"/>
  <c r="N17" i="9"/>
  <c r="S17" i="9" s="1"/>
  <c r="G65" i="9"/>
  <c r="W77" i="9"/>
  <c r="Z77" i="9" s="1"/>
  <c r="X77" i="9"/>
  <c r="AA77" i="9" s="1"/>
  <c r="H57" i="9"/>
  <c r="X56" i="9"/>
  <c r="AA56" i="9" s="1"/>
  <c r="W56" i="9"/>
  <c r="Z56" i="9" s="1"/>
  <c r="G64" i="9"/>
  <c r="G74" i="9"/>
  <c r="M17" i="9"/>
  <c r="R17" i="9" s="1"/>
  <c r="H60" i="9"/>
  <c r="F18" i="9"/>
  <c r="F20" i="9" s="1"/>
  <c r="F21" i="9" s="1"/>
  <c r="Q102" i="7"/>
  <c r="Q109" i="7" s="1"/>
  <c r="Q116" i="7" s="1"/>
  <c r="Q121" i="7" s="1"/>
  <c r="Q122" i="7" s="1"/>
  <c r="E66" i="9"/>
  <c r="Q55" i="12"/>
  <c r="E61" i="9"/>
  <c r="N14" i="9"/>
  <c r="S14" i="9" s="1"/>
  <c r="M14" i="9"/>
  <c r="R14" i="9" s="1"/>
  <c r="L14" i="9"/>
  <c r="Q14" i="9" s="1"/>
  <c r="N16" i="9"/>
  <c r="S16" i="9" s="1"/>
  <c r="L16" i="9"/>
  <c r="Q16" i="9" s="1"/>
  <c r="G14" i="9"/>
  <c r="O14" i="9" s="1"/>
  <c r="T13" i="9"/>
  <c r="BC120" i="7" l="1"/>
  <c r="BB123" i="7"/>
  <c r="AQ120" i="7"/>
  <c r="AQ122" i="7" s="1"/>
  <c r="AP123" i="7"/>
  <c r="AD267" i="30"/>
  <c r="BD266" i="30"/>
  <c r="AD311" i="30"/>
  <c r="AD318" i="30" s="1"/>
  <c r="AD325" i="30" s="1"/>
  <c r="AD331" i="30" s="1"/>
  <c r="X60" i="9"/>
  <c r="AA60" i="9" s="1"/>
  <c r="W60" i="9"/>
  <c r="Z60" i="9" s="1"/>
  <c r="W57" i="9"/>
  <c r="Z57" i="9" s="1"/>
  <c r="X57" i="9"/>
  <c r="AA57" i="9" s="1"/>
  <c r="Q123" i="7"/>
  <c r="R120" i="7"/>
  <c r="R122" i="7" s="1"/>
  <c r="E63" i="9"/>
  <c r="E64" i="9" s="1"/>
  <c r="N22" i="9"/>
  <c r="S22" i="9" s="1"/>
  <c r="L18" i="9"/>
  <c r="Q18" i="9" s="1"/>
  <c r="N18" i="9"/>
  <c r="S18" i="9" s="1"/>
  <c r="D29" i="9"/>
  <c r="D35" i="9" s="1"/>
  <c r="D38" i="9" s="1"/>
  <c r="D41" i="9" s="1"/>
  <c r="D42" i="9" s="1"/>
  <c r="D21" i="9"/>
  <c r="T14" i="9"/>
  <c r="AR120" i="7" l="1"/>
  <c r="AQ123" i="7"/>
  <c r="R123" i="7"/>
  <c r="S120" i="7"/>
  <c r="S122" i="7" s="1"/>
  <c r="E74" i="9"/>
  <c r="E72" i="9"/>
  <c r="E73" i="9" s="1"/>
  <c r="N20" i="9"/>
  <c r="S20" i="9" s="1"/>
  <c r="L20" i="9"/>
  <c r="Q20" i="9" s="1"/>
  <c r="D30" i="9"/>
  <c r="T120" i="7" l="1"/>
  <c r="T122" i="7" s="1"/>
  <c r="S123" i="7"/>
  <c r="E78" i="9"/>
  <c r="E81" i="9" s="1"/>
  <c r="E84" i="9" s="1"/>
  <c r="E85" i="9" s="1"/>
  <c r="U120" i="7" l="1"/>
  <c r="U122" i="7" s="1"/>
  <c r="T123" i="7"/>
  <c r="V120" i="7" l="1"/>
  <c r="V122" i="7" s="1"/>
  <c r="U123" i="7"/>
  <c r="W120" i="7" l="1"/>
  <c r="V123" i="7"/>
  <c r="C10" i="23"/>
  <c r="A10" i="23" s="1"/>
  <c r="C14" i="23" l="1"/>
  <c r="A14" i="23" s="1"/>
  <c r="W18" i="7" l="1"/>
  <c r="W34" i="12" l="1"/>
  <c r="W15" i="7" l="1"/>
  <c r="BB15" i="7" l="1"/>
  <c r="BB17" i="7" s="1"/>
  <c r="AY15" i="7"/>
  <c r="AR15" i="7"/>
  <c r="AR17" i="7" s="1"/>
  <c r="W17" i="7"/>
  <c r="W31" i="12"/>
  <c r="W33" i="12" s="1"/>
  <c r="W38" i="12" s="1"/>
  <c r="W40" i="12" s="1"/>
  <c r="W42" i="12" s="1"/>
  <c r="W45" i="12" s="1"/>
  <c r="W49" i="12" s="1"/>
  <c r="W54" i="12" s="1"/>
  <c r="W20" i="7" l="1"/>
  <c r="AY17" i="7"/>
  <c r="W22" i="7" l="1"/>
  <c r="W24" i="7" l="1"/>
  <c r="W27" i="7" l="1"/>
  <c r="W98" i="7" l="1"/>
  <c r="W55" i="12"/>
  <c r="X307" i="30" l="1"/>
  <c r="W102" i="7"/>
  <c r="W109" i="7" s="1"/>
  <c r="W116" i="7" s="1"/>
  <c r="W121" i="7" s="1"/>
  <c r="W122" i="7" s="1"/>
  <c r="X120" i="7" s="1"/>
  <c r="X122" i="7" s="1"/>
  <c r="Y18" i="7"/>
  <c r="W123" i="7" l="1"/>
  <c r="Y120" i="7"/>
  <c r="X123" i="7"/>
  <c r="Y20" i="7"/>
  <c r="Y22" i="7" l="1"/>
  <c r="Y34" i="12"/>
  <c r="Y38" i="12" s="1"/>
  <c r="Y40" i="12" s="1"/>
  <c r="Y42" i="12" s="1"/>
  <c r="Y45" i="12" s="1"/>
  <c r="Y49" i="12" s="1"/>
  <c r="Y54" i="12" s="1"/>
  <c r="AR18" i="7"/>
  <c r="AR20" i="7" s="1"/>
  <c r="AR22" i="7" s="1"/>
  <c r="AR24" i="7" s="1"/>
  <c r="AR27" i="7" s="1"/>
  <c r="Y24" i="7" l="1"/>
  <c r="Y27" i="7" l="1"/>
  <c r="Y98" i="7" l="1"/>
  <c r="Y55" i="12"/>
  <c r="Z307" i="30" l="1"/>
  <c r="AR98" i="7"/>
  <c r="AR102" i="7" s="1"/>
  <c r="AR109" i="7" s="1"/>
  <c r="AR116" i="7" s="1"/>
  <c r="AR121" i="7" s="1"/>
  <c r="AR122" i="7" s="1"/>
  <c r="Y102" i="7"/>
  <c r="Y109" i="7" s="1"/>
  <c r="Y116" i="7" s="1"/>
  <c r="Y121" i="7" s="1"/>
  <c r="Y122" i="7" s="1"/>
  <c r="Z18" i="7"/>
  <c r="AS120" i="7" l="1"/>
  <c r="AR123" i="7"/>
  <c r="Z120" i="7"/>
  <c r="Y123" i="7"/>
  <c r="Z34" i="12"/>
  <c r="Z38" i="12" s="1"/>
  <c r="Z40" i="12" s="1"/>
  <c r="Z42" i="12" s="1"/>
  <c r="Z45" i="12" s="1"/>
  <c r="Z49" i="12" s="1"/>
  <c r="Z54" i="12" s="1"/>
  <c r="Z20" i="7"/>
  <c r="Z22" i="7" l="1"/>
  <c r="Z24" i="7" l="1"/>
  <c r="Z27" i="7" l="1"/>
  <c r="Z98" i="7" l="1"/>
  <c r="Z55" i="12"/>
  <c r="AA307" i="30" l="1"/>
  <c r="Z102" i="7"/>
  <c r="Z109" i="7" s="1"/>
  <c r="Z116" i="7" s="1"/>
  <c r="Z121" i="7" s="1"/>
  <c r="Z122" i="7" s="1"/>
  <c r="Z123" i="7" s="1"/>
  <c r="AA120" i="7" l="1"/>
  <c r="AA18" i="7" l="1"/>
  <c r="D68" i="9" l="1"/>
  <c r="AS18" i="7"/>
  <c r="AS20" i="7" s="1"/>
  <c r="AS22" i="7" s="1"/>
  <c r="AS24" i="7" s="1"/>
  <c r="AS27" i="7" s="1"/>
  <c r="BB18" i="7"/>
  <c r="AA20" i="7"/>
  <c r="AA34" i="12"/>
  <c r="AA38" i="12" s="1"/>
  <c r="AA40" i="12" s="1"/>
  <c r="AA42" i="12" s="1"/>
  <c r="AA45" i="12" s="1"/>
  <c r="AA49" i="12" s="1"/>
  <c r="AA54" i="12" s="1"/>
  <c r="D70" i="9" l="1"/>
  <c r="AA22" i="7"/>
  <c r="AY20" i="7"/>
  <c r="AM92" i="11"/>
  <c r="BB20" i="7"/>
  <c r="BB22" i="7" s="1"/>
  <c r="BB24" i="7" s="1"/>
  <c r="BB27" i="7" s="1"/>
  <c r="A9" i="23"/>
  <c r="AA24" i="7" l="1"/>
  <c r="AY22" i="7"/>
  <c r="D59" i="9" l="1"/>
  <c r="D61" i="9" s="1"/>
  <c r="D63" i="9" s="1"/>
  <c r="AA27" i="7"/>
  <c r="AY24" i="7"/>
  <c r="AA98" i="7" l="1"/>
  <c r="D64" i="9"/>
  <c r="D65" i="9"/>
  <c r="D66" i="9" s="1"/>
  <c r="D74" i="9"/>
  <c r="D72" i="9"/>
  <c r="AY27" i="7"/>
  <c r="AA55" i="12"/>
  <c r="A55" i="12" s="1"/>
  <c r="C12" i="23" s="1"/>
  <c r="A12" i="23" s="1"/>
  <c r="Q2" i="7"/>
  <c r="C13" i="23" s="1"/>
  <c r="A13" i="23" s="1"/>
  <c r="A2" i="23" s="1"/>
  <c r="C2" i="23" s="1"/>
  <c r="AS98" i="7" l="1"/>
  <c r="AS102" i="7" s="1"/>
  <c r="AS109" i="7" s="1"/>
  <c r="AS116" i="7" s="1"/>
  <c r="AS121" i="7" s="1"/>
  <c r="AS122" i="7" s="1"/>
  <c r="AY98" i="7"/>
  <c r="AY102" i="7" s="1"/>
  <c r="AY109" i="7" s="1"/>
  <c r="AY116" i="7" s="1"/>
  <c r="AY121" i="7" s="1"/>
  <c r="AY122" i="7" s="1"/>
  <c r="AB307" i="30"/>
  <c r="AA102" i="7"/>
  <c r="AA109" i="7" s="1"/>
  <c r="AA116" i="7" s="1"/>
  <c r="AA121" i="7" s="1"/>
  <c r="AA122" i="7" s="1"/>
  <c r="AA123" i="7" s="1"/>
  <c r="D73" i="9"/>
  <c r="D78" i="9"/>
  <c r="D81" i="9" s="1"/>
  <c r="D84" i="9" s="1"/>
  <c r="D85" i="9" s="1"/>
  <c r="AY123" i="7" l="1"/>
  <c r="AZ120" i="7"/>
  <c r="AT120" i="7"/>
  <c r="AS123" i="7"/>
  <c r="AB120" i="7"/>
  <c r="AB122" i="7" s="1"/>
  <c r="AC120" i="7" s="1"/>
  <c r="AC122" i="7" s="1"/>
  <c r="AB123" i="7" l="1"/>
  <c r="AD120" i="7"/>
  <c r="AC123" i="7"/>
  <c r="AY18" i="7" l="1"/>
  <c r="AD20" i="7" l="1"/>
  <c r="AD22" i="7" s="1"/>
  <c r="AD34" i="12"/>
  <c r="AD38" i="12" s="1"/>
  <c r="AD40" i="12" s="1"/>
  <c r="AD42" i="12" s="1"/>
  <c r="AD45" i="12" s="1"/>
  <c r="AD49" i="12" s="1"/>
  <c r="AD54" i="12" s="1"/>
  <c r="F68" i="9" l="1"/>
  <c r="AD24" i="7"/>
  <c r="L25" i="9"/>
  <c r="Q25" i="9" s="1"/>
  <c r="N25" i="9"/>
  <c r="S25" i="9" s="1"/>
  <c r="F31" i="9"/>
  <c r="F59" i="9" l="1"/>
  <c r="AD27" i="7"/>
  <c r="AE267" i="30" s="1"/>
  <c r="L31" i="9"/>
  <c r="Q31" i="9" s="1"/>
  <c r="N31" i="9"/>
  <c r="S31" i="9" s="1"/>
  <c r="AD98" i="7" l="1"/>
  <c r="O16" i="9"/>
  <c r="T16" i="9" s="1"/>
  <c r="G18" i="9"/>
  <c r="E18" i="9"/>
  <c r="H18" i="9" s="1"/>
  <c r="M16" i="9"/>
  <c r="R16" i="9" s="1"/>
  <c r="F66" i="9"/>
  <c r="H66" i="9" s="1"/>
  <c r="F65" i="9"/>
  <c r="H65" i="9" s="1"/>
  <c r="O22" i="9"/>
  <c r="T22" i="9" s="1"/>
  <c r="F61" i="9"/>
  <c r="H59" i="9"/>
  <c r="M25" i="9"/>
  <c r="R25" i="9" s="1"/>
  <c r="O25" i="9"/>
  <c r="T25" i="9" s="1"/>
  <c r="H68" i="9"/>
  <c r="F70" i="9"/>
  <c r="AD55" i="12"/>
  <c r="AE307" i="30" l="1"/>
  <c r="AE311" i="30" s="1"/>
  <c r="AE318" i="30" s="1"/>
  <c r="AE325" i="30" s="1"/>
  <c r="AE331" i="30" s="1"/>
  <c r="AD102" i="7"/>
  <c r="AD109" i="7" s="1"/>
  <c r="AD116" i="7" s="1"/>
  <c r="AD121" i="7" s="1"/>
  <c r="AD122" i="7" s="1"/>
  <c r="AE120" i="7" s="1"/>
  <c r="M22" i="9"/>
  <c r="R22" i="9" s="1"/>
  <c r="E20" i="9"/>
  <c r="H20" i="9" s="1"/>
  <c r="M18" i="9"/>
  <c r="R18" i="9" s="1"/>
  <c r="W65" i="9"/>
  <c r="Z65" i="9" s="1"/>
  <c r="X65" i="9"/>
  <c r="AA65" i="9" s="1"/>
  <c r="G20" i="9"/>
  <c r="O18" i="9"/>
  <c r="T18" i="9" s="1"/>
  <c r="X59" i="9"/>
  <c r="AA59" i="9" s="1"/>
  <c r="W59" i="9"/>
  <c r="Z59" i="9" s="1"/>
  <c r="H61" i="9"/>
  <c r="X68" i="9"/>
  <c r="AA68" i="9" s="1"/>
  <c r="W68" i="9"/>
  <c r="Z68" i="9" s="1"/>
  <c r="AD123" i="7" l="1"/>
  <c r="O20" i="9"/>
  <c r="T20" i="9" s="1"/>
  <c r="G21" i="9"/>
  <c r="G31" i="9"/>
  <c r="O31" i="9" s="1"/>
  <c r="T31" i="9" s="1"/>
  <c r="H63" i="9"/>
  <c r="W61" i="9"/>
  <c r="Z61" i="9" s="1"/>
  <c r="X61" i="9"/>
  <c r="AA61" i="9" s="1"/>
  <c r="E21" i="9"/>
  <c r="H21" i="9" s="1"/>
  <c r="M20" i="9"/>
  <c r="R20" i="9" s="1"/>
  <c r="E31" i="9"/>
  <c r="H31" i="9" s="1"/>
  <c r="M31" i="9" l="1"/>
  <c r="R31" i="9" s="1"/>
  <c r="X63" i="9"/>
  <c r="AA63" i="9" s="1"/>
  <c r="W63" i="9"/>
  <c r="Z63" i="9" s="1"/>
  <c r="H74" i="9"/>
  <c r="F57" i="9"/>
  <c r="W74" i="9" l="1"/>
  <c r="Z74" i="9" s="1"/>
  <c r="X74" i="9"/>
  <c r="AA74" i="9" s="1"/>
  <c r="F63" i="9"/>
  <c r="F72" i="9" l="1"/>
  <c r="F73" i="9" s="1"/>
  <c r="F64" i="9"/>
  <c r="F74" i="9"/>
  <c r="H64" i="9"/>
  <c r="F78" i="9" l="1"/>
  <c r="F81" i="9" s="1"/>
  <c r="F84" i="9" l="1"/>
  <c r="F85" i="9" s="1"/>
  <c r="AT59" i="7" l="1"/>
  <c r="AT61" i="7" s="1"/>
  <c r="AT63" i="7" s="1"/>
  <c r="AE18" i="7"/>
  <c r="AF216" i="30" l="1"/>
  <c r="E26" i="9" s="1"/>
  <c r="H26" i="9" s="1"/>
  <c r="AZ18" i="7"/>
  <c r="AE20" i="7"/>
  <c r="AT18" i="7"/>
  <c r="AT20" i="7" s="1"/>
  <c r="AT22" i="7" s="1"/>
  <c r="AT24" i="7" s="1"/>
  <c r="AT27" i="7" s="1"/>
  <c r="BC18" i="7"/>
  <c r="E27" i="9" l="1"/>
  <c r="E29" i="9" s="1"/>
  <c r="E30" i="9" s="1"/>
  <c r="AF217" i="30"/>
  <c r="AE34" i="12"/>
  <c r="AE38" i="12" s="1"/>
  <c r="AE40" i="12" s="1"/>
  <c r="AE42" i="12" s="1"/>
  <c r="AE45" i="12" s="1"/>
  <c r="AE49" i="12" s="1"/>
  <c r="AE54" i="12" s="1"/>
  <c r="AE22" i="7"/>
  <c r="E35" i="9" l="1"/>
  <c r="E38" i="9" s="1"/>
  <c r="E41" i="9" s="1"/>
  <c r="E42" i="9" s="1"/>
  <c r="AF250" i="30"/>
  <c r="AF219" i="30"/>
  <c r="AF220" i="30" s="1"/>
  <c r="G69" i="9"/>
  <c r="G70" i="9" s="1"/>
  <c r="G72" i="9" s="1"/>
  <c r="G73" i="9" s="1"/>
  <c r="L26" i="9"/>
  <c r="Q26" i="9" s="1"/>
  <c r="F27" i="9"/>
  <c r="H27" i="9" s="1"/>
  <c r="N26" i="9"/>
  <c r="S26" i="9" s="1"/>
  <c r="M26" i="9"/>
  <c r="R26" i="9" s="1"/>
  <c r="AU216" i="30"/>
  <c r="BA216" i="30" s="1"/>
  <c r="BD216" i="30"/>
  <c r="G26" i="9" s="1"/>
  <c r="O26" i="9" s="1"/>
  <c r="T26" i="9" s="1"/>
  <c r="AE24" i="7"/>
  <c r="G27" i="9" l="1"/>
  <c r="G29" i="9" s="1"/>
  <c r="G30" i="9" s="1"/>
  <c r="AF255" i="30"/>
  <c r="F29" i="9"/>
  <c r="H29" i="9" s="1"/>
  <c r="H69" i="9"/>
  <c r="W69" i="9" s="1"/>
  <c r="Z69" i="9" s="1"/>
  <c r="N27" i="9"/>
  <c r="S27" i="9" s="1"/>
  <c r="M27" i="9"/>
  <c r="R27" i="9" s="1"/>
  <c r="L27" i="9"/>
  <c r="Q27" i="9" s="1"/>
  <c r="AU217" i="30"/>
  <c r="BA217" i="30" s="1"/>
  <c r="BD217" i="30"/>
  <c r="G78" i="9"/>
  <c r="AE27" i="7"/>
  <c r="O29" i="9" l="1"/>
  <c r="T29" i="9" s="1"/>
  <c r="G35" i="9"/>
  <c r="G38" i="9" s="1"/>
  <c r="O27" i="9"/>
  <c r="T27" i="9" s="1"/>
  <c r="AF260" i="30"/>
  <c r="AF266" i="30" s="1"/>
  <c r="AF267" i="30" s="1"/>
  <c r="X69" i="9"/>
  <c r="AA69" i="9" s="1"/>
  <c r="H70" i="9"/>
  <c r="H72" i="9" s="1"/>
  <c r="M29" i="9"/>
  <c r="R29" i="9" s="1"/>
  <c r="N29" i="9"/>
  <c r="S29" i="9" s="1"/>
  <c r="F35" i="9"/>
  <c r="H35" i="9" s="1"/>
  <c r="L29" i="9"/>
  <c r="Q29" i="9" s="1"/>
  <c r="F30" i="9"/>
  <c r="H30" i="9" s="1"/>
  <c r="AU250" i="30"/>
  <c r="BD219" i="30"/>
  <c r="AU219" i="30"/>
  <c r="BA219" i="30" s="1"/>
  <c r="AE98" i="7"/>
  <c r="AE55" i="12"/>
  <c r="G81" i="9"/>
  <c r="AT98" i="7" l="1"/>
  <c r="AT102" i="7" s="1"/>
  <c r="AT109" i="7" s="1"/>
  <c r="AT116" i="7" s="1"/>
  <c r="AT121" i="7" s="1"/>
  <c r="AT122" i="7" s="1"/>
  <c r="O35" i="9"/>
  <c r="T35" i="9" s="1"/>
  <c r="F38" i="9"/>
  <c r="H38" i="9" s="1"/>
  <c r="X70" i="9"/>
  <c r="AA70" i="9" s="1"/>
  <c r="L35" i="9"/>
  <c r="Q35" i="9" s="1"/>
  <c r="M35" i="9"/>
  <c r="R35" i="9" s="1"/>
  <c r="N35" i="9"/>
  <c r="S35" i="9" s="1"/>
  <c r="W70" i="9"/>
  <c r="Z70" i="9" s="1"/>
  <c r="AE102" i="7"/>
  <c r="AE109" i="7" s="1"/>
  <c r="AE116" i="7" s="1"/>
  <c r="AE121" i="7" s="1"/>
  <c r="AE122" i="7" s="1"/>
  <c r="AF307" i="30"/>
  <c r="AF304" i="30"/>
  <c r="AU255" i="30"/>
  <c r="H78" i="9"/>
  <c r="X72" i="9"/>
  <c r="AA72" i="9" s="1"/>
  <c r="W72" i="9"/>
  <c r="Z72" i="9" s="1"/>
  <c r="H73" i="9"/>
  <c r="O38" i="9"/>
  <c r="T38" i="9" s="1"/>
  <c r="G41" i="9"/>
  <c r="G84" i="9"/>
  <c r="G85" i="9" s="1"/>
  <c r="AU120" i="7" l="1"/>
  <c r="AT123" i="7"/>
  <c r="AE123" i="7"/>
  <c r="AF120" i="7"/>
  <c r="L38" i="9"/>
  <c r="Q38" i="9" s="1"/>
  <c r="M38" i="9"/>
  <c r="R38" i="9" s="1"/>
  <c r="F41" i="9"/>
  <c r="H41" i="9" s="1"/>
  <c r="N38" i="9"/>
  <c r="S38" i="9" s="1"/>
  <c r="AU260" i="30"/>
  <c r="H81" i="9"/>
  <c r="X78" i="9"/>
  <c r="AA78" i="9" s="1"/>
  <c r="W78" i="9"/>
  <c r="Z78" i="9" s="1"/>
  <c r="O41" i="9"/>
  <c r="T41" i="9" s="1"/>
  <c r="G42" i="9"/>
  <c r="N41" i="9" l="1"/>
  <c r="S41" i="9" s="1"/>
  <c r="F42" i="9"/>
  <c r="H42" i="9" s="1"/>
  <c r="M41" i="9"/>
  <c r="R41" i="9" s="1"/>
  <c r="L41" i="9"/>
  <c r="Q41" i="9" s="1"/>
  <c r="AF306" i="30"/>
  <c r="AF311" i="30" s="1"/>
  <c r="AF318" i="30" s="1"/>
  <c r="AF325" i="30" s="1"/>
  <c r="AF331" i="30" s="1"/>
  <c r="AU266" i="30"/>
  <c r="H84" i="9"/>
  <c r="X81" i="9"/>
  <c r="AA81" i="9" s="1"/>
  <c r="W81" i="9"/>
  <c r="Z81" i="9" s="1"/>
  <c r="X84" i="9" l="1"/>
  <c r="AA84" i="9" s="1"/>
  <c r="W84" i="9"/>
  <c r="Z84" i="9" s="1"/>
  <c r="H85" i="9"/>
  <c r="X183" i="30" l="1"/>
  <c r="AT181" i="30"/>
  <c r="AQ181" i="30"/>
  <c r="BC181" i="30"/>
  <c r="Z359" i="30"/>
  <c r="Z183" i="30"/>
  <c r="AR181" i="30"/>
  <c r="T359" i="30"/>
  <c r="T183" i="30"/>
  <c r="Y359" i="30"/>
  <c r="Y183" i="30"/>
  <c r="AA183" i="30"/>
  <c r="U183" i="30"/>
  <c r="AS181" i="30"/>
  <c r="R183" i="30"/>
  <c r="S359" i="30"/>
  <c r="S183" i="30"/>
  <c r="AB359" i="30"/>
  <c r="AB183" i="30"/>
  <c r="AA359" i="30"/>
  <c r="AT178" i="30"/>
  <c r="V359" i="30"/>
  <c r="V183" i="30"/>
  <c r="X359" i="30"/>
  <c r="AS178" i="30"/>
  <c r="W359" i="30"/>
  <c r="W183" i="30"/>
  <c r="AC183" i="30"/>
  <c r="U359" i="30"/>
  <c r="AR178" i="30"/>
  <c r="AQ178" i="30"/>
  <c r="R359" i="30"/>
  <c r="BC178" i="30"/>
  <c r="AC219" i="30" l="1"/>
  <c r="AC186" i="30"/>
  <c r="AC187" i="30" s="1"/>
  <c r="Y219" i="30"/>
  <c r="Y186" i="30"/>
  <c r="Y187" i="30" s="1"/>
  <c r="V184" i="30"/>
  <c r="V186" i="30"/>
  <c r="V187" i="30" s="1"/>
  <c r="T250" i="30"/>
  <c r="T255" i="30" s="1"/>
  <c r="T304" i="30" s="1"/>
  <c r="T186" i="30"/>
  <c r="T187" i="30" s="1"/>
  <c r="Z219" i="30"/>
  <c r="Z186" i="30"/>
  <c r="Z187" i="30" s="1"/>
  <c r="W250" i="30"/>
  <c r="W255" i="30" s="1"/>
  <c r="W260" i="30" s="1"/>
  <c r="W266" i="30" s="1"/>
  <c r="W186" i="30"/>
  <c r="W187" i="30" s="1"/>
  <c r="U184" i="30"/>
  <c r="D23" i="9" s="1"/>
  <c r="D22" i="9"/>
  <c r="L22" i="9" s="1"/>
  <c r="Q22" i="9" s="1"/>
  <c r="U186" i="30"/>
  <c r="U187" i="30" s="1"/>
  <c r="AA250" i="30"/>
  <c r="AA255" i="30" s="1"/>
  <c r="AA260" i="30" s="1"/>
  <c r="AA186" i="30"/>
  <c r="AA187" i="30" s="1"/>
  <c r="AB219" i="30"/>
  <c r="AB186" i="30"/>
  <c r="AB187" i="30" s="1"/>
  <c r="S219" i="30"/>
  <c r="S186" i="30"/>
  <c r="S187" i="30" s="1"/>
  <c r="BC183" i="30"/>
  <c r="R186" i="30"/>
  <c r="R187" i="30" s="1"/>
  <c r="X184" i="30"/>
  <c r="X186" i="30"/>
  <c r="X187" i="30" s="1"/>
  <c r="Z184" i="30"/>
  <c r="Y184" i="30"/>
  <c r="AR183" i="30"/>
  <c r="W184" i="30"/>
  <c r="T184" i="30"/>
  <c r="X219" i="30"/>
  <c r="AC250" i="30"/>
  <c r="AC255" i="30" s="1"/>
  <c r="AC304" i="30" s="1"/>
  <c r="AA219" i="30"/>
  <c r="AS183" i="30"/>
  <c r="X250" i="30"/>
  <c r="X255" i="30" s="1"/>
  <c r="X260" i="30" s="1"/>
  <c r="S184" i="30"/>
  <c r="S250" i="30"/>
  <c r="S255" i="30" s="1"/>
  <c r="S260" i="30" s="1"/>
  <c r="S266" i="30" s="1"/>
  <c r="S306" i="30" s="1"/>
  <c r="V250" i="30"/>
  <c r="V255" i="30" s="1"/>
  <c r="V260" i="30" s="1"/>
  <c r="V266" i="30" s="1"/>
  <c r="V267" i="30" s="1"/>
  <c r="Y250" i="30"/>
  <c r="Y255" i="30" s="1"/>
  <c r="Y260" i="30" s="1"/>
  <c r="Y266" i="30" s="1"/>
  <c r="Y267" i="30" s="1"/>
  <c r="V219" i="30"/>
  <c r="AC184" i="30"/>
  <c r="AT183" i="30"/>
  <c r="AB250" i="30"/>
  <c r="AB255" i="30" s="1"/>
  <c r="AB184" i="30"/>
  <c r="W219" i="30"/>
  <c r="U219" i="30"/>
  <c r="U250" i="30"/>
  <c r="AZ181" i="30"/>
  <c r="AZ178" i="30"/>
  <c r="R219" i="30"/>
  <c r="R184" i="30"/>
  <c r="R250" i="30"/>
  <c r="T219" i="30"/>
  <c r="AQ183" i="30"/>
  <c r="Z250" i="30"/>
  <c r="Z255" i="30" s="1"/>
  <c r="AA184" i="30"/>
  <c r="W304" i="30" l="1"/>
  <c r="AT219" i="30"/>
  <c r="AT255" i="30"/>
  <c r="T260" i="30"/>
  <c r="T266" i="30" s="1"/>
  <c r="T267" i="30" s="1"/>
  <c r="AA304" i="30"/>
  <c r="AS219" i="30"/>
  <c r="AR184" i="30"/>
  <c r="AS184" i="30"/>
  <c r="AT250" i="30"/>
  <c r="AC260" i="30"/>
  <c r="AC266" i="30" s="1"/>
  <c r="AC306" i="30" s="1"/>
  <c r="AC311" i="30" s="1"/>
  <c r="AC318" i="30" s="1"/>
  <c r="AC325" i="30" s="1"/>
  <c r="AC331" i="30" s="1"/>
  <c r="AR219" i="30"/>
  <c r="S304" i="30"/>
  <c r="S311" i="30" s="1"/>
  <c r="S318" i="30" s="1"/>
  <c r="S325" i="30" s="1"/>
  <c r="S331" i="30" s="1"/>
  <c r="Y304" i="30"/>
  <c r="S267" i="30"/>
  <c r="AS250" i="30"/>
  <c r="AS255" i="30"/>
  <c r="X304" i="30"/>
  <c r="Y306" i="30"/>
  <c r="V306" i="30"/>
  <c r="V304" i="30"/>
  <c r="AA266" i="30"/>
  <c r="AT184" i="30"/>
  <c r="Z304" i="30"/>
  <c r="Z260" i="30"/>
  <c r="Z266" i="30" s="1"/>
  <c r="W267" i="30"/>
  <c r="W306" i="30"/>
  <c r="AZ183" i="30"/>
  <c r="AR250" i="30"/>
  <c r="U255" i="30"/>
  <c r="BC184" i="30"/>
  <c r="AZ184" i="30"/>
  <c r="AQ184" i="30"/>
  <c r="BC219" i="30"/>
  <c r="AQ219" i="30"/>
  <c r="AB304" i="30"/>
  <c r="AB260" i="30"/>
  <c r="AB266" i="30" s="1"/>
  <c r="BC250" i="30"/>
  <c r="R255" i="30"/>
  <c r="AQ250" i="30"/>
  <c r="X266" i="30"/>
  <c r="W311" i="30" l="1"/>
  <c r="W318" i="30" s="1"/>
  <c r="W325" i="30" s="1"/>
  <c r="W331" i="30" s="1"/>
  <c r="T306" i="30"/>
  <c r="T311" i="30" s="1"/>
  <c r="T318" i="30" s="1"/>
  <c r="T325" i="30" s="1"/>
  <c r="T331" i="30" s="1"/>
  <c r="AS260" i="30"/>
  <c r="AC267" i="30"/>
  <c r="AZ250" i="30"/>
  <c r="Y311" i="30"/>
  <c r="Y318" i="30" s="1"/>
  <c r="Y325" i="30" s="1"/>
  <c r="Y331" i="30" s="1"/>
  <c r="AT260" i="30"/>
  <c r="V311" i="30"/>
  <c r="V318" i="30" s="1"/>
  <c r="V325" i="30" s="1"/>
  <c r="V331" i="30" s="1"/>
  <c r="AZ219" i="30"/>
  <c r="U260" i="30"/>
  <c r="U304" i="30"/>
  <c r="AR255" i="30"/>
  <c r="R304" i="30"/>
  <c r="BC255" i="30"/>
  <c r="R260" i="30"/>
  <c r="AQ255" i="30"/>
  <c r="AB306" i="30"/>
  <c r="AB311" i="30" s="1"/>
  <c r="AB318" i="30" s="1"/>
  <c r="AB325" i="30" s="1"/>
  <c r="AB331" i="30" s="1"/>
  <c r="AB267" i="30"/>
  <c r="Z306" i="30"/>
  <c r="Z311" i="30" s="1"/>
  <c r="Z318" i="30" s="1"/>
  <c r="Z325" i="30" s="1"/>
  <c r="Z331" i="30" s="1"/>
  <c r="Z267" i="30"/>
  <c r="AS266" i="30"/>
  <c r="X306" i="30"/>
  <c r="X311" i="30" s="1"/>
  <c r="X318" i="30" s="1"/>
  <c r="X325" i="30" s="1"/>
  <c r="X331" i="30" s="1"/>
  <c r="X267" i="30"/>
  <c r="AT266" i="30"/>
  <c r="AA306" i="30"/>
  <c r="AA311" i="30" s="1"/>
  <c r="AA318" i="30" s="1"/>
  <c r="AA325" i="30" s="1"/>
  <c r="AA331" i="30" s="1"/>
  <c r="AA267" i="30"/>
  <c r="AZ255" i="30" l="1"/>
  <c r="R266" i="30"/>
  <c r="AQ260" i="30"/>
  <c r="BC260" i="30"/>
  <c r="AR260" i="30"/>
  <c r="U266" i="30"/>
  <c r="AZ260" i="30" l="1"/>
  <c r="U306" i="30"/>
  <c r="U311" i="30" s="1"/>
  <c r="U318" i="30" s="1"/>
  <c r="U325" i="30" s="1"/>
  <c r="U331" i="30" s="1"/>
  <c r="AR266" i="30"/>
  <c r="U267" i="30"/>
  <c r="R306" i="30"/>
  <c r="R311" i="30" s="1"/>
  <c r="R318" i="30" s="1"/>
  <c r="R325" i="30" s="1"/>
  <c r="R331" i="30" s="1"/>
  <c r="R332" i="30" s="1"/>
  <c r="BC266" i="30"/>
  <c r="AQ266" i="30"/>
  <c r="R267" i="30"/>
  <c r="AZ266" i="30" l="1"/>
  <c r="R333" i="30"/>
  <c r="R271" i="30"/>
  <c r="R283" i="30" s="1"/>
  <c r="R300" i="30" s="1"/>
  <c r="S330" i="30"/>
  <c r="S332" i="30" s="1"/>
  <c r="BD267" i="30"/>
  <c r="A267" i="30"/>
  <c r="A2" i="30" s="1"/>
  <c r="BC267" i="30"/>
  <c r="T330" i="30" l="1"/>
  <c r="T332" i="30" s="1"/>
  <c r="S271" i="30"/>
  <c r="S283" i="30" s="1"/>
  <c r="S300" i="30" s="1"/>
  <c r="S333" i="30"/>
  <c r="R2" i="30"/>
  <c r="D2" i="30"/>
  <c r="T271" i="30" l="1"/>
  <c r="U330" i="30"/>
  <c r="U332" i="30" s="1"/>
  <c r="T333" i="30"/>
  <c r="V330" i="30" l="1"/>
  <c r="V332" i="30" s="1"/>
  <c r="U271" i="30"/>
  <c r="U283" i="30" s="1"/>
  <c r="U300" i="30" s="1"/>
  <c r="U333" i="30"/>
  <c r="AQ271" i="30" a="1"/>
  <c r="AQ271" i="30" s="1"/>
  <c r="AQ279" i="30" s="1"/>
  <c r="T283" i="30"/>
  <c r="T300" i="30" l="1"/>
  <c r="AQ300" i="30" s="1" a="1"/>
  <c r="AQ300" i="30" s="1"/>
  <c r="AQ283" i="30" a="1"/>
  <c r="AQ283" i="30" s="1"/>
  <c r="AQ288" i="30" s="1"/>
  <c r="AQ290" i="30" s="1"/>
  <c r="V271" i="30"/>
  <c r="V283" i="30" s="1"/>
  <c r="V300" i="30" s="1"/>
  <c r="V333" i="30"/>
  <c r="W330" i="30"/>
  <c r="W332" i="30" s="1"/>
  <c r="W271" i="30" l="1"/>
  <c r="W333" i="30"/>
  <c r="X330" i="30"/>
  <c r="X332" i="30" s="1"/>
  <c r="X271" i="30" l="1"/>
  <c r="X283" i="30" s="1"/>
  <c r="X300" i="30" s="1"/>
  <c r="Y330" i="30"/>
  <c r="Y332" i="30" s="1"/>
  <c r="X333" i="30"/>
  <c r="W283" i="30"/>
  <c r="AR271" i="30" a="1"/>
  <c r="AR271" i="30" s="1"/>
  <c r="AR279" i="30" s="1"/>
  <c r="W300" i="30" l="1"/>
  <c r="AR300" i="30" s="1" a="1"/>
  <c r="AR300" i="30" s="1"/>
  <c r="AR283" i="30" a="1"/>
  <c r="AR283" i="30" s="1"/>
  <c r="AR288" i="30" s="1"/>
  <c r="AR290" i="30" s="1"/>
  <c r="Z330" i="30"/>
  <c r="Z332" i="30" s="1"/>
  <c r="Y271" i="30"/>
  <c r="Y283" i="30" s="1"/>
  <c r="Y300" i="30" s="1"/>
  <c r="Y333" i="30"/>
  <c r="Z271" i="30" l="1"/>
  <c r="Z333" i="30"/>
  <c r="AA330" i="30"/>
  <c r="AA332" i="30" s="1"/>
  <c r="AA271" i="30" l="1"/>
  <c r="AA283" i="30" s="1"/>
  <c r="AA300" i="30" s="1"/>
  <c r="AB330" i="30"/>
  <c r="AB332" i="30" s="1"/>
  <c r="AA333" i="30"/>
  <c r="Z283" i="30"/>
  <c r="AS271" i="30" a="1"/>
  <c r="AS271" i="30" s="1"/>
  <c r="AS279" i="30" s="1"/>
  <c r="AS283" i="30" l="1" a="1"/>
  <c r="AS283" i="30" s="1"/>
  <c r="AS288" i="30" s="1"/>
  <c r="AS290" i="30" s="1"/>
  <c r="Z300" i="30"/>
  <c r="AS300" i="30" s="1" a="1"/>
  <c r="AS300" i="30" s="1"/>
  <c r="AB271" i="30"/>
  <c r="AB283" i="30" s="1"/>
  <c r="AB300" i="30" s="1"/>
  <c r="AB333" i="30"/>
  <c r="AC330" i="30"/>
  <c r="AC332" i="30" s="1"/>
  <c r="AC271" i="30" l="1"/>
  <c r="AC333" i="30"/>
  <c r="AD330" i="30"/>
  <c r="AD332" i="30" s="1"/>
  <c r="AD271" i="30" s="1"/>
  <c r="AE330" i="30" l="1"/>
  <c r="AE332" i="30" s="1"/>
  <c r="AD333" i="30"/>
  <c r="AD283" i="30"/>
  <c r="AD300" i="30" s="1"/>
  <c r="AZ271" i="30" a="1"/>
  <c r="AZ271" i="30" s="1"/>
  <c r="AT271" i="30" a="1"/>
  <c r="AT271" i="30" s="1"/>
  <c r="AT279" i="30" s="1"/>
  <c r="AC283" i="30"/>
  <c r="AC300" i="30" l="1"/>
  <c r="AT283" i="30" a="1"/>
  <c r="AT283" i="30" s="1"/>
  <c r="AT288" i="30" s="1"/>
  <c r="AT290" i="30" s="1"/>
  <c r="AZ283" i="30" a="1"/>
  <c r="AZ283" i="30" s="1"/>
  <c r="BC271" i="30"/>
  <c r="BC279" i="30" s="1"/>
  <c r="AZ279" i="30"/>
  <c r="AE271" i="30"/>
  <c r="AE283" i="30" s="1"/>
  <c r="AE300" i="30" s="1"/>
  <c r="AE333" i="30"/>
  <c r="AF330" i="30"/>
  <c r="AF332" i="30" s="1"/>
  <c r="AG330" i="30" s="1"/>
  <c r="BC283" i="30" l="1"/>
  <c r="BC288" i="30" s="1"/>
  <c r="BC290" i="30" s="1"/>
  <c r="AZ288" i="30"/>
  <c r="AZ290" i="30" s="1"/>
  <c r="AF333" i="30"/>
  <c r="AF271" i="30"/>
  <c r="AT300" i="30" a="1"/>
  <c r="AT300" i="30" s="1"/>
  <c r="AZ300" i="30" a="1"/>
  <c r="AZ300" i="30" s="1"/>
  <c r="BC300" i="30" s="1"/>
  <c r="AF283" i="30" l="1"/>
  <c r="AU271" i="30" a="1"/>
  <c r="AU271" i="30" s="1"/>
  <c r="AU279" i="30" s="1"/>
  <c r="AF300" i="30" l="1"/>
  <c r="AU300" i="30" s="1" a="1"/>
  <c r="AU300" i="30" s="1"/>
  <c r="AU283" i="30" a="1"/>
  <c r="AU283" i="30" s="1"/>
  <c r="AU288" i="30" s="1"/>
  <c r="AU290" i="30" s="1"/>
  <c r="AG2" i="6" l="1"/>
  <c r="AG594" i="6"/>
  <c r="AG222" i="30" s="1"/>
  <c r="AG1" i="6"/>
  <c r="AF15" i="7" l="1"/>
  <c r="AZ15" i="7" s="1"/>
  <c r="AG227" i="30"/>
  <c r="AV222" i="30"/>
  <c r="BA222" i="30" s="1"/>
  <c r="BD222" i="30"/>
  <c r="AG489" i="6"/>
  <c r="BC15" i="7" l="1"/>
  <c r="BC17" i="7" s="1"/>
  <c r="BC20" i="7" s="1"/>
  <c r="BC22" i="7" s="1"/>
  <c r="BC24" i="7" s="1"/>
  <c r="BC27" i="7" s="1"/>
  <c r="AU15" i="7"/>
  <c r="AU17" i="7" s="1"/>
  <c r="AU20" i="7" s="1"/>
  <c r="AU22" i="7" s="1"/>
  <c r="AU24" i="7" s="1"/>
  <c r="AU27" i="7" s="1"/>
  <c r="AF31" i="12"/>
  <c r="AF33" i="12" s="1"/>
  <c r="AF38" i="12" s="1"/>
  <c r="AF40" i="12" s="1"/>
  <c r="AF42" i="12" s="1"/>
  <c r="AF45" i="12" s="1"/>
  <c r="AF49" i="12" s="1"/>
  <c r="AF54" i="12" s="1"/>
  <c r="AF17" i="7"/>
  <c r="AZ17" i="7" s="1"/>
  <c r="AV227" i="30"/>
  <c r="BA227" i="30" s="1"/>
  <c r="AG240" i="30"/>
  <c r="BD227" i="30"/>
  <c r="AF20" i="7" l="1"/>
  <c r="AF22" i="7" s="1"/>
  <c r="AG250" i="30"/>
  <c r="AV240" i="30"/>
  <c r="BA240" i="30" s="1"/>
  <c r="BD240" i="30"/>
  <c r="AZ20" i="7" l="1"/>
  <c r="AZ22" i="7"/>
  <c r="AF24" i="7"/>
  <c r="AV250" i="30"/>
  <c r="BA250" i="30" s="1"/>
  <c r="BD250" i="30"/>
  <c r="AG255" i="30"/>
  <c r="AG304" i="30" s="1"/>
  <c r="BD255" i="30" l="1"/>
  <c r="AG260" i="30"/>
  <c r="AV255" i="30"/>
  <c r="BA255" i="30" s="1"/>
  <c r="AZ24" i="7"/>
  <c r="AF27" i="7"/>
  <c r="AF98" i="7" s="1"/>
  <c r="AU98" i="7" l="1"/>
  <c r="AU102" i="7" s="1"/>
  <c r="AU109" i="7" s="1"/>
  <c r="AU116" i="7" s="1"/>
  <c r="AU121" i="7" s="1"/>
  <c r="AU122" i="7" s="1"/>
  <c r="BC98" i="7"/>
  <c r="BC102" i="7" s="1"/>
  <c r="BC109" i="7" s="1"/>
  <c r="BC116" i="7" s="1"/>
  <c r="BC121" i="7" s="1"/>
  <c r="BC122" i="7" s="1"/>
  <c r="BC123" i="7" s="1"/>
  <c r="AZ98" i="7"/>
  <c r="AZ102" i="7" s="1"/>
  <c r="AZ109" i="7" s="1"/>
  <c r="AZ116" i="7" s="1"/>
  <c r="AZ121" i="7" s="1"/>
  <c r="AZ122" i="7" s="1"/>
  <c r="AZ123" i="7" s="1"/>
  <c r="AG307" i="30"/>
  <c r="AF102" i="7"/>
  <c r="AF109" i="7" s="1"/>
  <c r="AF116" i="7" s="1"/>
  <c r="AF121" i="7" s="1"/>
  <c r="AF122" i="7" s="1"/>
  <c r="AF123" i="7" s="1"/>
  <c r="AZ27" i="7"/>
  <c r="AF55" i="12"/>
  <c r="AG266" i="30"/>
  <c r="AG306" i="30" s="1"/>
  <c r="AV260" i="30"/>
  <c r="BA260" i="30" s="1"/>
  <c r="AV120" i="7" l="1"/>
  <c r="AV122" i="7" s="1"/>
  <c r="AU123" i="7"/>
  <c r="AG311" i="30"/>
  <c r="AG318" i="30" s="1"/>
  <c r="AG325" i="30" s="1"/>
  <c r="AG331" i="30" s="1"/>
  <c r="AG332" i="30" s="1"/>
  <c r="AG271" i="30" s="1"/>
  <c r="AG283" i="30" s="1"/>
  <c r="AG300" i="30" s="1"/>
  <c r="AV266" i="30"/>
  <c r="BA266" i="30" s="1"/>
  <c r="AG267" i="30"/>
  <c r="AW120" i="7" l="1"/>
  <c r="AW122" i="7" s="1"/>
  <c r="AW123" i="7" s="1"/>
  <c r="AV123" i="7"/>
  <c r="AG333"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Alma Karina Nájera Arenas</author>
    <author>Carlos Iván Gálvez Gómez</author>
  </authors>
  <commentList>
    <comment ref="G134" authorId="0" shapeId="0" xr:uid="{8162462A-09C7-4A8C-B8A5-995D8F049430}">
      <text>
        <r>
          <rPr>
            <b/>
            <sz val="9"/>
            <color indexed="81"/>
            <rFont val="Tahoma"/>
            <family val="2"/>
          </rPr>
          <t>Ingreso grupo modelo punto a punto</t>
        </r>
      </text>
    </comment>
    <comment ref="G139" authorId="0" shapeId="0" xr:uid="{35D83B32-E415-42AA-97F6-403E0CB09C99}">
      <text>
        <r>
          <rPr>
            <b/>
            <sz val="9"/>
            <color indexed="81"/>
            <rFont val="Tahoma"/>
            <family val="2"/>
          </rPr>
          <t>Subarrendamiento de todos los HUBS lv, artz, miyana
:</t>
        </r>
        <r>
          <rPr>
            <sz val="9"/>
            <color indexed="81"/>
            <rFont val="Tahoma"/>
            <family val="2"/>
          </rPr>
          <t xml:space="preserve">
</t>
        </r>
      </text>
    </comment>
    <comment ref="G140" authorId="0" shapeId="0" xr:uid="{A6784DC1-DC6D-464D-B692-C5E199A75167}">
      <text>
        <r>
          <rPr>
            <b/>
            <sz val="9"/>
            <color indexed="81"/>
            <rFont val="Tahoma"/>
            <family val="2"/>
          </rPr>
          <t xml:space="preserve">Ingreso por energía electrica con HUBS DAE
</t>
        </r>
      </text>
    </comment>
    <comment ref="G141" authorId="0" shapeId="0" xr:uid="{6C07934A-0E11-4EC8-9A5D-4EC8E58EDA2D}">
      <text>
        <r>
          <rPr>
            <b/>
            <sz val="9"/>
            <color indexed="81"/>
            <rFont val="Tahoma"/>
            <family val="2"/>
          </rPr>
          <t>Ingreso por mantenimiento HUBS DAE</t>
        </r>
      </text>
    </comment>
    <comment ref="G142" authorId="0" shapeId="0" xr:uid="{F39D45FB-2796-4DB6-9868-2581742CD99E}">
      <text>
        <r>
          <rPr>
            <b/>
            <sz val="9"/>
            <color indexed="81"/>
            <rFont val="Tahoma"/>
            <family val="2"/>
          </rPr>
          <t xml:space="preserve">Ingreso por vigilancia y seguridad HUBS DAE
</t>
        </r>
      </text>
    </comment>
    <comment ref="G143" authorId="0" shapeId="0" xr:uid="{075D4150-40B9-4576-BDD1-B83239B6935F}">
      <text>
        <r>
          <rPr>
            <b/>
            <sz val="9"/>
            <color indexed="81"/>
            <rFont val="Tahoma"/>
            <family val="2"/>
          </rPr>
          <t xml:space="preserve">Ingreso por teléfonía e internet hubs DAE
</t>
        </r>
      </text>
    </comment>
    <comment ref="G206" authorId="0" shapeId="0" xr:uid="{1A771279-41D0-4D36-86AC-43DFECB5D039}">
      <text>
        <r>
          <rPr>
            <b/>
            <sz val="9"/>
            <color indexed="81"/>
            <rFont val="Tahoma"/>
            <family val="2"/>
          </rPr>
          <t xml:space="preserve">Depreciación de los contratos de arrendamiento financiero D5 de los HUBS </t>
        </r>
      </text>
    </comment>
    <comment ref="G207" authorId="0" shapeId="0" xr:uid="{E31164B2-9AFA-44D9-94EC-E3F4C8339DFB}">
      <text>
        <r>
          <rPr>
            <b/>
            <sz val="9"/>
            <color indexed="81"/>
            <rFont val="Tahoma"/>
            <family val="2"/>
          </rPr>
          <t xml:space="preserve">Depreciación de cargadores </t>
        </r>
        <r>
          <rPr>
            <sz val="9"/>
            <color indexed="81"/>
            <rFont val="Tahoma"/>
            <family val="2"/>
          </rPr>
          <t xml:space="preserve">
</t>
        </r>
      </text>
    </comment>
    <comment ref="G208" authorId="0" shapeId="0" xr:uid="{02996066-BBD9-482D-BDD4-64841779F988}">
      <text>
        <r>
          <rPr>
            <b/>
            <sz val="9"/>
            <color indexed="81"/>
            <rFont val="Tahoma"/>
            <family val="2"/>
          </rPr>
          <t xml:space="preserve">Depreciaicón de instalaciones de la infra </t>
        </r>
      </text>
    </comment>
    <comment ref="M223" authorId="0" shapeId="0" xr:uid="{E3518736-7BF3-4570-9A82-D5F4ECA25C3F}">
      <text>
        <r>
          <rPr>
            <b/>
            <sz val="9"/>
            <color indexed="81"/>
            <rFont val="Tahoma"/>
            <family val="2"/>
          </rPr>
          <t xml:space="preserve">VEMO:
</t>
        </r>
        <r>
          <rPr>
            <sz val="9"/>
            <color indexed="81"/>
            <rFont val="Tahoma"/>
            <family val="2"/>
          </rPr>
          <t xml:space="preserve">Pago de Agua Aleph 
teléfono LV
</t>
        </r>
      </text>
    </comment>
    <comment ref="M224" authorId="0" shapeId="0" xr:uid="{70A13567-1A5C-4A98-BC06-B554F0DCD769}">
      <text>
        <r>
          <rPr>
            <b/>
            <sz val="9"/>
            <color indexed="81"/>
            <rFont val="Tahoma"/>
            <family val="2"/>
          </rPr>
          <t xml:space="preserve">VEMO:
</t>
        </r>
        <r>
          <rPr>
            <sz val="9"/>
            <color indexed="81"/>
            <rFont val="Tahoma"/>
            <family val="2"/>
          </rPr>
          <t xml:space="preserve">Pago de Agua Aleph 
teléfono LV
</t>
        </r>
      </text>
    </comment>
    <comment ref="M226" authorId="0" shapeId="0" xr:uid="{0D4BB2A1-86EF-4215-AA17-4DCEB8C9CC1E}">
      <text>
        <r>
          <rPr>
            <b/>
            <sz val="9"/>
            <color indexed="81"/>
            <rFont val="Tahoma"/>
            <family val="2"/>
          </rPr>
          <t xml:space="preserve">VEMO:
</t>
        </r>
        <r>
          <rPr>
            <sz val="9"/>
            <color indexed="81"/>
            <rFont val="Tahoma"/>
            <family val="2"/>
          </rPr>
          <t xml:space="preserve">Pago de Agua Aleph 
teléfono LV
</t>
        </r>
      </text>
    </comment>
    <comment ref="M229" authorId="0" shapeId="0" xr:uid="{78607D33-190A-4942-B162-3B2DF9B70AC3}">
      <text>
        <r>
          <rPr>
            <b/>
            <sz val="9"/>
            <color indexed="81"/>
            <rFont val="Tahoma"/>
            <family val="2"/>
          </rPr>
          <t xml:space="preserve">VEMO:
</t>
        </r>
        <r>
          <rPr>
            <sz val="9"/>
            <color indexed="81"/>
            <rFont val="Tahoma"/>
            <family val="2"/>
          </rPr>
          <t xml:space="preserve">Pago de Agua Aleph 
teléfono LV
</t>
        </r>
      </text>
    </comment>
    <comment ref="L314" authorId="1" shapeId="0" xr:uid="{37BF9BA7-63D9-4F42-949F-6FAFD6A7E8D8}">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L335" authorId="1" shapeId="0" xr:uid="{7DB0C4C9-464A-4C62-B5B5-3D669C9BF0E3}">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M335" authorId="1" shapeId="0" xr:uid="{1655629B-C268-462F-B68C-B096F15F24E9}">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N335" authorId="1" shapeId="0" xr:uid="{A1050626-6853-4B25-ADBD-762C5052C074}">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G366" authorId="0" shapeId="0" xr:uid="{CC3BD316-698D-4ECE-89E0-9FF0D584D6F5}">
      <text>
        <r>
          <rPr>
            <b/>
            <sz val="9"/>
            <color indexed="81"/>
            <rFont val="Tahoma"/>
            <family val="2"/>
          </rPr>
          <t xml:space="preserve">vemo:
limpieza de gran oso </t>
        </r>
        <r>
          <rPr>
            <sz val="9"/>
            <color indexed="81"/>
            <rFont val="Tahoma"/>
            <family val="2"/>
          </rPr>
          <t xml:space="preserve">
</t>
        </r>
      </text>
    </comment>
    <comment ref="G367" authorId="0" shapeId="0" xr:uid="{3ABB6EA8-B991-4198-995B-9D2D1B8705F2}">
      <text>
        <r>
          <rPr>
            <b/>
            <sz val="9"/>
            <color indexed="81"/>
            <rFont val="Tahoma"/>
            <family val="2"/>
          </rPr>
          <t xml:space="preserve">vemo:
mantenimiento y conservación </t>
        </r>
        <r>
          <rPr>
            <sz val="9"/>
            <color indexed="81"/>
            <rFont val="Tahoma"/>
            <family val="2"/>
          </rPr>
          <t xml:space="preserve">
</t>
        </r>
      </text>
    </comment>
    <comment ref="G368" authorId="0" shapeId="0" xr:uid="{A5036FB4-63C7-40C4-9E8C-AC846438CF60}">
      <text>
        <r>
          <rPr>
            <b/>
            <sz val="9"/>
            <color indexed="81"/>
            <rFont val="Tahoma"/>
            <family val="2"/>
          </rPr>
          <t xml:space="preserve">vemo:
señalizciones 
</t>
        </r>
      </text>
    </comment>
    <comment ref="L438" authorId="1" shapeId="0" xr:uid="{69920DA1-216A-4617-B76F-88E86967F503}">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G612" authorId="0" shapeId="0" xr:uid="{15387C81-D5D5-4F08-9E2E-C643B30D3DC5}">
      <text>
        <r>
          <rPr>
            <b/>
            <sz val="9"/>
            <color indexed="81"/>
            <rFont val="Tahoma"/>
            <family val="2"/>
          </rPr>
          <t>Ingreso grupo modelo punto a punto</t>
        </r>
      </text>
    </comment>
    <comment ref="G617" authorId="0" shapeId="0" xr:uid="{51B5E400-341A-485D-8F80-25DD58BE99D1}">
      <text>
        <r>
          <rPr>
            <b/>
            <sz val="9"/>
            <color indexed="81"/>
            <rFont val="Tahoma"/>
            <family val="2"/>
          </rPr>
          <t>Subarrendamiento de todos los HUBS lv, artz, miyana
:</t>
        </r>
        <r>
          <rPr>
            <sz val="9"/>
            <color indexed="81"/>
            <rFont val="Tahoma"/>
            <family val="2"/>
          </rPr>
          <t xml:space="preserve">
</t>
        </r>
      </text>
    </comment>
    <comment ref="G618" authorId="0" shapeId="0" xr:uid="{7A5C48C4-DFC5-437D-A4C0-88F921C81649}">
      <text>
        <r>
          <rPr>
            <b/>
            <sz val="9"/>
            <color indexed="81"/>
            <rFont val="Tahoma"/>
            <family val="2"/>
          </rPr>
          <t xml:space="preserve">Ingreso por energía electrica con HUBS DAE
</t>
        </r>
      </text>
    </comment>
    <comment ref="G619" authorId="0" shapeId="0" xr:uid="{D85B6108-C8A8-4212-AA7F-0BD24148894E}">
      <text>
        <r>
          <rPr>
            <b/>
            <sz val="9"/>
            <color indexed="81"/>
            <rFont val="Tahoma"/>
            <family val="2"/>
          </rPr>
          <t>Ingreso por mantenimiento HUBS DAE</t>
        </r>
      </text>
    </comment>
    <comment ref="G620" authorId="0" shapeId="0" xr:uid="{E50885A0-FE32-4216-9620-A28BAE2BC8F9}">
      <text>
        <r>
          <rPr>
            <b/>
            <sz val="9"/>
            <color indexed="81"/>
            <rFont val="Tahoma"/>
            <family val="2"/>
          </rPr>
          <t xml:space="preserve">Ingreso por vigilancia y seguridad HUBS DAE
</t>
        </r>
      </text>
    </comment>
    <comment ref="G621" authorId="0" shapeId="0" xr:uid="{C3856C3A-463F-471B-8EDA-97CF9AA71C47}">
      <text>
        <r>
          <rPr>
            <b/>
            <sz val="9"/>
            <color indexed="81"/>
            <rFont val="Tahoma"/>
            <family val="2"/>
          </rPr>
          <t xml:space="preserve">Ingreso por teléfonía e internet hubs DAE
</t>
        </r>
      </text>
    </comment>
    <comment ref="G684" authorId="0" shapeId="0" xr:uid="{F05DBD34-2A19-49AD-B17F-91CB4F39B814}">
      <text>
        <r>
          <rPr>
            <b/>
            <sz val="9"/>
            <color indexed="81"/>
            <rFont val="Tahoma"/>
            <family val="2"/>
          </rPr>
          <t xml:space="preserve">Depreciación de los contratos de arrendamiento financiero D5 de los HUBS </t>
        </r>
      </text>
    </comment>
    <comment ref="G685" authorId="0" shapeId="0" xr:uid="{4F50D151-E0F0-4607-84C5-0E82CBD8DBAE}">
      <text>
        <r>
          <rPr>
            <b/>
            <sz val="9"/>
            <color indexed="81"/>
            <rFont val="Tahoma"/>
            <family val="2"/>
          </rPr>
          <t xml:space="preserve">Depreciación de cargadores </t>
        </r>
        <r>
          <rPr>
            <sz val="9"/>
            <color indexed="81"/>
            <rFont val="Tahoma"/>
            <family val="2"/>
          </rPr>
          <t xml:space="preserve">
</t>
        </r>
      </text>
    </comment>
    <comment ref="G686" authorId="0" shapeId="0" xr:uid="{F3D1EEE9-DE85-4556-AEEB-A64090F0D8C1}">
      <text>
        <r>
          <rPr>
            <b/>
            <sz val="9"/>
            <color indexed="81"/>
            <rFont val="Tahoma"/>
            <family val="2"/>
          </rPr>
          <t xml:space="preserve">Depreciaicón de instalaciones de la infra </t>
        </r>
      </text>
    </comment>
    <comment ref="M701" authorId="0" shapeId="0" xr:uid="{681800F6-2DC4-4F50-9AA9-E2B53261E42D}">
      <text>
        <r>
          <rPr>
            <b/>
            <sz val="9"/>
            <color indexed="81"/>
            <rFont val="Tahoma"/>
            <family val="2"/>
          </rPr>
          <t xml:space="preserve">VEMO:
</t>
        </r>
        <r>
          <rPr>
            <sz val="9"/>
            <color indexed="81"/>
            <rFont val="Tahoma"/>
            <family val="2"/>
          </rPr>
          <t xml:space="preserve">Pago de Agua Aleph 
teléfono LV
</t>
        </r>
      </text>
    </comment>
    <comment ref="M702" authorId="0" shapeId="0" xr:uid="{6414F195-4281-407C-A9FF-3ECD5B774C7B}">
      <text>
        <r>
          <rPr>
            <b/>
            <sz val="9"/>
            <color indexed="81"/>
            <rFont val="Tahoma"/>
            <family val="2"/>
          </rPr>
          <t xml:space="preserve">VEMO:
</t>
        </r>
        <r>
          <rPr>
            <sz val="9"/>
            <color indexed="81"/>
            <rFont val="Tahoma"/>
            <family val="2"/>
          </rPr>
          <t xml:space="preserve">Pago de Agua Aleph 
teléfono LV
</t>
        </r>
      </text>
    </comment>
    <comment ref="M704" authorId="0" shapeId="0" xr:uid="{F18B2D88-3C8A-4BAB-9249-2CD7D2D7B755}">
      <text>
        <r>
          <rPr>
            <b/>
            <sz val="9"/>
            <color indexed="81"/>
            <rFont val="Tahoma"/>
            <family val="2"/>
          </rPr>
          <t xml:space="preserve">VEMO:
</t>
        </r>
        <r>
          <rPr>
            <sz val="9"/>
            <color indexed="81"/>
            <rFont val="Tahoma"/>
            <family val="2"/>
          </rPr>
          <t xml:space="preserve">Pago de Agua Aleph 
teléfono LV
</t>
        </r>
      </text>
    </comment>
    <comment ref="M707" authorId="0" shapeId="0" xr:uid="{A45F15C7-35AC-42FE-94EC-E7171AB3C68C}">
      <text>
        <r>
          <rPr>
            <b/>
            <sz val="9"/>
            <color indexed="81"/>
            <rFont val="Tahoma"/>
            <family val="2"/>
          </rPr>
          <t xml:space="preserve">VEMO:
</t>
        </r>
        <r>
          <rPr>
            <sz val="9"/>
            <color indexed="81"/>
            <rFont val="Tahoma"/>
            <family val="2"/>
          </rPr>
          <t xml:space="preserve">Pago de Agua Aleph 
teléfono LV
</t>
        </r>
      </text>
    </comment>
    <comment ref="L792" authorId="1" shapeId="0" xr:uid="{4A3C2C88-E212-406E-B2FC-9175FE9D91D8}">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L813" authorId="1" shapeId="0" xr:uid="{C3559627-7778-4B04-A525-93D85F4C8ADF}">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M813" authorId="1" shapeId="0" xr:uid="{7E7ABCC9-0622-4DA2-850D-762E96514CEE}">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N813" authorId="1" shapeId="0" xr:uid="{8ABE45E7-0630-4598-A5C9-37D1E7ABB83D}">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 ref="G844" authorId="0" shapeId="0" xr:uid="{76013082-A0F1-485F-A8D0-BD47F00902D5}">
      <text>
        <r>
          <rPr>
            <b/>
            <sz val="9"/>
            <color indexed="81"/>
            <rFont val="Tahoma"/>
            <family val="2"/>
          </rPr>
          <t xml:space="preserve">vemo:
limpieza de gran oso </t>
        </r>
        <r>
          <rPr>
            <sz val="9"/>
            <color indexed="81"/>
            <rFont val="Tahoma"/>
            <family val="2"/>
          </rPr>
          <t xml:space="preserve">
</t>
        </r>
      </text>
    </comment>
    <comment ref="G845" authorId="0" shapeId="0" xr:uid="{A9D0ED37-B6F5-4749-9B6E-1AC7A1A77510}">
      <text>
        <r>
          <rPr>
            <b/>
            <sz val="9"/>
            <color indexed="81"/>
            <rFont val="Tahoma"/>
            <family val="2"/>
          </rPr>
          <t xml:space="preserve">vemo:
mantenimiento y conservación </t>
        </r>
        <r>
          <rPr>
            <sz val="9"/>
            <color indexed="81"/>
            <rFont val="Tahoma"/>
            <family val="2"/>
          </rPr>
          <t xml:space="preserve">
</t>
        </r>
      </text>
    </comment>
    <comment ref="G846" authorId="0" shapeId="0" xr:uid="{D5B54424-1C24-4F52-9700-68FDDAE61F7C}">
      <text>
        <r>
          <rPr>
            <b/>
            <sz val="9"/>
            <color indexed="81"/>
            <rFont val="Tahoma"/>
            <family val="2"/>
          </rPr>
          <t xml:space="preserve">vemo:
señalizciones 
</t>
        </r>
      </text>
    </comment>
    <comment ref="L916" authorId="1" shapeId="0" xr:uid="{73FFC8CC-B358-49A3-84CA-475C3382EBDB}">
      <text>
        <r>
          <rPr>
            <b/>
            <sz val="9"/>
            <color indexed="81"/>
            <rFont val="Tahoma"/>
            <family val="2"/>
          </rPr>
          <t xml:space="preserve">VEMO:
</t>
        </r>
        <r>
          <rPr>
            <sz val="9"/>
            <color indexed="81"/>
            <rFont val="Tahoma"/>
            <family val="2"/>
          </rPr>
          <t>Includes rents, energy costs and security expenses that should be a pass-through to DAE. 
Additionally,  99 Minutos hub rent is included, which should be a pass-through to VEMO EV Fleets, considering its a project related to that business line, but that was within the legal entity  VCN is part of.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Enrique Brockmann</author>
  </authors>
  <commentList>
    <comment ref="B35" authorId="0" shapeId="0" xr:uid="{8DC42D63-0DCB-4452-9A4F-C567291C16B1}">
      <text>
        <r>
          <rPr>
            <b/>
            <sz val="9"/>
            <color indexed="81"/>
            <rFont val="Tahoma"/>
            <family val="2"/>
          </rPr>
          <t>VEMO:</t>
        </r>
        <r>
          <rPr>
            <sz val="9"/>
            <color indexed="81"/>
            <rFont val="Tahoma"/>
            <family val="2"/>
          </rPr>
          <t xml:space="preserve">
1) Insurance receivable (clains and UDI)
2) Lease accounting asset
3) Equity in Credit wo Borders (ca. MxN $500K)
4) Gas vouchers
5) Pending employee reibursements
6) Intangible assets (simplicity pf BS presentation)</t>
        </r>
      </text>
    </comment>
    <comment ref="B38" authorId="0" shapeId="0" xr:uid="{2429A514-A152-44F7-B1CA-A8F01CF9E28B}">
      <text>
        <r>
          <rPr>
            <b/>
            <sz val="9"/>
            <color indexed="81"/>
            <rFont val="Tahoma"/>
            <family val="2"/>
          </rPr>
          <t>VEMO:</t>
        </r>
        <r>
          <rPr>
            <sz val="9"/>
            <color indexed="81"/>
            <rFont val="Tahoma"/>
            <family val="2"/>
          </rPr>
          <t xml:space="preserve">
Includes:
1)Payments for vehicle permits, local taxes and GPS
2) Security deposits
3) Electricity from LV Hub
4) Workshop expenses
5) Software</t>
        </r>
      </text>
    </comment>
    <comment ref="B41" authorId="0" shapeId="0" xr:uid="{904C48D1-2B75-466D-B430-47859D0701BB}">
      <text>
        <r>
          <rPr>
            <b/>
            <sz val="9"/>
            <color indexed="81"/>
            <rFont val="Tahoma"/>
            <family val="2"/>
          </rPr>
          <t>VEMO:</t>
        </r>
        <r>
          <rPr>
            <sz val="9"/>
            <color indexed="81"/>
            <rFont val="Tahoma"/>
            <family val="2"/>
          </rPr>
          <t xml:space="preserve">
New vehicle inventory</t>
        </r>
      </text>
    </comment>
    <comment ref="B42" authorId="0" shapeId="0" xr:uid="{CFE07F6D-D620-434A-84D4-6B011AFE45A6}">
      <text>
        <r>
          <rPr>
            <b/>
            <sz val="9"/>
            <color indexed="81"/>
            <rFont val="Tahoma"/>
            <family val="2"/>
          </rPr>
          <t>VEMO:</t>
        </r>
        <r>
          <rPr>
            <sz val="9"/>
            <color indexed="81"/>
            <rFont val="Tahoma"/>
            <family val="2"/>
          </rPr>
          <t xml:space="preserve">
Repossed vehicles and Carbon Credits</t>
        </r>
      </text>
    </comment>
    <comment ref="B47" authorId="0" shapeId="0" xr:uid="{1241B42A-22EA-47D5-AED4-B92C0143726D}">
      <text>
        <r>
          <rPr>
            <b/>
            <sz val="9"/>
            <color indexed="81"/>
            <rFont val="Tahoma"/>
            <family val="2"/>
          </rPr>
          <t>VEMO:</t>
        </r>
        <r>
          <rPr>
            <sz val="9"/>
            <color indexed="81"/>
            <rFont val="Tahoma"/>
            <family val="2"/>
          </rPr>
          <t xml:space="preserve">
Lease accounting according to NIF Standards</t>
        </r>
      </text>
    </comment>
    <comment ref="B49" authorId="0" shapeId="0" xr:uid="{91E2FF6E-BA97-40B3-940A-26564C60898F}">
      <text>
        <r>
          <rPr>
            <b/>
            <sz val="9"/>
            <color indexed="81"/>
            <rFont val="Tahoma"/>
            <family val="2"/>
          </rPr>
          <t>VEMO:</t>
        </r>
        <r>
          <rPr>
            <sz val="9"/>
            <color indexed="81"/>
            <rFont val="Tahoma"/>
            <family val="2"/>
          </rPr>
          <t xml:space="preserve">
Insurance, GPS, taxes and fee provisions for LTO portfolio</t>
        </r>
      </text>
    </comment>
    <comment ref="B51" authorId="0" shapeId="0" xr:uid="{4CA5A1D1-02B4-4B65-A255-0879F1580D85}">
      <text>
        <r>
          <rPr>
            <b/>
            <sz val="9"/>
            <color indexed="81"/>
            <rFont val="Tahoma"/>
            <family val="2"/>
          </rPr>
          <t>VEMO:</t>
        </r>
        <r>
          <rPr>
            <sz val="9"/>
            <color indexed="81"/>
            <rFont val="Tahoma"/>
            <family val="2"/>
          </rPr>
          <t xml:space="preserve">
1) Insurance claims payable
2) Credit cards payable</t>
        </r>
      </text>
    </comment>
    <comment ref="B52" authorId="0" shapeId="0" xr:uid="{535484FA-66C1-4757-85BA-2B8495A6094A}">
      <text>
        <r>
          <rPr>
            <b/>
            <sz val="9"/>
            <color indexed="81"/>
            <rFont val="Tahoma"/>
            <family val="2"/>
          </rPr>
          <t>VEMO:</t>
        </r>
        <r>
          <rPr>
            <sz val="9"/>
            <color indexed="81"/>
            <rFont val="Tahoma"/>
            <family val="2"/>
          </rPr>
          <t xml:space="preserve">
Bonus provision and other employee benefits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Jorge Márquez Fernández</author>
    <author>Alma Karina Nájera Arenas</author>
    <author>Carlos Iván Gálvez Gómez</author>
  </authors>
  <commentList>
    <comment ref="B26" authorId="0" shapeId="0" xr:uid="{2274B172-B06D-43B2-B240-A7BE03D47D1B}">
      <text>
        <r>
          <rPr>
            <b/>
            <sz val="9"/>
            <color indexed="81"/>
            <rFont val="Tahoma"/>
            <family val="2"/>
          </rPr>
          <t>VEMO:</t>
        </r>
        <r>
          <rPr>
            <sz val="9"/>
            <color indexed="81"/>
            <rFont val="Tahoma"/>
            <family val="2"/>
          </rPr>
          <t xml:space="preserve">
From March to July 2023, hosts have not received any reimbursement for the energy costs incurred due to the utilization of chargers. These hosts have opted to postpone the reimbursement until the total amount reaches a more considerable value.
In July 2023, ITESM (first public VCN host) decided to receive its first energy cost reimbursement; therefore, this cost will be reflected in August 2023, accounting for the energy consumption accumulated since their chargers started operations.
For DAE hubs electricity costs will be rellocated in DAE</t>
        </r>
      </text>
    </comment>
    <comment ref="B53" authorId="1" shapeId="0" xr:uid="{3B8ECF5C-1EC4-4659-AACD-554464B8D667}">
      <text>
        <r>
          <rPr>
            <b/>
            <sz val="9"/>
            <color indexed="81"/>
            <rFont val="Tahoma"/>
            <family val="2"/>
          </rPr>
          <t xml:space="preserve">VEMO:
</t>
        </r>
        <r>
          <rPr>
            <sz val="9"/>
            <color indexed="81"/>
            <rFont val="Tahoma"/>
            <family val="2"/>
          </rPr>
          <t>Medical Insurance of VCN employees. 
It's important to note that the property damage insurance for the chargers is encompassed within the corporate SG&amp;A, providing coverage for the chargers of the EV Fleets as well.
Additionally, the VCN entity is currently in the process of procuring liability insurance for its chargers (expected issuance date: sep-23)</t>
        </r>
      </text>
    </comment>
    <comment ref="B55" authorId="2" shapeId="0" xr:uid="{B36BE2A2-EAD8-410D-8635-BE784CB58C43}">
      <text>
        <r>
          <rPr>
            <b/>
            <sz val="9"/>
            <color indexed="81"/>
            <rFont val="Tahoma"/>
            <family val="2"/>
          </rPr>
          <t xml:space="preserve">VEMO:
</t>
        </r>
        <r>
          <rPr>
            <sz val="9"/>
            <color indexed="81"/>
            <rFont val="Tahoma"/>
            <family val="2"/>
          </rPr>
          <t xml:space="preserve">Non-recurrent costs charged in VCN entity and Non Deductibles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Alma Karina Nájera Arenas</author>
    <author>Jose Angel Llamas Hernandez</author>
    <author>Enrique Brockmann</author>
  </authors>
  <commentList>
    <comment ref="AG158" authorId="0" shapeId="0" xr:uid="{4D2AC91D-0A80-4180-8A64-EC008A3D87A4}">
      <text>
        <r>
          <rPr>
            <b/>
            <sz val="9"/>
            <color indexed="81"/>
            <rFont val="Tahoma"/>
            <family val="2"/>
          </rPr>
          <t xml:space="preserve">VEMO:
</t>
        </r>
        <r>
          <rPr>
            <sz val="9"/>
            <color indexed="81"/>
            <rFont val="Tahoma"/>
            <family val="2"/>
          </rPr>
          <t xml:space="preserve">PPC MXN $276,545 y MXN $111,592 Colaboración DiDi q1 es una provisión vs la real
</t>
        </r>
      </text>
    </comment>
    <comment ref="AG162" authorId="0" shapeId="0" xr:uid="{3E1D3871-472D-4233-B758-B96857ED6C48}">
      <text>
        <r>
          <rPr>
            <sz val="9"/>
            <color indexed="81"/>
            <rFont val="Tahoma"/>
            <charset val="1"/>
          </rPr>
          <t xml:space="preserve">VEMO:
Ingreso por publicidad MXN $35,625 </t>
        </r>
        <r>
          <rPr>
            <b/>
            <sz val="9"/>
            <color indexed="81"/>
            <rFont val="Tahoma"/>
            <family val="2"/>
          </rPr>
          <t>(byd MXN $15,625, HUB Periférico MXN $20,000)</t>
        </r>
        <r>
          <rPr>
            <sz val="9"/>
            <color indexed="81"/>
            <rFont val="Tahoma"/>
            <charset val="1"/>
          </rPr>
          <t xml:space="preserve">
Ingreso máquinas expensadoras MXN $623.50 </t>
        </r>
        <r>
          <rPr>
            <b/>
            <sz val="9"/>
            <color indexed="81"/>
            <rFont val="Tahoma"/>
            <family val="2"/>
          </rPr>
          <t xml:space="preserve">Bimbo </t>
        </r>
        <r>
          <rPr>
            <sz val="9"/>
            <color indexed="81"/>
            <rFont val="Tahoma"/>
            <charset val="1"/>
          </rPr>
          <t xml:space="preserve">
Ingreso Watts credit programs MXN $361,728 </t>
        </r>
        <r>
          <rPr>
            <b/>
            <sz val="9"/>
            <color indexed="81"/>
            <rFont val="Tahoma"/>
            <family val="2"/>
          </rPr>
          <t>BMW 
Walmart MXN $59,388</t>
        </r>
        <r>
          <rPr>
            <sz val="9"/>
            <color indexed="81"/>
            <rFont val="Tahoma"/>
            <charset val="1"/>
          </rPr>
          <t xml:space="preserve">
</t>
        </r>
      </text>
    </comment>
    <comment ref="AG166" authorId="0" shapeId="0" xr:uid="{BBFBBA65-1854-4C97-A846-AC530D05AD97}">
      <text>
        <r>
          <rPr>
            <b/>
            <sz val="9"/>
            <color indexed="81"/>
            <rFont val="Tahoma"/>
            <family val="2"/>
          </rPr>
          <t>VEMO:
Aleph MXN $152,791
Artz MXN $238,862
MM MXN $639,457
Petrarca MXN $304,145
Torre Mexicana MXN $610,205:</t>
        </r>
        <r>
          <rPr>
            <sz val="9"/>
            <color indexed="81"/>
            <rFont val="Tahoma"/>
            <family val="2"/>
          </rPr>
          <t xml:space="preserve">
</t>
        </r>
      </text>
    </comment>
    <comment ref="AG168" authorId="0" shapeId="0" xr:uid="{BB5CE751-4AB5-497B-A396-A15A92DF3CBF}">
      <text>
        <r>
          <rPr>
            <b/>
            <sz val="9"/>
            <color indexed="81"/>
            <rFont val="Tahoma"/>
            <family val="2"/>
          </rPr>
          <t xml:space="preserve">VEMO:
</t>
        </r>
        <r>
          <rPr>
            <sz val="9"/>
            <color indexed="81"/>
            <rFont val="Tahoma"/>
            <family val="2"/>
          </rPr>
          <t>Comisiones de mercado Pago</t>
        </r>
      </text>
    </comment>
    <comment ref="AG169" authorId="0" shapeId="0" xr:uid="{1432894A-71A2-46F0-B61F-1015DA0BD276}">
      <text>
        <r>
          <rPr>
            <b/>
            <sz val="9"/>
            <color indexed="81"/>
            <rFont val="Tahoma"/>
            <family val="2"/>
          </rPr>
          <t xml:space="preserve">VEMO:
</t>
        </r>
        <r>
          <rPr>
            <sz val="9"/>
            <color indexed="81"/>
            <rFont val="Tahoma"/>
            <family val="2"/>
          </rPr>
          <t>Contra cargos Mercado Pago</t>
        </r>
      </text>
    </comment>
    <comment ref="AG170" authorId="0" shapeId="0" xr:uid="{0DAE7578-CC80-46F7-A4D4-6C6D2A3769BE}">
      <text>
        <r>
          <rPr>
            <b/>
            <sz val="9"/>
            <color indexed="81"/>
            <rFont val="Tahoma"/>
            <family val="2"/>
          </rPr>
          <t xml:space="preserve">VEMO:
</t>
        </r>
        <r>
          <rPr>
            <sz val="9"/>
            <color indexed="81"/>
            <rFont val="Tahoma"/>
            <family val="2"/>
          </rPr>
          <t>Seguros Sura</t>
        </r>
      </text>
    </comment>
    <comment ref="AG174" authorId="0" shapeId="0" xr:uid="{F10377DF-BFFB-4FEA-9D99-B82F975AE731}">
      <text>
        <r>
          <rPr>
            <b/>
            <sz val="9"/>
            <color indexed="81"/>
            <rFont val="Tahoma"/>
            <family val="2"/>
          </rPr>
          <t>VEMO:</t>
        </r>
        <r>
          <rPr>
            <sz val="9"/>
            <color indexed="81"/>
            <rFont val="Tahoma"/>
            <family val="2"/>
          </rPr>
          <t xml:space="preserve">
VCN: MXN $157,600
Transval MXN $39,383
San Pedro MXN $32,800
Centenario MXN $23,040
Gran Oso MXN $900
Roma MXN $900</t>
        </r>
      </text>
    </comment>
    <comment ref="AG175" authorId="0" shapeId="0" xr:uid="{523BC924-CC7B-46B7-9EC8-3DC4BCC3820C}">
      <text>
        <r>
          <rPr>
            <b/>
            <sz val="9"/>
            <color indexed="81"/>
            <rFont val="Tahoma"/>
            <family val="2"/>
          </rPr>
          <t>VEMO:
MXN $89,397 Seguridad Exhibimex
MXN $44,698 Seguridad las águilas
MXN $44,698 Periférico Sur (Tiburcio)
MXN $44,100 Gran Oso
MXN $44,100 Mosqueta
MXN $44,100
MXN $44,100 Bodega Vallejo</t>
        </r>
      </text>
    </comment>
    <comment ref="AG176" authorId="0" shapeId="0" xr:uid="{4752AD1B-6750-448E-9356-24332BA4F4A5}">
      <text>
        <r>
          <rPr>
            <b/>
            <sz val="9"/>
            <color indexed="81"/>
            <rFont val="Tahoma"/>
            <charset val="1"/>
          </rPr>
          <t>VEMO:
MXN $18,385 Protección Civil Exhibimex
MXN $18,385 Protección Civil Roma
MXN $18,385 Protección Civil Gran oso
MXN $14,700 Consumo de Agua Inmobiliaria Elena
MXN $6,358 Energía</t>
        </r>
      </text>
    </comment>
    <comment ref="AG178" authorId="0" shapeId="0" xr:uid="{E0DC8B76-CD86-4175-8294-670094257588}">
      <text>
        <r>
          <rPr>
            <b/>
            <sz val="9"/>
            <color indexed="81"/>
            <rFont val="Tahoma"/>
            <charset val="1"/>
          </rPr>
          <t>VEMO:</t>
        </r>
        <r>
          <rPr>
            <sz val="9"/>
            <color indexed="81"/>
            <rFont val="Tahoma"/>
            <charset val="1"/>
          </rPr>
          <t xml:space="preserve">
BODEGA VALLEJO </t>
        </r>
        <r>
          <rPr>
            <b/>
            <sz val="9"/>
            <color indexed="81"/>
            <rFont val="Tahoma"/>
            <family val="2"/>
          </rPr>
          <t xml:space="preserve"> MXN $409,725.32 </t>
        </r>
        <r>
          <rPr>
            <sz val="9"/>
            <color indexed="81"/>
            <rFont val="Tahoma"/>
            <charset val="1"/>
          </rPr>
          <t xml:space="preserve">
LAS AGUILAS (CENTENARIO)  </t>
        </r>
        <r>
          <rPr>
            <b/>
            <sz val="9"/>
            <color indexed="81"/>
            <rFont val="Tahoma"/>
            <family val="2"/>
          </rPr>
          <t xml:space="preserve">MXN $308,605.03 </t>
        </r>
        <r>
          <rPr>
            <sz val="9"/>
            <color indexed="81"/>
            <rFont val="Tahoma"/>
            <charset val="1"/>
          </rPr>
          <t xml:space="preserve">
MIXCOAC (PERIFERICO SUR)  </t>
        </r>
        <r>
          <rPr>
            <b/>
            <sz val="9"/>
            <color indexed="81"/>
            <rFont val="Tahoma"/>
            <family val="2"/>
          </rPr>
          <t xml:space="preserve">MXN $277,678.62 </t>
        </r>
        <r>
          <rPr>
            <sz val="9"/>
            <color indexed="81"/>
            <rFont val="Tahoma"/>
            <charset val="1"/>
          </rPr>
          <t xml:space="preserve">
VASCONCELOS (MTY)  </t>
        </r>
        <r>
          <rPr>
            <b/>
            <sz val="9"/>
            <color indexed="81"/>
            <rFont val="Tahoma"/>
            <family val="2"/>
          </rPr>
          <t xml:space="preserve">MXN $273,334.52 </t>
        </r>
        <r>
          <rPr>
            <sz val="9"/>
            <color indexed="81"/>
            <rFont val="Tahoma"/>
            <charset val="1"/>
          </rPr>
          <t xml:space="preserve">
ROMA  </t>
        </r>
        <r>
          <rPr>
            <b/>
            <sz val="9"/>
            <color indexed="81"/>
            <rFont val="Tahoma"/>
            <family val="2"/>
          </rPr>
          <t xml:space="preserve">MXN $262,666.24 </t>
        </r>
        <r>
          <rPr>
            <sz val="9"/>
            <color indexed="81"/>
            <rFont val="Tahoma"/>
            <charset val="1"/>
          </rPr>
          <t xml:space="preserve">
SAN PEDRO DE LOS PINOS </t>
        </r>
        <r>
          <rPr>
            <b/>
            <sz val="9"/>
            <color indexed="81"/>
            <rFont val="Tahoma"/>
            <family val="2"/>
          </rPr>
          <t xml:space="preserve"> MXN $211,456.09 </t>
        </r>
        <r>
          <rPr>
            <sz val="9"/>
            <color indexed="81"/>
            <rFont val="Tahoma"/>
            <charset val="1"/>
          </rPr>
          <t xml:space="preserve">
MONUMENTO A LA MADRE (DAE)  </t>
        </r>
        <r>
          <rPr>
            <b/>
            <sz val="9"/>
            <color indexed="81"/>
            <rFont val="Tahoma"/>
            <family val="2"/>
          </rPr>
          <t xml:space="preserve">MXN $171,157.42 </t>
        </r>
        <r>
          <rPr>
            <sz val="9"/>
            <color indexed="81"/>
            <rFont val="Tahoma"/>
            <charset val="1"/>
          </rPr>
          <t xml:space="preserve">
AEROPUERTO (TRANSVAL) </t>
        </r>
        <r>
          <rPr>
            <b/>
            <sz val="9"/>
            <color indexed="81"/>
            <rFont val="Tahoma"/>
            <family val="2"/>
          </rPr>
          <t xml:space="preserve"> MXN $146,536.16 </t>
        </r>
        <r>
          <rPr>
            <sz val="9"/>
            <color indexed="81"/>
            <rFont val="Tahoma"/>
            <charset val="1"/>
          </rPr>
          <t xml:space="preserve">
PETRARCA (DAE)  </t>
        </r>
        <r>
          <rPr>
            <b/>
            <sz val="9"/>
            <color indexed="81"/>
            <rFont val="Tahoma"/>
            <family val="2"/>
          </rPr>
          <t xml:space="preserve">MXN $138,018.54 </t>
        </r>
        <r>
          <rPr>
            <sz val="9"/>
            <color indexed="81"/>
            <rFont val="Tahoma"/>
            <charset val="1"/>
          </rPr>
          <t xml:space="preserve">
MOSQUETA </t>
        </r>
        <r>
          <rPr>
            <b/>
            <sz val="9"/>
            <color indexed="81"/>
            <rFont val="Tahoma"/>
            <family val="2"/>
          </rPr>
          <t xml:space="preserve"> MXN $117,564.52 </t>
        </r>
        <r>
          <rPr>
            <sz val="9"/>
            <color indexed="81"/>
            <rFont val="Tahoma"/>
            <charset val="1"/>
          </rPr>
          <t xml:space="preserve">
MORONES PRIETO (MTY)  </t>
        </r>
        <r>
          <rPr>
            <b/>
            <sz val="9"/>
            <color indexed="81"/>
            <rFont val="Tahoma"/>
            <family val="2"/>
          </rPr>
          <t xml:space="preserve">MXN $114,446.69 </t>
        </r>
        <r>
          <rPr>
            <sz val="9"/>
            <color indexed="81"/>
            <rFont val="Tahoma"/>
            <charset val="1"/>
          </rPr>
          <t xml:space="preserve">
ARTZ (DAE) </t>
        </r>
        <r>
          <rPr>
            <b/>
            <sz val="9"/>
            <color indexed="81"/>
            <rFont val="Tahoma"/>
            <family val="2"/>
          </rPr>
          <t xml:space="preserve"> MXN $103,604.27 </t>
        </r>
        <r>
          <rPr>
            <sz val="9"/>
            <color indexed="81"/>
            <rFont val="Tahoma"/>
            <charset val="1"/>
          </rPr>
          <t xml:space="preserve">
GRAN OSO  </t>
        </r>
        <r>
          <rPr>
            <b/>
            <sz val="9"/>
            <color indexed="81"/>
            <rFont val="Tahoma"/>
            <family val="2"/>
          </rPr>
          <t xml:space="preserve">MXN $102,470.16 </t>
        </r>
        <r>
          <rPr>
            <sz val="9"/>
            <color indexed="81"/>
            <rFont val="Tahoma"/>
            <charset val="1"/>
          </rPr>
          <t xml:space="preserve">
ALEPH (DAE) </t>
        </r>
        <r>
          <rPr>
            <b/>
            <sz val="9"/>
            <color indexed="81"/>
            <rFont val="Tahoma"/>
            <family val="2"/>
          </rPr>
          <t xml:space="preserve"> MXN $84,227.78 </t>
        </r>
        <r>
          <rPr>
            <sz val="9"/>
            <color indexed="81"/>
            <rFont val="Tahoma"/>
            <charset val="1"/>
          </rPr>
          <t xml:space="preserve">
LOMAS VERDES  </t>
        </r>
        <r>
          <rPr>
            <b/>
            <sz val="9"/>
            <color indexed="81"/>
            <rFont val="Tahoma"/>
            <family val="2"/>
          </rPr>
          <t xml:space="preserve">MXN $41,802.38 </t>
        </r>
        <r>
          <rPr>
            <sz val="9"/>
            <color indexed="81"/>
            <rFont val="Tahoma"/>
            <charset val="1"/>
          </rPr>
          <t xml:space="preserve">
NUEVO SUR (MTY)  </t>
        </r>
        <r>
          <rPr>
            <b/>
            <sz val="9"/>
            <color indexed="81"/>
            <rFont val="Tahoma"/>
            <family val="2"/>
          </rPr>
          <t xml:space="preserve">MXN $40,930.29 </t>
        </r>
        <r>
          <rPr>
            <sz val="9"/>
            <color indexed="81"/>
            <rFont val="Tahoma"/>
            <charset val="1"/>
          </rPr>
          <t xml:space="preserve">
TORRE MEXICANA (DAE) </t>
        </r>
        <r>
          <rPr>
            <b/>
            <sz val="9"/>
            <color indexed="81"/>
            <rFont val="Tahoma"/>
            <family val="2"/>
          </rPr>
          <t xml:space="preserve"> MXN $31,408.03 </t>
        </r>
      </text>
    </comment>
    <comment ref="AG199" authorId="0" shapeId="0" xr:uid="{144CEBDC-ED50-4EBB-9FA2-B1C919E47372}">
      <text>
        <r>
          <rPr>
            <b/>
            <sz val="9"/>
            <color indexed="81"/>
            <rFont val="Tahoma"/>
            <family val="2"/>
          </rPr>
          <t xml:space="preserve">VEMO:
VCN MXN $366,364
</t>
        </r>
        <r>
          <rPr>
            <sz val="9"/>
            <color indexed="81"/>
            <rFont val="Tahoma"/>
            <family val="2"/>
          </rPr>
          <t>American Express MXN $319,028
Tarjeta Clara MXN $44,706</t>
        </r>
        <r>
          <rPr>
            <b/>
            <sz val="9"/>
            <color indexed="81"/>
            <rFont val="Tahoma"/>
            <family val="2"/>
          </rPr>
          <t xml:space="preserve">
Las Águilas MXN $245,900
</t>
        </r>
        <r>
          <rPr>
            <sz val="9"/>
            <color indexed="81"/>
            <rFont val="Tahoma"/>
            <family val="2"/>
          </rPr>
          <t>Apertura Centenario MXN $210,000
Acrílicos MXN $14,700
Evento futbol MXN $15,000</t>
        </r>
        <r>
          <rPr>
            <b/>
            <sz val="9"/>
            <color indexed="81"/>
            <rFont val="Tahoma"/>
            <family val="2"/>
          </rPr>
          <t xml:space="preserve">
Transval- Apertura MXN $105,000
Lomas Verdes MXN $21,200
</t>
        </r>
        <r>
          <rPr>
            <sz val="9"/>
            <color indexed="81"/>
            <rFont val="Tahoma"/>
            <family val="2"/>
          </rPr>
          <t>Evento futbol MXN $15,000
Decoración MXN $6,200</t>
        </r>
        <r>
          <rPr>
            <b/>
            <sz val="9"/>
            <color indexed="81"/>
            <rFont val="Tahoma"/>
            <family val="2"/>
          </rPr>
          <t xml:space="preserve">
Lomas Aeropuerto MXN $21,200
</t>
        </r>
        <r>
          <rPr>
            <sz val="9"/>
            <color indexed="81"/>
            <rFont val="Tahoma"/>
            <family val="2"/>
          </rPr>
          <t xml:space="preserve">Evento futbol MXN $15,000
Decoración MXN $6,200
</t>
        </r>
        <r>
          <rPr>
            <b/>
            <sz val="9"/>
            <color indexed="81"/>
            <rFont val="Tahoma"/>
            <family val="2"/>
          </rPr>
          <t>Petrarca MXN $10,600</t>
        </r>
        <r>
          <rPr>
            <sz val="9"/>
            <color indexed="81"/>
            <rFont val="Tahoma"/>
            <family val="2"/>
          </rPr>
          <t xml:space="preserve">
Evento futbol MXN $7,500
Decoración MXN $3,100</t>
        </r>
      </text>
    </comment>
    <comment ref="AG200" authorId="0" shapeId="0" xr:uid="{FC99BCA8-7708-46CF-A10D-E1E787E425D0}">
      <text>
        <r>
          <rPr>
            <b/>
            <sz val="9"/>
            <color indexed="81"/>
            <rFont val="Tahoma"/>
            <family val="2"/>
          </rPr>
          <t xml:space="preserve">VEMO:
</t>
        </r>
        <r>
          <rPr>
            <sz val="9"/>
            <color indexed="81"/>
            <rFont val="Tahoma"/>
            <family val="2"/>
          </rPr>
          <t>Willis Agente de seguros MXN $278,493
Estudio de resistividad de suelo MXN $15,500
Provisión Auditoría MXN $37,128
Provisión Estudio Actuarial MXN $550
Provisión Precio de transferencia MXN $3,611
Instalación de sistema de alerta hub periferico MXN $38,985
Instalación alerta sismica radiofrecuencua centenario MXN $36,470
Instalación alerta sismica radiofrecuencua Transval MXN $34,056
Programa interno de protección civil MXN Gran Oso  $27,945</t>
        </r>
      </text>
    </comment>
    <comment ref="AG201" authorId="0" shapeId="0" xr:uid="{7FBCC7BA-A6F0-4DAB-936E-1695C09BA796}">
      <text>
        <r>
          <rPr>
            <b/>
            <sz val="9"/>
            <color indexed="81"/>
            <rFont val="Tahoma"/>
            <family val="2"/>
          </rPr>
          <t xml:space="preserve">VEMO:
Despensa y artículos de limpiza MXN $47,000
</t>
        </r>
      </text>
    </comment>
    <comment ref="AG204" authorId="0" shapeId="0" xr:uid="{DED05EE4-EE79-4417-AB64-95EDC2AD48D3}">
      <text>
        <r>
          <rPr>
            <b/>
            <sz val="9"/>
            <color indexed="81"/>
            <rFont val="Tahoma"/>
            <family val="2"/>
          </rPr>
          <t xml:space="preserve">Purificadores de agua MXN $4,542 (LV, Roma,Gran Oso, Exhibimex, Transval, Petrarca, Centenario, Mixcoac) Todos $559 , Mixcoac MXN $629
</t>
        </r>
      </text>
    </comment>
    <comment ref="AG205" authorId="0" shapeId="0" xr:uid="{6DFE057C-6680-418F-8283-18A4B45F23CD}">
      <text>
        <r>
          <rPr>
            <b/>
            <sz val="9"/>
            <color indexed="81"/>
            <rFont val="Tahoma"/>
            <family val="2"/>
          </rPr>
          <t xml:space="preserve">VEMO:
</t>
        </r>
        <r>
          <rPr>
            <sz val="9"/>
            <color indexed="81"/>
            <rFont val="Tahoma"/>
            <family val="2"/>
          </rPr>
          <t>Seguro de Gastos Médicos</t>
        </r>
      </text>
    </comment>
    <comment ref="AG206" authorId="0" shapeId="0" xr:uid="{1291F008-A0FD-4635-B0E9-848D3076F503}">
      <text>
        <r>
          <rPr>
            <b/>
            <sz val="9"/>
            <color indexed="81"/>
            <rFont val="Tahoma"/>
            <family val="2"/>
          </rPr>
          <t xml:space="preserve">VEMO:
</t>
        </r>
        <r>
          <rPr>
            <sz val="9"/>
            <color indexed="81"/>
            <rFont val="Tahoma"/>
            <family val="2"/>
          </rPr>
          <t xml:space="preserve">Estrategia de negocios Dynamics </t>
        </r>
      </text>
    </comment>
    <comment ref="AG208" authorId="0" shapeId="0" xr:uid="{04DF2690-7FB2-4B90-B7C7-8FE3A5A02D24}">
      <text>
        <r>
          <rPr>
            <b/>
            <sz val="9"/>
            <color indexed="81"/>
            <rFont val="Tahoma"/>
            <family val="2"/>
          </rPr>
          <t>VEMO:
Costo Amortizado por prestamo Beel</t>
        </r>
      </text>
    </comment>
    <comment ref="AG209" authorId="0" shapeId="0" xr:uid="{B1127C7F-CEB9-48FF-A195-155E916305BF}">
      <text>
        <r>
          <rPr>
            <b/>
            <sz val="9"/>
            <color indexed="81"/>
            <rFont val="Tahoma"/>
            <family val="2"/>
          </rPr>
          <t>VEMO:
Alimentos MXN $258,012
Transporte MXN $53,017
Hospedaje MXN $34,321
Gasolinas MXN $750</t>
        </r>
      </text>
    </comment>
    <comment ref="AG210" authorId="0" shapeId="0" xr:uid="{065216AA-77C3-4898-B94D-660AE605283F}">
      <text>
        <r>
          <rPr>
            <b/>
            <sz val="9"/>
            <color indexed="81"/>
            <rFont val="Tahoma"/>
            <family val="2"/>
          </rPr>
          <t>VEMO: 
Dispensadores de agua MXN $40,000
Suministro e instalación de secadores de aire MXN $118,000
Multas y Actualizaciones MXN $79,202
Telefonía MXN $13,948</t>
        </r>
      </text>
    </comment>
    <comment ref="AG222" authorId="0" shapeId="0" xr:uid="{0DF1E5CD-47FC-4296-9AEA-A55F8BBD3442}">
      <text>
        <r>
          <rPr>
            <b/>
            <sz val="9"/>
            <color indexed="81"/>
            <rFont val="Tahoma"/>
            <charset val="1"/>
          </rPr>
          <t>VEMO:
Grupo MOdelo MXN $142,729
Novartis MXN $24,834
Walmart MXN $59,388</t>
        </r>
      </text>
    </comment>
    <comment ref="AG223" authorId="0" shapeId="0" xr:uid="{590D6D54-139E-4873-9B7D-D75E11396DFD}">
      <text>
        <r>
          <rPr>
            <b/>
            <sz val="9"/>
            <color indexed="81"/>
            <rFont val="Tahoma"/>
            <charset val="1"/>
          </rPr>
          <t>VEMO;
Aleph MXN $226,957
Artz MXN $222,277
MM MXN $545,922
Petrarca MXN $150,192
TM MXN $186,862
Reembolso ejército Nacional :
DAE MXN $36,000
LTO  MXN $45,000
180 cajones MM MXN $475,862</t>
        </r>
      </text>
    </comment>
    <comment ref="AG226" authorId="0" shapeId="0" xr:uid="{16B813F6-DB2E-45EF-A24A-EF9E32A05914}">
      <text>
        <r>
          <rPr>
            <b/>
            <sz val="9"/>
            <color indexed="81"/>
            <rFont val="Tahoma"/>
            <charset val="1"/>
          </rPr>
          <t>VEMO:
Reembolso Proyecto OXXO MTY MXN $248,531</t>
        </r>
      </text>
    </comment>
    <comment ref="B272" authorId="1" shapeId="0" xr:uid="{A288B5B1-D6E5-426D-86DB-4E39C5EDBC4C}">
      <text>
        <r>
          <rPr>
            <b/>
            <sz val="9"/>
            <color indexed="81"/>
            <rFont val="Tahoma"/>
            <family val="2"/>
          </rPr>
          <t>VEMO:</t>
        </r>
        <r>
          <rPr>
            <sz val="9"/>
            <color indexed="81"/>
            <rFont val="Tahoma"/>
            <family val="2"/>
          </rPr>
          <t xml:space="preserve">
Se incluye dentro del rubro, aquellos Hubs, Cargadores, Equipo de Cómputo y Mobiliario, tal como:
</t>
        </r>
        <r>
          <rPr>
            <b/>
            <sz val="9"/>
            <color indexed="81"/>
            <rFont val="Tahoma"/>
            <family val="2"/>
          </rPr>
          <t>Hubs</t>
        </r>
        <r>
          <rPr>
            <sz val="9"/>
            <color indexed="81"/>
            <rFont val="Tahoma"/>
            <family val="2"/>
          </rPr>
          <t xml:space="preserve">: Torre Aleph, LV, Miyana, Artz, TM, Petrarca y VEMO.
</t>
        </r>
        <r>
          <rPr>
            <b/>
            <sz val="9"/>
            <color indexed="81"/>
            <rFont val="Tahoma"/>
            <family val="2"/>
          </rPr>
          <t>Cargadores EV's
Infraestructura</t>
        </r>
        <r>
          <rPr>
            <sz val="9"/>
            <color indexed="81"/>
            <rFont val="Tahoma"/>
            <family val="2"/>
          </rPr>
          <t xml:space="preserve">: Tec Puebla, Dek Polanco, Tec Qro, Centenario, Torre Cuadro, Torre Polanco, VYUU, Quad Santa Fe, Incorp. Qubica Lomas, Hotel Westlin, Hotel Zambrano, Miyana Fase 4, VCN, Novartis, Grupo Modelo, Walmart.
</t>
        </r>
        <r>
          <rPr>
            <b/>
            <sz val="9"/>
            <color indexed="81"/>
            <rFont val="Tahoma"/>
            <family val="2"/>
          </rPr>
          <t>Equipo de Cómputo
Mobiliario y Equipo</t>
        </r>
      </text>
    </comment>
    <comment ref="B276" authorId="2" shapeId="0" xr:uid="{A2CA853F-396E-4BE7-8931-D3606C47D030}">
      <text>
        <r>
          <rPr>
            <b/>
            <sz val="9"/>
            <color indexed="81"/>
            <rFont val="Tahoma"/>
            <family val="2"/>
          </rPr>
          <t>VEMO:</t>
        </r>
        <r>
          <rPr>
            <sz val="9"/>
            <color indexed="81"/>
            <rFont val="Tahoma"/>
            <family val="2"/>
          </rPr>
          <t xml:space="preserve">
Refers to the costs incurred for assets that are currently under construction and not yet ready for use.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Nicolás Estrada</author>
  </authors>
  <commentList>
    <comment ref="B53" authorId="0" shapeId="0" xr:uid="{A38FCD17-15A4-4A28-BC40-F3638A91B516}">
      <text>
        <r>
          <rPr>
            <b/>
            <sz val="9"/>
            <color indexed="81"/>
            <rFont val="Tahoma"/>
            <family val="2"/>
          </rPr>
          <t>VEMO:</t>
        </r>
        <r>
          <rPr>
            <sz val="9"/>
            <color indexed="81"/>
            <rFont val="Tahoma"/>
            <family val="2"/>
          </rPr>
          <t xml:space="preserve">
Foreign exchange income (losses) are not considered as part of LTO's operation; hence, these are excluded from the Accounting Net Income's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Maximilian Alexander Ponce De León Avdeev</author>
  </authors>
  <commentList>
    <comment ref="C15" authorId="0" shapeId="0" xr:uid="{637B5682-1D32-482D-B6CB-BC870F2C2CB8}">
      <text>
        <r>
          <rPr>
            <b/>
            <sz val="9"/>
            <color indexed="81"/>
            <rFont val="Tahoma"/>
            <family val="2"/>
          </rPr>
          <t>Maximilian Alexander Ponce De León Avdeev:</t>
        </r>
        <r>
          <rPr>
            <sz val="9"/>
            <color indexed="81"/>
            <rFont val="Tahoma"/>
            <family val="2"/>
          </rPr>
          <t xml:space="preserve">
Uber (prestación)</t>
        </r>
      </text>
    </comment>
    <comment ref="AT19" authorId="0" shapeId="0" xr:uid="{25E7539B-7FD4-4003-8BAF-9B8F7BE7FC46}">
      <text>
        <r>
          <rPr>
            <b/>
            <sz val="9"/>
            <color indexed="81"/>
            <rFont val="Tahoma"/>
            <family val="2"/>
          </rPr>
          <t>VEMO:</t>
        </r>
        <r>
          <rPr>
            <sz val="9"/>
            <color indexed="81"/>
            <rFont val="Tahoma"/>
            <family val="2"/>
          </rPr>
          <t xml:space="preserve">
Amortization zendesk and cnbv</t>
        </r>
      </text>
    </comment>
    <comment ref="AT24" authorId="0" shapeId="0" xr:uid="{C0515342-3C64-4067-9C9B-0FF2EF8F745D}">
      <text>
        <r>
          <rPr>
            <b/>
            <sz val="9"/>
            <color indexed="81"/>
            <rFont val="Tahoma"/>
            <family val="2"/>
          </rPr>
          <t>VEMO:</t>
        </r>
        <r>
          <rPr>
            <sz val="9"/>
            <color indexed="81"/>
            <rFont val="Tahoma"/>
            <family val="2"/>
          </rPr>
          <t xml:space="preserve">
Fines, Procedure and management and tenure</t>
        </r>
      </text>
    </comment>
    <comment ref="AT25" authorId="0" shapeId="0" xr:uid="{CBE3891C-EBA3-44BE-A93E-7DF762FB44D4}">
      <text>
        <r>
          <rPr>
            <b/>
            <sz val="9"/>
            <color indexed="81"/>
            <rFont val="Tahoma"/>
            <family val="2"/>
          </rPr>
          <t>Maximilian Alexander Ponce De León Avdeev:</t>
        </r>
        <r>
          <rPr>
            <sz val="9"/>
            <color indexed="81"/>
            <rFont val="Tahoma"/>
            <family val="2"/>
          </rPr>
          <t xml:space="preserve">
Uber (prestación)</t>
        </r>
      </text>
    </comment>
    <comment ref="W27" authorId="0" shapeId="0" xr:uid="{FAD3200C-A4CF-41E4-BB96-F5D4A47CCB3C}">
      <text>
        <r>
          <rPr>
            <b/>
            <sz val="9"/>
            <color indexed="81"/>
            <rFont val="Tahoma"/>
            <family val="2"/>
          </rPr>
          <t>VEMO:</t>
        </r>
        <r>
          <rPr>
            <sz val="9"/>
            <color indexed="81"/>
            <rFont val="Tahoma"/>
            <family val="2"/>
          </rPr>
          <t xml:space="preserve">
Gps and installation $0.1m</t>
        </r>
      </text>
    </comment>
    <comment ref="Y27" authorId="0" shapeId="0" xr:uid="{7468A59B-ACF0-4CD9-8356-BF6DEDF405F6}">
      <text>
        <r>
          <rPr>
            <b/>
            <sz val="9"/>
            <color indexed="81"/>
            <rFont val="Tahoma"/>
            <family val="2"/>
          </rPr>
          <t>VEMO:</t>
        </r>
        <r>
          <rPr>
            <sz val="9"/>
            <color indexed="81"/>
            <rFont val="Tahoma"/>
            <family val="2"/>
          </rPr>
          <t xml:space="preserve">
Gps and installation $0.1m</t>
        </r>
      </text>
    </comment>
    <comment ref="Y28" authorId="0" shapeId="0" xr:uid="{8A32E315-F17D-4BCE-B08E-F0C92C30C300}">
      <text>
        <r>
          <rPr>
            <b/>
            <sz val="9"/>
            <color indexed="81"/>
            <rFont val="Tahoma"/>
            <family val="2"/>
          </rPr>
          <t xml:space="preserve">VEMO:
</t>
        </r>
        <r>
          <rPr>
            <sz val="9"/>
            <color indexed="81"/>
            <rFont val="Tahoma"/>
            <family val="2"/>
          </rPr>
          <t xml:space="preserve">Preventive Maintanence $0.1m </t>
        </r>
      </text>
    </comment>
    <comment ref="C29" authorId="0" shapeId="0" xr:uid="{4BA8E81C-A301-44F5-A1E5-41D4234CFC88}">
      <text>
        <r>
          <rPr>
            <b/>
            <sz val="9"/>
            <color indexed="81"/>
            <rFont val="Tahoma"/>
            <family val="2"/>
          </rPr>
          <t>VEMO:</t>
        </r>
        <r>
          <rPr>
            <sz val="9"/>
            <color indexed="81"/>
            <rFont val="Tahoma"/>
            <family val="2"/>
          </rPr>
          <t xml:space="preserve">
Fines, Procedure and management and tenure</t>
        </r>
      </text>
    </comment>
    <comment ref="N34" authorId="0" shapeId="0" xr:uid="{172C1E5D-4DD8-49B2-9AAF-B8F1B03D37DE}">
      <text>
        <r>
          <rPr>
            <b/>
            <sz val="9"/>
            <color indexed="81"/>
            <rFont val="Tahoma"/>
            <family val="2"/>
          </rPr>
          <t>VEMO:</t>
        </r>
        <r>
          <rPr>
            <sz val="9"/>
            <color indexed="81"/>
            <rFont val="Tahoma"/>
            <family val="2"/>
          </rPr>
          <t xml:space="preserve">
Capitalizable lease -$1.2m</t>
        </r>
      </text>
    </comment>
    <comment ref="O34" authorId="0" shapeId="0" xr:uid="{BE447773-10EE-4BB5-ADA9-1EEDA42AEA64}">
      <text>
        <r>
          <rPr>
            <b/>
            <sz val="9"/>
            <color indexed="81"/>
            <rFont val="Tahoma"/>
            <family val="2"/>
          </rPr>
          <t>VEMO:</t>
        </r>
        <r>
          <rPr>
            <sz val="9"/>
            <color indexed="81"/>
            <rFont val="Tahoma"/>
            <family val="2"/>
          </rPr>
          <t xml:space="preserve">
Capitalizable lease -$0.5m</t>
        </r>
      </text>
    </comment>
    <comment ref="S34" authorId="0" shapeId="0" xr:uid="{9A35DDE6-C8BF-4DEE-AC44-BD92DD5E3D88}">
      <text>
        <r>
          <rPr>
            <b/>
            <sz val="9"/>
            <color indexed="81"/>
            <rFont val="Tahoma"/>
            <family val="2"/>
          </rPr>
          <t>VEMO:</t>
        </r>
        <r>
          <rPr>
            <sz val="9"/>
            <color indexed="81"/>
            <rFont val="Tahoma"/>
            <family val="2"/>
          </rPr>
          <t xml:space="preserve">
Capitalizable lease -$2.8m</t>
        </r>
      </text>
    </comment>
    <comment ref="C36" authorId="0" shapeId="0" xr:uid="{823A57BA-A551-4EA2-888D-33C581217E18}">
      <text>
        <r>
          <rPr>
            <b/>
            <sz val="9"/>
            <color indexed="81"/>
            <rFont val="Tahoma"/>
            <family val="2"/>
          </rPr>
          <t>VEMO:</t>
        </r>
        <r>
          <rPr>
            <sz val="9"/>
            <color indexed="81"/>
            <rFont val="Tahoma"/>
            <family val="2"/>
          </rPr>
          <t xml:space="preserve">
Amortization zendesk and cnbv</t>
        </r>
      </text>
    </comment>
    <comment ref="O37" authorId="0" shapeId="0" xr:uid="{0076C485-E519-4195-B022-1489DF939A02}">
      <text>
        <r>
          <rPr>
            <b/>
            <sz val="9"/>
            <color indexed="81"/>
            <rFont val="Tahoma"/>
            <family val="2"/>
          </rPr>
          <t>VEMO:</t>
        </r>
        <r>
          <rPr>
            <sz val="9"/>
            <color indexed="81"/>
            <rFont val="Tahoma"/>
            <family val="2"/>
          </rPr>
          <t xml:space="preserve">
Infraestructure $2.5m,
Use of installations $0.2m</t>
        </r>
      </text>
    </comment>
    <comment ref="P37" authorId="0" shapeId="0" xr:uid="{89089BAC-D136-49EB-A6AB-F6D29CD7BD16}">
      <text>
        <r>
          <rPr>
            <b/>
            <sz val="9"/>
            <color indexed="81"/>
            <rFont val="Tahoma"/>
            <family val="2"/>
          </rPr>
          <t xml:space="preserve">VEMO:
</t>
        </r>
        <r>
          <rPr>
            <sz val="9"/>
            <color indexed="81"/>
            <rFont val="Tahoma"/>
            <family val="2"/>
          </rPr>
          <t xml:space="preserve">Deductible Insurance DAE $1.6m, Infrastructure $1.2m
</t>
        </r>
      </text>
    </comment>
    <comment ref="S37" authorId="0" shapeId="0" xr:uid="{158C4783-83BB-4F8D-8F40-D5530BDAC217}">
      <text>
        <r>
          <rPr>
            <b/>
            <sz val="9"/>
            <color indexed="81"/>
            <rFont val="Tahoma"/>
            <family val="2"/>
          </rPr>
          <t xml:space="preserve">VEMO:
</t>
        </r>
        <r>
          <rPr>
            <sz val="9"/>
            <color indexed="81"/>
            <rFont val="Tahoma"/>
            <family val="2"/>
          </rPr>
          <t xml:space="preserve">Infrastructure -$0.4m
</t>
        </r>
      </text>
    </comment>
    <comment ref="U37" authorId="0" shapeId="0" xr:uid="{DCFA25E8-CAD6-4E2E-9FA9-1FADB3CDDBC6}">
      <text>
        <r>
          <rPr>
            <b/>
            <sz val="9"/>
            <color indexed="81"/>
            <rFont val="Tahoma"/>
            <family val="2"/>
          </rPr>
          <t xml:space="preserve">VEMO:
</t>
        </r>
        <r>
          <rPr>
            <sz val="9"/>
            <color indexed="81"/>
            <rFont val="Tahoma"/>
            <family val="2"/>
          </rPr>
          <t xml:space="preserve">Use of installations $0.3m
</t>
        </r>
      </text>
    </comment>
    <comment ref="V37" authorId="0" shapeId="0" xr:uid="{65A70280-79E5-4C38-80DD-BB9BC5349F68}">
      <text>
        <r>
          <rPr>
            <b/>
            <sz val="9"/>
            <color indexed="81"/>
            <rFont val="Tahoma"/>
            <family val="2"/>
          </rPr>
          <t xml:space="preserve">VEMO:
</t>
        </r>
        <r>
          <rPr>
            <sz val="9"/>
            <color indexed="81"/>
            <rFont val="Tahoma"/>
            <family val="2"/>
          </rPr>
          <t xml:space="preserve">Deductible Insurance DAE $0.3m
</t>
        </r>
      </text>
    </comment>
    <comment ref="Y37" authorId="0" shapeId="0" xr:uid="{975A4F45-0F1C-41A4-87BC-2326AFA2A3BC}">
      <text>
        <r>
          <rPr>
            <b/>
            <sz val="9"/>
            <color indexed="81"/>
            <rFont val="Tahoma"/>
            <family val="2"/>
          </rPr>
          <t xml:space="preserve">VEMO:
</t>
        </r>
        <r>
          <rPr>
            <sz val="9"/>
            <color indexed="81"/>
            <rFont val="Tahoma"/>
            <family val="2"/>
          </rPr>
          <t xml:space="preserve">Deductible Insurance DAE $0.2m
</t>
        </r>
      </text>
    </comment>
    <comment ref="K47" authorId="0" shapeId="0" xr:uid="{1C668291-D6B0-4BDC-BFA7-76B66DE1CE6A}">
      <text>
        <r>
          <rPr>
            <b/>
            <sz val="9"/>
            <color indexed="81"/>
            <rFont val="Tahoma"/>
            <family val="2"/>
          </rPr>
          <t xml:space="preserve">VEMO: </t>
        </r>
        <r>
          <rPr>
            <sz val="9"/>
            <color indexed="81"/>
            <rFont val="Tahoma"/>
            <family val="2"/>
          </rPr>
          <t xml:space="preserve">
Administrative services $3.8m</t>
        </r>
      </text>
    </comment>
    <comment ref="AU48" authorId="0" shapeId="0" xr:uid="{3BEB3AC9-DD89-42F7-B638-236F8EF6DB7E}">
      <text>
        <r>
          <rPr>
            <b/>
            <sz val="9"/>
            <color indexed="81"/>
            <rFont val="Tahoma"/>
            <family val="2"/>
          </rPr>
          <t>VEMO:</t>
        </r>
        <r>
          <rPr>
            <sz val="9"/>
            <color indexed="81"/>
            <rFont val="Tahoma"/>
            <family val="2"/>
          </rPr>
          <t xml:space="preserve">
asset sale, earnings sold asset, diverse, intermediation and energy (pass)</t>
        </r>
      </text>
    </comment>
    <comment ref="C49" authorId="0" shapeId="0" xr:uid="{22C521E8-73FF-4E1F-AE4C-BC9611DD9720}">
      <text>
        <r>
          <rPr>
            <b/>
            <sz val="9"/>
            <color indexed="81"/>
            <rFont val="Tahoma"/>
            <family val="2"/>
          </rPr>
          <t>VEMO:</t>
        </r>
        <r>
          <rPr>
            <sz val="9"/>
            <color indexed="81"/>
            <rFont val="Tahoma"/>
            <family val="2"/>
          </rPr>
          <t xml:space="preserve">
asset sale, earnings sold asset, diverse, intermediation and energy (pass)</t>
        </r>
      </text>
    </comment>
    <comment ref="S49" authorId="0" shapeId="0" xr:uid="{A6952706-3081-46BB-987F-8A50F3AE9D55}">
      <text>
        <r>
          <rPr>
            <b/>
            <sz val="9"/>
            <color indexed="81"/>
            <rFont val="Tahoma"/>
            <family val="2"/>
          </rPr>
          <t xml:space="preserve">VEMO: </t>
        </r>
        <r>
          <rPr>
            <sz val="9"/>
            <color indexed="81"/>
            <rFont val="Tahoma"/>
            <family val="2"/>
          </rPr>
          <t xml:space="preserve">
Earnings sold asset -$0.2m</t>
        </r>
      </text>
    </comment>
    <comment ref="Y49" authorId="0" shapeId="0" xr:uid="{8D4B9301-38C5-498F-B9B4-30DB82E3BBA2}">
      <text>
        <r>
          <rPr>
            <b/>
            <sz val="9"/>
            <color indexed="81"/>
            <rFont val="Tahoma"/>
            <family val="2"/>
          </rPr>
          <t xml:space="preserve">VEMO: </t>
        </r>
        <r>
          <rPr>
            <sz val="9"/>
            <color indexed="81"/>
            <rFont val="Tahoma"/>
            <family val="2"/>
          </rPr>
          <t xml:space="preserve">
Intermediation $2.0m,
Electric Energy (pass) $0.7m,  Asset sale $0.5m</t>
        </r>
      </text>
    </comment>
    <comment ref="S50" authorId="0" shapeId="0" xr:uid="{48175A41-7F50-45A4-99A2-A4361C986790}">
      <text>
        <r>
          <rPr>
            <b/>
            <sz val="9"/>
            <color indexed="81"/>
            <rFont val="Tahoma"/>
            <family val="2"/>
          </rPr>
          <t xml:space="preserve">VEMO: </t>
        </r>
        <r>
          <rPr>
            <sz val="9"/>
            <color indexed="81"/>
            <rFont val="Tahoma"/>
            <family val="2"/>
          </rPr>
          <t xml:space="preserve">
Earnings sold asset -$0.2m</t>
        </r>
      </text>
    </comment>
    <comment ref="Y50" authorId="0" shapeId="0" xr:uid="{F7AC76D3-D748-4ED6-9D6A-CCB513E7E177}">
      <text>
        <r>
          <rPr>
            <b/>
            <sz val="9"/>
            <color indexed="81"/>
            <rFont val="Tahoma"/>
            <family val="2"/>
          </rPr>
          <t xml:space="preserve">VEMO: </t>
        </r>
        <r>
          <rPr>
            <sz val="9"/>
            <color indexed="81"/>
            <rFont val="Tahoma"/>
            <family val="2"/>
          </rPr>
          <t xml:space="preserve">
Intermediation $2.0m,
Electric Energy (pass) $0.7m,  Asset sale $0.5m</t>
        </r>
      </text>
    </comment>
    <comment ref="AU50" authorId="0" shapeId="0" xr:uid="{DB15A202-5846-491D-B821-356946F9439B}">
      <text>
        <r>
          <rPr>
            <b/>
            <sz val="9"/>
            <color indexed="81"/>
            <rFont val="Tahoma"/>
            <family val="2"/>
          </rPr>
          <t>VEMO:</t>
        </r>
        <r>
          <rPr>
            <sz val="9"/>
            <color indexed="81"/>
            <rFont val="Tahoma"/>
            <family val="2"/>
          </rPr>
          <t xml:space="preserve">
Bank fees and expenditures</t>
        </r>
      </text>
    </comment>
    <comment ref="N53" authorId="0" shapeId="0" xr:uid="{4C63FD5C-E312-430A-B927-D68287982973}">
      <text>
        <r>
          <rPr>
            <b/>
            <sz val="9"/>
            <color indexed="81"/>
            <rFont val="Tahoma"/>
            <family val="2"/>
          </rPr>
          <t>VEMO:</t>
        </r>
        <r>
          <rPr>
            <sz val="9"/>
            <color indexed="81"/>
            <rFont val="Tahoma"/>
            <family val="2"/>
          </rPr>
          <t xml:space="preserve">
Offices $1.0m </t>
        </r>
      </text>
    </comment>
    <comment ref="S53" authorId="0" shapeId="0" xr:uid="{38AC5033-6706-411C-8B69-E6886CC5ABB8}">
      <text>
        <r>
          <rPr>
            <b/>
            <sz val="9"/>
            <color indexed="81"/>
            <rFont val="Tahoma"/>
            <family val="2"/>
          </rPr>
          <t>VEMO:</t>
        </r>
        <r>
          <rPr>
            <sz val="9"/>
            <color indexed="81"/>
            <rFont val="Tahoma"/>
            <family val="2"/>
          </rPr>
          <t xml:space="preserve">
Offices $0.5m </t>
        </r>
      </text>
    </comment>
    <comment ref="C56" authorId="0" shapeId="0" xr:uid="{D3D49316-D84B-48F4-B92B-F09FFE19DA05}">
      <text>
        <r>
          <rPr>
            <b/>
            <sz val="9"/>
            <color indexed="81"/>
            <rFont val="Tahoma"/>
            <family val="2"/>
          </rPr>
          <t>VEMO:</t>
        </r>
        <r>
          <rPr>
            <sz val="9"/>
            <color indexed="81"/>
            <rFont val="Tahoma"/>
            <family val="2"/>
          </rPr>
          <t xml:space="preserve">
Bank fees and expenditures</t>
        </r>
      </text>
    </comment>
    <comment ref="S56" authorId="0" shapeId="0" xr:uid="{0DDF869E-41F1-4AF1-8A77-026D5601AF98}">
      <text>
        <r>
          <rPr>
            <b/>
            <sz val="9"/>
            <color indexed="81"/>
            <rFont val="Tahoma"/>
            <family val="2"/>
          </rPr>
          <t>VEMO:</t>
        </r>
        <r>
          <rPr>
            <sz val="9"/>
            <color indexed="81"/>
            <rFont val="Tahoma"/>
            <family val="2"/>
          </rPr>
          <t xml:space="preserve">
ESOP deferred capital -$1.8m</t>
        </r>
      </text>
    </comment>
    <comment ref="AU59" authorId="0" shapeId="0" xr:uid="{D2CE7B3D-7ACD-4822-BDF4-8A550D75F707}">
      <text>
        <r>
          <rPr>
            <b/>
            <sz val="9"/>
            <color indexed="81"/>
            <rFont val="Tahoma"/>
            <family val="2"/>
          </rPr>
          <t>VEMO:</t>
        </r>
        <r>
          <rPr>
            <sz val="9"/>
            <color indexed="81"/>
            <rFont val="Tahoma"/>
            <family val="2"/>
          </rPr>
          <t xml:space="preserve">
Legal Compensation</t>
        </r>
      </text>
    </comment>
    <comment ref="C67" authorId="0" shapeId="0" xr:uid="{B96CBD5E-392D-4838-85A1-A4C6F728D02C}">
      <text>
        <r>
          <rPr>
            <b/>
            <sz val="9"/>
            <color indexed="81"/>
            <rFont val="Tahoma"/>
            <family val="2"/>
          </rPr>
          <t>VEMO:</t>
        </r>
        <r>
          <rPr>
            <sz val="9"/>
            <color indexed="81"/>
            <rFont val="Tahoma"/>
            <family val="2"/>
          </rPr>
          <t xml:space="preserve">
Legal Compensation</t>
        </r>
      </text>
    </comment>
    <comment ref="S67" authorId="0" shapeId="0" xr:uid="{ED8D1D89-B885-4875-8DD9-616A8581F0FD}">
      <text>
        <r>
          <rPr>
            <b/>
            <sz val="9"/>
            <color indexed="81"/>
            <rFont val="Tahoma"/>
            <family val="2"/>
          </rPr>
          <t>VEMO:</t>
        </r>
        <r>
          <rPr>
            <sz val="9"/>
            <color indexed="81"/>
            <rFont val="Tahoma"/>
            <family val="2"/>
          </rPr>
          <t xml:space="preserve">
Legal Compensation $0.7m</t>
        </r>
      </text>
    </comment>
    <comment ref="T67" authorId="0" shapeId="0" xr:uid="{7CE58A4F-98E1-4738-BE42-EACE14B3BB16}">
      <text>
        <r>
          <rPr>
            <b/>
            <sz val="9"/>
            <color indexed="81"/>
            <rFont val="Tahoma"/>
            <family val="2"/>
          </rPr>
          <t>VEMO:</t>
        </r>
        <r>
          <rPr>
            <sz val="9"/>
            <color indexed="81"/>
            <rFont val="Tahoma"/>
            <family val="2"/>
          </rPr>
          <t xml:space="preserve">
Legal Compensation -$0.1m</t>
        </r>
      </text>
    </comment>
    <comment ref="C73" authorId="0" shapeId="0" xr:uid="{F113224B-8A30-407A-875D-AA760A640F9C}">
      <text>
        <r>
          <rPr>
            <b/>
            <sz val="9"/>
            <color indexed="81"/>
            <rFont val="Tahoma"/>
            <family val="2"/>
          </rPr>
          <t>VEMO:</t>
        </r>
        <r>
          <rPr>
            <sz val="9"/>
            <color indexed="81"/>
            <rFont val="Tahoma"/>
            <family val="2"/>
          </rPr>
          <t xml:space="preserve">
Fines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<sst xmlns="http://schemas.openxmlformats.org/spreadsheetml/2006/main" count="17174" uniqueCount="2061">
  <si>
    <t>VEMO VCN VALIDATIONS AND CONSISTENCY CHECKS</t>
  </si>
  <si>
    <t>Check</t>
  </si>
  <si>
    <t>Managerial Consolidated</t>
  </si>
  <si>
    <t>Month</t>
  </si>
  <si>
    <t>Q</t>
  </si>
  <si>
    <t>Year</t>
  </si>
  <si>
    <t>ENE</t>
  </si>
  <si>
    <t>Q1</t>
  </si>
  <si>
    <t>Validations</t>
  </si>
  <si>
    <t>FEB</t>
  </si>
  <si>
    <t>MAR</t>
  </si>
  <si>
    <t>Total Assets = Total Equity and liabilities (Managerial)</t>
  </si>
  <si>
    <t>ABR</t>
  </si>
  <si>
    <t>Q2</t>
  </si>
  <si>
    <t>Total Assets = Total Equity and liabilities (Board View)</t>
  </si>
  <si>
    <t>MAY</t>
  </si>
  <si>
    <t>TB DATA BASE</t>
  </si>
  <si>
    <t>JUN</t>
  </si>
  <si>
    <t>Inputs</t>
  </si>
  <si>
    <t>JUL</t>
  </si>
  <si>
    <t>Q3</t>
  </si>
  <si>
    <t>AGO</t>
  </si>
  <si>
    <t>VCN Board View (Detail)</t>
  </si>
  <si>
    <t>SEP</t>
  </si>
  <si>
    <t>Net income from current year P&amp;L = Equity increase in BS</t>
  </si>
  <si>
    <t>NOV</t>
  </si>
  <si>
    <t>Q4</t>
  </si>
  <si>
    <t>Cash at the end of period in Cash flow statement = Cash and equivalents in BS</t>
  </si>
  <si>
    <t>DIC</t>
  </si>
  <si>
    <t>Consistency checks</t>
  </si>
  <si>
    <t>No projections for now</t>
  </si>
  <si>
    <t>2025 YTD</t>
  </si>
  <si>
    <t>Disclaimer</t>
  </si>
  <si>
    <t>The material included in this spreadsheet is the property of Mobility Holdco, S.A.P.I. de C.V. (the “Manager”). None of the content in this document is, or should be taken, as a promise or redocument in terms of what may occur in the future. The financial information, including projections and estimates, contained in this document were prepared specifically for its use herein and was based on the best available information at the moment when this model was prepared and shall not be considered as advise or a recommendation for investors or potential investors in terms of investing in any particular transaction or strategy. 
The Manager makes no redocument or warranty that any projections or estimates herein will be achieved. Any party with access to this document is to rely solely upon its own investigation, evaluation and judgment as to the advisability of investing in the opportunities and strategies as may be described herein. Neither the Manager nor their subsidiaries, associated companies, managers, officers, agents or employees hold any responsibility or liability for verifying any of such projections or estimates. Further, no responsibility of any kind is or will be accepted by the Manager or any of its subsidiaries, associated companies, managers, officers, agents or employees who expressly disclaim any liability which may be based on, or may derive from any information, errors or omissions contained in this document.
By its acceptance hereof, each recipient agrees (1) that neither it nor its agents, representatives, directors, officers or employees will copy, reproduce or distribute to others this document, in whole or in part, at any time without the prior written consent of the Manager, and (2) that it will keep permanently confidential all information contained herein and any oral information provided in connection with this document not already in the public domain.  Without limiting the foregoing, this document shall be subject to the terms of any separate confidentiality undertaking or agreement entered into by a recipient. The information contained herein has been prepared to assist interested parties in making their own evaluation of the a proposed transaction and does not purport to be all inclusive,  nor contain all of the information that a prospective investor may desire should any interested party determine to pursue such particular investment in the future, at which time any interested party would be referred to the definitive regulatory and other legal documents related to any such investment before considering to make any investment decision.
There can be no assurance that the targeted returns or results will be met. Actual returns will depend on, among other factors, future operating results, the value of the assets and market conditions at the time of realization.
Statements contained in this document that are not historical facts are based on current expectations, estimates, projections, opinions, and beliefs of the Manager.  Such statements involve known and unknown risks, uncertainties, and other factors, and undue reliance should not be placed thereon.  Additionally, this document contains “forward-looking statements.” Actual events or results or the actual performance of the Trust’s investments may differ materially from those reflected or contemplated in such forward-looking statements.  Certain economic and market information contained herein has been obtained from published sources prepared by third parties and in certain cases has not been updated through the date hereof.  While such sources are believed to be reliable, the Manager assumes no responsibility for the accuracy or completeness of such information.
Neither the Manager, nor their respective affiliates, officers, employees, agents, and consultants make any redocument or warranty as to the accuracy or completeness of the contents of this document and take no responsibility for any loss or damage suffered as a result of any omission, inadequacy, or inaccuracy herein. Recipients acknowledge that circumstances may change and the contents of this document may become outdated as a result.</t>
  </si>
  <si>
    <t>Account number</t>
  </si>
  <si>
    <t>BP Acronym</t>
  </si>
  <si>
    <t>BP ID</t>
  </si>
  <si>
    <t>Accronym</t>
  </si>
  <si>
    <t>Account grouping</t>
  </si>
  <si>
    <t>Account name</t>
  </si>
  <si>
    <t>FS</t>
  </si>
  <si>
    <t>BS Mapping</t>
  </si>
  <si>
    <t>BS Mapping L-2</t>
  </si>
  <si>
    <t>enero</t>
  </si>
  <si>
    <t>febrero</t>
  </si>
  <si>
    <t>final</t>
  </si>
  <si>
    <t xml:space="preserve">Pague </t>
  </si>
  <si>
    <t>Aumento</t>
  </si>
  <si>
    <t>105-01-001</t>
  </si>
  <si>
    <t>[MC]</t>
  </si>
  <si>
    <t>[MC] | 105-01-001</t>
  </si>
  <si>
    <t>[VCN]</t>
  </si>
  <si>
    <t>Cuentas por cobrar</t>
  </si>
  <si>
    <t>CONEKTA</t>
  </si>
  <si>
    <t>BS</t>
  </si>
  <si>
    <t>Assets</t>
  </si>
  <si>
    <t>Other Accounts Receivable</t>
  </si>
  <si>
    <t>105-01-002</t>
  </si>
  <si>
    <t>[MC] | 105-01-002</t>
  </si>
  <si>
    <t>MULTISERVICIOS NACIONALES MODELO</t>
  </si>
  <si>
    <t>105-01-003</t>
  </si>
  <si>
    <t>[MC] | 105-01-003</t>
  </si>
  <si>
    <t>PUNTO A PUNTO T2</t>
  </si>
  <si>
    <t>Cuentas por cobrar partes relacionadas</t>
  </si>
  <si>
    <t>105-01-005</t>
  </si>
  <si>
    <t>[MC] | 105-01-005</t>
  </si>
  <si>
    <t>ENGIE MEX CONSULTORES</t>
  </si>
  <si>
    <t>105-01-006</t>
  </si>
  <si>
    <t>[MC] | 105-01-006</t>
  </si>
  <si>
    <t>FORD MOTORS COMPANY</t>
  </si>
  <si>
    <t>105-01-007</t>
  </si>
  <si>
    <t>[MC] | 105-01-007</t>
  </si>
  <si>
    <t>HARD SISTEMAS DE VANGUARDIA</t>
  </si>
  <si>
    <t>105-01-008</t>
  </si>
  <si>
    <t>[MC] | 105-01-008</t>
  </si>
  <si>
    <t>BIOMEDICS</t>
  </si>
  <si>
    <t>105-01-009</t>
  </si>
  <si>
    <t>[MC] | 105-01-009</t>
  </si>
  <si>
    <t>CONSULTORES EN EFECTIVIDAD GERENCIAL</t>
  </si>
  <si>
    <t>105-01-010</t>
  </si>
  <si>
    <t>[MC] | 105-01-010</t>
  </si>
  <si>
    <t>CERVEZAS CUAUHTEMOC MOCTEZUMA</t>
  </si>
  <si>
    <t>105-01-011</t>
  </si>
  <si>
    <t>[MC] | 105-01-011</t>
  </si>
  <si>
    <t>DAIMLER VEHICULOS COMERCIALES MEXICO</t>
  </si>
  <si>
    <t>Pagos anticipados</t>
  </si>
  <si>
    <t>106-03-001</t>
  </si>
  <si>
    <t>[MC] | 106-03-001</t>
  </si>
  <si>
    <t>Mobility DAE SA de CV</t>
  </si>
  <si>
    <t>Intercompany Accounts Receivable</t>
  </si>
  <si>
    <t>Activo por derecho de uso</t>
  </si>
  <si>
    <t>106-03-003</t>
  </si>
  <si>
    <t>[MC] | 106-03-003</t>
  </si>
  <si>
    <t>Vemo Comercial Fleets SA de CV</t>
  </si>
  <si>
    <t>Provisiones</t>
  </si>
  <si>
    <t>106-03-005</t>
  </si>
  <si>
    <t>[MC] | 106-03-005</t>
  </si>
  <si>
    <t>Au Haus Ingenieria</t>
  </si>
  <si>
    <t>109-01-001</t>
  </si>
  <si>
    <t>[MC] | 109-01-001</t>
  </si>
  <si>
    <t>Nacional Provincial SAB</t>
  </si>
  <si>
    <t>Payments In Advance</t>
  </si>
  <si>
    <t>Pasivos por arrendamiento</t>
  </si>
  <si>
    <t>109-01-002</t>
  </si>
  <si>
    <t>[MC] | 109-01-002</t>
  </si>
  <si>
    <t xml:space="preserve">Aseguradora Aserta </t>
  </si>
  <si>
    <t>Cuentas por pagar partes relacionadas</t>
  </si>
  <si>
    <t>120-05-000</t>
  </si>
  <si>
    <t>[MC] | 120-05-000</t>
  </si>
  <si>
    <t>Anticipo a proveedores</t>
  </si>
  <si>
    <t>AT T COMUNICACIONES DIGITALES S DE RL DE CV</t>
  </si>
  <si>
    <t>161-01-000</t>
  </si>
  <si>
    <t>[MC] | 161-01-000</t>
  </si>
  <si>
    <t>Lease Asset (NIF D5)</t>
  </si>
  <si>
    <t>171-19-000</t>
  </si>
  <si>
    <t>[MC] | 171-19-000</t>
  </si>
  <si>
    <t xml:space="preserve">Depreciacion por activo de uso </t>
  </si>
  <si>
    <t>184-01-001</t>
  </si>
  <si>
    <t>[MC] | 184-01-001</t>
  </si>
  <si>
    <t>Otras cuentas por cobrar y activos circulantes</t>
  </si>
  <si>
    <t xml:space="preserve">COMISION FEDERAL DE ELECTRICIDAD </t>
  </si>
  <si>
    <t>184-02-001</t>
  </si>
  <si>
    <t>[MC] | 184-02-001</t>
  </si>
  <si>
    <t>Montag Escenografia SA de CV</t>
  </si>
  <si>
    <t>184-02-002</t>
  </si>
  <si>
    <t>[MC] | 184-02-002</t>
  </si>
  <si>
    <t>Inmobiliaria Conjunto Polanco SAPI de CV</t>
  </si>
  <si>
    <t>184-02-003</t>
  </si>
  <si>
    <t>[MC] | 184-02-003</t>
  </si>
  <si>
    <t xml:space="preserve">Estacionamienti Boyen SA de CV </t>
  </si>
  <si>
    <t>184-02-004</t>
  </si>
  <si>
    <t>[MC] | 184-02-004</t>
  </si>
  <si>
    <t>TRANSACTIONAL BANKING MEXICO</t>
  </si>
  <si>
    <t>184-02-005</t>
  </si>
  <si>
    <t>[MC] | 184-02-005</t>
  </si>
  <si>
    <t>FIDEICOMISO FIBRA UNO</t>
  </si>
  <si>
    <t>184-02-006</t>
  </si>
  <si>
    <t>[MC] | 184-02-006</t>
  </si>
  <si>
    <t>FIDEICOMISO ALEPH</t>
  </si>
  <si>
    <t>210-01-000</t>
  </si>
  <si>
    <t>[MC] | 210-01-000</t>
  </si>
  <si>
    <t>Provisión de sueldos y salarios x pagar</t>
  </si>
  <si>
    <t>Liabilities</t>
  </si>
  <si>
    <t>Provisions for Miscellaneous Obligations (portfolio and non-portfolio related)</t>
  </si>
  <si>
    <t>210-03-000</t>
  </si>
  <si>
    <t>[MC] | 210-03-000</t>
  </si>
  <si>
    <t>Provisión de aguinaldo por pagar</t>
  </si>
  <si>
    <t>210-08-000</t>
  </si>
  <si>
    <t>[MC] | 210-08-000</t>
  </si>
  <si>
    <t xml:space="preserve">Provisión prima vacaional </t>
  </si>
  <si>
    <t>210-09-000</t>
  </si>
  <si>
    <t>[MC] | 210-09-000</t>
  </si>
  <si>
    <t xml:space="preserve">Provisión Bono </t>
  </si>
  <si>
    <t>218-02-001</t>
  </si>
  <si>
    <t>[MC] | 218-02-001</t>
  </si>
  <si>
    <t>Fideicomiso aleph, banco ve por mas, fid 42</t>
  </si>
  <si>
    <t>Lease Liabilities (NIF D5)</t>
  </si>
  <si>
    <t>218-02-002</t>
  </si>
  <si>
    <t>[MC] | 218-02-002</t>
  </si>
  <si>
    <t>Cibanco SA CIB/477</t>
  </si>
  <si>
    <t>218-02-003</t>
  </si>
  <si>
    <t>[MC] | 218-02-003</t>
  </si>
  <si>
    <t xml:space="preserve">Inmobiliaria conjunto polanco </t>
  </si>
  <si>
    <t>218-02-004</t>
  </si>
  <si>
    <t>[MC] | 218-02-004</t>
  </si>
  <si>
    <t>Fibra HD (Lomas Verdes)</t>
  </si>
  <si>
    <t>218-02-005</t>
  </si>
  <si>
    <t>[MC] | 218-02-005</t>
  </si>
  <si>
    <t>Desarrolladora de Estacionamientos (Monumento)</t>
  </si>
  <si>
    <t>218-02-006</t>
  </si>
  <si>
    <t>[MC] | 218-02-006</t>
  </si>
  <si>
    <t>Fideicomiso  Fibra UNO (Torre Mexicana)</t>
  </si>
  <si>
    <t>256-02-000</t>
  </si>
  <si>
    <t>[MC] | 256-02-000</t>
  </si>
  <si>
    <t xml:space="preserve">Pasivo por arrendamiento </t>
  </si>
  <si>
    <t>109-23-001</t>
  </si>
  <si>
    <t>[MC] | 109-23-001</t>
  </si>
  <si>
    <t>BAJA MAR DE CORTES SA DE CV</t>
  </si>
  <si>
    <t>219-01-001</t>
  </si>
  <si>
    <t xml:space="preserve">Prestadora de Servicios de Mobilidad SA DE CV </t>
  </si>
  <si>
    <t>Accounts Payable (Related Parties)</t>
  </si>
  <si>
    <t>219-01-002</t>
  </si>
  <si>
    <t>FINANCIERA POR EL IMPULSO ECONOMICO SA DE CV SOFOM</t>
  </si>
  <si>
    <t>219-01-003</t>
  </si>
  <si>
    <t xml:space="preserve">Green Movilidad Electrica SA DE CV </t>
  </si>
  <si>
    <t>219-01-004</t>
  </si>
  <si>
    <t>Au Haus Espacios Inteligentes SAPI de CV</t>
  </si>
  <si>
    <t>219-01-005</t>
  </si>
  <si>
    <t>Mobility Dae</t>
  </si>
  <si>
    <t>219-01-008</t>
  </si>
  <si>
    <t>Vemo Comercial Fleets</t>
  </si>
  <si>
    <t>219-01-009</t>
  </si>
  <si>
    <t>Mobility IP</t>
  </si>
  <si>
    <t>201-01-007</t>
  </si>
  <si>
    <t>[MC] | 201-01-007</t>
  </si>
  <si>
    <t>Proveedores y otras cuentas por pagar</t>
  </si>
  <si>
    <t>Fideicomiso Aleph Banco Ve Por Mas</t>
  </si>
  <si>
    <t>Accounts Payable (Others)</t>
  </si>
  <si>
    <t>201-01-012</t>
  </si>
  <si>
    <t>[MC] | 201-01-012</t>
  </si>
  <si>
    <t>Grupo Nacional Provincial SAB</t>
  </si>
  <si>
    <t>201-01-013</t>
  </si>
  <si>
    <t>[MC] | 201-01-013</t>
  </si>
  <si>
    <t>201-01-015</t>
  </si>
  <si>
    <t>[MC] | 201-01-015</t>
  </si>
  <si>
    <t xml:space="preserve">Inmbiliaria Conjunto Polanco </t>
  </si>
  <si>
    <t>201-01-019</t>
  </si>
  <si>
    <t>[MC] | 201-01-019</t>
  </si>
  <si>
    <t xml:space="preserve">Desarrolladora de estacionamientos privados </t>
  </si>
  <si>
    <t>201-01-022</t>
  </si>
  <si>
    <t>[MC] | 201-01-022</t>
  </si>
  <si>
    <t>MULTISISTEMAS DE SEGURIDAD DEL CENTRO, S.A. DE C.V</t>
  </si>
  <si>
    <t>201-01-030</t>
  </si>
  <si>
    <t>[MC] | 201-01-030</t>
  </si>
  <si>
    <t>COMISION FEDERAL DE ELECTRICIDAD</t>
  </si>
  <si>
    <t>201-01-034</t>
  </si>
  <si>
    <t>[MC] | 201-01-034</t>
  </si>
  <si>
    <t>ADMINISTRADORA PUERTA POLANCO</t>
  </si>
  <si>
    <t>201-01-035</t>
  </si>
  <si>
    <t>[MC] | 201-01-035</t>
  </si>
  <si>
    <t>ESTACIONAMIENTO BOYEN</t>
  </si>
  <si>
    <t>201-01-041</t>
  </si>
  <si>
    <t>[MC] | 201-01-041</t>
  </si>
  <si>
    <t xml:space="preserve">GRUPO JEXEL PUBLICIDAD </t>
  </si>
  <si>
    <t>201-01-043</t>
  </si>
  <si>
    <t>[MC] | 201-01-043</t>
  </si>
  <si>
    <t>201-01-044</t>
  </si>
  <si>
    <t>[MC] | 201-01-044</t>
  </si>
  <si>
    <t>INSTITUTO TECNOLOGICOS Y DE ESTUDIOS SUP  ITESM</t>
  </si>
  <si>
    <t>201-01-045</t>
  </si>
  <si>
    <t>[MC] | 201-01-045</t>
  </si>
  <si>
    <t>FIBRA HD</t>
  </si>
  <si>
    <t>201-01-046</t>
  </si>
  <si>
    <t>[MC] | 201-01-046</t>
  </si>
  <si>
    <t>GOOGLE OPERACIONES DE MEXICO</t>
  </si>
  <si>
    <t>201-01-047</t>
  </si>
  <si>
    <t>[MC] | 201-01-047</t>
  </si>
  <si>
    <t>FIBRA HD SERVICIOS</t>
  </si>
  <si>
    <t>201-01-051</t>
  </si>
  <si>
    <t>[MC] | 201-01-051</t>
  </si>
  <si>
    <t>TOTAL PLAY TELECOMUNICACIONES SAPI DE CV</t>
  </si>
  <si>
    <t>201-01-052</t>
  </si>
  <si>
    <t>[MC] | 201-01-052</t>
  </si>
  <si>
    <t>MANCERA S.C.</t>
  </si>
  <si>
    <t>201-01-053</t>
  </si>
  <si>
    <t>[MC] | 201-01-053</t>
  </si>
  <si>
    <t>MAZARS MEXICO</t>
  </si>
  <si>
    <t>201-01-056</t>
  </si>
  <si>
    <t>[MC] | 201-01-056</t>
  </si>
  <si>
    <t>TSDF SEGURIDAD PRIVADA</t>
  </si>
  <si>
    <t>201-01-057</t>
  </si>
  <si>
    <t>[MC] | 201-01-057</t>
  </si>
  <si>
    <t xml:space="preserve">CAMPUS ADMINISTRACIONES SA DE CV    </t>
  </si>
  <si>
    <t>201-01-058</t>
  </si>
  <si>
    <t>[MC] | 201-01-058</t>
  </si>
  <si>
    <t>FONDO INMOBILIARIO SA DE CV</t>
  </si>
  <si>
    <t>201-01-059</t>
  </si>
  <si>
    <t>[MC] | 201-01-059</t>
  </si>
  <si>
    <t>PARK SHOPPING CENTER</t>
  </si>
  <si>
    <t>201-01-061</t>
  </si>
  <si>
    <t>[MC] | 201-01-061</t>
  </si>
  <si>
    <t>TOTAL BOX</t>
  </si>
  <si>
    <t>201-01-062</t>
  </si>
  <si>
    <t>[MC] | 201-01-062</t>
  </si>
  <si>
    <t>Diversos</t>
  </si>
  <si>
    <t>201-01-063</t>
  </si>
  <si>
    <t>[MC] | 201-01-063</t>
  </si>
  <si>
    <t>Q ADMINISTRACIONES</t>
  </si>
  <si>
    <t>201-01-064</t>
  </si>
  <si>
    <t>[MC] | 201-01-064</t>
  </si>
  <si>
    <t>TSEM SEGURIDAD PRIVADA</t>
  </si>
  <si>
    <t>201-01-065</t>
  </si>
  <si>
    <t>[MC] | 201-01-065</t>
  </si>
  <si>
    <t>DOS UNO PUBLICIDAD</t>
  </si>
  <si>
    <t>201-01-066</t>
  </si>
  <si>
    <t>[MC] | 201-01-066</t>
  </si>
  <si>
    <t>IXE BANCO S.A. F/1446</t>
  </si>
  <si>
    <t>201-01-067</t>
  </si>
  <si>
    <t>[MC] | 201-01-067</t>
  </si>
  <si>
    <t>GRUPO CONEKTAME</t>
  </si>
  <si>
    <t>201-01-068</t>
  </si>
  <si>
    <t>[MC] | 201-01-068</t>
  </si>
  <si>
    <t>OPERSAT</t>
  </si>
  <si>
    <t>201-01-069</t>
  </si>
  <si>
    <t>[MC] | 201-01-069</t>
  </si>
  <si>
    <t>ESPACIA ESTACIONAMIENTOS</t>
  </si>
  <si>
    <t>201-01-070</t>
  </si>
  <si>
    <t>[MC] | 201-01-070</t>
  </si>
  <si>
    <t>DEK POLANCO ADMINISTRACION</t>
  </si>
  <si>
    <t>201-01-071</t>
  </si>
  <si>
    <t>[MC] | 201-01-071</t>
  </si>
  <si>
    <t>INTELLIPARKS</t>
  </si>
  <si>
    <t>201-01-072</t>
  </si>
  <si>
    <t>[MC] | 201-01-072</t>
  </si>
  <si>
    <t>CLUB DE GOLF MEXICO</t>
  </si>
  <si>
    <t>201-01-073</t>
  </si>
  <si>
    <t>[MC] | 201-01-073</t>
  </si>
  <si>
    <t>COPPEL</t>
  </si>
  <si>
    <t>204-01-001</t>
  </si>
  <si>
    <t>[MC] | 204-01-001</t>
  </si>
  <si>
    <t>TDC AMEX 81002</t>
  </si>
  <si>
    <t>201-01-009</t>
  </si>
  <si>
    <t>[MC] | 201-01-009</t>
  </si>
  <si>
    <t>Telefonos de Mexico SAB</t>
  </si>
  <si>
    <t>201-01-024</t>
  </si>
  <si>
    <t>[MC] | 201-01-024</t>
  </si>
  <si>
    <t>Dun &amp; Bradstreet de México, S.A. de C.V.</t>
  </si>
  <si>
    <t>201-01-033</t>
  </si>
  <si>
    <t>[MC] | 201-01-033</t>
  </si>
  <si>
    <t>CFE DISTRIBUCION</t>
  </si>
  <si>
    <t>201-01-048</t>
  </si>
  <si>
    <t>[MC] | 201-01-048</t>
  </si>
  <si>
    <t>AT&amp;T COMUNICACIONES DIGITGALES</t>
  </si>
  <si>
    <t>201-01-054</t>
  </si>
  <si>
    <t>[MC] | 201-01-054</t>
  </si>
  <si>
    <t>TELEVISION INTERNACIONAL</t>
  </si>
  <si>
    <t>201-01-055</t>
  </si>
  <si>
    <t>[MC] | 201-01-055</t>
  </si>
  <si>
    <t>SERVICIOS TELUM</t>
  </si>
  <si>
    <t>201-01-074</t>
  </si>
  <si>
    <t>[MC] | 201-01-074</t>
  </si>
  <si>
    <t>PROMOTORA IZCALLI 2003</t>
  </si>
  <si>
    <t>201-01-075</t>
  </si>
  <si>
    <t>[MC] | 201-01-075</t>
  </si>
  <si>
    <t>TOWN CENTER COSMOPOL</t>
  </si>
  <si>
    <t>201-01-076</t>
  </si>
  <si>
    <t>[MC] | 201-01-076</t>
  </si>
  <si>
    <t>PROMOTORA MAR Y CIELO</t>
  </si>
  <si>
    <t>201-01-077</t>
  </si>
  <si>
    <t>[MC] | 201-01-077</t>
  </si>
  <si>
    <t>PROYECTO INTERPLAZA FIDEICOMISO</t>
  </si>
  <si>
    <t>201-01-039</t>
  </si>
  <si>
    <t>[MC] | 201-01-039</t>
  </si>
  <si>
    <t>ACTUA  ACTUARIOS</t>
  </si>
  <si>
    <t>201-01-078</t>
  </si>
  <si>
    <t>[MC] | 201-01-078</t>
  </si>
  <si>
    <t>PAOLO SERGIO JARA ASCENCIO</t>
  </si>
  <si>
    <t>201-01-083</t>
  </si>
  <si>
    <t>[MC] | 201-01-083</t>
  </si>
  <si>
    <t>VEMO VCN 2025 Financials</t>
  </si>
  <si>
    <t>Scenarios VCN</t>
  </si>
  <si>
    <t>x</t>
  </si>
  <si>
    <t>UNITS</t>
  </si>
  <si>
    <t>COMMENT</t>
  </si>
  <si>
    <t>ASSUMPTION</t>
  </si>
  <si>
    <t>Select Month</t>
  </si>
  <si>
    <t>BP</t>
  </si>
  <si>
    <t>ACC</t>
  </si>
  <si>
    <t>Select Case</t>
  </si>
  <si>
    <t>Board View</t>
  </si>
  <si>
    <t xml:space="preserve">Acc </t>
  </si>
  <si>
    <t>View</t>
  </si>
  <si>
    <t>BP/ Acc</t>
  </si>
  <si>
    <t>[DATA]</t>
  </si>
  <si>
    <t>Vemo Data</t>
  </si>
  <si>
    <t>check P&amp;L</t>
  </si>
  <si>
    <t>VCN Business Plan View (Detail)</t>
  </si>
  <si>
    <t>Check BS</t>
  </si>
  <si>
    <t>Month Start</t>
  </si>
  <si>
    <t>Month End</t>
  </si>
  <si>
    <t xml:space="preserve">Year </t>
  </si>
  <si>
    <t>Quarter</t>
  </si>
  <si>
    <t>Actuals</t>
  </si>
  <si>
    <t>FS Budget (Board)</t>
  </si>
  <si>
    <t>FS Budget (Board) L-2</t>
  </si>
  <si>
    <t>FS Budget (Board) L-3</t>
  </si>
  <si>
    <t>FS Budget (Board) L-4</t>
  </si>
  <si>
    <t>SG&amp;A Consolidated</t>
  </si>
  <si>
    <t>Consolidated</t>
  </si>
  <si>
    <t>Efectivo y equivalentes de efectivo</t>
  </si>
  <si>
    <t>Cash &amp; Eq.</t>
  </si>
  <si>
    <t>n.a.</t>
  </si>
  <si>
    <t>Combinado</t>
  </si>
  <si>
    <t>102-01-003</t>
  </si>
  <si>
    <t xml:space="preserve"> BBVA 0119831797</t>
  </si>
  <si>
    <t>103-01-001</t>
  </si>
  <si>
    <t>INVERSIONES BASE</t>
  </si>
  <si>
    <t>Cuentas por cobrar comerciales</t>
  </si>
  <si>
    <t>Impuestos a favor y por recuperar</t>
  </si>
  <si>
    <t>VAT and other taxes recoverable/ receivable</t>
  </si>
  <si>
    <t>117-02-000</t>
  </si>
  <si>
    <t>Obras en construcción</t>
  </si>
  <si>
    <t>PROYECTO GRUPO MODELO</t>
  </si>
  <si>
    <t>CIP (Construction in Progress)</t>
  </si>
  <si>
    <t>117-03-000</t>
  </si>
  <si>
    <t>Mobiliario y equipo, neto</t>
  </si>
  <si>
    <t>PROYECTO TORRE MEXICANA</t>
  </si>
  <si>
    <t>117-04-000</t>
  </si>
  <si>
    <t>PROYECTO PETRARCA</t>
  </si>
  <si>
    <t>117-05-000</t>
  </si>
  <si>
    <t>PROYECTO ALEPH</t>
  </si>
  <si>
    <t>118-01-000</t>
  </si>
  <si>
    <t>IVA acreditable pagado</t>
  </si>
  <si>
    <t>PP&amp;E</t>
  </si>
  <si>
    <t>Hub Miyana</t>
  </si>
  <si>
    <t>162-04-000</t>
  </si>
  <si>
    <t>Hub Artz</t>
  </si>
  <si>
    <t>162-05-000</t>
  </si>
  <si>
    <t>Operacion y Mantenimientos Hub´s</t>
  </si>
  <si>
    <t>162-06-000</t>
  </si>
  <si>
    <t>Monumento a la madre</t>
  </si>
  <si>
    <t>162-07-000</t>
  </si>
  <si>
    <t>Puerta polanco</t>
  </si>
  <si>
    <t>162-08-000</t>
  </si>
  <si>
    <t>Hub Torre Mexicana</t>
  </si>
  <si>
    <t>162-09-000</t>
  </si>
  <si>
    <t>Hub Petrarca</t>
  </si>
  <si>
    <t>162-10-000</t>
  </si>
  <si>
    <t>Infraestructura (TEC PUEBLA)</t>
  </si>
  <si>
    <t>162-11-000</t>
  </si>
  <si>
    <t>Infraestructura (DEK POLANCO )</t>
  </si>
  <si>
    <t>162-12-000</t>
  </si>
  <si>
    <t>Infraestructura (TEC QRO.)</t>
  </si>
  <si>
    <t>162-13-000</t>
  </si>
  <si>
    <t>Infraestructura (CENTENARIO)</t>
  </si>
  <si>
    <t>162-14-000</t>
  </si>
  <si>
    <t>Infraestructura (TORRE CUADRO)</t>
  </si>
  <si>
    <t>162-15-000</t>
  </si>
  <si>
    <t>Infraestructura (TORRE POLANCO)</t>
  </si>
  <si>
    <t>162-16-000</t>
  </si>
  <si>
    <t>Infraestructura (VYUU)</t>
  </si>
  <si>
    <t>162-17-000</t>
  </si>
  <si>
    <t>Infraestructura (QUAD SANTA FE)</t>
  </si>
  <si>
    <t>162-18-000</t>
  </si>
  <si>
    <t>Infraestructura (INCORP. QUBICA LOMAS)</t>
  </si>
  <si>
    <t>162-19-000</t>
  </si>
  <si>
    <t>Infraestructura (HOTEL WESTLIN )</t>
  </si>
  <si>
    <t>162-20-000</t>
  </si>
  <si>
    <t>Infraestructura (HOTELL ZAMBRANO)</t>
  </si>
  <si>
    <t>162-21-000</t>
  </si>
  <si>
    <t>Infraestructura (MIYANA FASE 4)</t>
  </si>
  <si>
    <t>Otros activos no circulantes</t>
  </si>
  <si>
    <t>Provisiones y pasivos acumulados</t>
  </si>
  <si>
    <t>208-01-000</t>
  </si>
  <si>
    <t>Impuestos por Pagar</t>
  </si>
  <si>
    <t>IVA trasladado cobrado</t>
  </si>
  <si>
    <t>Taxes Payable</t>
  </si>
  <si>
    <t>Pasivo neto por beneficios definidos a los empleados</t>
  </si>
  <si>
    <t>Employee benefits</t>
  </si>
  <si>
    <t>Capital social</t>
  </si>
  <si>
    <t>Equity</t>
  </si>
  <si>
    <t>Common Stock and Additional Paid-in Capital</t>
  </si>
  <si>
    <t>Resultado de ejercicios anteriores</t>
  </si>
  <si>
    <t>Retained earnings (PY)</t>
  </si>
  <si>
    <t>401-01-002</t>
  </si>
  <si>
    <t>Ingresos partes relacionadas</t>
  </si>
  <si>
    <t>Servicio de carga Hubs Lomas Verdes</t>
  </si>
  <si>
    <t>P&amp;L</t>
  </si>
  <si>
    <t>Retained earnings (Current Year)</t>
  </si>
  <si>
    <t>Revenue</t>
  </si>
  <si>
    <t>DAE</t>
  </si>
  <si>
    <t xml:space="preserve">Dedicated DAE HUBS </t>
  </si>
  <si>
    <t>Lomas Verdes</t>
  </si>
  <si>
    <t>Artz</t>
  </si>
  <si>
    <t>401-01-005</t>
  </si>
  <si>
    <t xml:space="preserve">Servicio de carga Hub Miyana </t>
  </si>
  <si>
    <t>Miyana</t>
  </si>
  <si>
    <t>Ingresos operativos</t>
  </si>
  <si>
    <t>Non Operating Revenue</t>
  </si>
  <si>
    <t>401-02-002</t>
  </si>
  <si>
    <t>Instalación Infraestructura</t>
  </si>
  <si>
    <t>EPC</t>
  </si>
  <si>
    <t>Rent Expense Hubs</t>
  </si>
  <si>
    <t>DAE: Energy Cost Reimbursment</t>
  </si>
  <si>
    <t>401-10-005</t>
  </si>
  <si>
    <t xml:space="preserve">Telefonia e Intrnet </t>
  </si>
  <si>
    <t>Internet HUBS</t>
  </si>
  <si>
    <t>401-22-000</t>
  </si>
  <si>
    <t>Ingresos por arrendamiento</t>
  </si>
  <si>
    <t>ChaSS 99m</t>
  </si>
  <si>
    <t>Ingresos estación de carga</t>
  </si>
  <si>
    <t>Activation Revenue</t>
  </si>
  <si>
    <t>B2C Users (Watts)</t>
  </si>
  <si>
    <t>601-25-000</t>
  </si>
  <si>
    <t>Gastos partes relacionadas</t>
  </si>
  <si>
    <t>Bono</t>
  </si>
  <si>
    <t>Direct Business Lines SG&amp;A</t>
  </si>
  <si>
    <t>Bonus</t>
  </si>
  <si>
    <t>PayRoll Expense</t>
  </si>
  <si>
    <t>HR</t>
  </si>
  <si>
    <t>SG&amp;A</t>
  </si>
  <si>
    <t>Servicios administrativos</t>
  </si>
  <si>
    <t>Corporate G&amp;A</t>
  </si>
  <si>
    <t>Corporate Expense</t>
  </si>
  <si>
    <t>Fleet O&amp;M</t>
  </si>
  <si>
    <t>601-33-001</t>
  </si>
  <si>
    <t>Servicios Administrativos Documental</t>
  </si>
  <si>
    <t>MKT Expense</t>
  </si>
  <si>
    <t>Finanzas</t>
  </si>
  <si>
    <t>601-50-000</t>
  </si>
  <si>
    <t>Teléfono, internet</t>
  </si>
  <si>
    <t>OPEX</t>
  </si>
  <si>
    <t>Non Operating Expense</t>
  </si>
  <si>
    <t>HUB Utilities</t>
  </si>
  <si>
    <t>Charging Infra</t>
  </si>
  <si>
    <t>O&amp;M</t>
  </si>
  <si>
    <t>601-57-000</t>
  </si>
  <si>
    <t>Seguros y fianzas</t>
  </si>
  <si>
    <t>Insurance</t>
  </si>
  <si>
    <t>Operaciones</t>
  </si>
  <si>
    <t>602-32-000</t>
  </si>
  <si>
    <t>Gastos generales</t>
  </si>
  <si>
    <t>Others</t>
  </si>
  <si>
    <t>Advisory Fees</t>
  </si>
  <si>
    <t>Professional Fees</t>
  </si>
  <si>
    <t>Legal</t>
  </si>
  <si>
    <t>602-46-004</t>
  </si>
  <si>
    <t>Proyecto Hubs Lomas Verdes</t>
  </si>
  <si>
    <t>Rent LV</t>
  </si>
  <si>
    <t>602-46-007</t>
  </si>
  <si>
    <t>Estacionamientos Rio Neva 18</t>
  </si>
  <si>
    <t>Rent Rio Neva</t>
  </si>
  <si>
    <t>Costos de ventas</t>
  </si>
  <si>
    <t>Energy Aleph</t>
  </si>
  <si>
    <t>602-52-002</t>
  </si>
  <si>
    <t>Hub Lomas Verdes</t>
  </si>
  <si>
    <t>Energy LV</t>
  </si>
  <si>
    <t>602-52-003</t>
  </si>
  <si>
    <t>Energy Miyana</t>
  </si>
  <si>
    <t>602-52-008</t>
  </si>
  <si>
    <t>Energia ITESM</t>
  </si>
  <si>
    <t>Energy Costs</t>
  </si>
  <si>
    <t>602-52-010</t>
  </si>
  <si>
    <t>Torre Mexicana</t>
  </si>
  <si>
    <t>Energy TM</t>
  </si>
  <si>
    <t>602-52-011</t>
  </si>
  <si>
    <t>Hub Lomas Verdes 2</t>
  </si>
  <si>
    <t>602-52-013</t>
  </si>
  <si>
    <t>Energy PT</t>
  </si>
  <si>
    <t>602-56-005</t>
  </si>
  <si>
    <t>Equipos Rio Neva</t>
  </si>
  <si>
    <t>Maintenance Rio Neva</t>
  </si>
  <si>
    <t>Maintenance LV</t>
  </si>
  <si>
    <t>602-60-000</t>
  </si>
  <si>
    <t>Cuotas y suscripciones</t>
  </si>
  <si>
    <t>Subscriptions</t>
  </si>
  <si>
    <t>MKT</t>
  </si>
  <si>
    <t xml:space="preserve">Bank &amp; Others Fees </t>
  </si>
  <si>
    <t xml:space="preserve">Revenue Share </t>
  </si>
  <si>
    <t>Gastos de personal</t>
  </si>
  <si>
    <t>Wages</t>
  </si>
  <si>
    <t>Payroll Expense</t>
  </si>
  <si>
    <t>Benefits</t>
  </si>
  <si>
    <t>Severance</t>
  </si>
  <si>
    <t>603-32-000</t>
  </si>
  <si>
    <t xml:space="preserve">Rent TM </t>
  </si>
  <si>
    <t>603-34-000</t>
  </si>
  <si>
    <t>Honorarios a pers físicas residtes nal</t>
  </si>
  <si>
    <t>Internet Expense</t>
  </si>
  <si>
    <t>603-52-000</t>
  </si>
  <si>
    <t>Energía eléctrica</t>
  </si>
  <si>
    <t>603-56-000</t>
  </si>
  <si>
    <t>Mantenimiento y conservación</t>
  </si>
  <si>
    <t xml:space="preserve">General  Maintenance </t>
  </si>
  <si>
    <t>Not in Budget</t>
  </si>
  <si>
    <t>Recargos fiscales</t>
  </si>
  <si>
    <t>Depreciación de mobiliario y equipo</t>
  </si>
  <si>
    <t>D&amp;A</t>
  </si>
  <si>
    <t>Furniture and equipment D&amp;A</t>
  </si>
  <si>
    <t>Depreciación activos por derecho de uso</t>
  </si>
  <si>
    <t>Charging Infra D&amp;A</t>
  </si>
  <si>
    <t>Perdida cambiaria</t>
  </si>
  <si>
    <t>FX</t>
  </si>
  <si>
    <t>Intereses por arrendamiento</t>
  </si>
  <si>
    <t>Interest Expense</t>
  </si>
  <si>
    <t>701-11-003</t>
  </si>
  <si>
    <t>Intereses por pasivo de arrendamiento/Miyana</t>
  </si>
  <si>
    <t xml:space="preserve">Rent Miyana </t>
  </si>
  <si>
    <t>Ganancia cambiaria</t>
  </si>
  <si>
    <t>Intereses a favor</t>
  </si>
  <si>
    <t>702-10-000</t>
  </si>
  <si>
    <t>Otros productos financieros</t>
  </si>
  <si>
    <t>602-50-002</t>
  </si>
  <si>
    <t>602-50-005</t>
  </si>
  <si>
    <t>Torre Maxicana</t>
  </si>
  <si>
    <t>602-50-006</t>
  </si>
  <si>
    <t>Petrarca</t>
  </si>
  <si>
    <t>602-59-000</t>
  </si>
  <si>
    <t>115-01-000</t>
  </si>
  <si>
    <t>Inventarios</t>
  </si>
  <si>
    <t>Inventario</t>
  </si>
  <si>
    <t>Inventory (vehicles)</t>
  </si>
  <si>
    <t>Corporate Bonus</t>
  </si>
  <si>
    <t>601-84-000</t>
  </si>
  <si>
    <t>Otros gastos generales</t>
  </si>
  <si>
    <t>162-22-000</t>
  </si>
  <si>
    <t>206-01-003</t>
  </si>
  <si>
    <t>Anticipo de clientes e ingresos diferidos</t>
  </si>
  <si>
    <t>210-10-000</t>
  </si>
  <si>
    <t>Provisión Vales de Despensa</t>
  </si>
  <si>
    <t>601-85-000</t>
  </si>
  <si>
    <t>Software / PSM</t>
  </si>
  <si>
    <t>603-72-000</t>
  </si>
  <si>
    <t>Fletes y acareos</t>
  </si>
  <si>
    <t>Rent Petrarca</t>
  </si>
  <si>
    <t>LTO Users (Watts)</t>
  </si>
  <si>
    <t>219-01-010</t>
  </si>
  <si>
    <t xml:space="preserve">AU HAUS INGENIERIA </t>
  </si>
  <si>
    <t>601-56-001</t>
  </si>
  <si>
    <t>162-23-000</t>
  </si>
  <si>
    <t>210-11-000</t>
  </si>
  <si>
    <t>Otras Deducciones</t>
  </si>
  <si>
    <t>603-64-000</t>
  </si>
  <si>
    <t>Asistencia técnica</t>
  </si>
  <si>
    <t>102-01-004</t>
  </si>
  <si>
    <t>BASE 145180006288701023</t>
  </si>
  <si>
    <t>102-01-005</t>
  </si>
  <si>
    <t>BASE USD 145180006288702022</t>
  </si>
  <si>
    <t>ISR Diferido activo</t>
  </si>
  <si>
    <t>PTU Diferida activo</t>
  </si>
  <si>
    <t>105-01-012</t>
  </si>
  <si>
    <t>NOVARTIS FARMACEUTICA</t>
  </si>
  <si>
    <t>Novartis</t>
  </si>
  <si>
    <t>VCN-Recarga Publica</t>
  </si>
  <si>
    <t>102-01-006</t>
  </si>
  <si>
    <t xml:space="preserve">BASE USD Complementaria </t>
  </si>
  <si>
    <t>120-01-005</t>
  </si>
  <si>
    <t>CLUB DEL GOLF MEXICO</t>
  </si>
  <si>
    <t>201-01-079</t>
  </si>
  <si>
    <t>AXTEL</t>
  </si>
  <si>
    <t>602-86-004</t>
  </si>
  <si>
    <t>Access Card</t>
  </si>
  <si>
    <t>105-01-013</t>
  </si>
  <si>
    <t>BUILD YOUR DREAMS BUSSES MEXICO</t>
  </si>
  <si>
    <t>120-01-006</t>
  </si>
  <si>
    <t>206-05-000</t>
  </si>
  <si>
    <t>Otros anticipos de clientes</t>
  </si>
  <si>
    <t>602-52-004</t>
  </si>
  <si>
    <t>SERVICIO DE TENCION</t>
  </si>
  <si>
    <t>162-25-000</t>
  </si>
  <si>
    <t xml:space="preserve">Infraestructura Grupo Modelo </t>
  </si>
  <si>
    <t>201-01-100</t>
  </si>
  <si>
    <t>PARKEN SOLUCIONES EN TRANSPORTE Y ESTACIONAMIENTO</t>
  </si>
  <si>
    <t>602-72-000</t>
  </si>
  <si>
    <t>Fletes y acarreos</t>
  </si>
  <si>
    <t>Otros ingresos</t>
  </si>
  <si>
    <t>201-01-103</t>
  </si>
  <si>
    <t>ADMINISTRACION DE INMUEBLES FORTUNA</t>
  </si>
  <si>
    <t>NUEVA WAL MART DE MEXICO</t>
  </si>
  <si>
    <t>117-06-000</t>
  </si>
  <si>
    <t xml:space="preserve">HUB XOLA </t>
  </si>
  <si>
    <t>117-07-000</t>
  </si>
  <si>
    <t xml:space="preserve">PORYECTO TESLA LA PAZ </t>
  </si>
  <si>
    <t>117-08-000</t>
  </si>
  <si>
    <t xml:space="preserve">HUB TEPIC 109 - ROMA </t>
  </si>
  <si>
    <t>117-09-000</t>
  </si>
  <si>
    <t xml:space="preserve">HUB GRAN OSO </t>
  </si>
  <si>
    <t>117-10-000</t>
  </si>
  <si>
    <t xml:space="preserve">PROYECTO LOMAS VERDES </t>
  </si>
  <si>
    <t>117-12-000</t>
  </si>
  <si>
    <t>HUBS - CFE</t>
  </si>
  <si>
    <t>120-01-007</t>
  </si>
  <si>
    <t>INMOBILIARIA MARIA ELENA SA</t>
  </si>
  <si>
    <t>120-01-008</t>
  </si>
  <si>
    <t>LUDWIG ALBERTO HOCHSTRASSER VILLASEÑOR</t>
  </si>
  <si>
    <t>162-26-000</t>
  </si>
  <si>
    <t xml:space="preserve">Infraestructura Walmart </t>
  </si>
  <si>
    <t>201-01-031</t>
  </si>
  <si>
    <t>ODES CONSTRUCTION</t>
  </si>
  <si>
    <t>206-03-002</t>
  </si>
  <si>
    <t>MOBILITY DAE</t>
  </si>
  <si>
    <t>Dedicated Hubs (Walmart)</t>
  </si>
  <si>
    <t>120-01-009</t>
  </si>
  <si>
    <t>RICARDO MANUEL PEREZ SILVA</t>
  </si>
  <si>
    <t>601-56-003</t>
  </si>
  <si>
    <t>Mantto Modulos de Pontencia</t>
  </si>
  <si>
    <t>601-56-004</t>
  </si>
  <si>
    <t>Mantto Bodega - Taller</t>
  </si>
  <si>
    <t>Security</t>
  </si>
  <si>
    <t>106-03-007</t>
  </si>
  <si>
    <t>VEMO ELECTROMECANICA</t>
  </si>
  <si>
    <t>401-17-000</t>
  </si>
  <si>
    <t>Ingresos por servicios adtvos nal pte relac</t>
  </si>
  <si>
    <t>102-01-007</t>
  </si>
  <si>
    <t>BANCO BASE MXN 1036</t>
  </si>
  <si>
    <t>102-01-008</t>
  </si>
  <si>
    <t>BANCO BASE USD 2035</t>
  </si>
  <si>
    <t>102-01-009</t>
  </si>
  <si>
    <t>BANCO BASE USD 2035 COMPL</t>
  </si>
  <si>
    <t>105-01-018</t>
  </si>
  <si>
    <t>LUIS FELIPE SEGURA VELASCO</t>
  </si>
  <si>
    <t>117-14-000</t>
  </si>
  <si>
    <t>HUB CITY CENTER</t>
  </si>
  <si>
    <t>120-01-010</t>
  </si>
  <si>
    <t xml:space="preserve">PARK SHOPPING CENTER </t>
  </si>
  <si>
    <t>201-01-116</t>
  </si>
  <si>
    <t>Non-Executed Projects </t>
  </si>
  <si>
    <t>Maintenance PT</t>
  </si>
  <si>
    <t>602-88-000</t>
  </si>
  <si>
    <t>Almacenaje</t>
  </si>
  <si>
    <t>613-20-000</t>
  </si>
  <si>
    <t>Baja Activos en Arrendamiento</t>
  </si>
  <si>
    <t>105-01-020</t>
  </si>
  <si>
    <t>MATA HALL OPERATIONS</t>
  </si>
  <si>
    <t>206-01-007</t>
  </si>
  <si>
    <t>ING POR DEVENGAR LTO RECARGA WATTS</t>
  </si>
  <si>
    <t>219-01-011</t>
  </si>
  <si>
    <t>Creditors and Other Accounts Payable</t>
  </si>
  <si>
    <t>602-50-010</t>
  </si>
  <si>
    <t xml:space="preserve">Torre Mexicana </t>
  </si>
  <si>
    <t>102-01-010</t>
  </si>
  <si>
    <t>BANCO MONEX 52843 MXN</t>
  </si>
  <si>
    <t>117-16-000</t>
  </si>
  <si>
    <t>AVERANDA</t>
  </si>
  <si>
    <t>120-01-011</t>
  </si>
  <si>
    <t>117-19-000</t>
  </si>
  <si>
    <t>HUB VNC ATLACOMULCO</t>
  </si>
  <si>
    <t>120-01-012</t>
  </si>
  <si>
    <t>CENTRO EXHIBIMEX</t>
  </si>
  <si>
    <t>162-27-000</t>
  </si>
  <si>
    <t>Hub Roma</t>
  </si>
  <si>
    <t>205-04-001</t>
  </si>
  <si>
    <t>INTERESES OPOR PAGAR OBLIGACIONES CONVERTIBLES</t>
  </si>
  <si>
    <t>Otras cuentas de capital</t>
  </si>
  <si>
    <t>601-90-000</t>
  </si>
  <si>
    <t>Gasto de Auditoria</t>
  </si>
  <si>
    <t xml:space="preserve">Outside services (cleaning ) </t>
  </si>
  <si>
    <t>603-82-000</t>
  </si>
  <si>
    <t>Otros gastos de administración</t>
  </si>
  <si>
    <t>201-01-118</t>
  </si>
  <si>
    <t>BSI EXPERTOS EN SEGURIDAD PRIVADA INTRAMUROS</t>
  </si>
  <si>
    <t>Rent PT DAE</t>
  </si>
  <si>
    <t>117-21-000</t>
  </si>
  <si>
    <t>HUB VCN HYATT</t>
  </si>
  <si>
    <t>120-01-013</t>
  </si>
  <si>
    <t>ADMINISTRACION NOTARIA 171 DF</t>
  </si>
  <si>
    <t>201-01-130</t>
  </si>
  <si>
    <t>JOSE RUBEN DROMUNDO CAMARA</t>
  </si>
  <si>
    <t>206-01-008</t>
  </si>
  <si>
    <t xml:space="preserve">CONEKTA </t>
  </si>
  <si>
    <t>602-52-016</t>
  </si>
  <si>
    <t>HUB ROMA</t>
  </si>
  <si>
    <t>Energy Roma</t>
  </si>
  <si>
    <t>Hub Exhibimex</t>
  </si>
  <si>
    <t xml:space="preserve">LTO Additional Consumption </t>
  </si>
  <si>
    <t>602-52-012</t>
  </si>
  <si>
    <t>Puerta Polanco 2</t>
  </si>
  <si>
    <t>602-46-012</t>
  </si>
  <si>
    <t>105-01-022</t>
  </si>
  <si>
    <t>VIZEON NUEVA ENERGIA</t>
  </si>
  <si>
    <t>109-23-002</t>
  </si>
  <si>
    <t>FIDEICOMISO IRREVOCABLE 5813</t>
  </si>
  <si>
    <t>120-01-014</t>
  </si>
  <si>
    <t>RAUL IGNACIO TERROBA Y WOLFF</t>
  </si>
  <si>
    <t>120-01-015</t>
  </si>
  <si>
    <t>120-03-001</t>
  </si>
  <si>
    <t>VEMO COMERCIAL FLEETS</t>
  </si>
  <si>
    <t>701-12-000</t>
  </si>
  <si>
    <t>Intereses a cargo</t>
  </si>
  <si>
    <t>Intereses a cargo por Obligaciones Convertibles</t>
  </si>
  <si>
    <t>Interest expense</t>
  </si>
  <si>
    <t>501-09-000</t>
  </si>
  <si>
    <t>Cargadores e Instalacion</t>
  </si>
  <si>
    <t>610-01-000</t>
  </si>
  <si>
    <t>Participación de los trabaj en utilidades dif</t>
  </si>
  <si>
    <t>611-03-000</t>
  </si>
  <si>
    <t>Impuestos a la utilidad diferidos</t>
  </si>
  <si>
    <t>ISR Diferido causado</t>
  </si>
  <si>
    <t>105-01-024</t>
  </si>
  <si>
    <t>DIDI</t>
  </si>
  <si>
    <t xml:space="preserve">DiDi Charging Agreement PPC </t>
  </si>
  <si>
    <t>602-46-010</t>
  </si>
  <si>
    <t>Estacionamientos Boyen</t>
  </si>
  <si>
    <t>106-03-004</t>
  </si>
  <si>
    <t>Prestadora Servicios de Mobilidad</t>
  </si>
  <si>
    <t>109-24-000</t>
  </si>
  <si>
    <t>PROYECTOS ELECTROMECANICOS ARMAPEC</t>
  </si>
  <si>
    <t>120-01-016</t>
  </si>
  <si>
    <t>ANTONIO CHALITA GONZALEZ</t>
  </si>
  <si>
    <t>120-01-017</t>
  </si>
  <si>
    <t>GABRIEL BEJAR MOSCONA</t>
  </si>
  <si>
    <t>120-01-018</t>
  </si>
  <si>
    <t>ISAAC BEJAR MOSCONA</t>
  </si>
  <si>
    <t>201-01-158</t>
  </si>
  <si>
    <t>MEXTYPSA</t>
  </si>
  <si>
    <t>201-01-159</t>
  </si>
  <si>
    <t>PRIMA ASESORES</t>
  </si>
  <si>
    <t>201-01-160</t>
  </si>
  <si>
    <t>BANCO ACTINVER</t>
  </si>
  <si>
    <t>206-01-001</t>
  </si>
  <si>
    <t>Préstamos</t>
  </si>
  <si>
    <t>Debt (Short and LT)</t>
  </si>
  <si>
    <t>602-86-001</t>
  </si>
  <si>
    <t>Hub Torre Aleph</t>
  </si>
  <si>
    <t>118-05-000</t>
  </si>
  <si>
    <t>Retención de IVA DIDI</t>
  </si>
  <si>
    <t>252-18-002</t>
  </si>
  <si>
    <t>INTERESES POR PAGAR BEEL</t>
  </si>
  <si>
    <t>401-42-000</t>
  </si>
  <si>
    <t>Ingresos Telemetría</t>
  </si>
  <si>
    <t>601-91-000</t>
  </si>
  <si>
    <t>Costos Telemetría</t>
  </si>
  <si>
    <t>Rent Transval</t>
  </si>
  <si>
    <t>GASTOS OBTENCION FINANCIAMIENTOS CON TERCEROS</t>
  </si>
  <si>
    <t>Financings</t>
  </si>
  <si>
    <t>109-25-000</t>
  </si>
  <si>
    <t>INOVA MENDOZA INGENIERIA</t>
  </si>
  <si>
    <t>109-26-000</t>
  </si>
  <si>
    <t>ADRIAN HUMBERTO SANTOS TORRES</t>
  </si>
  <si>
    <t>117-25-000</t>
  </si>
  <si>
    <t>GDI GRAN SUR</t>
  </si>
  <si>
    <t>201-01-164</t>
  </si>
  <si>
    <t>INMAG</t>
  </si>
  <si>
    <t>206-01-010</t>
  </si>
  <si>
    <r>
      <t>FS Budget (Board) L-</t>
    </r>
    <r>
      <rPr>
        <sz val="8"/>
        <color rgb="FFFFFFFF"/>
        <rFont val="Calibri"/>
        <family val="2"/>
      </rPr>
      <t>2</t>
    </r>
  </si>
  <si>
    <t xml:space="preserve">SG&amp;A Accounting Consolidated </t>
  </si>
  <si>
    <t>Software, Licence &amp; Equipment Computer D&amp;A</t>
  </si>
  <si>
    <t xml:space="preserve">Cervecería Cuahutémoc </t>
  </si>
  <si>
    <t>Allocation</t>
  </si>
  <si>
    <t>2024 FY (MXN $)</t>
  </si>
  <si>
    <t xml:space="preserve"> </t>
  </si>
  <si>
    <t>Gross Profit</t>
  </si>
  <si>
    <t>EBITDA</t>
  </si>
  <si>
    <t>EBIT</t>
  </si>
  <si>
    <t>EBT</t>
  </si>
  <si>
    <t>Net Income</t>
  </si>
  <si>
    <t>Total Assets</t>
  </si>
  <si>
    <t>Impuestos por pagar</t>
  </si>
  <si>
    <t>2025 FY (MXN $)</t>
  </si>
  <si>
    <t>Participation in subsidiaries</t>
  </si>
  <si>
    <t>Taxes</t>
  </si>
  <si>
    <t>Portfolio</t>
  </si>
  <si>
    <t>LLR</t>
  </si>
  <si>
    <t>Cash Flow</t>
  </si>
  <si>
    <t>VCN Budget</t>
  </si>
  <si>
    <t>Quarterly Financials (MXN $)</t>
  </si>
  <si>
    <t>Fridays Per Month</t>
  </si>
  <si>
    <t>Actual</t>
  </si>
  <si>
    <t>VCN Main Revenue Indicators</t>
  </si>
  <si>
    <t>LTO Users</t>
  </si>
  <si>
    <t>VCN (Financing Business View)</t>
  </si>
  <si>
    <t xml:space="preserve">DAE Chaas Fee </t>
  </si>
  <si>
    <t>Insurance Chargers</t>
  </si>
  <si>
    <t>Wifi Expense</t>
  </si>
  <si>
    <t>Anchored LTO Hubs: Rents</t>
  </si>
  <si>
    <t>Anchored LTO Hubs: Rent Deposits</t>
  </si>
  <si>
    <t>Anchored LTO Hubs: Security Expense</t>
  </si>
  <si>
    <t>Anchored LTO Hubs: Cleaning Expense</t>
  </si>
  <si>
    <t>Anchored LTO Hubs: Consumables</t>
  </si>
  <si>
    <t>Energy Costs (DAE)</t>
  </si>
  <si>
    <t>Bank Fees</t>
  </si>
  <si>
    <t>O&amp;M &amp; Other OP. Costs</t>
  </si>
  <si>
    <t>GPl Margin (%)</t>
  </si>
  <si>
    <t>Payroll Expense: Staff Anchored Hubs</t>
  </si>
  <si>
    <t>Cross Functional SG&amp;A</t>
  </si>
  <si>
    <t>Total SG&amp;A</t>
  </si>
  <si>
    <t>Balance RSTMT</t>
  </si>
  <si>
    <t>DiDi Independent</t>
  </si>
  <si>
    <t>Energy cost asociated with DAE consumption</t>
  </si>
  <si>
    <t>Payroll Expense Administrative</t>
  </si>
  <si>
    <t>Non Operating Revenue / (Expense)</t>
  </si>
  <si>
    <t>Reconciliation vs Accounting NI</t>
  </si>
  <si>
    <t>BP Allocation</t>
  </si>
  <si>
    <t>Accounting Allocation</t>
  </si>
  <si>
    <t>Intercompany Eliminations</t>
  </si>
  <si>
    <t>Accounting Net Income</t>
  </si>
  <si>
    <t>DATE</t>
  </si>
  <si>
    <t>Board TABS</t>
  </si>
  <si>
    <t>Units</t>
  </si>
  <si>
    <t>Vs. Budget</t>
  </si>
  <si>
    <t>MoM</t>
  </si>
  <si>
    <t>YTD</t>
  </si>
  <si>
    <t>Revenues</t>
  </si>
  <si>
    <t>VEMO VCN 2023 Financials</t>
  </si>
  <si>
    <t xml:space="preserve">VCN (Financing Business View) </t>
  </si>
  <si>
    <t>YoY</t>
  </si>
  <si>
    <t>Vs. Budget (YTD)</t>
  </si>
  <si>
    <t>COGS</t>
  </si>
  <si>
    <t>Gross profit</t>
  </si>
  <si>
    <t>Net income</t>
  </si>
  <si>
    <t>Net Income Margin (%)</t>
  </si>
  <si>
    <t>VEMO LTO 2023 Financials</t>
  </si>
  <si>
    <t>LTO Opex &amp; SG&amp;A (Detail)</t>
  </si>
  <si>
    <t>AVG</t>
  </si>
  <si>
    <t>SUM</t>
  </si>
  <si>
    <t>2022 FY (MXN $)</t>
  </si>
  <si>
    <t>2023 FY (MXN $)</t>
  </si>
  <si>
    <t>[MXN$k]</t>
  </si>
  <si>
    <t>Total Opex Finanzas</t>
  </si>
  <si>
    <t>Loan Loss Reserve</t>
  </si>
  <si>
    <t>Maintenance</t>
  </si>
  <si>
    <t>Cost of Hiring</t>
  </si>
  <si>
    <t>Total Opex HR</t>
  </si>
  <si>
    <t>Telematics &amp; Others</t>
  </si>
  <si>
    <t>Total Opex MKT</t>
  </si>
  <si>
    <t>Total Opex Fleet O&amp;M</t>
  </si>
  <si>
    <t>Total Opex Operaciones</t>
  </si>
  <si>
    <t>Total Opex</t>
  </si>
  <si>
    <t>Rent &amp; Lease Expense</t>
  </si>
  <si>
    <t>Employee Profit Share</t>
  </si>
  <si>
    <t>Portfolio MGMT</t>
  </si>
  <si>
    <t>Travel</t>
  </si>
  <si>
    <t>Bonus Expense</t>
  </si>
  <si>
    <t>Total SG&amp;A Finanzas</t>
  </si>
  <si>
    <t>Training</t>
  </si>
  <si>
    <t>Legal and Professional Fees</t>
  </si>
  <si>
    <t>Outside services (cleaning + Security)</t>
  </si>
  <si>
    <t>IT</t>
  </si>
  <si>
    <t>Technology</t>
  </si>
  <si>
    <t>Total SG&amp;A HR</t>
  </si>
  <si>
    <t>Total SG&amp;A Legal</t>
  </si>
  <si>
    <t>Total SG&amp;A Fleet O&amp;M</t>
  </si>
  <si>
    <t>Total SG&amp;A Operaciones</t>
  </si>
  <si>
    <t>Procurement</t>
  </si>
  <si>
    <t>Office Supplies</t>
  </si>
  <si>
    <t>Total SG&amp;A Procurement</t>
  </si>
  <si>
    <t>Total SG&amp;A IT</t>
  </si>
  <si>
    <t>[CORP] allocation per BP</t>
  </si>
  <si>
    <t xml:space="preserve"> Total Cross Functional SG&amp;A</t>
  </si>
  <si>
    <t>Total Corporate SG&amp;A</t>
  </si>
  <si>
    <t>Total Corporate expense</t>
  </si>
  <si>
    <t>Cross Functional SG&amp;A Allocation</t>
  </si>
  <si>
    <t>Corporate SG&amp;A Allocation</t>
  </si>
  <si>
    <t>Note: Please refer to "VCN Business Plan View (Detail)" tab for explanation of main variations</t>
  </si>
  <si>
    <t>Reconciliation vs. Accounting Net Income</t>
  </si>
  <si>
    <t>Cartera de crédito, neta</t>
  </si>
  <si>
    <t>Impuestos a favor</t>
  </si>
  <si>
    <t>Impuestos por recuperar</t>
  </si>
  <si>
    <t>Otros activos no circulante</t>
  </si>
  <si>
    <t>Préstamos largo plazo</t>
  </si>
  <si>
    <t>Préstamos corto plazo</t>
  </si>
  <si>
    <t>Depositos en garantía recibidos</t>
  </si>
  <si>
    <t>Anticipo de clientes</t>
  </si>
  <si>
    <t>Amortization of Right-of-Use Asset (D5)</t>
  </si>
  <si>
    <t>102-01-014</t>
  </si>
  <si>
    <t>ACTINVER FIDEICOMISO 22942734 (FID 6171)</t>
  </si>
  <si>
    <t>103-01-003</t>
  </si>
  <si>
    <t>ACTIGOB 2734</t>
  </si>
  <si>
    <t>107-05-001</t>
  </si>
  <si>
    <t>DEUDORES DIVERSOS</t>
  </si>
  <si>
    <t>117-31-000</t>
  </si>
  <si>
    <t>603-62-000</t>
  </si>
  <si>
    <t>Capacitación al personal</t>
  </si>
  <si>
    <t>603-75-000</t>
  </si>
  <si>
    <t>Uniformes</t>
  </si>
  <si>
    <t>613-21-000</t>
  </si>
  <si>
    <t>Baja de activos fijos</t>
  </si>
  <si>
    <t>Uniforms</t>
  </si>
  <si>
    <t>DiDi Independent Drivers</t>
  </si>
  <si>
    <t>CLIENTES POR FACTURAR</t>
  </si>
  <si>
    <t>403-02-000</t>
  </si>
  <si>
    <t>Otros ingresos nacionales parte relac</t>
  </si>
  <si>
    <t xml:space="preserve">Budget </t>
  </si>
  <si>
    <t>Budget YTD</t>
  </si>
  <si>
    <t xml:space="preserve">Charger Insurance </t>
  </si>
  <si>
    <t>105-01-026</t>
  </si>
  <si>
    <t>FIXAPP</t>
  </si>
  <si>
    <t>117-38-000</t>
  </si>
  <si>
    <t xml:space="preserve">SIGMA SAN NICOLAS </t>
  </si>
  <si>
    <t>117-49-000</t>
  </si>
  <si>
    <t>BYD CLEBER CD JUAREZ</t>
  </si>
  <si>
    <t>117-50-000</t>
  </si>
  <si>
    <t>THOR URBANA MARINA PUERTO CANCUN</t>
  </si>
  <si>
    <t>120-08-000</t>
  </si>
  <si>
    <t>162-28-000</t>
  </si>
  <si>
    <t>Hub Gran Oso</t>
  </si>
  <si>
    <t>105-01-031</t>
  </si>
  <si>
    <t>ISMO GREEN</t>
  </si>
  <si>
    <t>117-51-000</t>
  </si>
  <si>
    <t>THOR GUADALAJARA</t>
  </si>
  <si>
    <t>117-53-000</t>
  </si>
  <si>
    <t>TOYOTA COLIMA</t>
  </si>
  <si>
    <t>117-55-000</t>
  </si>
  <si>
    <t>CLUB DE GOLF ENCINOS</t>
  </si>
  <si>
    <t>120-01-019</t>
  </si>
  <si>
    <t>RICARDO ZAMBRANO JR</t>
  </si>
  <si>
    <t>201-01-166</t>
  </si>
  <si>
    <t>FIBRA SOMA FIDEICOMISO F/6185</t>
  </si>
  <si>
    <t>206-01-011</t>
  </si>
  <si>
    <t>602-34-000</t>
  </si>
  <si>
    <t>162-29-000</t>
  </si>
  <si>
    <t>CITY CENTER</t>
  </si>
  <si>
    <t>162-30-000</t>
  </si>
  <si>
    <t>162-31-000</t>
  </si>
  <si>
    <t>Depósitos en garantía</t>
  </si>
  <si>
    <t>105-01-033</t>
  </si>
  <si>
    <t>ELIAS OMAR VALDES ORTEGA</t>
  </si>
  <si>
    <t>105-01-034</t>
  </si>
  <si>
    <t>AUTOUNO MURALLA</t>
  </si>
  <si>
    <t>120-01-020</t>
  </si>
  <si>
    <t>FIDEICOMISO PLAZA EL MOLINO 1310</t>
  </si>
  <si>
    <t>120-01-021</t>
  </si>
  <si>
    <t>FRBC ARRENDADORA MONTERREY</t>
  </si>
  <si>
    <t>120-01-022</t>
  </si>
  <si>
    <t>FIDEICOMISO IRREVOCABLE 6206</t>
  </si>
  <si>
    <t>120-01-023</t>
  </si>
  <si>
    <t>FIDEICOMISO 4022/2020 GFM</t>
  </si>
  <si>
    <t>162-32-000</t>
  </si>
  <si>
    <t>SAN PEDRO DE LOS PINOS</t>
  </si>
  <si>
    <t>162-33-000</t>
  </si>
  <si>
    <t>162-34-000</t>
  </si>
  <si>
    <t>162-35-000</t>
  </si>
  <si>
    <t>[VCN]105-01-033</t>
  </si>
  <si>
    <t>[VCN]105-01-034</t>
  </si>
  <si>
    <t>[VCN]120-01-020</t>
  </si>
  <si>
    <t>[VCN]120-01-021</t>
  </si>
  <si>
    <t>[VCN]120-01-022</t>
  </si>
  <si>
    <t>[VCN]120-01-023</t>
  </si>
  <si>
    <t>[VCN]162-32-000</t>
  </si>
  <si>
    <t>[VCN]162-33-000</t>
  </si>
  <si>
    <t>[VCN]162-34-000</t>
  </si>
  <si>
    <t>[VCN]162-35-000</t>
  </si>
  <si>
    <t>120-01-024</t>
  </si>
  <si>
    <t>ABRACAM MEXICO</t>
  </si>
  <si>
    <t>201-01-122</t>
  </si>
  <si>
    <t>DMD SOLUCIONES INTEGRALES</t>
  </si>
  <si>
    <t>201-01-135</t>
  </si>
  <si>
    <t>PROVEEDORES VCN ENERIGIA ELECTRICA</t>
  </si>
  <si>
    <t>201-01-136</t>
  </si>
  <si>
    <t>PROVEEDORES REVENUE SHARE</t>
  </si>
  <si>
    <t>201-01-148</t>
  </si>
  <si>
    <t>GRUPO MERS CONSTRUCTORA</t>
  </si>
  <si>
    <t>201-01-149</t>
  </si>
  <si>
    <t>CONSORCIO MERCANTIL TORRE-ALTA</t>
  </si>
  <si>
    <t>201-01-196</t>
  </si>
  <si>
    <t>SANSEG SEGURIDAD PRIVADA INTEGRAL</t>
  </si>
  <si>
    <t>T&amp;E</t>
  </si>
  <si>
    <t>603-97-000</t>
  </si>
  <si>
    <t>Arrendamiento Transval</t>
  </si>
  <si>
    <t>D5</t>
  </si>
  <si>
    <t>VEMO 2026 Financials</t>
  </si>
  <si>
    <t>VEMO VCN 2026 Financials</t>
  </si>
  <si>
    <t>2026 YTD</t>
  </si>
  <si>
    <t>2026 FY (MXN $)</t>
  </si>
  <si>
    <t>201-01-099</t>
  </si>
  <si>
    <t>HOTELES CASA INN</t>
  </si>
  <si>
    <t>201-01-179</t>
  </si>
  <si>
    <t>TREZ ELECTROMECANICOS</t>
  </si>
  <si>
    <t>Others Revenue</t>
  </si>
  <si>
    <t>Rent 180 Monu</t>
  </si>
  <si>
    <t>Opex</t>
  </si>
  <si>
    <t>2025 FY</t>
  </si>
  <si>
    <t>2026 FY</t>
  </si>
  <si>
    <t>Chargebacks</t>
  </si>
  <si>
    <t>B2C Users</t>
  </si>
  <si>
    <t>PPC</t>
  </si>
  <si>
    <t>Other Revenues</t>
  </si>
  <si>
    <t>COGS + OPEX</t>
  </si>
  <si>
    <t>Gross Margin (%)</t>
  </si>
  <si>
    <t>Adj. Gross profit</t>
  </si>
  <si>
    <t>Adj. Gross Margin (%)</t>
  </si>
  <si>
    <t>Direct Business Line</t>
  </si>
  <si>
    <t>Cross Func. &amp; Corp. G&amp;A</t>
  </si>
  <si>
    <t>EBITDA Margin (%)</t>
  </si>
  <si>
    <r>
      <t xml:space="preserve">EBITDA </t>
    </r>
    <r>
      <rPr>
        <b/>
        <sz val="7"/>
        <color rgb="FF000000"/>
        <rFont val="Space Grotesk"/>
      </rPr>
      <t>(ex. CF &amp; Corp G&amp;A)</t>
    </r>
  </si>
  <si>
    <t>BESS Related COGS</t>
  </si>
  <si>
    <t>Anchored LTO Hubs: WiFi Expense</t>
  </si>
  <si>
    <t>Anchored Company Fleets Hubs: Rents</t>
  </si>
  <si>
    <t>Anchored Company Fleets Hubs: Security Expense</t>
  </si>
  <si>
    <t>Legal and Software Expenses</t>
  </si>
  <si>
    <t xml:space="preserve">Charging Hubs Insurance </t>
  </si>
  <si>
    <t>Beel Fees</t>
  </si>
  <si>
    <t>Adj. Gross Profit</t>
  </si>
  <si>
    <t>OBRAS EN CONSTRUCCIÓN</t>
  </si>
  <si>
    <t>D&amp;A Rent</t>
  </si>
  <si>
    <t xml:space="preserve">D&amp;A Hubs VCN </t>
  </si>
  <si>
    <t>Rent Hubs VCN</t>
  </si>
  <si>
    <t>Rent and D&amp;A</t>
  </si>
  <si>
    <t xml:space="preserve">Total Interest Hubs VCN </t>
  </si>
  <si>
    <t>Accounting  EBITDA</t>
  </si>
  <si>
    <t>Active</t>
  </si>
  <si>
    <t xml:space="preserve">Anchored </t>
  </si>
  <si>
    <t>Pure Destination</t>
  </si>
  <si>
    <t>RHF Destination</t>
  </si>
  <si>
    <t>New Installed</t>
  </si>
  <si>
    <t>Backlog</t>
  </si>
  <si>
    <t>1) Portafolio Installed Capacity</t>
  </si>
  <si>
    <t xml:space="preserve">2) Portafolio Contracted Capacity </t>
  </si>
  <si>
    <t>3) Portafolio Connectors</t>
  </si>
  <si>
    <t>4) Portfolio Underwritten IRR</t>
  </si>
  <si>
    <t>5) Throughput</t>
  </si>
  <si>
    <t>6) Network Throughput Utilization</t>
  </si>
  <si>
    <t>7) Total Revenues</t>
  </si>
  <si>
    <t>Total</t>
  </si>
  <si>
    <t>8) Avg. Revenue per kWh</t>
  </si>
  <si>
    <t>9) Gross Profit per kWh ($)</t>
  </si>
  <si>
    <t>10) Gross Profit Margin per kWh (%)</t>
  </si>
  <si>
    <t>11) Avg. Revenue per installed connector</t>
  </si>
  <si>
    <t>12) Uptime (%)</t>
  </si>
  <si>
    <t>13) CAPEX / kW</t>
  </si>
  <si>
    <t>14) EV Connector Ratio</t>
  </si>
  <si>
    <t>120-01-025</t>
  </si>
  <si>
    <t>PRODUCTOS METALICOS STEELE</t>
  </si>
  <si>
    <t>201-01-121</t>
  </si>
  <si>
    <t>201-01-197</t>
  </si>
  <si>
    <t>ESTRATEGIAS INTEGRALES LEGIONARIOS</t>
  </si>
  <si>
    <t>201-01-217</t>
  </si>
  <si>
    <t>JESUS SEBASTIAN ISUNZA GUTIERREZ</t>
  </si>
  <si>
    <t>201-01-219</t>
  </si>
  <si>
    <t>201-01-227</t>
  </si>
  <si>
    <t>IP MATRIX</t>
  </si>
  <si>
    <t>OXXO MONTERREY CONSTITUCION</t>
  </si>
  <si>
    <t>Infraestructura VCN</t>
  </si>
  <si>
    <t xml:space="preserve">Infraestructura Casa INN </t>
  </si>
  <si>
    <t>Check (Assets - L&amp;E)</t>
  </si>
  <si>
    <t>n.m.</t>
  </si>
  <si>
    <t>162-36-000</t>
  </si>
  <si>
    <t>HUB TRANSVAL</t>
  </si>
  <si>
    <t>OBLIGACIONES CONVERTIBLES (INTERESES CAPITAL)</t>
  </si>
  <si>
    <t>OBLIGACIONES CONVERTIBLES (CAPITAL INTERESES VPN)</t>
  </si>
  <si>
    <t>Other Assets</t>
  </si>
  <si>
    <t>Accumulated other comprehensive income/(loss)</t>
  </si>
  <si>
    <t>Shareholder's Equity</t>
  </si>
  <si>
    <t>Shareholder's Equity +Liabilities</t>
  </si>
  <si>
    <t>Depreciation &amp; Amortization</t>
  </si>
  <si>
    <t>Non Cash Items</t>
  </si>
  <si>
    <t>Change in Working Capital</t>
  </si>
  <si>
    <t>Cash Flow from Operating Activities</t>
  </si>
  <si>
    <t>Inventory</t>
  </si>
  <si>
    <t>CAPEX</t>
  </si>
  <si>
    <t>Portfolio (growth)/ contraction (net of LLR)</t>
  </si>
  <si>
    <t>Cash Flow from Investing Activities</t>
  </si>
  <si>
    <t>Available Cashflow before financing</t>
  </si>
  <si>
    <t>Net Debt</t>
  </si>
  <si>
    <t>Capital Contributions/ Reductions</t>
  </si>
  <si>
    <t>Dividends Paid</t>
  </si>
  <si>
    <t>Cash Flow from Financing Activities</t>
  </si>
  <si>
    <t>Net Cash Flow</t>
  </si>
  <si>
    <t>Cash Balance</t>
  </si>
  <si>
    <t>Cash BoP</t>
  </si>
  <si>
    <t>Cash EoP</t>
  </si>
  <si>
    <t>Taxes In Favor</t>
  </si>
  <si>
    <t xml:space="preserve">Portfolio </t>
  </si>
  <si>
    <t>Debt</t>
  </si>
  <si>
    <t>Lease  Liabilities</t>
  </si>
  <si>
    <t>Provisions for Miscellaneous Obligations</t>
  </si>
  <si>
    <t xml:space="preserve">Shareholder's Equity </t>
  </si>
  <si>
    <t xml:space="preserve">Net Income Adjustment </t>
  </si>
  <si>
    <t>Shareholder's Equity + Liabilities</t>
  </si>
  <si>
    <t>Non Cash BP View Allocation</t>
  </si>
  <si>
    <t>CAPEX and CIP (Construction in Progress)</t>
  </si>
  <si>
    <t>Hubs Lomas Verdes</t>
  </si>
  <si>
    <t>Hubs Petrarca</t>
  </si>
  <si>
    <t>Hub Lago Gran Oso</t>
  </si>
  <si>
    <t>Hub Transval</t>
  </si>
  <si>
    <t>Hub Vasconcelos NL</t>
  </si>
  <si>
    <t>Exhibimex Parte II</t>
  </si>
  <si>
    <t>Bodega Centenario</t>
  </si>
  <si>
    <t>Hub Periférico CRE</t>
  </si>
  <si>
    <t>Mosqueta</t>
  </si>
  <si>
    <t>Nuevo Sur</t>
  </si>
  <si>
    <t>Bodega Vallejo</t>
  </si>
  <si>
    <t>Morones Prieto</t>
  </si>
  <si>
    <t>Mérida 77</t>
  </si>
  <si>
    <t>Rio Missippi</t>
  </si>
  <si>
    <t>Rent: Signed hubs during '26 - onwards</t>
  </si>
  <si>
    <t>FIBRA_SHOP_LA_PERLA</t>
  </si>
  <si>
    <t>MANACAR</t>
  </si>
  <si>
    <t>7_ELEVEN_EL_OLIVO</t>
  </si>
  <si>
    <t>COLLIERS_CALZ_REVOLUCION_2747</t>
  </si>
  <si>
    <t>CUSHMAN_ANILLO_PERIF_ECOLOGICO</t>
  </si>
  <si>
    <t>EL_PASEO_TEHUACAN_CALZ_ADOLFO_LOPEZ_MATEOS_3800</t>
  </si>
  <si>
    <t>EI_MEXICO_BUGAMBILIAS_PLAZA_CUERNAVACA</t>
  </si>
  <si>
    <t>COLLIERS_AV_ADOLFO_LOPEZ_MATEOS_SUR_1617_SUR</t>
  </si>
  <si>
    <t>COLLIERS_AV_MANUEL_ACUÑA_2790</t>
  </si>
  <si>
    <t>PROXIMITY_PARKS</t>
  </si>
  <si>
    <t>OFFICE_DEPOT_ZINACANTEPEC</t>
  </si>
  <si>
    <t>HOTELES_CANDLEWOOD_CELAYA</t>
  </si>
  <si>
    <t>FRISA_ARCO_NORTE</t>
  </si>
  <si>
    <t>FRISA_MULTIPLZA_CANCUN</t>
  </si>
  <si>
    <t>FRISA_EL_EDEN</t>
  </si>
  <si>
    <t>FRISA_MULTIPLAZA_LAK_IN</t>
  </si>
  <si>
    <t>FRISA_MULTIPLAZA_VILLAS_DEL_SOL</t>
  </si>
  <si>
    <t>OFFICE_DEPOT_EL_PALOMAR_GDA</t>
  </si>
  <si>
    <t>GUSTAVO_COVARRUBIAS_CHIMALHUACAN</t>
  </si>
  <si>
    <t>CBRE_CALZ_DEL_HUESO_570</t>
  </si>
  <si>
    <t>PEGASO_CENTRO_PEGASO</t>
  </si>
  <si>
    <t>MRP_PORTAL_TULTITLAN</t>
  </si>
  <si>
    <t>CBRE_AV_INSURGENTES_1565</t>
  </si>
  <si>
    <t>OFFICE_DEPOT_LINDA_VISTA</t>
  </si>
  <si>
    <t>OFFICE_DEPOT_SAN_JUAN_DE_ARAGON</t>
  </si>
  <si>
    <t>OFFICE_DEPOT_NEZA_ZARAGOZA</t>
  </si>
  <si>
    <t>PLAZA_ANDARO_RETIRO_CARGADOR</t>
  </si>
  <si>
    <t>GRUPO_COPRI_GARDEN_SANTA_FE</t>
  </si>
  <si>
    <t>REACH_AV_PINO_SUAREZ_516</t>
  </si>
  <si>
    <t>CBRE_REFORMA_1335</t>
  </si>
  <si>
    <t>CBRE_MEDEROS_198</t>
  </si>
  <si>
    <t>CBRE_AV_REVOLUCION_7192</t>
  </si>
  <si>
    <t>REACH_SAENZ_1889_II</t>
  </si>
  <si>
    <t>CBRE_LIC_JOSE_BENITEZ_1850</t>
  </si>
  <si>
    <t>NEWMARK_CONSTITUCION_2265</t>
  </si>
  <si>
    <t>REACH_5_DE_MAYO_329</t>
  </si>
  <si>
    <t>Budget</t>
  </si>
  <si>
    <t>Q4'25</t>
  </si>
  <si>
    <t>QoQ</t>
  </si>
  <si>
    <t>100-100-100-2122</t>
  </si>
  <si>
    <t>100-100-100-2123</t>
  </si>
  <si>
    <t>100-100-100-4001</t>
  </si>
  <si>
    <t>100-100-200-5001</t>
  </si>
  <si>
    <t>100-100-700-0001</t>
  </si>
  <si>
    <t>100-100-700-0004</t>
  </si>
  <si>
    <t>100-101-100-0001</t>
  </si>
  <si>
    <t>100-200-100-5001</t>
  </si>
  <si>
    <t>100-200-100-9001</t>
  </si>
  <si>
    <t>100-200-100-8005</t>
  </si>
  <si>
    <t>100-200-100-9003</t>
  </si>
  <si>
    <t>100-200-100-9007</t>
  </si>
  <si>
    <t>100-200-100-9011</t>
  </si>
  <si>
    <t>100-200-100-5002</t>
  </si>
  <si>
    <t>100-200-100-9002</t>
  </si>
  <si>
    <t>100-200-100-8006</t>
  </si>
  <si>
    <t>100-200-100-9004</t>
  </si>
  <si>
    <t>100-100-550-0001</t>
  </si>
  <si>
    <t>200-100-200-0001</t>
  </si>
  <si>
    <t>200-100-250-1002</t>
  </si>
  <si>
    <t>200-100-250-1001</t>
  </si>
  <si>
    <t>200-100-600-0001</t>
  </si>
  <si>
    <t>200-100-700-4003</t>
  </si>
  <si>
    <t>200-100-700-4004</t>
  </si>
  <si>
    <t>200-100-700-4014</t>
  </si>
  <si>
    <t>200-100-700-5001</t>
  </si>
  <si>
    <t>200-100-700-5003</t>
  </si>
  <si>
    <t>200-100-700-5004</t>
  </si>
  <si>
    <t>200-100-700-5006</t>
  </si>
  <si>
    <t>200-101-100-1001</t>
  </si>
  <si>
    <t>200-100-700-5002</t>
  </si>
  <si>
    <t>200-101-100-1010</t>
  </si>
  <si>
    <t>200-101-100-1004</t>
  </si>
  <si>
    <t>200-200-300-0003</t>
  </si>
  <si>
    <t>200-100-300-0001</t>
  </si>
  <si>
    <t>200-100-700-4023</t>
  </si>
  <si>
    <t>200-100-700-4022</t>
  </si>
  <si>
    <t>300-100-100-0001</t>
  </si>
  <si>
    <t>300-100-200-0001</t>
  </si>
  <si>
    <t>300-350-000-0012</t>
  </si>
  <si>
    <t>300-350-000-0013</t>
  </si>
  <si>
    <t>400-100-100-0004</t>
  </si>
  <si>
    <t>400-200-100-0007</t>
  </si>
  <si>
    <t>400-100-100-0007</t>
  </si>
  <si>
    <t>400-100-100-0013</t>
  </si>
  <si>
    <t>400-200-100-0035</t>
  </si>
  <si>
    <t>600-200-100-0002</t>
  </si>
  <si>
    <t>600-200-100-0001</t>
  </si>
  <si>
    <t>600-200-100-0006</t>
  </si>
  <si>
    <t>600-300-402-0003</t>
  </si>
  <si>
    <t>600-300-409-0005</t>
  </si>
  <si>
    <t>500-100-025-0002</t>
  </si>
  <si>
    <t>600-300-406-0011</t>
  </si>
  <si>
    <t>600-300-406-0002</t>
  </si>
  <si>
    <t>600-300-406-0012</t>
  </si>
  <si>
    <t>600-300-406-0005</t>
  </si>
  <si>
    <t>600-300-406-0004</t>
  </si>
  <si>
    <t>500-100-025-0004</t>
  </si>
  <si>
    <t>700-500-000-0006</t>
  </si>
  <si>
    <t>600-300-300-0006</t>
  </si>
  <si>
    <t>500-100-025-0003</t>
  </si>
  <si>
    <t>600-300-200-0001</t>
  </si>
  <si>
    <t>600-300-200-0002</t>
  </si>
  <si>
    <t>600-300-200-0004</t>
  </si>
  <si>
    <t>600-300-200-0015</t>
  </si>
  <si>
    <t>600-300-200-0016</t>
  </si>
  <si>
    <t>600-300-200-0007</t>
  </si>
  <si>
    <t>600-300-200-0010</t>
  </si>
  <si>
    <t>600-300-200-0012</t>
  </si>
  <si>
    <t>600-300-200-0011</t>
  </si>
  <si>
    <t>600-300-200-0013</t>
  </si>
  <si>
    <t>600-300-300-0001</t>
  </si>
  <si>
    <t>600-300-416-0003</t>
  </si>
  <si>
    <t>600-300-415-0001</t>
  </si>
  <si>
    <t>600-300-409-0001</t>
  </si>
  <si>
    <t>600-300-406-0003</t>
  </si>
  <si>
    <t>600-700-000-0004</t>
  </si>
  <si>
    <t>600-700-000-0007</t>
  </si>
  <si>
    <t>600-700-000-9002</t>
  </si>
  <si>
    <t>600-700-000-9004</t>
  </si>
  <si>
    <t>700-300-000-0002</t>
  </si>
  <si>
    <t>600-300-418-0001</t>
  </si>
  <si>
    <t>700-200-000-0002</t>
  </si>
  <si>
    <t>700-300-000-0001</t>
  </si>
  <si>
    <t>700-100-000-0001</t>
  </si>
  <si>
    <t>300-350-000-0014</t>
  </si>
  <si>
    <t>600-300-414-0001</t>
  </si>
  <si>
    <t>600-300-410-0001</t>
  </si>
  <si>
    <t>600-300-200-0022</t>
  </si>
  <si>
    <t>600-300-418-0002</t>
  </si>
  <si>
    <t>400-100-100-0005</t>
  </si>
  <si>
    <t>100-200-800-0001</t>
  </si>
  <si>
    <t>100-200-850-0001</t>
  </si>
  <si>
    <t>600-300-200-0017</t>
  </si>
  <si>
    <t>600-300-404-0003</t>
  </si>
  <si>
    <t>500-100-025-0001</t>
  </si>
  <si>
    <t>600-300-407-0002</t>
  </si>
  <si>
    <t>600-200-100-0009</t>
  </si>
  <si>
    <t>200-100-550-0002</t>
  </si>
  <si>
    <t>400-200-100-0017</t>
  </si>
  <si>
    <t>600-300-300-0004</t>
  </si>
  <si>
    <t>100-200-100-6001</t>
  </si>
  <si>
    <t>100-200-100-6002</t>
  </si>
  <si>
    <t>600-700-000-0005</t>
  </si>
  <si>
    <t>700-400-000-0004</t>
  </si>
  <si>
    <t>100-200-100-9991</t>
  </si>
  <si>
    <t>600-300-402-0002</t>
  </si>
  <si>
    <t>200-100-400-0003</t>
  </si>
  <si>
    <t>200-101-100-1003</t>
  </si>
  <si>
    <t>600-300-413-0004</t>
  </si>
  <si>
    <t>200-100-700-5005</t>
  </si>
  <si>
    <t>300-350-000-0015</t>
  </si>
  <si>
    <t>600-300-200-0008</t>
  </si>
  <si>
    <t>100-200-100-9992</t>
  </si>
  <si>
    <t>500-100-018-0001</t>
  </si>
  <si>
    <t>100-100-100-3204</t>
  </si>
  <si>
    <t>200-100-400-0004</t>
  </si>
  <si>
    <t>300-500-000-1001</t>
  </si>
  <si>
    <t>600-300-406-0007</t>
  </si>
  <si>
    <t>600-300-402-0001</t>
  </si>
  <si>
    <t>100-200-100-4001</t>
  </si>
  <si>
    <t>100-200-100-9013</t>
  </si>
  <si>
    <t>100-200-700-0003</t>
  </si>
  <si>
    <t>100-200-100-4002</t>
  </si>
  <si>
    <t>100-200-100-9014</t>
  </si>
  <si>
    <t>600-700-000-0003</t>
  </si>
  <si>
    <t>600-700-000-9009</t>
  </si>
  <si>
    <t>400-200-100-0030</t>
  </si>
  <si>
    <t>400-200-100-0033</t>
  </si>
  <si>
    <t>200-200-400-0001</t>
  </si>
  <si>
    <t>200-200-400-0006</t>
  </si>
  <si>
    <t>100-100-100-2330</t>
  </si>
  <si>
    <t>100-100-100-3132</t>
  </si>
  <si>
    <t>200-100-550-0003</t>
  </si>
  <si>
    <t>700-200-000-0001</t>
  </si>
  <si>
    <t>700-200-000-0003</t>
  </si>
  <si>
    <t>400-100-100-0008</t>
  </si>
  <si>
    <t>100-100-700-0005</t>
  </si>
  <si>
    <t>200-100-700-5008</t>
  </si>
  <si>
    <t>500-100-001-0001</t>
  </si>
  <si>
    <t>500-100-001-0003</t>
  </si>
  <si>
    <t>500-100-001-0004</t>
  </si>
  <si>
    <t>500-100-001-0007</t>
  </si>
  <si>
    <t>500-100-001-0017</t>
  </si>
  <si>
    <t>500-100-001-0002</t>
  </si>
  <si>
    <t>500-100-001-0009</t>
  </si>
  <si>
    <t>500-100-001-0011</t>
  </si>
  <si>
    <t>500-100-001-0010</t>
  </si>
  <si>
    <t>500-100-001-0012</t>
  </si>
  <si>
    <t>500-100-001-0013</t>
  </si>
  <si>
    <t>100-100-100-2173</t>
  </si>
  <si>
    <t>100-100-100-2334</t>
  </si>
  <si>
    <t>100-100-100-2333</t>
  </si>
  <si>
    <t>100-100-100-3134</t>
  </si>
  <si>
    <t>100-100-100-3135</t>
  </si>
  <si>
    <t>400-200-100-0034</t>
  </si>
  <si>
    <t>100-100-100-1001</t>
  </si>
  <si>
    <t>100-100-100-4010</t>
  </si>
  <si>
    <t>100-101-200-1006</t>
  </si>
  <si>
    <t>100-200-100-9993</t>
  </si>
  <si>
    <t>400-200-100-0015</t>
  </si>
  <si>
    <t>100-100-100-4006</t>
  </si>
  <si>
    <t>600-300-404-0002</t>
  </si>
  <si>
    <t>500-100-025-0005</t>
  </si>
  <si>
    <t>400-200-100-0014</t>
  </si>
  <si>
    <t>100-100-200-4101</t>
  </si>
  <si>
    <t>600-300-406-0010</t>
  </si>
  <si>
    <t>200-200-300-0001</t>
  </si>
  <si>
    <t>300-350-000-0016</t>
  </si>
  <si>
    <t>400-200-100-0036</t>
  </si>
  <si>
    <t>600-300-401-0006</t>
  </si>
  <si>
    <t>600-300-403-0003</t>
  </si>
  <si>
    <t>600-300-401-0005</t>
  </si>
  <si>
    <t>200-101-100-1014</t>
  </si>
  <si>
    <t>100-200-700-0009</t>
  </si>
  <si>
    <t>100-200-700-0002</t>
  </si>
  <si>
    <t>100-101-200-1001</t>
  </si>
  <si>
    <t>300-500-000-1002</t>
  </si>
  <si>
    <t>300-500-000-1003</t>
  </si>
  <si>
    <t>300-500-000-1004</t>
  </si>
  <si>
    <t>300-500-000-1005</t>
  </si>
  <si>
    <t>BBVA MXN 0117966253 (CHARGING)</t>
  </si>
  <si>
    <t>BBVA MXN 0118149518 (CHARGING)</t>
  </si>
  <si>
    <t>[VCN]102-01-003</t>
  </si>
  <si>
    <t>[VCN]103-01-001</t>
  </si>
  <si>
    <t>[VCN]105-01-001</t>
  </si>
  <si>
    <t>CLIENTES NACIONALES</t>
  </si>
  <si>
    <t>[VCN]105-01-005</t>
  </si>
  <si>
    <t>[VCN]105-01-006</t>
  </si>
  <si>
    <t>[VCN]105-01-007</t>
  </si>
  <si>
    <t>[VCN]105-01-008</t>
  </si>
  <si>
    <t>[VCN]105-01-009</t>
  </si>
  <si>
    <t>[VCN]105-01-011</t>
  </si>
  <si>
    <t>CLIENTES INTERCOMPAÑIAS NACIONALES</t>
  </si>
  <si>
    <t>[VCN]106-03-003</t>
  </si>
  <si>
    <t>[VCN]106-03-005</t>
  </si>
  <si>
    <t>[VCN]109-01-001</t>
  </si>
  <si>
    <t>[VCN]109-01-002</t>
  </si>
  <si>
    <t>IVA A FAVOR</t>
  </si>
  <si>
    <t>ISR RETENIDO POR BANCOS</t>
  </si>
  <si>
    <t>[VCN]117-02-000</t>
  </si>
  <si>
    <t>[VCN]117-03-000</t>
  </si>
  <si>
    <t>[VCN]117-04-000</t>
  </si>
  <si>
    <t>[VCN]117-05-000</t>
  </si>
  <si>
    <t>[VCN]118-01-000</t>
  </si>
  <si>
    <t>IVA PENDIENTE DE PAGO 16 %</t>
  </si>
  <si>
    <t>MOBILIARIO Y EQUIPO</t>
  </si>
  <si>
    <t>ACTIVO POR DERECHO DE USO ANCHORED HUBS</t>
  </si>
  <si>
    <t>INFRAESTRUCTURA TERCEROS</t>
  </si>
  <si>
    <t>INFRAESTRUCTURA PUNTOS DESTINATION</t>
  </si>
  <si>
    <t>[VCN]162-04-000</t>
  </si>
  <si>
    <t>[VCN]162-05-000</t>
  </si>
  <si>
    <t>[VCN]162-06-000</t>
  </si>
  <si>
    <t>[VCN]162-07-000</t>
  </si>
  <si>
    <t>[VCN]162-08-000</t>
  </si>
  <si>
    <t>[VCN]162-09-000</t>
  </si>
  <si>
    <t>[VCN]162-10-000</t>
  </si>
  <si>
    <t>[VCN]162-11-000</t>
  </si>
  <si>
    <t>[VCN]162-12-000</t>
  </si>
  <si>
    <t>[VCN]162-13-000</t>
  </si>
  <si>
    <t>[VCN]162-14-000</t>
  </si>
  <si>
    <t>[VCN]162-15-000</t>
  </si>
  <si>
    <t>[VCN]162-16-000</t>
  </si>
  <si>
    <t>[VCN]162-17-000</t>
  </si>
  <si>
    <t>[VCN]162-18-000</t>
  </si>
  <si>
    <t>[VCN]162-19-000</t>
  </si>
  <si>
    <t>[VCN]162-20-000</t>
  </si>
  <si>
    <t>[VCN]162-21-000</t>
  </si>
  <si>
    <t>DEPRECIACION MOBILIARIO Y EQUIPO</t>
  </si>
  <si>
    <t>DEP ACUMULADA ACTIVO POR DERECHO DE USO ANCHORED HUBS</t>
  </si>
  <si>
    <t>[VCN]184-01-001</t>
  </si>
  <si>
    <t>DEPOSITOS EN GARANTIA</t>
  </si>
  <si>
    <t>[VCN]184-02-004</t>
  </si>
  <si>
    <t>PROVEEDORES NACIONALES</t>
  </si>
  <si>
    <t>[VCN]201-01-012</t>
  </si>
  <si>
    <t>[VCN]201-01-013</t>
  </si>
  <si>
    <t>[VCN]201-01-015</t>
  </si>
  <si>
    <t>[VCN]201-01-019</t>
  </si>
  <si>
    <t>[VCN]201-01-030</t>
  </si>
  <si>
    <t>[VCN]201-01-035</t>
  </si>
  <si>
    <t>[VCN]201-01-043</t>
  </si>
  <si>
    <t>[VCN]201-01-044</t>
  </si>
  <si>
    <t>[VCN]201-01-047</t>
  </si>
  <si>
    <t>[VCN]201-01-051</t>
  </si>
  <si>
    <t>PROVISION DE GASTOS</t>
  </si>
  <si>
    <t>[VCN]201-01-053</t>
  </si>
  <si>
    <t>[VCN]201-01-061</t>
  </si>
  <si>
    <t>PROVISION DE COSTOS</t>
  </si>
  <si>
    <t>[VCN]201-01-064</t>
  </si>
  <si>
    <t>[VCN]201-01-072</t>
  </si>
  <si>
    <t>[VCN]204-01-001</t>
  </si>
  <si>
    <t>[VCN]208-01-000</t>
  </si>
  <si>
    <t>IVA TRASLADADO NO COBRADO 16%</t>
  </si>
  <si>
    <t>[VCN]210-01-000</t>
  </si>
  <si>
    <t>AGUINALDO POR PAGAR</t>
  </si>
  <si>
    <t>PROVISION PRIMA VACACIONAL</t>
  </si>
  <si>
    <t>PROVISION BONO DE DESEMPEÑO</t>
  </si>
  <si>
    <t>CUOTAS IMSS - PATRONAL</t>
  </si>
  <si>
    <t>RETIRO CESANTIA Y VEJEZ - TRABAJADOR</t>
  </si>
  <si>
    <t>APORTACIONES PATRONALES AL INFONAVIT</t>
  </si>
  <si>
    <t>IMPUESTO SOBRE NOMINAS POR PAGAR</t>
  </si>
  <si>
    <t>RETENCION ISR POR SUELDOS Y SALARIOS</t>
  </si>
  <si>
    <t>CUOTAS IMSS - TRABAJADOR</t>
  </si>
  <si>
    <t>RETENCION IVA POR SERVICIOS PROFESIONALES</t>
  </si>
  <si>
    <t>RETENCION ISR POR SERVICIOS PROFESIONALES</t>
  </si>
  <si>
    <t>PASIVO POR ARRENDAMIENTO DE ANCHORED HUBS</t>
  </si>
  <si>
    <t>[VCN]218-02-003</t>
  </si>
  <si>
    <t>PROVEEDORES INTERCOMPAÑIAS M.NACIONAL</t>
  </si>
  <si>
    <t>[VCN]219-01-002</t>
  </si>
  <si>
    <t>[VCN]219-01-009</t>
  </si>
  <si>
    <t>PROVISION INDEMNIZACION LEGAL</t>
  </si>
  <si>
    <t xml:space="preserve">PROVISION PRIMA DE ANTIGUEDAD </t>
  </si>
  <si>
    <t>[VCN]256-02-000</t>
  </si>
  <si>
    <t>CAPITAL SOCIAL FIJO</t>
  </si>
  <si>
    <t>CAPITAL SOCIAL VARIABLE</t>
  </si>
  <si>
    <t>EJERCICIO 2021</t>
  </si>
  <si>
    <t>EJERCICIO 2022</t>
  </si>
  <si>
    <t>[VCN]401-01-002</t>
  </si>
  <si>
    <t>CHAAS SERVICIO DE CARGA (HUBS DAE)</t>
  </si>
  <si>
    <t>[VCN]401-01-005</t>
  </si>
  <si>
    <t>ARRENDAMIENTO CARGADORES Y VEHICULOS</t>
  </si>
  <si>
    <t>[VCN]401-02-002</t>
  </si>
  <si>
    <t>SUBARRENDAMIENTO PARTES RELACIONADAS</t>
  </si>
  <si>
    <t>INGRESOS REEMBOLSO GASTOS (HUBS DAE)</t>
  </si>
  <si>
    <t>[VCN]401-10-005</t>
  </si>
  <si>
    <t>[VCN]401-22-000</t>
  </si>
  <si>
    <t>INGRESOS WATTS CLIENTES B2B B2C</t>
  </si>
  <si>
    <t>[VCN]601-25-000</t>
  </si>
  <si>
    <t>SERVICIOS ADMINISTRATIVOS PARTES RELACIONADAS</t>
  </si>
  <si>
    <t>[VCN]601-33-001</t>
  </si>
  <si>
    <t>SUBARRENDAMIENTO DE OFICINAS PARTES RELACIONADAS</t>
  </si>
  <si>
    <t>[VCN]601-50-000</t>
  </si>
  <si>
    <t>MANTENIMIENTO O&amp;M PARTES RELACIONADAS</t>
  </si>
  <si>
    <t>[VCN]601-57-000</t>
  </si>
  <si>
    <t>[VCN]602-32-000</t>
  </si>
  <si>
    <t>CONSULTORIA</t>
  </si>
  <si>
    <t>[VCN]602-46-004</t>
  </si>
  <si>
    <t>[VCN]602-46-007</t>
  </si>
  <si>
    <t>OTROS IMPUESTOS Y DERECHOS</t>
  </si>
  <si>
    <t>COSTO ENERGIA ELECTRICA DAE</t>
  </si>
  <si>
    <t>[VCN]602-52-002</t>
  </si>
  <si>
    <t>[VCN]602-52-003</t>
  </si>
  <si>
    <t>[VCN]602-52-008</t>
  </si>
  <si>
    <t>[VCN]602-52-010</t>
  </si>
  <si>
    <t>[VCN]602-52-011</t>
  </si>
  <si>
    <t>[VCN]602-52-013</t>
  </si>
  <si>
    <t>VIGILANCIA Y SEGURIDAD (DAE)</t>
  </si>
  <si>
    <t>VIGILANCIA Y SEGURIDAD</t>
  </si>
  <si>
    <t>MANTENIMIENTO (DAE)</t>
  </si>
  <si>
    <t>[VCN]602-56-005</t>
  </si>
  <si>
    <t>MANTENIMIENTO</t>
  </si>
  <si>
    <t>[VCN]602-60-000</t>
  </si>
  <si>
    <t>PUBLICIDAD Y PROPAGANDA</t>
  </si>
  <si>
    <t>COSTO COMISIONES MERCADO PAGO</t>
  </si>
  <si>
    <t>OTROS GASTOS</t>
  </si>
  <si>
    <t>ESTACIONAMIENTOS</t>
  </si>
  <si>
    <t>COSTO REVENUE SHARE (RENTA VARIABLE)</t>
  </si>
  <si>
    <t>SUELDOS Y SALARIOS</t>
  </si>
  <si>
    <t>VACACIONES</t>
  </si>
  <si>
    <t>PRIMA VACACIONAL</t>
  </si>
  <si>
    <t xml:space="preserve">PRIMA DE ANTIGUEDAD </t>
  </si>
  <si>
    <t>AGUINALDO</t>
  </si>
  <si>
    <t>INDEMNIZACIONES</t>
  </si>
  <si>
    <t>BONO ANUAL DE DESEMPEÑO</t>
  </si>
  <si>
    <t>CUOTAS IMSS</t>
  </si>
  <si>
    <t>APORTACIONES INFONAVIT</t>
  </si>
  <si>
    <t>RETIRO CESANTIA Y VEJEZ</t>
  </si>
  <si>
    <t>IMPUESTO SOBRE NOMINA</t>
  </si>
  <si>
    <t>[VCN]603-32-000</t>
  </si>
  <si>
    <t>[VCN]603-34-000</t>
  </si>
  <si>
    <t>ALIMENTOS</t>
  </si>
  <si>
    <t>INTERNET</t>
  </si>
  <si>
    <t>[VCN]603-52-000</t>
  </si>
  <si>
    <t>[VCN]603-56-000</t>
  </si>
  <si>
    <t>SEGUROS</t>
  </si>
  <si>
    <t>RECARGOS</t>
  </si>
  <si>
    <t>CUOTAS Y SUSCRIPCIONES</t>
  </si>
  <si>
    <t>DEPRECIACION ACTIVOS EN ARRENDAMIENTO</t>
  </si>
  <si>
    <t>PERDIDA CAMBIARIA REALIZADA</t>
  </si>
  <si>
    <t>COMISIONES BANCARIAS</t>
  </si>
  <si>
    <t>INTERESES A CARGO ARRENDAMIENTO FINANCIERO</t>
  </si>
  <si>
    <t>[VCN]701-11-003</t>
  </si>
  <si>
    <t>UTILIDAD CAMBIARIA REALIZADA</t>
  </si>
  <si>
    <t>INTERESES A FAVOR</t>
  </si>
  <si>
    <t>[VCN]702-10-000</t>
  </si>
  <si>
    <t>[VCN]201-01-009</t>
  </si>
  <si>
    <t>EJERCICIO 2023</t>
  </si>
  <si>
    <t>[VCN]602-50-002</t>
  </si>
  <si>
    <t>[VCN]602-50-005</t>
  </si>
  <si>
    <t>[VCN]602-50-006</t>
  </si>
  <si>
    <t>[VCN]602-59-000</t>
  </si>
  <si>
    <t>[VCN]201-01-039</t>
  </si>
  <si>
    <t>[VCN]115-01-000</t>
  </si>
  <si>
    <t>LICENCIAS Y SOFTWARE</t>
  </si>
  <si>
    <t>[VCN]109-23-001</t>
  </si>
  <si>
    <t>[VCN]601-84-000</t>
  </si>
  <si>
    <t>[VCN]201-01-083</t>
  </si>
  <si>
    <t>[VCN]162-22-000</t>
  </si>
  <si>
    <t>[VCN]206-01-003</t>
  </si>
  <si>
    <t>[VCN]210-10-000</t>
  </si>
  <si>
    <t>[VCN]601-85-000</t>
  </si>
  <si>
    <t>[VCN]603-72-000</t>
  </si>
  <si>
    <t>VALES DE DESPENSA</t>
  </si>
  <si>
    <t>OTRAS COMISIONES</t>
  </si>
  <si>
    <t>INGRESOS WATTS LTO PARTES RELACIONADAS</t>
  </si>
  <si>
    <t>[VCN]219-01-010</t>
  </si>
  <si>
    <t>[VCN]601-56-001</t>
  </si>
  <si>
    <t>[VCN]162-23-000</t>
  </si>
  <si>
    <t>[VCN]210-11-000</t>
  </si>
  <si>
    <t>[VCN]603-64-000</t>
  </si>
  <si>
    <t>[VCN]102-01-004</t>
  </si>
  <si>
    <t>[VCN]102-01-005</t>
  </si>
  <si>
    <t>IMPUESTOS DIFERIDOS ISR ACTIVO</t>
  </si>
  <si>
    <t>PTU DIFERIDO ACTIVO</t>
  </si>
  <si>
    <t>COMPENSACION</t>
  </si>
  <si>
    <t>[VCN]105-01-012</t>
  </si>
  <si>
    <t>ARRENDAMIENTO ESTACIONAMIENTOS</t>
  </si>
  <si>
    <t>COSTO ENERGIA ELECTRICA VCN</t>
  </si>
  <si>
    <t>MENSAJERIA Y PAQUETERIA</t>
  </si>
  <si>
    <t>REEMBOLSO GASTOS PARTES RELACIONADAS</t>
  </si>
  <si>
    <t>[VCN]102-01-006</t>
  </si>
  <si>
    <t>[VCN]120-01-005</t>
  </si>
  <si>
    <t>[VCN]201-01-079</t>
  </si>
  <si>
    <t>INGRESOS FACTURADOS POR DEVENGAR</t>
  </si>
  <si>
    <t>[VCN]602-86-004</t>
  </si>
  <si>
    <t>[VCN]105-01-013</t>
  </si>
  <si>
    <t>[VCN]120-01-006</t>
  </si>
  <si>
    <t>[VCN]206-05-000</t>
  </si>
  <si>
    <t>INGRESOS POR PUBLICIDAD</t>
  </si>
  <si>
    <t>TRANSPORTE</t>
  </si>
  <si>
    <t>[VCN]602-52-004</t>
  </si>
  <si>
    <t>EQUIPO DE COMPUTO</t>
  </si>
  <si>
    <t>[VCN]162-25-000</t>
  </si>
  <si>
    <t>[VCN]201-01-100</t>
  </si>
  <si>
    <t>[VCN]602-72-000</t>
  </si>
  <si>
    <t>DEPRECIACION EQUIPO DE COMPUTO</t>
  </si>
  <si>
    <t>OTROS INGRESOS</t>
  </si>
  <si>
    <t>[VCN]201-01-103</t>
  </si>
  <si>
    <t>[VCN]117-06-000</t>
  </si>
  <si>
    <t>[VCN]117-07-000</t>
  </si>
  <si>
    <t>[VCN]117-08-000</t>
  </si>
  <si>
    <t>[VCN]117-09-000</t>
  </si>
  <si>
    <t>[VCN]117-10-000</t>
  </si>
  <si>
    <t>ANCHORED HUBS EN CONSTRUCCION</t>
  </si>
  <si>
    <t>[VCN]117-12-000</t>
  </si>
  <si>
    <t>[VCN]120-01-007</t>
  </si>
  <si>
    <t>[VCN]120-01-008</t>
  </si>
  <si>
    <t>[VCN]162-26-000</t>
  </si>
  <si>
    <t>[VCN]201-01-031</t>
  </si>
  <si>
    <t>[VCN]206-03-002</t>
  </si>
  <si>
    <t>[VCN]120-01-009</t>
  </si>
  <si>
    <t>[VCN]601-56-003</t>
  </si>
  <si>
    <t>[VCN]601-56-004</t>
  </si>
  <si>
    <t>CONTABLE Y FISCAL</t>
  </si>
  <si>
    <t>[VCN]106-03-007</t>
  </si>
  <si>
    <t>[VCN]401-17-000</t>
  </si>
  <si>
    <t>[VCN]102-01-007</t>
  </si>
  <si>
    <t>[VCN]102-01-008</t>
  </si>
  <si>
    <t>[VCN]102-01-009</t>
  </si>
  <si>
    <t>[VCN]105-01-018</t>
  </si>
  <si>
    <t>[VCN]117-14-000</t>
  </si>
  <si>
    <t>[VCN]120-01-010</t>
  </si>
  <si>
    <t>[VCN]201-01-116</t>
  </si>
  <si>
    <t>ACREEDORES AMEXCO</t>
  </si>
  <si>
    <t>RETENCION ISR POR ARRENDAMIENTO</t>
  </si>
  <si>
    <t>GASTOS PROYECTOS NO EJECUTADOS</t>
  </si>
  <si>
    <t>[VCN]602-88-000</t>
  </si>
  <si>
    <t>[VCN]613-20-000</t>
  </si>
  <si>
    <t>[VCN]105-01-020</t>
  </si>
  <si>
    <t>[VCN]206-01-007</t>
  </si>
  <si>
    <t>INFONAVIT RETENIDO TRABAJADOR</t>
  </si>
  <si>
    <t>[VCN]219-01-011</t>
  </si>
  <si>
    <t>EJERCICIO 2024</t>
  </si>
  <si>
    <t>[VCN]602-50-010</t>
  </si>
  <si>
    <t>PRIMA DOMINICAL</t>
  </si>
  <si>
    <t>[VCN]102-01-010</t>
  </si>
  <si>
    <t>PUNTOS DESTINATION EN CONSTRUCCION</t>
  </si>
  <si>
    <t>[VCN]117-16-000</t>
  </si>
  <si>
    <t>[VCN]120-01-011</t>
  </si>
  <si>
    <t>MONEX USD 36052843 (CHARGING)</t>
  </si>
  <si>
    <t>[VCN]117-19-000</t>
  </si>
  <si>
    <t>[VCN]120-01-012</t>
  </si>
  <si>
    <t>[VCN]162-27-000</t>
  </si>
  <si>
    <t>ACREEDORES OTRAS TARJETAS</t>
  </si>
  <si>
    <t>[VCN]205-04-001</t>
  </si>
  <si>
    <t>EMISION DE OBLIGACIONES Y BONOS CONVERTIBLES</t>
  </si>
  <si>
    <t>[VCN]601-90-000</t>
  </si>
  <si>
    <t>SERVICIO DE LIMPIEZA</t>
  </si>
  <si>
    <t>[VCN]603-82-000</t>
  </si>
  <si>
    <t>LEGAL Y NOTARIAL</t>
  </si>
  <si>
    <t>MAQUINARIA Y EQUIPO</t>
  </si>
  <si>
    <t>[VCN]201-01-118</t>
  </si>
  <si>
    <t>MODULOS DE POTENCIA</t>
  </si>
  <si>
    <t>SEGUROS PAGADOS POR ANTICIPADO</t>
  </si>
  <si>
    <t>[VCN]117-21-000</t>
  </si>
  <si>
    <t>[VCN]120-01-013</t>
  </si>
  <si>
    <t>DEPRECIACION MAQUINARIA Y EQUIPO</t>
  </si>
  <si>
    <t>DEP ACUMULADA MODULOS DE POTENCIA</t>
  </si>
  <si>
    <t>[VCN]201-01-130</t>
  </si>
  <si>
    <t>[VCN]206-01-008</t>
  </si>
  <si>
    <t>[VCN]602-52-016</t>
  </si>
  <si>
    <t>DEPRECIACION MODULOS DE POTENCIA</t>
  </si>
  <si>
    <t>[VCN]x</t>
  </si>
  <si>
    <t>[VCN]602-52-012</t>
  </si>
  <si>
    <t>[VCN]602-46-012</t>
  </si>
  <si>
    <t>[VCN]105-01-022</t>
  </si>
  <si>
    <t>[VCN]109-23-002</t>
  </si>
  <si>
    <t>[VCN]120-01-014</t>
  </si>
  <si>
    <t>[VCN]120-01-015</t>
  </si>
  <si>
    <t>[VCN]120-03-001</t>
  </si>
  <si>
    <t>[VCN]701-12-000</t>
  </si>
  <si>
    <t>[VCN]501-09-000</t>
  </si>
  <si>
    <t>[VCN]610-01-000</t>
  </si>
  <si>
    <t>[VCN]611-03-000</t>
  </si>
  <si>
    <t>[VCN]105-01-024</t>
  </si>
  <si>
    <t>OTROS INGRESOS DIDI</t>
  </si>
  <si>
    <t>INGRESOS WATTS DRIVERS LTO</t>
  </si>
  <si>
    <t>[VCN]602-46-010</t>
  </si>
  <si>
    <t>[VCN]106-03-004</t>
  </si>
  <si>
    <t>[VCN]109-24-000</t>
  </si>
  <si>
    <t>[VCN]120-01-016</t>
  </si>
  <si>
    <t>[VCN]120-01-017</t>
  </si>
  <si>
    <t>[VCN]120-01-018</t>
  </si>
  <si>
    <t>[VCN]201-01-158</t>
  </si>
  <si>
    <t>[VCN]201-01-159</t>
  </si>
  <si>
    <t>[VCN]201-01-160</t>
  </si>
  <si>
    <t>[VCN]206-01-001</t>
  </si>
  <si>
    <t>PRESTAMOS NACIONALES</t>
  </si>
  <si>
    <t>COSTO AMORTIZADO POR PRESTAMOS NACIONALES</t>
  </si>
  <si>
    <t>[VCN]602-86-001</t>
  </si>
  <si>
    <t>[VCN]118-05-000</t>
  </si>
  <si>
    <t>ACTINVER F6170 229426278 MXN (CHARGING)</t>
  </si>
  <si>
    <t>ACTIGOB MXN 2627 (CHARGING)</t>
  </si>
  <si>
    <t>PAGO ANTICIPADO DE RECARGAS WATTS</t>
  </si>
  <si>
    <t>[VCN]252-18-002</t>
  </si>
  <si>
    <t>[VCN]401-42-000</t>
  </si>
  <si>
    <t>[VCN]601-91-000</t>
  </si>
  <si>
    <t>INTERESES A CARGO</t>
  </si>
  <si>
    <t>OTROS SERVICIOS ADMINISTRATIVOS (REEMBOLSOS)</t>
  </si>
  <si>
    <t>[VCN]109-25-000</t>
  </si>
  <si>
    <t>[VCN]109-26-000</t>
  </si>
  <si>
    <t>PAGO DE LO INDEBIDO</t>
  </si>
  <si>
    <t>[VCN]117-25-000</t>
  </si>
  <si>
    <t>[VCN]201-01-164</t>
  </si>
  <si>
    <t>[VCN]206-01-010</t>
  </si>
  <si>
    <t>CREDITO FONACOT</t>
  </si>
  <si>
    <t>[VCN]102-01-014</t>
  </si>
  <si>
    <t>BBVA MXN 0125659892 (CHARGING)</t>
  </si>
  <si>
    <t>ACTINVER F6171 229429990 MXN (CHARGING)</t>
  </si>
  <si>
    <t>ACTINVER F6171 229429576 MXN (CHARGING)</t>
  </si>
  <si>
    <t>[VCN]103-01-003</t>
  </si>
  <si>
    <t>ACTIGOB MXN 2999 (CHARGING)</t>
  </si>
  <si>
    <t>ACTIGOB MXN 2957 (CHARGING)</t>
  </si>
  <si>
    <t>[VCN]107-05-001</t>
  </si>
  <si>
    <t>[VCN]117-31-000</t>
  </si>
  <si>
    <t>INGRESOS WATTS DRIVERS DIDI</t>
  </si>
  <si>
    <t>[VCN]603-62-000</t>
  </si>
  <si>
    <t>[VCN]603-75-000</t>
  </si>
  <si>
    <t>[VCN]613-21-000</t>
  </si>
  <si>
    <t>CAJA CHICA</t>
  </si>
  <si>
    <t>[VCN]403-02-000</t>
  </si>
  <si>
    <t>[VCN]117-38-000</t>
  </si>
  <si>
    <t>[VCN]117-49-000</t>
  </si>
  <si>
    <t>[VCN]117-50-000</t>
  </si>
  <si>
    <t>ANTICIPO A PROVEEDORES PARTES RELACIONADAS</t>
  </si>
  <si>
    <t>[VCN]120-08-000</t>
  </si>
  <si>
    <t>CARGADORES Y TRANSFORMADORES POR INSTALAR</t>
  </si>
  <si>
    <t>[VCN]162-28-000</t>
  </si>
  <si>
    <t>OTROS INGRESOS FACTURADOS</t>
  </si>
  <si>
    <t>[VCN]105-01-026</t>
  </si>
  <si>
    <t>COBRANZA MERCADO PAGO</t>
  </si>
  <si>
    <t>[VCN]105-01-031</t>
  </si>
  <si>
    <t>[VCN]117-51-000</t>
  </si>
  <si>
    <t>[VCN]117-53-000</t>
  </si>
  <si>
    <t>[VCN]117-55-000</t>
  </si>
  <si>
    <t>[VCN]120-01-019</t>
  </si>
  <si>
    <t>[VCN]201-01-166</t>
  </si>
  <si>
    <t>[VCN]206-01-011</t>
  </si>
  <si>
    <t>[VCN]602-34-000</t>
  </si>
  <si>
    <t>ARRENDAMIENTO OTROS</t>
  </si>
  <si>
    <t>COSTO CONTRACARGOS MERCADO PAGO</t>
  </si>
  <si>
    <t>[VCN]162-29-000</t>
  </si>
  <si>
    <t>[VCN]162-30-000</t>
  </si>
  <si>
    <t>[VCN]162-31-000</t>
  </si>
  <si>
    <t>INGRESOS COMISION MAQUINAS EXPENDEDORAS</t>
  </si>
  <si>
    <t>ESTIMACION DE CUENTAS INCOBRABLES CLIENTES</t>
  </si>
  <si>
    <t>[VCN]120-01-024</t>
  </si>
  <si>
    <t>[VCN]201-01-122</t>
  </si>
  <si>
    <t>[VCN]201-01-135</t>
  </si>
  <si>
    <t>[VCN]201-01-136</t>
  </si>
  <si>
    <t>[VCN]201-01-148</t>
  </si>
  <si>
    <t>[VCN]201-01-149</t>
  </si>
  <si>
    <t>[VCN]201-01-196</t>
  </si>
  <si>
    <t>GASTOS ESTIMACION CUENTAS INCOBRABLES</t>
  </si>
  <si>
    <t>[VCN]603-97-000</t>
  </si>
  <si>
    <t>[VCN]201-01-075</t>
  </si>
  <si>
    <t>[VCN]201-01-099</t>
  </si>
  <si>
    <t>[VCN]201-01-179</t>
  </si>
  <si>
    <t>PASIVO POR ARRENDAMIENTO DE INMUEBLES</t>
  </si>
  <si>
    <t>EJERCICIO 2025</t>
  </si>
  <si>
    <t>INGRESOS WATTS CREDIT PROGRAMS</t>
  </si>
  <si>
    <t>SESIONES Y EVENTOS</t>
  </si>
  <si>
    <t>[VCN]120-01-025</t>
  </si>
  <si>
    <t>[VCN]201-01-121</t>
  </si>
  <si>
    <t>[VCN]201-01-197</t>
  </si>
  <si>
    <t>[VCN]201-01-217</t>
  </si>
  <si>
    <t>[VCN]201-01-219</t>
  </si>
  <si>
    <t>CONSULTORIA PERSONAS FISICAS</t>
  </si>
  <si>
    <t>UNIFORMES</t>
  </si>
  <si>
    <t>[VCN]201-01-227</t>
  </si>
  <si>
    <t>RETENCION ISR POR RESICO</t>
  </si>
  <si>
    <t>GASTOS PAGADOS POR ANTICIPADO</t>
  </si>
  <si>
    <t>LICENCIAS Y SOFTWARE PAGADOS POR ANTICIPADO</t>
  </si>
  <si>
    <t>ANTICIPO A PROVEEDORES NACIONALES</t>
  </si>
  <si>
    <t>[VCN]162-36-000</t>
  </si>
  <si>
    <t>RESULTADOS ACUMULADOS OBLIG CONVERTIBLES (INTERESES)</t>
  </si>
  <si>
    <t>PAPELERIA</t>
  </si>
  <si>
    <t>DAE Security</t>
  </si>
  <si>
    <t xml:space="preserve">Parking </t>
  </si>
  <si>
    <t>[VCN]100-100-100-2122</t>
  </si>
  <si>
    <t>[VCN]100-100-100-2123</t>
  </si>
  <si>
    <t>[VCN]100-100-100-4001</t>
  </si>
  <si>
    <t>[VCN]100-100-200-5001</t>
  </si>
  <si>
    <t>[VCN]100-100-700-0001</t>
  </si>
  <si>
    <t>[VCN]100-100-700-0004</t>
  </si>
  <si>
    <t>[VCN]100-101-100-0001</t>
  </si>
  <si>
    <t>[VCN]100-200-100-5001</t>
  </si>
  <si>
    <t>[VCN]100-200-100-9001</t>
  </si>
  <si>
    <t>[VCN]100-200-100-8005</t>
  </si>
  <si>
    <t>[VCN]100-200-100-9003</t>
  </si>
  <si>
    <t>[VCN]100-200-100-9007</t>
  </si>
  <si>
    <t>[VCN]100-200-100-9011</t>
  </si>
  <si>
    <t>[VCN]100-200-100-5002</t>
  </si>
  <si>
    <t>[VCN]100-200-100-9002</t>
  </si>
  <si>
    <t>[VCN]100-200-100-8006</t>
  </si>
  <si>
    <t>[VCN]100-200-100-9004</t>
  </si>
  <si>
    <t>[VCN]100-100-550-0001</t>
  </si>
  <si>
    <t>[VCN]200-100-200-0001</t>
  </si>
  <si>
    <t>[VCN]200-100-250-1002</t>
  </si>
  <si>
    <t>[VCN]200-100-250-1001</t>
  </si>
  <si>
    <t>[VCN]200-100-600-0001</t>
  </si>
  <si>
    <t>[VCN]200-100-700-4003</t>
  </si>
  <si>
    <t>[VCN]200-100-700-4004</t>
  </si>
  <si>
    <t>[VCN]200-100-700-4014</t>
  </si>
  <si>
    <t>[VCN]200-100-700-5001</t>
  </si>
  <si>
    <t>[VCN]200-100-700-5003</t>
  </si>
  <si>
    <t>[VCN]200-100-700-5004</t>
  </si>
  <si>
    <t>[VCN]200-100-700-5006</t>
  </si>
  <si>
    <t>[VCN]200-101-100-1001</t>
  </si>
  <si>
    <t>[VCN]200-100-700-5002</t>
  </si>
  <si>
    <t>[VCN]200-101-100-1010</t>
  </si>
  <si>
    <t>[VCN]200-101-100-1004</t>
  </si>
  <si>
    <t>[VCN]200-200-300-0003</t>
  </si>
  <si>
    <t>[VCN]200-100-300-0001</t>
  </si>
  <si>
    <t>[VCN]200-100-700-4023</t>
  </si>
  <si>
    <t>[VCN]200-100-700-4022</t>
  </si>
  <si>
    <t>[VCN]300-100-100-0001</t>
  </si>
  <si>
    <t>[VCN]300-100-200-0001</t>
  </si>
  <si>
    <t>[VCN]300-350-000-0012</t>
  </si>
  <si>
    <t>[VCN]300-350-000-0013</t>
  </si>
  <si>
    <t>[VCN]400-100-100-0004</t>
  </si>
  <si>
    <t>[VCN]400-200-100-0007</t>
  </si>
  <si>
    <t>[VCN]400-100-100-0007</t>
  </si>
  <si>
    <t>[VCN]400-100-100-0013</t>
  </si>
  <si>
    <t>[VCN]400-200-100-0035</t>
  </si>
  <si>
    <t>[VCN]600-200-100-0002</t>
  </si>
  <si>
    <t>[VCN]600-200-100-0001</t>
  </si>
  <si>
    <t>[VCN]600-200-100-0006</t>
  </si>
  <si>
    <t>[VCN]600-300-402-0003</t>
  </si>
  <si>
    <t>[VCN]600-300-409-0005</t>
  </si>
  <si>
    <t>[VCN]500-100-025-0002</t>
  </si>
  <si>
    <t>[VCN]600-300-406-0011</t>
  </si>
  <si>
    <t>[VCN]600-300-406-0002</t>
  </si>
  <si>
    <t>[VCN]600-300-406-0012</t>
  </si>
  <si>
    <t>[VCN]600-300-406-0005</t>
  </si>
  <si>
    <t>[VCN]600-300-406-0004</t>
  </si>
  <si>
    <t>[VCN]500-100-025-0004</t>
  </si>
  <si>
    <t>[VCN]700-500-000-0006</t>
  </si>
  <si>
    <t>[VCN]600-300-300-0006</t>
  </si>
  <si>
    <t>[VCN]500-100-025-0003</t>
  </si>
  <si>
    <t>[VCN]600-300-200-0001</t>
  </si>
  <si>
    <t>[VCN]600-300-200-0002</t>
  </si>
  <si>
    <t>[VCN]600-300-200-0004</t>
  </si>
  <si>
    <t>[VCN]600-300-200-0015</t>
  </si>
  <si>
    <t>[VCN]600-300-200-0016</t>
  </si>
  <si>
    <t>[VCN]600-300-200-0007</t>
  </si>
  <si>
    <t>[VCN]600-300-200-0010</t>
  </si>
  <si>
    <t>[VCN]600-300-200-0012</t>
  </si>
  <si>
    <t>[VCN]600-300-200-0011</t>
  </si>
  <si>
    <t>[VCN]600-300-200-0013</t>
  </si>
  <si>
    <t>[VCN]600-300-300-0001</t>
  </si>
  <si>
    <t>[VCN]600-300-416-0003</t>
  </si>
  <si>
    <t>[VCN]600-300-415-0001</t>
  </si>
  <si>
    <t>[VCN]600-300-409-0001</t>
  </si>
  <si>
    <t>[VCN]600-300-406-0003</t>
  </si>
  <si>
    <t>[VCN]600-700-000-0004</t>
  </si>
  <si>
    <t>[VCN]600-700-000-0007</t>
  </si>
  <si>
    <t>[VCN]600-700-000-9002</t>
  </si>
  <si>
    <t>[VCN]600-700-000-9004</t>
  </si>
  <si>
    <t>[VCN]700-300-000-0002</t>
  </si>
  <si>
    <t>[VCN]600-300-418-0001</t>
  </si>
  <si>
    <t>[VCN]700-200-000-0002</t>
  </si>
  <si>
    <t>[VCN]700-300-000-0001</t>
  </si>
  <si>
    <t>[VCN]700-100-000-0001</t>
  </si>
  <si>
    <t>[VCN]300-350-000-0014</t>
  </si>
  <si>
    <t>[VCN]600-300-414-0001</t>
  </si>
  <si>
    <t>[VCN]600-300-410-0001</t>
  </si>
  <si>
    <t>[VCN]600-300-200-0022</t>
  </si>
  <si>
    <t>[VCN]600-300-418-0002</t>
  </si>
  <si>
    <t>[VCN]400-100-100-0005</t>
  </si>
  <si>
    <t>[VCN]100-200-800-0001</t>
  </si>
  <si>
    <t>[VCN]100-200-850-0001</t>
  </si>
  <si>
    <t>[VCN]600-300-200-0017</t>
  </si>
  <si>
    <t>[VCN]600-300-404-0003</t>
  </si>
  <si>
    <t>[VCN]500-100-025-0001</t>
  </si>
  <si>
    <t>[VCN]600-300-407-0002</t>
  </si>
  <si>
    <t>[VCN]600-200-100-0009</t>
  </si>
  <si>
    <t>[VCN]200-100-550-0002</t>
  </si>
  <si>
    <t>[VCN]400-200-100-0017</t>
  </si>
  <si>
    <t>[VCN]600-300-300-0004</t>
  </si>
  <si>
    <t>[VCN]100-200-100-6001</t>
  </si>
  <si>
    <t>[VCN]100-200-100-6002</t>
  </si>
  <si>
    <t>[VCN]600-700-000-0005</t>
  </si>
  <si>
    <t>[VCN]700-400-000-0004</t>
  </si>
  <si>
    <t>[VCN]100-200-100-9991</t>
  </si>
  <si>
    <t>[VCN]600-300-402-0002</t>
  </si>
  <si>
    <t>[VCN]200-100-400-0003</t>
  </si>
  <si>
    <t>[VCN]200-101-100-1003</t>
  </si>
  <si>
    <t>[VCN]600-300-413-0004</t>
  </si>
  <si>
    <t>[VCN]200-100-700-5005</t>
  </si>
  <si>
    <t>[VCN]300-350-000-0015</t>
  </si>
  <si>
    <t>[VCN]600-300-200-0008</t>
  </si>
  <si>
    <t>[VCN]100-200-100-9992</t>
  </si>
  <si>
    <t>[VCN]500-100-018-0001</t>
  </si>
  <si>
    <t>[VCN]100-100-100-3204</t>
  </si>
  <si>
    <t>[VCN]200-100-400-0004</t>
  </si>
  <si>
    <t>[VCN]300-500-000-1001</t>
  </si>
  <si>
    <t>[VCN]600-300-406-0007</t>
  </si>
  <si>
    <t>[VCN]600-300-402-0001</t>
  </si>
  <si>
    <t>[VCN]100-200-100-4001</t>
  </si>
  <si>
    <t>[VCN]100-200-100-9013</t>
  </si>
  <si>
    <t>[VCN]100-200-700-0003</t>
  </si>
  <si>
    <t>[VCN]100-200-100-4002</t>
  </si>
  <si>
    <t>[VCN]100-200-100-9014</t>
  </si>
  <si>
    <t>[VCN]600-700-000-0003</t>
  </si>
  <si>
    <t>[VCN]600-700-000-9009</t>
  </si>
  <si>
    <t>[VCN]400-200-100-0030</t>
  </si>
  <si>
    <t>[VCN]400-200-100-0033</t>
  </si>
  <si>
    <t>[VCN]200-200-400-0001</t>
  </si>
  <si>
    <t>[VCN]200-200-400-0006</t>
  </si>
  <si>
    <t>[VCN]100-100-100-2330</t>
  </si>
  <si>
    <t>[VCN]100-100-100-3132</t>
  </si>
  <si>
    <t>[VCN]200-100-550-0003</t>
  </si>
  <si>
    <t>[VCN]700-200-000-0001</t>
  </si>
  <si>
    <t>[VCN]700-200-000-0003</t>
  </si>
  <si>
    <t>[VCN]400-100-100-0008</t>
  </si>
  <si>
    <t>[VCN]100-100-700-0005</t>
  </si>
  <si>
    <t>[VCN]200-100-700-5008</t>
  </si>
  <si>
    <t>[VCN]500-100-001-0001</t>
  </si>
  <si>
    <t>[VCN]500-100-001-0003</t>
  </si>
  <si>
    <t>[VCN]500-100-001-0004</t>
  </si>
  <si>
    <t>[VCN]500-100-001-0007</t>
  </si>
  <si>
    <t>[VCN]500-100-001-0017</t>
  </si>
  <si>
    <t>[VCN]500-100-001-0002</t>
  </si>
  <si>
    <t>[VCN]500-100-001-0009</t>
  </si>
  <si>
    <t>[VCN]500-100-001-0011</t>
  </si>
  <si>
    <t>[VCN]500-100-001-0010</t>
  </si>
  <si>
    <t>[VCN]500-100-001-0012</t>
  </si>
  <si>
    <t>[VCN]500-100-001-0013</t>
  </si>
  <si>
    <t>[VCN]100-100-100-2173</t>
  </si>
  <si>
    <t>[VCN]100-100-100-2334</t>
  </si>
  <si>
    <t>[VCN]100-100-100-2333</t>
  </si>
  <si>
    <t>[VCN]100-100-100-3134</t>
  </si>
  <si>
    <t>[VCN]100-100-100-3135</t>
  </si>
  <si>
    <t>[VCN]400-200-100-0034</t>
  </si>
  <si>
    <t>[VCN]100-100-100-1001</t>
  </si>
  <si>
    <t>[VCN]100-100-100-4010</t>
  </si>
  <si>
    <t>[VCN]100-101-200-1006</t>
  </si>
  <si>
    <t>[VCN]100-200-100-9993</t>
  </si>
  <si>
    <t>[VCN]400-200-100-0015</t>
  </si>
  <si>
    <t>[VCN]100-100-100-4006</t>
  </si>
  <si>
    <t>[VCN]600-300-404-0002</t>
  </si>
  <si>
    <t>[VCN]500-100-025-0005</t>
  </si>
  <si>
    <t>[VCN]400-200-100-0014</t>
  </si>
  <si>
    <t>[VCN]100-100-200-4101</t>
  </si>
  <si>
    <t>[VCN]600-300-406-0010</t>
  </si>
  <si>
    <t>[VCN]200-200-300-0001</t>
  </si>
  <si>
    <t>[VCN]300-350-000-0016</t>
  </si>
  <si>
    <t>[VCN]400-200-100-0036</t>
  </si>
  <si>
    <t>[VCN]600-300-401-0006</t>
  </si>
  <si>
    <t>[VCN]600-300-403-0003</t>
  </si>
  <si>
    <t>[VCN]600-300-401-0005</t>
  </si>
  <si>
    <t>[VCN]200-101-100-1014</t>
  </si>
  <si>
    <t>[VCN]100-200-700-0009</t>
  </si>
  <si>
    <t>[VCN]100-200-700-0002</t>
  </si>
  <si>
    <t>[VCN]100-101-200-1001</t>
  </si>
  <si>
    <t>[VCN]300-500-000-1002</t>
  </si>
  <si>
    <t>[VCN]300-500-000-1003</t>
  </si>
  <si>
    <t>[VCN]300-500-000-1004</t>
  </si>
  <si>
    <t>[VCN]300-500-000-1005</t>
  </si>
  <si>
    <t>100-100-100-2174</t>
  </si>
  <si>
    <t>BBVA MXN 0126935559 (CHARGING)</t>
  </si>
  <si>
    <t>100-100-100-2175</t>
  </si>
  <si>
    <t>BBVA MXN 0126935656 (CHARGING)</t>
  </si>
  <si>
    <t>100-100-100-2332</t>
  </si>
  <si>
    <t>ACTINVER F6171 22942734 MXN (CHARGING)</t>
  </si>
  <si>
    <t>100-100-100-3137</t>
  </si>
  <si>
    <t>BBVA MXN CONTRATO 1387682794 (CHARGING)</t>
  </si>
  <si>
    <t>100-100-100-4005</t>
  </si>
  <si>
    <t>DEPOSITOS NO IDENTIFICADOS</t>
  </si>
  <si>
    <t>100-100-520-0001</t>
  </si>
  <si>
    <t>FUNCIONARIOS Y EMPLEADOS  (VIÁTICOS Y GASTOS A COMPROBAR)</t>
  </si>
  <si>
    <t>100-100-550-0002</t>
  </si>
  <si>
    <t>OTROS DEPOSITOS EN GARANTIA</t>
  </si>
  <si>
    <t>100-100-800-0004</t>
  </si>
  <si>
    <t>RETENCIONES DE IVA</t>
  </si>
  <si>
    <t>DEP ACUMULADA MAQUINARIA Y EQUIPO</t>
  </si>
  <si>
    <t>DEP ACUMULADA MOBILIARIO Y EQUIPO</t>
  </si>
  <si>
    <t>DEP ACUMULADA DE EQUIPO DE COMPUTO</t>
  </si>
  <si>
    <t>100-200-100-8001</t>
  </si>
  <si>
    <t>ACTIVO POR DERECHO DE USO INMUEBLES</t>
  </si>
  <si>
    <t>100-200-100-8003</t>
  </si>
  <si>
    <t>DEPRECIACION ACTIVO DERECHO DE USO INMUEBLES</t>
  </si>
  <si>
    <t>CARGADORES ANCHORED HUBS</t>
  </si>
  <si>
    <t>DEPRECIACION ACUMULADA CARGADORES HUBS</t>
  </si>
  <si>
    <t>INFRAESTRUCTURA ANCHORED HUBS</t>
  </si>
  <si>
    <t>DEPRECIACION ACUMULADA INFRAESTRUCTURA HUBS</t>
  </si>
  <si>
    <t>100-200-100-9005</t>
  </si>
  <si>
    <t>CARGADORES TERCEROS</t>
  </si>
  <si>
    <t>100-200-100-9006</t>
  </si>
  <si>
    <t>DEPRECIACION ACUMULADA CARGADORES TERCEROS</t>
  </si>
  <si>
    <t>100-200-100-9008</t>
  </si>
  <si>
    <t>DEPRECIACION ACUMULADA INFRAESTRUCTURA TERCEROS</t>
  </si>
  <si>
    <t>100-200-100-9009</t>
  </si>
  <si>
    <t>CARGADORES PUNTOS DESTINATION</t>
  </si>
  <si>
    <t>100-200-100-9010</t>
  </si>
  <si>
    <t>DEP ACUMULADA CARGADORES PUNTOS DESTINATION</t>
  </si>
  <si>
    <t>100-200-100-9012</t>
  </si>
  <si>
    <t>DEP ACUMULADA INFRAESTRUCTURA PUNTOS DESTINATION</t>
  </si>
  <si>
    <t>100-200-700-0008</t>
  </si>
  <si>
    <t>GASTOS PAGADOS POR ANTICIPADO PARTES RELACIONADAS</t>
  </si>
  <si>
    <t>200-100-700-5009</t>
  </si>
  <si>
    <t>RETIRO CESANTIA Y VEJEZ - PATRON</t>
  </si>
  <si>
    <t>200-100-800-0003</t>
  </si>
  <si>
    <t>OTROS IMPUESTOS POR PAGAR</t>
  </si>
  <si>
    <t>200-101-100-1009</t>
  </si>
  <si>
    <t>RETENCION IVA POR ARRENDAMIENTO</t>
  </si>
  <si>
    <t>200-101-101-1003</t>
  </si>
  <si>
    <t>RETENCION ISR POR ARRENDAMIENTO NR</t>
  </si>
  <si>
    <t>200-101-101-1009</t>
  </si>
  <si>
    <t>RETENCION IVA POR ARRENDAMIENTO NR</t>
  </si>
  <si>
    <t>200-200-400-0005</t>
  </si>
  <si>
    <t>INTERESES POR PRESTAMOS NACIONALES</t>
  </si>
  <si>
    <t>600-300-200-0003</t>
  </si>
  <si>
    <t>600-300-300-0002</t>
  </si>
  <si>
    <t>HOSPEDAJE</t>
  </si>
  <si>
    <t>600-300-300-0007</t>
  </si>
  <si>
    <t>GASOLINAS</t>
  </si>
  <si>
    <t>600-300-403-0001</t>
  </si>
  <si>
    <t>LEGAL Y NOTARIAL PERSONAS FISICAS</t>
  </si>
  <si>
    <t>600-300-409-0002</t>
  </si>
  <si>
    <t>MULTAS Y ACTUALIZACIONES</t>
  </si>
  <si>
    <t>600-300-410-0003</t>
  </si>
  <si>
    <t>DESPENSA Y ARTICULOS DE LIMPIEZA</t>
  </si>
  <si>
    <t>600-300-410-0004</t>
  </si>
  <si>
    <t>ACCESORIOS COMPUTO</t>
  </si>
  <si>
    <t>600-300-410-0005</t>
  </si>
  <si>
    <t>ENSERES MENORES</t>
  </si>
  <si>
    <t>600-300-411-0004</t>
  </si>
  <si>
    <t>SEGURIDAD</t>
  </si>
  <si>
    <t>600-300-416-0002</t>
  </si>
  <si>
    <t>TELEFONÍA FIJA</t>
  </si>
  <si>
    <t>DEPRECIACION CARGADORES ANCHORED HUBS</t>
  </si>
  <si>
    <t>DEPRECIACION INFRAESTRUCTURA ANCHORED HUBS</t>
  </si>
  <si>
    <t>600-700-000-9006</t>
  </si>
  <si>
    <t>DEPRECIACION CARGADORES TERCEROS</t>
  </si>
  <si>
    <t>600-700-000-9008</t>
  </si>
  <si>
    <t>DEPRECIACION INFRAESTRUCTURA TERCEROS</t>
  </si>
  <si>
    <t>600-700-000-9010</t>
  </si>
  <si>
    <t>DEPRECIACION CARGADORES DESTINATION</t>
  </si>
  <si>
    <t>600-700-000-9012</t>
  </si>
  <si>
    <t>DEPRECIACION INFRAESTRUCTURA DESTINATION</t>
  </si>
  <si>
    <t>700-400-000-0007</t>
  </si>
  <si>
    <t>DIFERENCIAS POR REDONDEO</t>
  </si>
  <si>
    <t>Chaas Vehicles</t>
  </si>
  <si>
    <t xml:space="preserve">Rent Parking </t>
  </si>
  <si>
    <t>Maintenance DAE</t>
  </si>
  <si>
    <t xml:space="preserve">Maintenance Hubs </t>
  </si>
  <si>
    <t>Water Purifiers</t>
  </si>
  <si>
    <t>Events</t>
  </si>
  <si>
    <t>BODEGA VALLEJO</t>
  </si>
  <si>
    <t>LAS AGUILAS (CENTENARIO)</t>
  </si>
  <si>
    <t>MIXCOAC (PERIFERICO SUR)</t>
  </si>
  <si>
    <t>VASCONCELOS (MTY)</t>
  </si>
  <si>
    <t>ROMA</t>
  </si>
  <si>
    <t>MONUMENTO A LA MADRE (DAE)</t>
  </si>
  <si>
    <t>AEROPUERTO (TRANSVAL)</t>
  </si>
  <si>
    <t>PETRARCA (DAE)</t>
  </si>
  <si>
    <t>MOSQUETA</t>
  </si>
  <si>
    <t>MORONES PRIETO (MTY)</t>
  </si>
  <si>
    <t>ARTZ (DAE)</t>
  </si>
  <si>
    <t>GRAN OSO</t>
  </si>
  <si>
    <t>ALEPH (DAE)</t>
  </si>
  <si>
    <t>LOMAS VERDES</t>
  </si>
  <si>
    <t>NUEVO SUR (MTY)</t>
  </si>
  <si>
    <t>TORRE MEXICANA (DAE)</t>
  </si>
  <si>
    <t>GASTOS FINANCIERA POR EL IMPULSO</t>
  </si>
  <si>
    <t xml:space="preserve">Rent Hubs VCN </t>
  </si>
  <si>
    <t xml:space="preserve">Rent Hubs Dae </t>
  </si>
  <si>
    <t>Rent DAE Hubs</t>
  </si>
  <si>
    <t>Rent VCN Hubs</t>
  </si>
  <si>
    <t>180 MM</t>
  </si>
  <si>
    <t>Energy DAE</t>
  </si>
  <si>
    <t>n.m</t>
  </si>
  <si>
    <t>400-100-100-0014</t>
  </si>
  <si>
    <t xml:space="preserve">Gross Profit Adj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</si>
</sst>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7" formatCode="&quot;$&quot;#,##0.00;\-&quot;$&quot;#,##0.00"/>
    <numFmt numFmtId="44" formatCode="_-&quot;$&quot;* #,##0.00_-;\-&quot;$&quot;* #,##0.00_-;_-&quot;$&quot;* &quot;-&quot;??_-;_-@_-"/>
    <numFmt numFmtId="43" formatCode="_-* #,##0.00_-;\-* #,##0.00_-;_-* &quot;-&quot;??_-;_-@_-"/>
    <numFmt numFmtId="164" formatCode="&quot;$&quot;#,##0.0"/>
    <numFmt numFmtId="165" formatCode="&quot;$&quot;#,##0.00"/>
    <numFmt numFmtId="166" formatCode="[$-409]d\-mmm\-yy;@"/>
    <numFmt numFmtId="167" formatCode="_-* #,##0.0000000000_-;\-* #,##0.0000000000_-;_-* &quot;-&quot;??_-;_-@_-"/>
    <numFmt numFmtId="168" formatCode="&quot;$&quot;#,##0.0,,;\(&quot;$&quot;#,##0.0,,\)"/>
    <numFmt numFmtId="169" formatCode="&quot;$&quot;#,##0.0,,;[Red]\(&quot;$&quot;#,##0.0,,\)"/>
    <numFmt numFmtId="170" formatCode="&quot;$&quot;#,##0.00;[Red]&quot;$&quot;#,##0.00"/>
    <numFmt numFmtId="171" formatCode="0.0%"/>
    <numFmt numFmtId="172" formatCode="_(#,##0_)_%;\(#,##0\)_%;_(&quot;–&quot;_)_%;_(@_)_%"/>
    <numFmt numFmtId="173" formatCode="&quot;$&quot;#,##0.0,;\(&quot;$&quot;#,##0.0,\)"/>
    <numFmt numFmtId="174" formatCode="&quot;$&quot;0.0,,;\(&quot;$&quot;0.0,,\)"/>
    <numFmt numFmtId="175" formatCode="[$-409]mmm\-yy;@"/>
    <numFmt numFmtId="176" formatCode="dd/mm/yyyy;@"/>
    <numFmt numFmtId="177" formatCode="&quot;$&quot;#,##0.000000000,,;[Red]\(&quot;$&quot;#,##0.000000000,,\)"/>
    <numFmt numFmtId="178" formatCode="_(#,##0.0%_);\(#,##0.0%\);_(&quot;–&quot;_)_%;_(@_)_%"/>
    <numFmt numFmtId="179" formatCode="&quot;$&quot;#,##0.00000,,;\(&quot;$&quot;#,##0.00000,,\)"/>
    <numFmt numFmtId="180" formatCode="&quot;$&quot;#,##0.00,,;\(&quot;$&quot;#,##0.00,,\)"/>
    <numFmt numFmtId="181" formatCode="&quot;$&quot;#,##0.0000,,;\(&quot;$&quot;#,##0.0000,,\)"/>
    <numFmt numFmtId="182" formatCode="&quot;$&quot;#,##0.000000,,;\(&quot;$&quot;#,##0.000000,,\)"/>
    <numFmt numFmtId="183" formatCode="#,##0.00000"/>
    <numFmt numFmtId="184" formatCode="0.0%;\(0.0%\)"/>
    <numFmt numFmtId="185" formatCode="_(#,##0.0_)_%;\(#,##0.0\)_%;_(&quot;–&quot;_)_%;_(@_)_%"/>
    <numFmt numFmtId="186" formatCode="#,##0.000"/>
    <numFmt numFmtId="187" formatCode="&quot;$&quot;#,##0.00000"/>
    <numFmt numFmtId="188" formatCode="\•\ @"/>
    <numFmt numFmtId="189" formatCode="\-\ @"/>
    <numFmt numFmtId="190" formatCode="&quot;$&quot;#,##0.0,,"/>
    <numFmt numFmtId="191" formatCode="#,##0.0,,;[Red]\(#,##0.0,,\);&quot;-&quot;"/>
    <numFmt numFmtId="192" formatCode="&quot;$&quot;#,##0.000,,;\(&quot;$&quot;#,##0.000,,\)"/>
    <numFmt numFmtId="193" formatCode="#,##0.00,,;[Red]\(#,##0.00,,\);&quot;-&quot;"/>
    <numFmt numFmtId="194" formatCode="#,##0;\(#,##0\);\-"/>
    <numFmt numFmtId="195" formatCode="0.0000%"/>
    <numFmt numFmtId="196" formatCode="#,##0.00000;\(#,##0.00000\);\-"/>
    <numFmt numFmtId="197" formatCode="&quot;$&quot;#,##0.0000000,,;\(&quot;$&quot;#,##0.0000000,,\)"/>
    <numFmt numFmtId="198" formatCode="0.0%;\(0.0%\);\-"/>
    <numFmt numFmtId="199" formatCode="&quot;$&quot;#,##0.000000,,;[Red]\(&quot;$&quot;#,##0.000000,,\)"/>
    <numFmt numFmtId="200" formatCode="&quot;$&quot;#,##0.0000"/>
    <numFmt numFmtId="201" formatCode="_(#,##0.00_)_%;\(#,##0.00\)_%;_(&quot;–&quot;_)_%;_(@_)_%"/>
    <numFmt numFmtId="202" formatCode="&quot;$&quot;#,##0.000000000,,;\(&quot;$&quot;#,##0.000000000,,\)"/>
    <numFmt numFmtId="203" formatCode="#,##0.00;\(#,##0.00\);\-"/>
    <numFmt numFmtId="204" formatCode="&quot;$&quot;#,##0,,;\(&quot;$&quot;#,##0,,\)"/>
  </numFmts>
  <fonts count="108" x14ac:knownFonts="1">
    <font>
      <sz val="11"/>
      <color theme="1"/>
      <name val="Calibri"/>
      <family val="2"/>
      <scheme val="minor"/>
    </font>
    <font>
      <sz val="11"/>
      <color theme="1"/>
      <name val="Calibri"/>
      <family val="2"/>
      <scheme val="minor"/>
    </font>
    <font>
      <sz val="8"/>
      <name val="Arial"/>
      <family val="2"/>
    </font>
    <font>
      <sz val="8"/>
      <name val="Calibri"/>
      <family val="2"/>
    </font>
    <font>
      <sz val="8"/>
      <color indexed="22"/>
      <name val="Arial"/>
      <family val="2"/>
    </font>
    <font>
      <sz val="11"/>
      <name val="Calibri"/>
      <family val="2"/>
    </font>
    <font>
      <b/>
      <i/>
      <sz val="11"/>
      <name val="Calibri"/>
      <family val="2"/>
    </font>
    <font>
      <sz val="10"/>
      <name val="Arial"/>
      <family val="2"/>
    </font>
    <font>
      <b/>
      <sz val="11"/>
      <color indexed="12"/>
      <name val="Calibri"/>
      <family val="2"/>
    </font>
    <font>
      <sz val="11"/>
      <color indexed="12"/>
      <name val="Calibri"/>
      <family val="2"/>
    </font>
    <font>
      <b/>
      <sz val="20"/>
      <color rgb="FF000000"/>
      <name val="Calibri"/>
      <family val="2"/>
    </font>
    <font>
      <sz val="9"/>
      <color theme="1"/>
      <name val="Space Grotesk"/>
      <family val="3"/>
    </font>
    <font>
      <sz val="10"/>
      <color theme="1"/>
      <name val="Space Grotesk"/>
      <family val="3"/>
    </font>
    <font>
      <sz val="8"/>
      <color theme="1"/>
      <name val="Space Grotesk"/>
      <family val="3"/>
    </font>
    <font>
      <sz val="8"/>
      <color rgb="FF0000FF"/>
      <name val="Space Grotesk"/>
      <family val="3"/>
    </font>
    <font>
      <b/>
      <sz val="9"/>
      <color theme="1"/>
      <name val="Space Grotesk"/>
      <family val="3"/>
    </font>
    <font>
      <sz val="10"/>
      <color rgb="FFFFFFFF"/>
      <name val="Space Grotesk"/>
      <family val="3"/>
    </font>
    <font>
      <sz val="8"/>
      <color rgb="FF000000"/>
      <name val="Space Grotesk"/>
      <family val="3"/>
    </font>
    <font>
      <sz val="8"/>
      <color rgb="FFFFFFFF"/>
      <name val="Space Grotesk"/>
      <family val="3"/>
    </font>
    <font>
      <b/>
      <sz val="8"/>
      <color rgb="FF000000"/>
      <name val="Space Grotesk"/>
      <family val="3"/>
    </font>
    <font>
      <b/>
      <sz val="8"/>
      <color rgb="FF0000FF"/>
      <name val="Space Grotesk"/>
      <family val="3"/>
    </font>
    <font>
      <sz val="9"/>
      <color rgb="FFFFFFFF"/>
      <name val="Space Grotesk"/>
      <family val="3"/>
    </font>
    <font>
      <b/>
      <sz val="9"/>
      <color rgb="FFFFFFFF"/>
      <name val="Space Grotesk"/>
      <family val="3"/>
    </font>
    <font>
      <sz val="8"/>
      <color theme="1"/>
      <name val="Calibri"/>
      <family val="2"/>
      <scheme val="minor"/>
    </font>
    <font>
      <sz val="8"/>
      <color rgb="FF0000FF"/>
      <name val="Calibri"/>
      <family val="2"/>
      <scheme val="minor"/>
    </font>
    <font>
      <b/>
      <sz val="8"/>
      <color rgb="FFFFFFFF"/>
      <name val="Calibri"/>
      <family val="2"/>
    </font>
    <font>
      <b/>
      <sz val="8"/>
      <color theme="1"/>
      <name val="Calibri"/>
      <family val="2"/>
      <scheme val="minor"/>
    </font>
    <font>
      <b/>
      <sz val="8"/>
      <color rgb="FFFFFFFF"/>
      <name val="Calibri"/>
      <family val="2"/>
      <scheme val="minor"/>
    </font>
    <font>
      <b/>
      <sz val="8"/>
      <color rgb="FF000000"/>
      <name val="Calibri"/>
      <family val="2"/>
      <scheme val="minor"/>
    </font>
    <font>
      <b/>
      <sz val="8"/>
      <name val="Calibri"/>
      <family val="2"/>
      <scheme val="minor"/>
    </font>
    <font>
      <sz val="8"/>
      <color rgb="FFC65911"/>
      <name val="Calibri"/>
      <family val="2"/>
    </font>
    <font>
      <b/>
      <sz val="8"/>
      <color theme="0"/>
      <name val="Calibri"/>
      <family val="2"/>
      <scheme val="minor"/>
    </font>
    <font>
      <b/>
      <sz val="9"/>
      <color indexed="81"/>
      <name val="Tahoma"/>
      <family val="2"/>
    </font>
    <font>
      <sz val="9"/>
      <color indexed="81"/>
      <name val="Tahoma"/>
      <family val="2"/>
    </font>
    <font>
      <sz val="9"/>
      <color theme="1"/>
      <name val="Calibri"/>
      <family val="2"/>
      <scheme val="minor"/>
    </font>
    <font>
      <b/>
      <sz val="9"/>
      <name val="Space Grotesk"/>
      <family val="3"/>
    </font>
    <font>
      <sz val="10"/>
      <color theme="1"/>
      <name val="Space Grotesk"/>
      <family val="2"/>
    </font>
    <font>
      <i/>
      <sz val="9"/>
      <color theme="1"/>
      <name val="Space Grotesk"/>
      <family val="3"/>
    </font>
    <font>
      <b/>
      <sz val="9"/>
      <color theme="0" tint="-0.499984740745262"/>
      <name val="Space Grotesk"/>
      <family val="3"/>
    </font>
    <font>
      <b/>
      <sz val="9"/>
      <color rgb="FF0000FF"/>
      <name val="Space Grotesk"/>
      <family val="3"/>
    </font>
    <font>
      <b/>
      <sz val="9"/>
      <color rgb="FF000000"/>
      <name val="Space Grotesk"/>
      <family val="3"/>
    </font>
    <font>
      <sz val="9"/>
      <color rgb="FF000000"/>
      <name val="Space Grotesk"/>
      <family val="3"/>
    </font>
    <font>
      <b/>
      <sz val="9"/>
      <color theme="0"/>
      <name val="Space Grotesk"/>
      <family val="3"/>
    </font>
    <font>
      <sz val="9"/>
      <color rgb="FF0000FF"/>
      <name val="Space Grotesk"/>
      <family val="3"/>
    </font>
    <font>
      <sz val="9"/>
      <name val="Space Grotesk"/>
      <family val="3"/>
    </font>
    <font>
      <sz val="9"/>
      <color rgb="FFC65911"/>
      <name val="Space Grotesk"/>
      <family val="3"/>
    </font>
    <font>
      <sz val="9"/>
      <color rgb="FF008000"/>
      <name val="Space Grotesk"/>
      <family val="3"/>
    </font>
    <font>
      <sz val="9"/>
      <color rgb="FF38761D"/>
      <name val="Space Grotesk"/>
      <family val="3"/>
    </font>
    <font>
      <b/>
      <sz val="13"/>
      <name val="Space Grotesk"/>
      <family val="3"/>
    </font>
    <font>
      <b/>
      <sz val="13"/>
      <color rgb="FF000000"/>
      <name val="Space Grotesk"/>
      <family val="3"/>
    </font>
    <font>
      <sz val="13"/>
      <color rgb="FF000000"/>
      <name val="Space Grotesk"/>
      <family val="3"/>
    </font>
    <font>
      <sz val="13"/>
      <color rgb="FF11ABAB"/>
      <name val="Space Grotesk"/>
      <family val="3"/>
    </font>
    <font>
      <sz val="13"/>
      <color theme="1"/>
      <name val="Space Grotesk"/>
      <family val="3"/>
    </font>
    <font>
      <i/>
      <sz val="10"/>
      <color rgb="FF7F7F7F"/>
      <name val="Space Grotesk"/>
      <family val="3"/>
    </font>
    <font>
      <b/>
      <sz val="9"/>
      <color rgb="FFFF0000"/>
      <name val="Space Grotesk"/>
      <family val="3"/>
    </font>
    <font>
      <sz val="11"/>
      <name val="Calibri"/>
      <family val="2"/>
      <scheme val="minor"/>
    </font>
    <font>
      <sz val="8"/>
      <color rgb="FFFFFFFF"/>
      <name val="Calibri"/>
      <family val="2"/>
    </font>
    <font>
      <sz val="10"/>
      <color theme="1"/>
      <name val="Aptos Narrow"/>
      <family val="2"/>
    </font>
    <font>
      <sz val="13"/>
      <color rgb="FF0000FF"/>
      <name val="Space Grotesk"/>
      <family val="3"/>
    </font>
    <font>
      <b/>
      <sz val="9"/>
      <name val="Space Grotesk"/>
    </font>
    <font>
      <b/>
      <sz val="9"/>
      <color theme="1"/>
      <name val="Space Grotesk"/>
    </font>
    <font>
      <sz val="9"/>
      <color theme="0" tint="-0.249977111117893"/>
      <name val="Space Grotesk"/>
      <family val="3"/>
    </font>
    <font>
      <sz val="9"/>
      <color theme="0"/>
      <name val="Calibri"/>
      <family val="2"/>
      <scheme val="minor"/>
    </font>
    <font>
      <sz val="8"/>
      <color rgb="FF000000"/>
      <name val="Space Grotesk"/>
    </font>
    <font>
      <sz val="10"/>
      <color indexed="8"/>
      <name val="Arial"/>
      <family val="2"/>
    </font>
    <font>
      <sz val="9"/>
      <color theme="1"/>
      <name val="Space Grotesk"/>
    </font>
    <font>
      <sz val="8"/>
      <name val="Calibri"/>
      <family val="2"/>
      <scheme val="minor"/>
    </font>
    <font>
      <i/>
      <sz val="9"/>
      <name val="Space Grotesk"/>
    </font>
    <font>
      <b/>
      <sz val="9"/>
      <color rgb="FFFFFFFF"/>
      <name val="Space Grotesk"/>
    </font>
    <font>
      <sz val="9"/>
      <color rgb="FFFFFFFF"/>
      <name val="Space Grotesk"/>
    </font>
    <font>
      <b/>
      <sz val="9"/>
      <color theme="0"/>
      <name val="Space Grotesk"/>
    </font>
    <font>
      <sz val="9"/>
      <color rgb="FFC65911"/>
      <name val="Space Grotesk"/>
    </font>
    <font>
      <sz val="9"/>
      <name val="Space Grotesk"/>
    </font>
    <font>
      <b/>
      <sz val="9"/>
      <color rgb="FF000000"/>
      <name val="Space Grotesk"/>
    </font>
    <font>
      <sz val="9"/>
      <color rgb="FF0000FF"/>
      <name val="Space Grotesk"/>
    </font>
    <font>
      <b/>
      <sz val="9"/>
      <color rgb="FF0000FF"/>
      <name val="Space Grotesk"/>
    </font>
    <font>
      <b/>
      <i/>
      <sz val="9"/>
      <color theme="1"/>
      <name val="Space Grotesk"/>
    </font>
    <font>
      <i/>
      <sz val="9"/>
      <color theme="1"/>
      <name val="Space Grotesk"/>
    </font>
    <font>
      <b/>
      <sz val="9"/>
      <color rgb="FF008000"/>
      <name val="Space Grotesk"/>
    </font>
    <font>
      <b/>
      <sz val="9"/>
      <color theme="0" tint="-0.499984740745262"/>
      <name val="Space Grotesk"/>
    </font>
    <font>
      <sz val="9"/>
      <color rgb="FF000000"/>
      <name val="Space Grotesk"/>
    </font>
    <font>
      <b/>
      <sz val="8"/>
      <color rgb="FFFFFFFF"/>
      <name val="Space Grotesk"/>
      <family val="3"/>
    </font>
    <font>
      <b/>
      <sz val="11"/>
      <color theme="1"/>
      <name val="Calibri"/>
      <family val="2"/>
      <scheme val="minor"/>
    </font>
    <font>
      <sz val="18"/>
      <name val="Arial"/>
      <family val="2"/>
    </font>
    <font>
      <i/>
      <sz val="9"/>
      <color rgb="FF7F7F7F"/>
      <name val="Space Grotesk"/>
    </font>
    <font>
      <b/>
      <sz val="7"/>
      <color rgb="FF000000"/>
      <name val="Space Grotesk"/>
    </font>
    <font>
      <sz val="13"/>
      <color rgb="FF000000"/>
      <name val="Space Grotesk"/>
    </font>
    <font>
      <sz val="13"/>
      <color rgb="FF11ABAB"/>
      <name val="Space Grotesk"/>
    </font>
    <font>
      <b/>
      <sz val="13"/>
      <color rgb="FF000000"/>
      <name val="Space Grotesk"/>
    </font>
    <font>
      <b/>
      <sz val="13"/>
      <color rgb="FF11ABAB"/>
      <name val="Space Grotesk"/>
    </font>
    <font>
      <b/>
      <sz val="11"/>
      <name val="Calibri"/>
      <family val="2"/>
      <scheme val="minor"/>
    </font>
    <font>
      <sz val="11"/>
      <color rgb="FF0000FF"/>
      <name val="Calibri"/>
      <family val="2"/>
      <scheme val="minor"/>
    </font>
    <font>
      <sz val="11"/>
      <color rgb="FF00B050"/>
      <name val="Calibri"/>
      <family val="2"/>
      <scheme val="minor"/>
    </font>
    <font>
      <b/>
      <i/>
      <sz val="11"/>
      <color theme="1"/>
      <name val="Calibri"/>
      <family val="2"/>
      <scheme val="minor"/>
    </font>
    <font>
      <b/>
      <sz val="11"/>
      <name val="Calibri"/>
      <family val="2"/>
    </font>
    <font>
      <sz val="10"/>
      <color rgb="FF000000"/>
      <name val="Arial"/>
      <family val="2"/>
    </font>
    <font>
      <b/>
      <sz val="11"/>
      <name val="Calibri"/>
      <family val="2"/>
    </font>
    <font>
      <b/>
      <i/>
      <sz val="9"/>
      <color rgb="FF666666"/>
      <name val="Space Grotesk"/>
    </font>
    <font>
      <b/>
      <sz val="10"/>
      <color rgb="FFFFFFFF"/>
      <name val="Space Grotesk"/>
      <family val="3"/>
    </font>
    <font>
      <sz val="11"/>
      <color indexed="8"/>
      <name val="Calibri"/>
      <family val="2"/>
      <scheme val="minor"/>
    </font>
    <font>
      <sz val="9"/>
      <name val="Calibri"/>
      <family val="2"/>
      <scheme val="minor"/>
    </font>
    <font>
      <sz val="9"/>
      <color rgb="FF008000"/>
      <name val="Space Grotesk"/>
    </font>
    <font>
      <sz val="9"/>
      <color rgb="FFFF0000"/>
      <name val="Space Grotesk"/>
    </font>
    <font>
      <sz val="11"/>
      <color theme="1"/>
      <name val="Space Grotesk"/>
    </font>
    <font>
      <b/>
      <sz val="11"/>
      <color theme="1"/>
      <name val="Space Grotesk"/>
    </font>
    <font>
      <sz val="9"/>
      <color indexed="81"/>
      <name val="Tahoma"/>
      <charset val="1"/>
    </font>
    <font>
      <b/>
      <sz val="9"/>
      <color indexed="81"/>
      <name val="Tahoma"/>
      <charset val="1"/>
    </font>
    <font>
      <b/>
      <sz val="11"/>
      <name val="Calibri"/>
    </font>
  </fonts>
  <fills count="34">
    <fill>
      <patternFill patternType="none"/>
    </fill>
    <fill>
      <patternFill patternType="gray125"/>
    </fill>
    <fill>
      <patternFill patternType="solid">
        <fgColor rgb="FFF2F2F2"/>
        <bgColor indexed="64"/>
      </patternFill>
    </fill>
    <fill>
      <patternFill patternType="solid">
        <fgColor theme="0"/>
        <bgColor indexed="64"/>
      </patternFill>
    </fill>
    <fill>
      <patternFill patternType="solid">
        <fgColor rgb="FF11ABAB"/>
        <bgColor rgb="FF000000"/>
      </patternFill>
    </fill>
    <fill>
      <patternFill patternType="solid">
        <fgColor rgb="FFFFFFCC"/>
        <bgColor rgb="FF000000"/>
      </patternFill>
    </fill>
    <fill>
      <patternFill patternType="solid">
        <fgColor rgb="FFF7F7F7"/>
        <bgColor rgb="FF000000"/>
      </patternFill>
    </fill>
    <fill>
      <patternFill patternType="solid">
        <fgColor rgb="FFA6A6A6"/>
        <bgColor rgb="FF000000"/>
      </patternFill>
    </fill>
    <fill>
      <patternFill patternType="solid">
        <fgColor rgb="FF1F5556"/>
        <bgColor rgb="FF000000"/>
      </patternFill>
    </fill>
    <fill>
      <patternFill patternType="solid">
        <fgColor theme="0"/>
        <bgColor rgb="FF000000"/>
      </patternFill>
    </fill>
    <fill>
      <patternFill patternType="solid">
        <fgColor theme="0" tint="-0.249977111117893"/>
        <bgColor rgb="FF000000"/>
      </patternFill>
    </fill>
    <fill>
      <patternFill patternType="solid">
        <fgColor rgb="FF1C4587"/>
        <bgColor rgb="FF000000"/>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2F2F2"/>
        <bgColor rgb="FF000000"/>
      </patternFill>
    </fill>
    <fill>
      <patternFill patternType="solid">
        <fgColor rgb="FF11ABAB"/>
        <bgColor indexed="64"/>
      </patternFill>
    </fill>
    <fill>
      <patternFill patternType="solid">
        <fgColor rgb="FF125F5F"/>
        <bgColor rgb="FF000000"/>
      </patternFill>
    </fill>
    <fill>
      <patternFill patternType="solid">
        <fgColor rgb="FFD9D9D9"/>
        <bgColor indexed="64"/>
      </patternFill>
    </fill>
    <fill>
      <patternFill patternType="solid">
        <fgColor rgb="FF09868C"/>
        <bgColor indexed="64"/>
      </patternFill>
    </fill>
    <fill>
      <patternFill patternType="solid">
        <fgColor theme="2" tint="-9.9978637043366805E-2"/>
        <bgColor indexed="64"/>
      </patternFill>
    </fill>
    <fill>
      <patternFill patternType="solid">
        <fgColor theme="4"/>
        <bgColor rgb="FF000000"/>
      </patternFill>
    </fill>
    <fill>
      <patternFill patternType="solid">
        <fgColor rgb="FF83D9BE"/>
        <bgColor rgb="FF86BC25"/>
      </patternFill>
    </fill>
    <fill>
      <patternFill patternType="solid">
        <fgColor rgb="FFFFC00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rgb="FF009999"/>
        <bgColor indexed="64"/>
      </patternFill>
    </fill>
    <fill>
      <patternFill patternType="solid">
        <fgColor rgb="FFEA9999"/>
        <bgColor rgb="FF000000"/>
      </patternFill>
    </fill>
    <fill>
      <patternFill patternType="solid">
        <fgColor rgb="FFFFFFCC"/>
        <bgColor indexed="64"/>
      </patternFill>
    </fill>
    <fill>
      <patternFill patternType="solid">
        <fgColor rgb="FF00CC99"/>
        <bgColor indexed="64"/>
      </patternFill>
    </fill>
    <fill>
      <patternFill patternType="solid">
        <fgColor theme="0" tint="-4.9989318521683403E-2"/>
        <bgColor rgb="FF000000"/>
      </patternFill>
    </fill>
    <fill>
      <patternFill patternType="solid">
        <fgColor rgb="FF90CCC5"/>
        <bgColor indexed="64"/>
      </patternFill>
    </fill>
    <fill>
      <patternFill patternType="solid">
        <fgColor theme="7" tint="0.79998168889431442"/>
        <bgColor indexed="64"/>
      </patternFill>
    </fill>
  </fills>
  <borders count="45">
    <border>
      <left/>
      <right/>
      <top/>
      <bottom/>
      <diagonal/>
    </border>
    <border>
      <left/>
      <right/>
      <top/>
      <bottom style="thick">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11ABAB"/>
      </right>
      <top style="thin">
        <color rgb="FF11ABAB"/>
      </top>
      <bottom/>
      <diagonal/>
    </border>
    <border>
      <left/>
      <right/>
      <top style="thin">
        <color rgb="FF11ABAB"/>
      </top>
      <bottom/>
      <diagonal/>
    </border>
    <border>
      <left style="thin">
        <color rgb="FF11ABAB"/>
      </left>
      <right/>
      <top style="thin">
        <color rgb="FF11ABAB"/>
      </top>
      <bottom/>
      <diagonal/>
    </border>
    <border>
      <left style="thin">
        <color rgb="FF1F554C"/>
      </left>
      <right style="thin">
        <color rgb="FF1F554C"/>
      </right>
      <top style="thin">
        <color rgb="FF1F554C"/>
      </top>
      <bottom style="thin">
        <color rgb="FF1F554C"/>
      </bottom>
      <diagonal/>
    </border>
    <border>
      <left style="thin">
        <color rgb="FF1F554C"/>
      </left>
      <right style="thin">
        <color rgb="FF1F554C"/>
      </right>
      <top style="thin">
        <color rgb="FF1F554C"/>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rgb="FF000000"/>
      </top>
      <bottom style="thin">
        <color rgb="FF000000"/>
      </bottom>
      <diagonal/>
    </border>
    <border>
      <left/>
      <right/>
      <top style="thin">
        <color indexed="64"/>
      </top>
      <bottom/>
      <diagonal/>
    </border>
    <border>
      <left style="thin">
        <color rgb="FF11ABAB"/>
      </left>
      <right style="thin">
        <color rgb="FF11ABAB"/>
      </right>
      <top style="thin">
        <color rgb="FF11ABAB"/>
      </top>
      <bottom/>
      <diagonal/>
    </border>
    <border>
      <left style="thin">
        <color rgb="FF11ABAB"/>
      </left>
      <right style="thin">
        <color rgb="FF11ABAB"/>
      </right>
      <top style="thin">
        <color indexed="64"/>
      </top>
      <bottom style="thin">
        <color indexed="64"/>
      </bottom>
      <diagonal/>
    </border>
    <border>
      <left style="medium">
        <color theme="1"/>
      </left>
      <right style="medium">
        <color theme="1"/>
      </right>
      <top style="medium">
        <color theme="1"/>
      </top>
      <bottom style="medium">
        <color theme="1"/>
      </bottom>
      <diagonal/>
    </border>
    <border>
      <left/>
      <right/>
      <top style="thin">
        <color rgb="FF000000"/>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bottom/>
      <diagonal/>
    </border>
    <border>
      <left/>
      <right style="thin">
        <color auto="1"/>
      </right>
      <top/>
      <bottom/>
      <diagonal/>
    </border>
    <border>
      <left style="thin">
        <color indexed="64"/>
      </left>
      <right style="thin">
        <color indexed="64"/>
      </right>
      <top/>
      <bottom style="thin">
        <color indexed="64"/>
      </bottom>
      <diagonal/>
    </border>
    <border>
      <left style="hair">
        <color rgb="FF11ABAB"/>
      </left>
      <right style="hair">
        <color rgb="FF11ABAB"/>
      </right>
      <top style="hair">
        <color rgb="FF11ABAB"/>
      </top>
      <bottom style="hair">
        <color rgb="FF11ABAB"/>
      </bottom>
      <diagonal/>
    </border>
    <border>
      <left style="thin">
        <color auto="1"/>
      </left>
      <right/>
      <top/>
      <bottom style="thin">
        <color auto="1"/>
      </bottom>
      <diagonal/>
    </border>
    <border>
      <left/>
      <right style="thin">
        <color auto="1"/>
      </right>
      <top/>
      <bottom style="thin">
        <color auto="1"/>
      </bottom>
      <diagonal/>
    </border>
    <border>
      <left style="mediumDashed">
        <color rgb="FF00CC99"/>
      </left>
      <right style="mediumDashed">
        <color rgb="FF00CC99"/>
      </right>
      <top style="mediumDashed">
        <color rgb="FF00CC99"/>
      </top>
      <bottom/>
      <diagonal/>
    </border>
    <border>
      <left style="mediumDashed">
        <color rgb="FF00CC99"/>
      </left>
      <right style="mediumDashed">
        <color rgb="FF00CC99"/>
      </right>
      <top/>
      <bottom/>
      <diagonal/>
    </border>
    <border>
      <left style="mediumDashed">
        <color rgb="FF00CC99"/>
      </left>
      <right style="mediumDashed">
        <color rgb="FF00CC99"/>
      </right>
      <top/>
      <bottom style="mediumDashed">
        <color rgb="FF00CC99"/>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diagonal/>
    </border>
    <border>
      <left/>
      <right/>
      <top style="hair">
        <color rgb="FF000000"/>
      </top>
      <bottom/>
      <diagonal/>
    </border>
    <border>
      <left style="hair">
        <color rgb="FF000000"/>
      </left>
      <right/>
      <top/>
      <bottom style="hair">
        <color rgb="FF000000"/>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mediumDashed">
        <color rgb="FF00CC99"/>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4" fillId="0" borderId="0" applyNumberFormat="0" applyFill="0" applyBorder="0" applyAlignment="0" applyProtection="0"/>
    <xf numFmtId="0" fontId="7" fillId="0" borderId="0"/>
    <xf numFmtId="0" fontId="7" fillId="0" borderId="0"/>
    <xf numFmtId="0" fontId="7" fillId="0" borderId="0"/>
    <xf numFmtId="0" fontId="7" fillId="0" borderId="0"/>
    <xf numFmtId="0" fontId="36" fillId="0" borderId="0"/>
    <xf numFmtId="44" fontId="1" fillId="0" borderId="0" applyFont="0" applyFill="0" applyBorder="0" applyAlignment="0" applyProtection="0"/>
    <xf numFmtId="0" fontId="7" fillId="0" borderId="0"/>
    <xf numFmtId="0" fontId="7" fillId="0" borderId="0"/>
    <xf numFmtId="0" fontId="36" fillId="0" borderId="0"/>
    <xf numFmtId="0" fontId="99" fillId="0" borderId="0"/>
  </cellStyleXfs>
  <cellXfs count="574">
    <xf numFmtId="0" fontId="0" fillId="0" borderId="0" xfId="0"/>
    <xf numFmtId="0" fontId="5" fillId="2" borderId="0" xfId="4" applyFont="1" applyFill="1" applyBorder="1" applyAlignment="1">
      <alignment vertical="center"/>
    </xf>
    <xf numFmtId="0" fontId="6" fillId="2" borderId="0" xfId="4" applyFont="1" applyFill="1" applyBorder="1" applyAlignment="1">
      <alignment vertical="center"/>
    </xf>
    <xf numFmtId="0" fontId="5" fillId="0" borderId="0" xfId="3" applyFont="1" applyAlignment="1">
      <alignment horizontal="left" vertical="center" indent="1"/>
    </xf>
    <xf numFmtId="0" fontId="8" fillId="0" borderId="1" xfId="5" applyFont="1" applyBorder="1" applyAlignment="1" applyProtection="1">
      <alignment horizontal="left" vertical="center" indent="1"/>
      <protection locked="0"/>
    </xf>
    <xf numFmtId="0" fontId="9" fillId="0" borderId="1" xfId="6" applyFont="1" applyBorder="1" applyAlignment="1" applyProtection="1">
      <alignment horizontal="left" vertical="center" indent="1"/>
      <protection locked="0"/>
    </xf>
    <xf numFmtId="0" fontId="11" fillId="0" borderId="0" xfId="0" applyFont="1" applyAlignment="1">
      <alignment vertical="center"/>
    </xf>
    <xf numFmtId="0" fontId="12" fillId="0" borderId="0" xfId="0" applyFont="1"/>
    <xf numFmtId="0" fontId="13" fillId="3" borderId="2" xfId="0" applyFont="1" applyFill="1" applyBorder="1" applyAlignment="1">
      <alignment horizontal="center"/>
    </xf>
    <xf numFmtId="0" fontId="14" fillId="3" borderId="2" xfId="0" applyFont="1" applyFill="1" applyBorder="1" applyAlignment="1">
      <alignment horizontal="center"/>
    </xf>
    <xf numFmtId="0" fontId="15" fillId="0" borderId="0" xfId="0" applyFont="1" applyAlignment="1">
      <alignment horizontal="center"/>
    </xf>
    <xf numFmtId="0" fontId="12" fillId="4" borderId="3" xfId="0" applyFont="1" applyFill="1" applyBorder="1"/>
    <xf numFmtId="0" fontId="12" fillId="4" borderId="4" xfId="0" applyFont="1" applyFill="1" applyBorder="1"/>
    <xf numFmtId="0" fontId="16" fillId="4" borderId="5"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xf>
    <xf numFmtId="0" fontId="17" fillId="3" borderId="2" xfId="0" applyFont="1" applyFill="1" applyBorder="1" applyAlignment="1">
      <alignment horizontal="center"/>
    </xf>
    <xf numFmtId="0" fontId="18" fillId="4" borderId="6" xfId="0" applyFont="1" applyFill="1" applyBorder="1" applyAlignment="1">
      <alignment horizontal="center" vertical="center" wrapText="1"/>
    </xf>
    <xf numFmtId="0" fontId="19" fillId="0" borderId="7" xfId="0" applyFont="1" applyBorder="1" applyAlignment="1">
      <alignment horizontal="center"/>
    </xf>
    <xf numFmtId="0" fontId="20" fillId="5" borderId="8" xfId="0" applyFont="1" applyFill="1" applyBorder="1" applyAlignment="1">
      <alignment horizontal="center"/>
    </xf>
    <xf numFmtId="0" fontId="19" fillId="6" borderId="9" xfId="0" applyFont="1" applyFill="1" applyBorder="1" applyAlignment="1">
      <alignment horizontal="center"/>
    </xf>
    <xf numFmtId="14" fontId="20" fillId="5" borderId="8" xfId="0" applyNumberFormat="1" applyFont="1" applyFill="1" applyBorder="1" applyAlignment="1">
      <alignment horizontal="center"/>
    </xf>
    <xf numFmtId="0" fontId="12" fillId="7" borderId="0" xfId="0" applyFont="1" applyFill="1"/>
    <xf numFmtId="0" fontId="21" fillId="7" borderId="0" xfId="0" applyFont="1" applyFill="1" applyAlignment="1">
      <alignment horizontal="center"/>
    </xf>
    <xf numFmtId="7" fontId="11" fillId="0" borderId="0" xfId="0" applyNumberFormat="1" applyFont="1" applyAlignment="1">
      <alignment vertical="center"/>
    </xf>
    <xf numFmtId="0" fontId="22" fillId="8" borderId="0" xfId="7" applyFont="1" applyFill="1" applyAlignment="1">
      <alignment vertical="center"/>
    </xf>
    <xf numFmtId="0" fontId="22" fillId="8" borderId="0" xfId="7" applyFont="1" applyFill="1" applyAlignment="1">
      <alignment horizontal="center" vertical="center"/>
    </xf>
    <xf numFmtId="0" fontId="2" fillId="0" borderId="0" xfId="8" applyFont="1" applyAlignment="1">
      <alignment horizontal="left" vertical="center"/>
    </xf>
    <xf numFmtId="17" fontId="25" fillId="10" borderId="0" xfId="0" applyNumberFormat="1" applyFont="1" applyFill="1" applyAlignment="1">
      <alignment horizontal="center" vertical="center"/>
    </xf>
    <xf numFmtId="0" fontId="25" fillId="11" borderId="0" xfId="0" applyFont="1" applyFill="1" applyAlignment="1">
      <alignment horizontal="center" vertical="center"/>
    </xf>
    <xf numFmtId="0" fontId="25" fillId="10" borderId="0" xfId="0" applyFont="1" applyFill="1" applyAlignment="1">
      <alignment horizontal="center" vertical="center"/>
    </xf>
    <xf numFmtId="165" fontId="28" fillId="12" borderId="0" xfId="0" applyNumberFormat="1" applyFont="1" applyFill="1" applyAlignment="1">
      <alignment horizontal="center" vertical="center"/>
    </xf>
    <xf numFmtId="0" fontId="26" fillId="12" borderId="0" xfId="0" applyFont="1" applyFill="1" applyAlignment="1">
      <alignment vertical="center"/>
    </xf>
    <xf numFmtId="1" fontId="28" fillId="12" borderId="0" xfId="0" applyNumberFormat="1" applyFont="1" applyFill="1" applyAlignment="1">
      <alignment horizontal="center" vertical="center"/>
    </xf>
    <xf numFmtId="166" fontId="29" fillId="12" borderId="0" xfId="0" applyNumberFormat="1" applyFont="1" applyFill="1" applyAlignment="1">
      <alignment horizontal="center" vertical="center"/>
    </xf>
    <xf numFmtId="0" fontId="29" fillId="12" borderId="0" xfId="0" applyFont="1" applyFill="1" applyAlignment="1">
      <alignment vertical="center"/>
    </xf>
    <xf numFmtId="15" fontId="30" fillId="0" borderId="0" xfId="0" applyNumberFormat="1" applyFont="1" applyAlignment="1">
      <alignment horizontal="left" vertical="center"/>
    </xf>
    <xf numFmtId="0" fontId="31" fillId="13" borderId="0" xfId="0" applyFont="1" applyFill="1" applyAlignment="1">
      <alignment vertical="center"/>
    </xf>
    <xf numFmtId="0" fontId="25" fillId="0" borderId="0" xfId="7" applyFont="1" applyAlignment="1">
      <alignment vertical="center"/>
    </xf>
    <xf numFmtId="164" fontId="27" fillId="8" borderId="0" xfId="7" applyNumberFormat="1" applyFont="1" applyFill="1" applyAlignment="1">
      <alignment vertical="center"/>
    </xf>
    <xf numFmtId="0" fontId="27" fillId="8" borderId="0" xfId="7" applyFont="1" applyFill="1" applyAlignment="1">
      <alignment vertical="center"/>
    </xf>
    <xf numFmtId="0" fontId="25" fillId="8" borderId="0" xfId="7" applyFont="1" applyFill="1" applyAlignment="1">
      <alignment vertical="center"/>
    </xf>
    <xf numFmtId="164" fontId="25" fillId="8" borderId="0" xfId="7" applyNumberFormat="1" applyFont="1" applyFill="1" applyAlignment="1">
      <alignment vertical="center"/>
    </xf>
    <xf numFmtId="0" fontId="34" fillId="0" borderId="0" xfId="0" applyFont="1"/>
    <xf numFmtId="4" fontId="0" fillId="0" borderId="0" xfId="0" applyNumberFormat="1"/>
    <xf numFmtId="4" fontId="24" fillId="0" borderId="0" xfId="0" applyNumberFormat="1" applyFont="1"/>
    <xf numFmtId="0" fontId="11" fillId="0" borderId="0" xfId="0" applyFont="1"/>
    <xf numFmtId="4" fontId="11" fillId="0" borderId="0" xfId="0" applyNumberFormat="1" applyFont="1"/>
    <xf numFmtId="167" fontId="35" fillId="15" borderId="10" xfId="1" applyNumberFormat="1" applyFont="1" applyFill="1" applyBorder="1" applyAlignment="1">
      <alignment horizontal="center" vertical="center"/>
    </xf>
    <xf numFmtId="0" fontId="15" fillId="12" borderId="10" xfId="9" applyFont="1" applyFill="1" applyBorder="1" applyAlignment="1">
      <alignment vertical="center"/>
    </xf>
    <xf numFmtId="168" fontId="35" fillId="15" borderId="10" xfId="9" applyNumberFormat="1" applyFont="1" applyFill="1" applyBorder="1" applyAlignment="1">
      <alignment horizontal="center" vertical="center"/>
    </xf>
    <xf numFmtId="168" fontId="35" fillId="0" borderId="10" xfId="9" applyNumberFormat="1" applyFont="1" applyBorder="1" applyAlignment="1">
      <alignment horizontal="center" vertical="center"/>
    </xf>
    <xf numFmtId="169" fontId="37" fillId="0" borderId="10" xfId="9" applyNumberFormat="1" applyFont="1" applyBorder="1" applyAlignment="1">
      <alignment horizontal="left" vertical="center"/>
    </xf>
    <xf numFmtId="0" fontId="15" fillId="0" borderId="10" xfId="9" applyFont="1" applyBorder="1" applyAlignment="1">
      <alignment vertical="center"/>
    </xf>
    <xf numFmtId="0" fontId="21" fillId="4" borderId="0" xfId="9" applyFont="1" applyFill="1" applyAlignment="1">
      <alignment horizontal="left"/>
    </xf>
    <xf numFmtId="0" fontId="22" fillId="4" borderId="0" xfId="9" applyFont="1" applyFill="1" applyAlignment="1">
      <alignment horizontal="left"/>
    </xf>
    <xf numFmtId="168" fontId="35" fillId="15" borderId="11" xfId="9" applyNumberFormat="1" applyFont="1" applyFill="1" applyBorder="1" applyAlignment="1">
      <alignment horizontal="center" vertical="center"/>
    </xf>
    <xf numFmtId="0" fontId="15" fillId="12" borderId="11" xfId="9" applyFont="1" applyFill="1" applyBorder="1" applyAlignment="1">
      <alignment vertical="center"/>
    </xf>
    <xf numFmtId="0" fontId="37" fillId="0" borderId="0" xfId="9" applyFont="1" applyAlignment="1">
      <alignment vertical="center"/>
    </xf>
    <xf numFmtId="170" fontId="21" fillId="4" borderId="0" xfId="9" applyNumberFormat="1" applyFont="1" applyFill="1" applyAlignment="1">
      <alignment horizontal="left"/>
    </xf>
    <xf numFmtId="169" fontId="15" fillId="0" borderId="0" xfId="9" applyNumberFormat="1" applyFont="1" applyAlignment="1">
      <alignment horizontal="center" vertical="center"/>
    </xf>
    <xf numFmtId="0" fontId="15" fillId="0" borderId="0" xfId="9" applyFont="1" applyAlignment="1">
      <alignment vertical="center"/>
    </xf>
    <xf numFmtId="168" fontId="15" fillId="15" borderId="10" xfId="9" applyNumberFormat="1" applyFont="1" applyFill="1" applyBorder="1" applyAlignment="1">
      <alignment horizontal="center" vertical="center"/>
    </xf>
    <xf numFmtId="169" fontId="15" fillId="15" borderId="10" xfId="9" applyNumberFormat="1" applyFont="1" applyFill="1" applyBorder="1" applyAlignment="1">
      <alignment horizontal="center" vertical="center"/>
    </xf>
    <xf numFmtId="168" fontId="39" fillId="0" borderId="10" xfId="9" applyNumberFormat="1" applyFont="1" applyBorder="1" applyAlignment="1">
      <alignment horizontal="center" vertical="center"/>
    </xf>
    <xf numFmtId="168" fontId="11" fillId="0" borderId="0" xfId="0" applyNumberFormat="1" applyFont="1"/>
    <xf numFmtId="0" fontId="18" fillId="4" borderId="0" xfId="9" applyFont="1" applyFill="1" applyAlignment="1">
      <alignment horizontal="left"/>
    </xf>
    <xf numFmtId="0" fontId="13" fillId="0" borderId="10" xfId="9" applyFont="1" applyBorder="1" applyAlignment="1">
      <alignment vertical="center"/>
    </xf>
    <xf numFmtId="0" fontId="15" fillId="0" borderId="0" xfId="0" applyFont="1"/>
    <xf numFmtId="0" fontId="11" fillId="0" borderId="0" xfId="0" applyFont="1" applyAlignment="1">
      <alignment horizontal="center"/>
    </xf>
    <xf numFmtId="168" fontId="11" fillId="0" borderId="0" xfId="9" applyNumberFormat="1" applyFont="1" applyAlignment="1">
      <alignment horizontal="center" vertical="center"/>
    </xf>
    <xf numFmtId="168" fontId="43" fillId="0" borderId="0" xfId="9" applyNumberFormat="1" applyFont="1" applyAlignment="1">
      <alignment horizontal="center" vertical="center"/>
    </xf>
    <xf numFmtId="169" fontId="11" fillId="0" borderId="0" xfId="9" applyNumberFormat="1" applyFont="1" applyAlignment="1">
      <alignment horizontal="left" vertical="center"/>
    </xf>
    <xf numFmtId="168" fontId="44" fillId="0" borderId="0" xfId="9" applyNumberFormat="1" applyFont="1" applyAlignment="1">
      <alignment horizontal="center" vertical="center"/>
    </xf>
    <xf numFmtId="0" fontId="44" fillId="0" borderId="0" xfId="0" applyFont="1"/>
    <xf numFmtId="169" fontId="11" fillId="0" borderId="0" xfId="9" applyNumberFormat="1" applyFont="1" applyAlignment="1">
      <alignment horizontal="center" vertical="center"/>
    </xf>
    <xf numFmtId="0" fontId="34" fillId="0" borderId="0" xfId="0" applyFont="1" applyAlignment="1">
      <alignment vertical="center"/>
    </xf>
    <xf numFmtId="168" fontId="15" fillId="15" borderId="11" xfId="9" applyNumberFormat="1" applyFont="1" applyFill="1" applyBorder="1" applyAlignment="1">
      <alignment horizontal="center" vertical="center"/>
    </xf>
    <xf numFmtId="169" fontId="15" fillId="15" borderId="11" xfId="9" applyNumberFormat="1" applyFont="1" applyFill="1" applyBorder="1" applyAlignment="1">
      <alignment horizontal="center" vertical="center"/>
    </xf>
    <xf numFmtId="168" fontId="11" fillId="0" borderId="10" xfId="9" applyNumberFormat="1" applyFont="1" applyBorder="1" applyAlignment="1">
      <alignment horizontal="center" vertical="center"/>
    </xf>
    <xf numFmtId="169" fontId="11" fillId="0" borderId="10" xfId="9" applyNumberFormat="1" applyFont="1" applyBorder="1" applyAlignment="1">
      <alignment horizontal="center" vertical="center"/>
    </xf>
    <xf numFmtId="0" fontId="11" fillId="0" borderId="10" xfId="9" applyFont="1" applyBorder="1" applyAlignment="1">
      <alignment vertical="center"/>
    </xf>
    <xf numFmtId="10" fontId="11" fillId="0" borderId="0" xfId="2" applyNumberFormat="1" applyFont="1"/>
    <xf numFmtId="165" fontId="40" fillId="12" borderId="0" xfId="0" applyNumberFormat="1" applyFont="1" applyFill="1" applyAlignment="1">
      <alignment horizontal="center" vertical="center"/>
    </xf>
    <xf numFmtId="0" fontId="15" fillId="12" borderId="0" xfId="0" applyFont="1" applyFill="1" applyAlignment="1">
      <alignment vertical="center"/>
    </xf>
    <xf numFmtId="165" fontId="35" fillId="12" borderId="0" xfId="0" applyNumberFormat="1" applyFont="1" applyFill="1" applyAlignment="1">
      <alignment horizontal="center" vertical="center"/>
    </xf>
    <xf numFmtId="1" fontId="35" fillId="12" borderId="0" xfId="0" applyNumberFormat="1" applyFont="1" applyFill="1" applyAlignment="1">
      <alignment horizontal="center" vertical="center"/>
    </xf>
    <xf numFmtId="1" fontId="40" fillId="12" borderId="0" xfId="0" applyNumberFormat="1" applyFont="1" applyFill="1" applyAlignment="1">
      <alignment horizontal="center" vertical="center"/>
    </xf>
    <xf numFmtId="166" fontId="35" fillId="12" borderId="0" xfId="0" applyNumberFormat="1" applyFont="1" applyFill="1" applyAlignment="1">
      <alignment horizontal="center" vertical="center"/>
    </xf>
    <xf numFmtId="0" fontId="35" fillId="12" borderId="0" xfId="0" applyFont="1" applyFill="1" applyAlignment="1">
      <alignment vertical="center"/>
    </xf>
    <xf numFmtId="15" fontId="45" fillId="0" borderId="0" xfId="0" applyNumberFormat="1" applyFont="1" applyAlignment="1">
      <alignment horizontal="left" vertical="center"/>
    </xf>
    <xf numFmtId="0" fontId="42" fillId="13" borderId="0" xfId="0" applyFont="1" applyFill="1" applyAlignment="1">
      <alignment vertical="center"/>
    </xf>
    <xf numFmtId="0" fontId="42" fillId="13" borderId="0" xfId="0" applyFont="1" applyFill="1" applyAlignment="1">
      <alignment horizontal="centerContinuous" vertical="center"/>
    </xf>
    <xf numFmtId="0" fontId="22" fillId="0" borderId="0" xfId="7" applyFont="1" applyAlignment="1">
      <alignment vertical="center"/>
    </xf>
    <xf numFmtId="164" fontId="22" fillId="8" borderId="0" xfId="7" applyNumberFormat="1" applyFont="1" applyFill="1" applyAlignment="1">
      <alignment vertical="center"/>
    </xf>
    <xf numFmtId="0" fontId="15" fillId="9" borderId="0" xfId="7" applyFont="1" applyFill="1" applyAlignment="1">
      <alignment horizontal="center" vertical="center"/>
    </xf>
    <xf numFmtId="165" fontId="11" fillId="0" borderId="0" xfId="0" applyNumberFormat="1" applyFont="1"/>
    <xf numFmtId="168" fontId="46" fillId="0" borderId="0" xfId="9" applyNumberFormat="1" applyFont="1" applyAlignment="1">
      <alignment horizontal="center" vertical="center"/>
    </xf>
    <xf numFmtId="168" fontId="15" fillId="0" borderId="10" xfId="9" applyNumberFormat="1" applyFont="1" applyBorder="1" applyAlignment="1">
      <alignment horizontal="center" vertical="center"/>
    </xf>
    <xf numFmtId="168" fontId="11" fillId="0" borderId="0" xfId="0" applyNumberFormat="1" applyFont="1" applyAlignment="1">
      <alignment horizontal="center"/>
    </xf>
    <xf numFmtId="172" fontId="38" fillId="0" borderId="0" xfId="9" applyNumberFormat="1" applyFont="1" applyAlignment="1">
      <alignment vertical="center"/>
    </xf>
    <xf numFmtId="168" fontId="40" fillId="0" borderId="10" xfId="9" applyNumberFormat="1" applyFont="1" applyBorder="1" applyAlignment="1">
      <alignment horizontal="center" vertical="center"/>
    </xf>
    <xf numFmtId="0" fontId="11" fillId="0" borderId="0" xfId="9" applyFont="1" applyAlignment="1">
      <alignment vertical="center"/>
    </xf>
    <xf numFmtId="169" fontId="11" fillId="0" borderId="11" xfId="9" applyNumberFormat="1" applyFont="1" applyBorder="1" applyAlignment="1">
      <alignment horizontal="center" vertical="center"/>
    </xf>
    <xf numFmtId="0" fontId="11" fillId="0" borderId="11" xfId="9" applyFont="1" applyBorder="1" applyAlignment="1">
      <alignment vertical="center"/>
    </xf>
    <xf numFmtId="169" fontId="11" fillId="0" borderId="13" xfId="9" applyNumberFormat="1" applyFont="1" applyBorder="1" applyAlignment="1">
      <alignment horizontal="center" vertical="center"/>
    </xf>
    <xf numFmtId="0" fontId="11" fillId="0" borderId="13" xfId="9" applyFont="1" applyBorder="1" applyAlignment="1">
      <alignment vertical="center"/>
    </xf>
    <xf numFmtId="0" fontId="11" fillId="3" borderId="0" xfId="0" applyFont="1" applyFill="1"/>
    <xf numFmtId="169" fontId="37" fillId="0" borderId="0" xfId="9" applyNumberFormat="1" applyFont="1" applyAlignment="1">
      <alignment horizontal="center" vertical="center"/>
    </xf>
    <xf numFmtId="0" fontId="11" fillId="3" borderId="0" xfId="9" applyFont="1" applyFill="1" applyAlignment="1">
      <alignment vertical="center"/>
    </xf>
    <xf numFmtId="168" fontId="11" fillId="0" borderId="13" xfId="9" applyNumberFormat="1" applyFont="1" applyBorder="1" applyAlignment="1">
      <alignment horizontal="center" vertical="center"/>
    </xf>
    <xf numFmtId="9" fontId="11" fillId="0" borderId="0" xfId="0" applyNumberFormat="1" applyFont="1" applyAlignment="1">
      <alignment horizontal="center"/>
    </xf>
    <xf numFmtId="0" fontId="22" fillId="4" borderId="0" xfId="9" applyFont="1" applyFill="1" applyAlignment="1">
      <alignment horizontal="left" vertical="center"/>
    </xf>
    <xf numFmtId="171" fontId="11" fillId="0" borderId="0" xfId="2" applyNumberFormat="1" applyFont="1"/>
    <xf numFmtId="0" fontId="42" fillId="13" borderId="0" xfId="0" applyFont="1" applyFill="1" applyAlignment="1">
      <alignment horizontal="center" vertical="center"/>
    </xf>
    <xf numFmtId="0" fontId="21" fillId="4" borderId="0" xfId="9" applyFont="1" applyFill="1" applyAlignment="1">
      <alignment horizontal="left" vertical="center"/>
    </xf>
    <xf numFmtId="14" fontId="15" fillId="0" borderId="0" xfId="7" applyNumberFormat="1" applyFont="1" applyAlignment="1">
      <alignment horizontal="center" vertical="center"/>
    </xf>
    <xf numFmtId="173" fontId="38" fillId="0" borderId="0" xfId="9" applyNumberFormat="1" applyFont="1" applyAlignment="1">
      <alignment horizontal="center" vertical="center"/>
    </xf>
    <xf numFmtId="173" fontId="11" fillId="0" borderId="0" xfId="0" applyNumberFormat="1" applyFont="1"/>
    <xf numFmtId="173" fontId="38" fillId="0" borderId="0" xfId="9" applyNumberFormat="1" applyFont="1" applyAlignment="1">
      <alignment vertical="center"/>
    </xf>
    <xf numFmtId="173" fontId="15" fillId="15" borderId="10" xfId="10" applyNumberFormat="1" applyFont="1" applyFill="1" applyBorder="1" applyAlignment="1">
      <alignment horizontal="center" vertical="center"/>
    </xf>
    <xf numFmtId="173" fontId="11" fillId="3" borderId="0" xfId="0" applyNumberFormat="1" applyFont="1" applyFill="1"/>
    <xf numFmtId="168" fontId="15" fillId="15" borderId="10" xfId="10" applyNumberFormat="1" applyFont="1" applyFill="1" applyBorder="1" applyAlignment="1">
      <alignment horizontal="center" vertical="center"/>
    </xf>
    <xf numFmtId="173" fontId="15" fillId="15" borderId="10" xfId="9" applyNumberFormat="1" applyFont="1" applyFill="1" applyBorder="1" applyAlignment="1">
      <alignment horizontal="center" vertical="center"/>
    </xf>
    <xf numFmtId="0" fontId="15" fillId="12" borderId="10" xfId="9" applyFont="1" applyFill="1" applyBorder="1" applyAlignment="1">
      <alignment horizontal="center" vertical="center"/>
    </xf>
    <xf numFmtId="173" fontId="11" fillId="0" borderId="0" xfId="0" applyNumberFormat="1" applyFont="1" applyAlignment="1">
      <alignment horizontal="center"/>
    </xf>
    <xf numFmtId="173" fontId="11" fillId="0" borderId="11" xfId="9" applyNumberFormat="1" applyFont="1" applyBorder="1" applyAlignment="1">
      <alignment horizontal="center" vertical="center"/>
    </xf>
    <xf numFmtId="168" fontId="11" fillId="0" borderId="11" xfId="9" applyNumberFormat="1" applyFont="1" applyBorder="1" applyAlignment="1">
      <alignment horizontal="center" vertical="center"/>
    </xf>
    <xf numFmtId="173" fontId="11" fillId="0" borderId="0" xfId="9" applyNumberFormat="1" applyFont="1" applyAlignment="1">
      <alignment horizontal="center" vertical="center"/>
    </xf>
    <xf numFmtId="173" fontId="41" fillId="0" borderId="0" xfId="9" applyNumberFormat="1" applyFont="1" applyAlignment="1">
      <alignment horizontal="center" vertical="center"/>
    </xf>
    <xf numFmtId="173" fontId="11" fillId="0" borderId="13" xfId="9" applyNumberFormat="1" applyFont="1" applyBorder="1" applyAlignment="1">
      <alignment horizontal="center" vertical="center"/>
    </xf>
    <xf numFmtId="173" fontId="41" fillId="0" borderId="13" xfId="9" applyNumberFormat="1" applyFont="1" applyBorder="1" applyAlignment="1">
      <alignment horizontal="center" vertical="center"/>
    </xf>
    <xf numFmtId="171" fontId="11" fillId="0" borderId="0" xfId="0" applyNumberFormat="1" applyFont="1"/>
    <xf numFmtId="171" fontId="11" fillId="3" borderId="0" xfId="0" applyNumberFormat="1" applyFont="1" applyFill="1"/>
    <xf numFmtId="173" fontId="11" fillId="0" borderId="10" xfId="9" applyNumberFormat="1" applyFont="1" applyBorder="1" applyAlignment="1">
      <alignment horizontal="center" vertical="center"/>
    </xf>
    <xf numFmtId="173" fontId="15" fillId="15" borderId="11" xfId="10" applyNumberFormat="1" applyFont="1" applyFill="1" applyBorder="1" applyAlignment="1">
      <alignment horizontal="center" vertical="center"/>
    </xf>
    <xf numFmtId="173" fontId="11" fillId="14" borderId="13" xfId="9" applyNumberFormat="1" applyFont="1" applyFill="1" applyBorder="1" applyAlignment="1">
      <alignment horizontal="center" vertical="center"/>
    </xf>
    <xf numFmtId="171" fontId="11" fillId="3" borderId="0" xfId="2" applyNumberFormat="1" applyFont="1" applyFill="1"/>
    <xf numFmtId="171" fontId="11" fillId="20" borderId="13" xfId="2" applyNumberFormat="1" applyFont="1" applyFill="1" applyBorder="1"/>
    <xf numFmtId="0" fontId="11" fillId="20" borderId="13" xfId="9" applyFont="1" applyFill="1" applyBorder="1" applyAlignment="1">
      <alignment vertical="center"/>
    </xf>
    <xf numFmtId="0" fontId="15" fillId="3" borderId="13" xfId="0" applyFont="1" applyFill="1" applyBorder="1" applyAlignment="1">
      <alignment horizontal="left" vertical="center"/>
    </xf>
    <xf numFmtId="171" fontId="11" fillId="20" borderId="0" xfId="2" applyNumberFormat="1" applyFont="1" applyFill="1"/>
    <xf numFmtId="0" fontId="11" fillId="20" borderId="0" xfId="9" applyFont="1" applyFill="1" applyAlignment="1">
      <alignment vertical="center"/>
    </xf>
    <xf numFmtId="171" fontId="11" fillId="3" borderId="13" xfId="2" applyNumberFormat="1" applyFont="1" applyFill="1" applyBorder="1"/>
    <xf numFmtId="0" fontId="11" fillId="3" borderId="13" xfId="9" applyFont="1" applyFill="1" applyBorder="1" applyAlignment="1">
      <alignment vertical="center"/>
    </xf>
    <xf numFmtId="171" fontId="11" fillId="20" borderId="0" xfId="2" applyNumberFormat="1" applyFont="1" applyFill="1" applyBorder="1"/>
    <xf numFmtId="173" fontId="11" fillId="14" borderId="0" xfId="9" applyNumberFormat="1" applyFont="1" applyFill="1" applyAlignment="1">
      <alignment horizontal="center" vertical="center"/>
    </xf>
    <xf numFmtId="173" fontId="41" fillId="0" borderId="11" xfId="9" applyNumberFormat="1" applyFont="1" applyBorder="1" applyAlignment="1">
      <alignment horizontal="center" vertical="center"/>
    </xf>
    <xf numFmtId="173" fontId="21" fillId="4" borderId="0" xfId="9" applyNumberFormat="1" applyFont="1" applyFill="1" applyAlignment="1">
      <alignment horizontal="center"/>
    </xf>
    <xf numFmtId="173" fontId="21" fillId="4" borderId="0" xfId="9" applyNumberFormat="1" applyFont="1" applyFill="1" applyAlignment="1">
      <alignment horizontal="left"/>
    </xf>
    <xf numFmtId="0" fontId="15" fillId="12" borderId="11" xfId="9" applyFont="1" applyFill="1" applyBorder="1" applyAlignment="1">
      <alignment horizontal="center" vertical="center"/>
    </xf>
    <xf numFmtId="173" fontId="41" fillId="3" borderId="0" xfId="9" applyNumberFormat="1" applyFont="1" applyFill="1" applyAlignment="1">
      <alignment horizontal="center" vertical="center"/>
    </xf>
    <xf numFmtId="0" fontId="11" fillId="0" borderId="13" xfId="0" applyFont="1" applyBorder="1"/>
    <xf numFmtId="173" fontId="11" fillId="0" borderId="13" xfId="0" applyNumberFormat="1" applyFont="1" applyBorder="1"/>
    <xf numFmtId="173" fontId="15" fillId="9" borderId="0" xfId="9" applyNumberFormat="1" applyFont="1" applyFill="1" applyAlignment="1">
      <alignment horizontal="center" vertical="center"/>
    </xf>
    <xf numFmtId="168" fontId="15" fillId="9" borderId="0" xfId="9" applyNumberFormat="1" applyFont="1" applyFill="1" applyAlignment="1">
      <alignment horizontal="center" vertical="center"/>
    </xf>
    <xf numFmtId="173" fontId="15" fillId="9" borderId="0" xfId="10" applyNumberFormat="1" applyFont="1" applyFill="1" applyAlignment="1">
      <alignment horizontal="center" vertical="center"/>
    </xf>
    <xf numFmtId="0" fontId="15" fillId="3" borderId="0" xfId="9" applyFont="1" applyFill="1" applyAlignment="1">
      <alignment horizontal="center" vertical="center"/>
    </xf>
    <xf numFmtId="0" fontId="15" fillId="3" borderId="0" xfId="9" applyFont="1" applyFill="1" applyAlignment="1">
      <alignment vertical="center"/>
    </xf>
    <xf numFmtId="171" fontId="11" fillId="3" borderId="13" xfId="2" applyNumberFormat="1" applyFont="1" applyFill="1" applyBorder="1" applyAlignment="1">
      <alignment horizontal="center" vertical="center"/>
    </xf>
    <xf numFmtId="171" fontId="11" fillId="3" borderId="0" xfId="2" applyNumberFormat="1" applyFont="1" applyFill="1" applyBorder="1"/>
    <xf numFmtId="173" fontId="43" fillId="0" borderId="0" xfId="9" applyNumberFormat="1" applyFont="1" applyAlignment="1">
      <alignment horizontal="center" vertical="center"/>
    </xf>
    <xf numFmtId="173" fontId="43" fillId="3" borderId="0" xfId="9" applyNumberFormat="1" applyFont="1" applyFill="1" applyAlignment="1">
      <alignment horizontal="center" vertical="center"/>
    </xf>
    <xf numFmtId="170" fontId="11" fillId="0" borderId="0" xfId="0" applyNumberFormat="1" applyFont="1" applyAlignment="1">
      <alignment horizontal="center"/>
    </xf>
    <xf numFmtId="170" fontId="21" fillId="4" borderId="0" xfId="9" applyNumberFormat="1" applyFont="1" applyFill="1" applyAlignment="1">
      <alignment horizontal="center"/>
    </xf>
    <xf numFmtId="0" fontId="21" fillId="4" borderId="0" xfId="9" applyFont="1" applyFill="1" applyAlignment="1">
      <alignment horizontal="center"/>
    </xf>
    <xf numFmtId="165" fontId="39" fillId="12" borderId="0" xfId="0" applyNumberFormat="1" applyFont="1" applyFill="1" applyAlignment="1">
      <alignment horizontal="center" vertical="center"/>
    </xf>
    <xf numFmtId="0" fontId="42" fillId="13" borderId="0" xfId="0" applyFont="1" applyFill="1" applyAlignment="1">
      <alignment horizontal="left" vertical="center"/>
    </xf>
    <xf numFmtId="0" fontId="22" fillId="0" borderId="0" xfId="7" applyFont="1" applyAlignment="1">
      <alignment horizontal="center" vertical="center"/>
    </xf>
    <xf numFmtId="164" fontId="22" fillId="8" borderId="0" xfId="7" applyNumberFormat="1" applyFont="1" applyFill="1" applyAlignment="1">
      <alignment horizontal="center" vertical="center"/>
    </xf>
    <xf numFmtId="165" fontId="22" fillId="8" borderId="0" xfId="7" applyNumberFormat="1" applyFont="1" applyFill="1" applyAlignment="1">
      <alignment horizontal="center" vertical="center"/>
    </xf>
    <xf numFmtId="176" fontId="11" fillId="0" borderId="0" xfId="0" applyNumberFormat="1" applyFont="1" applyAlignment="1">
      <alignment vertical="center"/>
    </xf>
    <xf numFmtId="0" fontId="25" fillId="21" borderId="0" xfId="0" applyFont="1" applyFill="1" applyAlignment="1">
      <alignment horizontal="center" vertical="center"/>
    </xf>
    <xf numFmtId="0" fontId="27" fillId="22" borderId="0" xfId="0" applyFont="1" applyFill="1" applyAlignment="1">
      <alignment horizontal="center" vertical="center"/>
    </xf>
    <xf numFmtId="9" fontId="35" fillId="5" borderId="0" xfId="0" applyNumberFormat="1" applyFont="1" applyFill="1" applyAlignment="1">
      <alignment horizontal="center"/>
    </xf>
    <xf numFmtId="0" fontId="22" fillId="8" borderId="0" xfId="1" applyNumberFormat="1" applyFont="1" applyFill="1" applyAlignment="1">
      <alignment horizontal="center" vertical="center"/>
    </xf>
    <xf numFmtId="0" fontId="22" fillId="0" borderId="0" xfId="1" applyNumberFormat="1" applyFont="1" applyAlignment="1">
      <alignment horizontal="center" vertical="center"/>
    </xf>
    <xf numFmtId="0" fontId="42" fillId="13" borderId="0" xfId="1" applyNumberFormat="1" applyFont="1" applyFill="1" applyAlignment="1">
      <alignment horizontal="center" vertical="center"/>
    </xf>
    <xf numFmtId="0" fontId="45" fillId="0" borderId="0" xfId="1" applyNumberFormat="1" applyFont="1" applyAlignment="1">
      <alignment horizontal="center" vertical="center"/>
    </xf>
    <xf numFmtId="0" fontId="35" fillId="12" borderId="0" xfId="1" applyNumberFormat="1" applyFont="1" applyFill="1" applyAlignment="1">
      <alignment horizontal="center" vertical="center"/>
    </xf>
    <xf numFmtId="0" fontId="15" fillId="12" borderId="0" xfId="1" applyNumberFormat="1" applyFont="1" applyFill="1" applyAlignment="1">
      <alignment horizontal="center" vertical="center"/>
    </xf>
    <xf numFmtId="0" fontId="11" fillId="0" borderId="0" xfId="1" applyNumberFormat="1" applyFont="1" applyAlignment="1">
      <alignment horizontal="center"/>
    </xf>
    <xf numFmtId="0" fontId="22" fillId="4" borderId="0" xfId="1" applyNumberFormat="1" applyFont="1" applyFill="1" applyAlignment="1">
      <alignment horizontal="center"/>
    </xf>
    <xf numFmtId="0" fontId="11" fillId="0" borderId="10" xfId="1" applyNumberFormat="1" applyFont="1" applyBorder="1" applyAlignment="1">
      <alignment horizontal="center" vertical="center"/>
    </xf>
    <xf numFmtId="0" fontId="15" fillId="12" borderId="11" xfId="1" applyNumberFormat="1" applyFont="1" applyFill="1" applyBorder="1" applyAlignment="1">
      <alignment horizontal="center" vertical="center"/>
    </xf>
    <xf numFmtId="0" fontId="34" fillId="0" borderId="0" xfId="1" applyNumberFormat="1" applyFont="1" applyAlignment="1">
      <alignment horizontal="center" vertical="center"/>
    </xf>
    <xf numFmtId="0" fontId="11" fillId="0" borderId="0" xfId="1" applyNumberFormat="1" applyFont="1" applyAlignment="1">
      <alignment horizontal="center" vertical="center"/>
    </xf>
    <xf numFmtId="0" fontId="15" fillId="12" borderId="10" xfId="1" applyNumberFormat="1" applyFont="1" applyFill="1" applyBorder="1" applyAlignment="1">
      <alignment horizontal="center" vertical="center"/>
    </xf>
    <xf numFmtId="0" fontId="34" fillId="0" borderId="0" xfId="1" applyNumberFormat="1" applyFont="1" applyAlignment="1">
      <alignment horizontal="center"/>
    </xf>
    <xf numFmtId="4" fontId="11" fillId="0" borderId="0" xfId="1" applyNumberFormat="1" applyFont="1" applyAlignment="1">
      <alignment horizontal="center"/>
    </xf>
    <xf numFmtId="169" fontId="15" fillId="0" borderId="10" xfId="9" applyNumberFormat="1" applyFont="1" applyBorder="1" applyAlignment="1">
      <alignment horizontal="center" vertical="center"/>
    </xf>
    <xf numFmtId="168" fontId="0" fillId="0" borderId="0" xfId="0" applyNumberFormat="1"/>
    <xf numFmtId="4" fontId="15" fillId="15" borderId="10" xfId="9" applyNumberFormat="1" applyFont="1" applyFill="1" applyBorder="1" applyAlignment="1">
      <alignment horizontal="center" vertical="center"/>
    </xf>
    <xf numFmtId="168" fontId="15" fillId="0" borderId="0" xfId="9" applyNumberFormat="1" applyFont="1" applyAlignment="1">
      <alignment horizontal="center" vertical="center"/>
    </xf>
    <xf numFmtId="0" fontId="2" fillId="3" borderId="0" xfId="8" applyFont="1" applyFill="1" applyAlignment="1">
      <alignment horizontal="left" vertical="center"/>
    </xf>
    <xf numFmtId="43" fontId="0" fillId="0" borderId="0" xfId="1" applyFont="1"/>
    <xf numFmtId="168" fontId="43" fillId="0" borderId="10" xfId="9" applyNumberFormat="1" applyFont="1" applyBorder="1" applyAlignment="1">
      <alignment horizontal="center" vertical="center"/>
    </xf>
    <xf numFmtId="168" fontId="43" fillId="0" borderId="13" xfId="9" applyNumberFormat="1" applyFont="1" applyBorder="1" applyAlignment="1">
      <alignment horizontal="center" vertical="center"/>
    </xf>
    <xf numFmtId="168" fontId="43" fillId="0" borderId="11" xfId="9" applyNumberFormat="1" applyFont="1" applyBorder="1" applyAlignment="1">
      <alignment horizontal="center" vertical="center"/>
    </xf>
    <xf numFmtId="168" fontId="39" fillId="12" borderId="10" xfId="9" applyNumberFormat="1" applyFont="1" applyFill="1" applyBorder="1" applyAlignment="1">
      <alignment horizontal="center" vertical="center"/>
    </xf>
    <xf numFmtId="174" fontId="49" fillId="18" borderId="15" xfId="0" applyNumberFormat="1" applyFont="1" applyFill="1" applyBorder="1" applyAlignment="1">
      <alignment horizontal="center" vertical="center"/>
    </xf>
    <xf numFmtId="174" fontId="50" fillId="3" borderId="0" xfId="0" applyNumberFormat="1" applyFont="1" applyFill="1" applyAlignment="1">
      <alignment horizontal="center" vertical="center"/>
    </xf>
    <xf numFmtId="174" fontId="51" fillId="3" borderId="0" xfId="0" applyNumberFormat="1" applyFont="1" applyFill="1" applyAlignment="1">
      <alignment horizontal="center" vertical="center"/>
    </xf>
    <xf numFmtId="0" fontId="48" fillId="24" borderId="10" xfId="0" applyFont="1" applyFill="1" applyBorder="1" applyAlignment="1">
      <alignment vertical="center"/>
    </xf>
    <xf numFmtId="0" fontId="2" fillId="25" borderId="0" xfId="8" applyFont="1" applyFill="1" applyAlignment="1">
      <alignment horizontal="left" vertical="center"/>
    </xf>
    <xf numFmtId="0" fontId="2" fillId="23" borderId="0" xfId="8" applyFont="1" applyFill="1" applyAlignment="1">
      <alignment horizontal="left" vertical="center"/>
    </xf>
    <xf numFmtId="4" fontId="24" fillId="23" borderId="0" xfId="0" applyNumberFormat="1" applyFont="1" applyFill="1"/>
    <xf numFmtId="183" fontId="11" fillId="0" borderId="0" xfId="0" applyNumberFormat="1" applyFont="1"/>
    <xf numFmtId="4" fontId="0" fillId="23" borderId="0" xfId="0" applyNumberFormat="1" applyFill="1"/>
    <xf numFmtId="0" fontId="2" fillId="26" borderId="0" xfId="8" applyFont="1" applyFill="1" applyAlignment="1">
      <alignment horizontal="left" vertical="center"/>
    </xf>
    <xf numFmtId="4" fontId="24" fillId="26" borderId="0" xfId="0" applyNumberFormat="1" applyFont="1" applyFill="1"/>
    <xf numFmtId="4" fontId="0" fillId="26" borderId="0" xfId="0" applyNumberFormat="1" applyFill="1"/>
    <xf numFmtId="0" fontId="2" fillId="16" borderId="0" xfId="8" applyFont="1" applyFill="1" applyAlignment="1">
      <alignment horizontal="left" vertical="center"/>
    </xf>
    <xf numFmtId="43" fontId="0" fillId="0" borderId="0" xfId="0" applyNumberFormat="1"/>
    <xf numFmtId="9" fontId="11" fillId="0" borderId="0" xfId="2" applyFont="1" applyAlignment="1">
      <alignment horizontal="center"/>
    </xf>
    <xf numFmtId="1" fontId="52" fillId="3" borderId="16" xfId="0" applyNumberFormat="1" applyFont="1" applyFill="1" applyBorder="1" applyAlignment="1">
      <alignment horizontal="center" vertical="center"/>
    </xf>
    <xf numFmtId="180" fontId="35" fillId="15" borderId="11" xfId="9" applyNumberFormat="1" applyFont="1" applyFill="1" applyBorder="1" applyAlignment="1">
      <alignment horizontal="center" vertical="center"/>
    </xf>
    <xf numFmtId="0" fontId="11" fillId="3" borderId="10" xfId="9" applyFont="1" applyFill="1" applyBorder="1" applyAlignment="1">
      <alignment vertical="center"/>
    </xf>
    <xf numFmtId="0" fontId="11" fillId="3" borderId="11" xfId="9" applyFont="1" applyFill="1" applyBorder="1" applyAlignment="1">
      <alignment vertical="center"/>
    </xf>
    <xf numFmtId="177" fontId="11" fillId="0" borderId="0" xfId="9" applyNumberFormat="1" applyFont="1" applyAlignment="1">
      <alignment horizontal="center" vertical="center"/>
    </xf>
    <xf numFmtId="168" fontId="44" fillId="0" borderId="10" xfId="9" applyNumberFormat="1" applyFont="1" applyBorder="1" applyAlignment="1">
      <alignment horizontal="center" vertical="center"/>
    </xf>
    <xf numFmtId="0" fontId="55" fillId="0" borderId="0" xfId="0" applyFont="1"/>
    <xf numFmtId="179" fontId="44" fillId="0" borderId="0" xfId="9" applyNumberFormat="1" applyFont="1" applyAlignment="1">
      <alignment horizontal="center" vertical="center"/>
    </xf>
    <xf numFmtId="168" fontId="55" fillId="0" borderId="0" xfId="0" applyNumberFormat="1" applyFont="1"/>
    <xf numFmtId="170" fontId="44" fillId="0" borderId="0" xfId="0" applyNumberFormat="1" applyFont="1"/>
    <xf numFmtId="170" fontId="44" fillId="4" borderId="0" xfId="9" applyNumberFormat="1" applyFont="1" applyFill="1" applyAlignment="1">
      <alignment horizontal="left"/>
    </xf>
    <xf numFmtId="0" fontId="11" fillId="3" borderId="17" xfId="9" applyFont="1" applyFill="1" applyBorder="1" applyAlignment="1">
      <alignment vertical="center"/>
    </xf>
    <xf numFmtId="168" fontId="43" fillId="0" borderId="17" xfId="9" applyNumberFormat="1" applyFont="1" applyBorder="1" applyAlignment="1">
      <alignment horizontal="center" vertical="center"/>
    </xf>
    <xf numFmtId="177" fontId="11" fillId="0" borderId="13" xfId="9" applyNumberFormat="1" applyFont="1" applyBorder="1" applyAlignment="1">
      <alignment horizontal="center" vertical="center"/>
    </xf>
    <xf numFmtId="168" fontId="35" fillId="15" borderId="17" xfId="9" applyNumberFormat="1" applyFont="1" applyFill="1" applyBorder="1" applyAlignment="1">
      <alignment horizontal="center" vertical="center"/>
    </xf>
    <xf numFmtId="168" fontId="0" fillId="0" borderId="0" xfId="1" applyNumberFormat="1" applyFont="1"/>
    <xf numFmtId="168" fontId="55" fillId="0" borderId="0" xfId="1" applyNumberFormat="1" applyFont="1"/>
    <xf numFmtId="184" fontId="53" fillId="3" borderId="0" xfId="2" applyNumberFormat="1" applyFont="1" applyFill="1" applyBorder="1" applyAlignment="1">
      <alignment horizontal="center" vertical="center"/>
    </xf>
    <xf numFmtId="168" fontId="15" fillId="0" borderId="0" xfId="0" applyNumberFormat="1" applyFont="1"/>
    <xf numFmtId="174" fontId="58" fillId="3" borderId="0" xfId="0" applyNumberFormat="1" applyFont="1" applyFill="1" applyAlignment="1">
      <alignment horizontal="center" vertical="center"/>
    </xf>
    <xf numFmtId="168" fontId="44" fillId="0" borderId="0" xfId="0" applyNumberFormat="1" applyFont="1"/>
    <xf numFmtId="178" fontId="55" fillId="0" borderId="0" xfId="0" applyNumberFormat="1" applyFont="1"/>
    <xf numFmtId="9" fontId="44" fillId="0" borderId="0" xfId="2" applyFont="1" applyAlignment="1">
      <alignment horizontal="center"/>
    </xf>
    <xf numFmtId="172" fontId="11" fillId="0" borderId="0" xfId="0" applyNumberFormat="1" applyFont="1"/>
    <xf numFmtId="171" fontId="39" fillId="0" borderId="10" xfId="9" applyNumberFormat="1" applyFont="1" applyBorder="1" applyAlignment="1">
      <alignment horizontal="center" vertical="center"/>
    </xf>
    <xf numFmtId="0" fontId="52" fillId="0" borderId="0" xfId="0" applyFont="1" applyAlignment="1">
      <alignment horizontal="center" vertical="center"/>
    </xf>
    <xf numFmtId="0" fontId="13" fillId="0" borderId="13" xfId="13" applyFont="1" applyBorder="1" applyAlignment="1">
      <alignment vertical="center"/>
    </xf>
    <xf numFmtId="0" fontId="39" fillId="0" borderId="0" xfId="7" applyFont="1" applyAlignment="1">
      <alignment vertical="center"/>
    </xf>
    <xf numFmtId="172" fontId="61" fillId="0" borderId="0" xfId="0" applyNumberFormat="1" applyFont="1" applyAlignment="1">
      <alignment vertical="center"/>
    </xf>
    <xf numFmtId="172" fontId="15" fillId="9" borderId="0" xfId="7" applyNumberFormat="1" applyFont="1" applyFill="1" applyAlignment="1">
      <alignment horizontal="center" vertical="center"/>
    </xf>
    <xf numFmtId="0" fontId="62" fillId="27" borderId="18" xfId="0" applyFont="1" applyFill="1" applyBorder="1" applyAlignment="1">
      <alignment horizontal="center"/>
    </xf>
    <xf numFmtId="0" fontId="62" fillId="27" borderId="19" xfId="0" applyFont="1" applyFill="1" applyBorder="1" applyAlignment="1">
      <alignment horizontal="center"/>
    </xf>
    <xf numFmtId="49" fontId="40" fillId="12" borderId="20" xfId="0" applyNumberFormat="1" applyFont="1" applyFill="1" applyBorder="1" applyAlignment="1">
      <alignment horizontal="center" vertical="center"/>
    </xf>
    <xf numFmtId="0" fontId="34" fillId="0" borderId="21" xfId="0" applyFont="1" applyBorder="1" applyAlignment="1">
      <alignment horizontal="center"/>
    </xf>
    <xf numFmtId="49" fontId="63" fillId="0" borderId="22" xfId="0" applyNumberFormat="1" applyFont="1" applyBorder="1" applyAlignment="1">
      <alignment horizontal="center" vertical="center"/>
    </xf>
    <xf numFmtId="49" fontId="40" fillId="12" borderId="23" xfId="0" applyNumberFormat="1" applyFont="1" applyFill="1" applyBorder="1" applyAlignment="1">
      <alignment horizontal="center" vertical="center"/>
    </xf>
    <xf numFmtId="0" fontId="34" fillId="0" borderId="24" xfId="0" applyFont="1" applyBorder="1" applyAlignment="1">
      <alignment horizontal="center"/>
    </xf>
    <xf numFmtId="49" fontId="63" fillId="0" borderId="25" xfId="0" applyNumberFormat="1" applyFont="1" applyBorder="1" applyAlignment="1">
      <alignment horizontal="center" vertical="center"/>
    </xf>
    <xf numFmtId="172" fontId="47" fillId="0" borderId="26" xfId="0" applyNumberFormat="1" applyFont="1" applyBorder="1" applyAlignment="1">
      <alignment horizontal="center"/>
    </xf>
    <xf numFmtId="172" fontId="47" fillId="28" borderId="26" xfId="0" applyNumberFormat="1" applyFont="1" applyFill="1" applyBorder="1" applyAlignment="1">
      <alignment horizontal="center"/>
    </xf>
    <xf numFmtId="49" fontId="40" fillId="12" borderId="27" xfId="0" applyNumberFormat="1" applyFont="1" applyFill="1" applyBorder="1" applyAlignment="1">
      <alignment horizontal="center" vertical="center"/>
    </xf>
    <xf numFmtId="0" fontId="34" fillId="0" borderId="28" xfId="0" applyFont="1" applyBorder="1" applyAlignment="1">
      <alignment horizontal="center"/>
    </xf>
    <xf numFmtId="167" fontId="11" fillId="0" borderId="0" xfId="0" applyNumberFormat="1" applyFont="1"/>
    <xf numFmtId="43" fontId="11" fillId="0" borderId="0" xfId="1" applyFont="1"/>
    <xf numFmtId="43" fontId="15" fillId="9" borderId="0" xfId="1" applyFont="1" applyFill="1" applyAlignment="1">
      <alignment horizontal="center" vertical="center"/>
    </xf>
    <xf numFmtId="9" fontId="54" fillId="0" borderId="12" xfId="0" applyNumberFormat="1" applyFont="1" applyBorder="1" applyAlignment="1">
      <alignment horizontal="center"/>
    </xf>
    <xf numFmtId="165" fontId="0" fillId="0" borderId="0" xfId="0" applyNumberFormat="1"/>
    <xf numFmtId="172" fontId="44" fillId="0" borderId="0" xfId="0" applyNumberFormat="1" applyFont="1" applyAlignment="1">
      <alignment horizontal="center"/>
    </xf>
    <xf numFmtId="181" fontId="43" fillId="0" borderId="10" xfId="9" applyNumberFormat="1" applyFont="1" applyBorder="1" applyAlignment="1">
      <alignment horizontal="center" vertical="center"/>
    </xf>
    <xf numFmtId="0" fontId="60" fillId="0" borderId="10" xfId="9" applyFont="1" applyBorder="1" applyAlignment="1">
      <alignment vertical="center"/>
    </xf>
    <xf numFmtId="2" fontId="11" fillId="0" borderId="0" xfId="0" applyNumberFormat="1" applyFont="1"/>
    <xf numFmtId="186" fontId="11" fillId="0" borderId="0" xfId="0" applyNumberFormat="1" applyFont="1"/>
    <xf numFmtId="0" fontId="57" fillId="0" borderId="0" xfId="0" applyFont="1"/>
    <xf numFmtId="0" fontId="65" fillId="0" borderId="0" xfId="9" applyFont="1" applyAlignment="1">
      <alignment vertical="center"/>
    </xf>
    <xf numFmtId="0" fontId="65" fillId="0" borderId="0" xfId="0" applyFont="1"/>
    <xf numFmtId="0" fontId="68" fillId="8" borderId="0" xfId="7" applyFont="1" applyFill="1" applyAlignment="1">
      <alignment vertical="center"/>
    </xf>
    <xf numFmtId="171" fontId="69" fillId="17" borderId="0" xfId="0" applyNumberFormat="1" applyFont="1" applyFill="1" applyAlignment="1">
      <alignment horizontal="center"/>
    </xf>
    <xf numFmtId="0" fontId="68" fillId="8" borderId="0" xfId="7" applyFont="1" applyFill="1" applyAlignment="1">
      <alignment horizontal="center" vertical="center"/>
    </xf>
    <xf numFmtId="0" fontId="68" fillId="0" borderId="0" xfId="7" applyFont="1" applyAlignment="1">
      <alignment vertical="center"/>
    </xf>
    <xf numFmtId="0" fontId="60" fillId="9" borderId="0" xfId="7" applyFont="1" applyFill="1" applyAlignment="1">
      <alignment horizontal="center" vertical="center"/>
    </xf>
    <xf numFmtId="9" fontId="59" fillId="12" borderId="0" xfId="2" applyFont="1" applyFill="1" applyAlignment="1">
      <alignment horizontal="center" vertical="center"/>
    </xf>
    <xf numFmtId="164" fontId="68" fillId="8" borderId="0" xfId="7" applyNumberFormat="1" applyFont="1" applyFill="1" applyAlignment="1">
      <alignment vertical="center"/>
    </xf>
    <xf numFmtId="43" fontId="60" fillId="9" borderId="0" xfId="1" applyFont="1" applyFill="1" applyAlignment="1">
      <alignment horizontal="center" vertical="center"/>
    </xf>
    <xf numFmtId="165" fontId="65" fillId="0" borderId="0" xfId="0" applyNumberFormat="1" applyFont="1"/>
    <xf numFmtId="0" fontId="70" fillId="13" borderId="0" xfId="0" applyFont="1" applyFill="1" applyAlignment="1">
      <alignment vertical="center"/>
    </xf>
    <xf numFmtId="0" fontId="70" fillId="13" borderId="0" xfId="0" applyFont="1" applyFill="1" applyAlignment="1">
      <alignment horizontal="centerContinuous" vertical="center"/>
    </xf>
    <xf numFmtId="15" fontId="71" fillId="0" borderId="0" xfId="0" applyNumberFormat="1" applyFont="1" applyAlignment="1">
      <alignment horizontal="left" vertical="center"/>
    </xf>
    <xf numFmtId="0" fontId="59" fillId="12" borderId="0" xfId="0" applyFont="1" applyFill="1" applyAlignment="1">
      <alignment vertical="center"/>
    </xf>
    <xf numFmtId="166" fontId="59" fillId="12" borderId="0" xfId="0" applyNumberFormat="1" applyFont="1" applyFill="1" applyAlignment="1">
      <alignment horizontal="center" vertical="center"/>
    </xf>
    <xf numFmtId="0" fontId="60" fillId="12" borderId="0" xfId="0" applyFont="1" applyFill="1" applyAlignment="1">
      <alignment vertical="center"/>
    </xf>
    <xf numFmtId="1" fontId="73" fillId="12" borderId="0" xfId="0" applyNumberFormat="1" applyFont="1" applyFill="1" applyAlignment="1">
      <alignment horizontal="center" vertical="center"/>
    </xf>
    <xf numFmtId="165" fontId="73" fillId="12" borderId="0" xfId="0" applyNumberFormat="1" applyFont="1" applyFill="1" applyAlignment="1">
      <alignment horizontal="center" vertical="center"/>
    </xf>
    <xf numFmtId="0" fontId="68" fillId="4" borderId="0" xfId="9" applyFont="1" applyFill="1" applyAlignment="1">
      <alignment horizontal="left" vertical="center"/>
    </xf>
    <xf numFmtId="0" fontId="69" fillId="4" borderId="0" xfId="9" applyFont="1" applyFill="1" applyAlignment="1">
      <alignment horizontal="left"/>
    </xf>
    <xf numFmtId="9" fontId="69" fillId="4" borderId="0" xfId="2" applyFont="1" applyFill="1" applyAlignment="1">
      <alignment horizontal="left"/>
    </xf>
    <xf numFmtId="0" fontId="65" fillId="0" borderId="11" xfId="9" applyFont="1" applyBorder="1" applyAlignment="1">
      <alignment vertical="center"/>
    </xf>
    <xf numFmtId="0" fontId="60" fillId="0" borderId="0" xfId="0" applyFont="1"/>
    <xf numFmtId="0" fontId="65" fillId="0" borderId="10" xfId="9" applyFont="1" applyBorder="1" applyAlignment="1">
      <alignment vertical="center"/>
    </xf>
    <xf numFmtId="0" fontId="60" fillId="12" borderId="10" xfId="9" applyFont="1" applyFill="1" applyBorder="1" applyAlignment="1">
      <alignment vertical="center"/>
    </xf>
    <xf numFmtId="165" fontId="60" fillId="0" borderId="0" xfId="9" applyNumberFormat="1" applyFont="1" applyAlignment="1">
      <alignment horizontal="center" vertical="center"/>
    </xf>
    <xf numFmtId="169" fontId="65" fillId="0" borderId="10" xfId="9" applyNumberFormat="1" applyFont="1" applyBorder="1" applyAlignment="1">
      <alignment horizontal="center" vertical="center"/>
    </xf>
    <xf numFmtId="168" fontId="74" fillId="0" borderId="10" xfId="9" applyNumberFormat="1" applyFont="1" applyBorder="1" applyAlignment="1">
      <alignment horizontal="center" vertical="center"/>
    </xf>
    <xf numFmtId="168" fontId="74" fillId="0" borderId="13" xfId="9" applyNumberFormat="1" applyFont="1" applyBorder="1" applyAlignment="1">
      <alignment horizontal="center" vertical="center"/>
    </xf>
    <xf numFmtId="168" fontId="72" fillId="0" borderId="0" xfId="0" applyNumberFormat="1" applyFont="1"/>
    <xf numFmtId="168" fontId="65" fillId="0" borderId="0" xfId="0" applyNumberFormat="1" applyFont="1"/>
    <xf numFmtId="169" fontId="65" fillId="0" borderId="11" xfId="9" applyNumberFormat="1" applyFont="1" applyBorder="1" applyAlignment="1">
      <alignment horizontal="center" vertical="center"/>
    </xf>
    <xf numFmtId="168" fontId="74" fillId="0" borderId="11" xfId="9" applyNumberFormat="1" applyFont="1" applyBorder="1" applyAlignment="1">
      <alignment horizontal="center" vertical="center"/>
    </xf>
    <xf numFmtId="168" fontId="74" fillId="0" borderId="0" xfId="9" applyNumberFormat="1" applyFont="1" applyAlignment="1">
      <alignment horizontal="center" vertical="center"/>
    </xf>
    <xf numFmtId="168" fontId="74" fillId="0" borderId="17" xfId="9" applyNumberFormat="1" applyFont="1" applyBorder="1" applyAlignment="1">
      <alignment horizontal="center" vertical="center"/>
    </xf>
    <xf numFmtId="169" fontId="65" fillId="0" borderId="0" xfId="9" applyNumberFormat="1" applyFont="1" applyAlignment="1">
      <alignment horizontal="center" vertical="center"/>
    </xf>
    <xf numFmtId="168" fontId="72" fillId="0" borderId="0" xfId="9" applyNumberFormat="1" applyFont="1" applyAlignment="1">
      <alignment horizontal="center" vertical="center"/>
    </xf>
    <xf numFmtId="0" fontId="65" fillId="3" borderId="11" xfId="9" applyFont="1" applyFill="1" applyBorder="1" applyAlignment="1">
      <alignment vertical="center"/>
    </xf>
    <xf numFmtId="169" fontId="60" fillId="15" borderId="11" xfId="9" applyNumberFormat="1" applyFont="1" applyFill="1" applyBorder="1" applyAlignment="1">
      <alignment horizontal="center" vertical="center"/>
    </xf>
    <xf numFmtId="168" fontId="60" fillId="15" borderId="11" xfId="9" applyNumberFormat="1" applyFont="1" applyFill="1" applyBorder="1" applyAlignment="1">
      <alignment horizontal="center" vertical="center"/>
    </xf>
    <xf numFmtId="0" fontId="65" fillId="3" borderId="10" xfId="9" applyFont="1" applyFill="1" applyBorder="1" applyAlignment="1">
      <alignment vertical="center"/>
    </xf>
    <xf numFmtId="0" fontId="60" fillId="3" borderId="10" xfId="9" applyFont="1" applyFill="1" applyBorder="1" applyAlignment="1">
      <alignment vertical="center"/>
    </xf>
    <xf numFmtId="169" fontId="60" fillId="0" borderId="11" xfId="9" applyNumberFormat="1" applyFont="1" applyBorder="1" applyAlignment="1">
      <alignment horizontal="center" vertical="center"/>
    </xf>
    <xf numFmtId="168" fontId="75" fillId="0" borderId="11" xfId="9" applyNumberFormat="1" applyFont="1" applyBorder="1" applyAlignment="1">
      <alignment horizontal="center" vertical="center"/>
    </xf>
    <xf numFmtId="168" fontId="72" fillId="0" borderId="0" xfId="1" applyNumberFormat="1" applyFont="1"/>
    <xf numFmtId="168" fontId="60" fillId="15" borderId="10" xfId="9" applyNumberFormat="1" applyFont="1" applyFill="1" applyBorder="1" applyAlignment="1">
      <alignment horizontal="center" vertical="center"/>
    </xf>
    <xf numFmtId="9" fontId="65" fillId="0" borderId="0" xfId="0" applyNumberFormat="1" applyFont="1" applyAlignment="1">
      <alignment horizontal="center"/>
    </xf>
    <xf numFmtId="168" fontId="60" fillId="0" borderId="10" xfId="9" applyNumberFormat="1" applyFont="1" applyBorder="1" applyAlignment="1">
      <alignment horizontal="center" vertical="center"/>
    </xf>
    <xf numFmtId="168" fontId="60" fillId="0" borderId="0" xfId="9" applyNumberFormat="1" applyFont="1" applyAlignment="1">
      <alignment horizontal="center" vertical="center"/>
    </xf>
    <xf numFmtId="0" fontId="65" fillId="3" borderId="0" xfId="9" applyFont="1" applyFill="1" applyAlignment="1">
      <alignment vertical="center"/>
    </xf>
    <xf numFmtId="168" fontId="78" fillId="0" borderId="10" xfId="9" applyNumberFormat="1" applyFont="1" applyBorder="1" applyAlignment="1">
      <alignment horizontal="center" vertical="center"/>
    </xf>
    <xf numFmtId="168" fontId="73" fillId="0" borderId="10" xfId="9" applyNumberFormat="1" applyFont="1" applyBorder="1" applyAlignment="1">
      <alignment horizontal="center" vertical="center"/>
    </xf>
    <xf numFmtId="0" fontId="60" fillId="0" borderId="0" xfId="9" applyFont="1" applyAlignment="1">
      <alignment vertical="center"/>
    </xf>
    <xf numFmtId="169" fontId="60" fillId="0" borderId="0" xfId="9" applyNumberFormat="1" applyFont="1" applyAlignment="1">
      <alignment horizontal="center" vertical="center"/>
    </xf>
    <xf numFmtId="0" fontId="68" fillId="4" borderId="0" xfId="9" applyFont="1" applyFill="1" applyAlignment="1">
      <alignment horizontal="left"/>
    </xf>
    <xf numFmtId="169" fontId="77" fillId="0" borderId="10" xfId="9" applyNumberFormat="1" applyFont="1" applyBorder="1" applyAlignment="1">
      <alignment horizontal="left" vertical="center"/>
    </xf>
    <xf numFmtId="168" fontId="75" fillId="0" borderId="10" xfId="9" applyNumberFormat="1" applyFont="1" applyBorder="1" applyAlignment="1">
      <alignment horizontal="center" vertical="center"/>
    </xf>
    <xf numFmtId="168" fontId="75" fillId="0" borderId="12" xfId="9" applyNumberFormat="1" applyFont="1" applyBorder="1" applyAlignment="1">
      <alignment horizontal="center" vertical="center"/>
    </xf>
    <xf numFmtId="168" fontId="78" fillId="0" borderId="11" xfId="9" applyNumberFormat="1" applyFont="1" applyBorder="1" applyAlignment="1">
      <alignment horizontal="center" vertical="center"/>
    </xf>
    <xf numFmtId="172" fontId="65" fillId="0" borderId="0" xfId="0" applyNumberFormat="1" applyFont="1"/>
    <xf numFmtId="172" fontId="79" fillId="0" borderId="0" xfId="9" applyNumberFormat="1" applyFont="1" applyAlignment="1">
      <alignment vertical="center"/>
    </xf>
    <xf numFmtId="172" fontId="79" fillId="0" borderId="0" xfId="9" applyNumberFormat="1" applyFont="1" applyAlignment="1">
      <alignment horizontal="center" vertical="center"/>
    </xf>
    <xf numFmtId="4" fontId="65" fillId="0" borderId="0" xfId="0" applyNumberFormat="1" applyFont="1"/>
    <xf numFmtId="0" fontId="70" fillId="16" borderId="0" xfId="0" applyFont="1" applyFill="1" applyAlignment="1">
      <alignment horizontal="center" vertical="center"/>
    </xf>
    <xf numFmtId="0" fontId="70" fillId="0" borderId="0" xfId="0" applyFont="1" applyAlignment="1">
      <alignment horizontal="center" vertical="center"/>
    </xf>
    <xf numFmtId="168" fontId="65" fillId="0" borderId="0" xfId="1" applyNumberFormat="1" applyFont="1"/>
    <xf numFmtId="0" fontId="57" fillId="0" borderId="0" xfId="0" applyFont="1" applyAlignment="1">
      <alignment horizontal="left"/>
    </xf>
    <xf numFmtId="9" fontId="67" fillId="0" borderId="0" xfId="2" applyFont="1" applyAlignment="1">
      <alignment horizontal="center"/>
    </xf>
    <xf numFmtId="0" fontId="11" fillId="0" borderId="17" xfId="9" applyFont="1" applyBorder="1" applyAlignment="1">
      <alignment vertical="center"/>
    </xf>
    <xf numFmtId="168" fontId="15" fillId="12" borderId="10" xfId="9" applyNumberFormat="1" applyFont="1" applyFill="1" applyBorder="1" applyAlignment="1">
      <alignment vertical="center"/>
    </xf>
    <xf numFmtId="168" fontId="65" fillId="0" borderId="10" xfId="9" applyNumberFormat="1" applyFont="1" applyBorder="1" applyAlignment="1">
      <alignment vertical="center"/>
    </xf>
    <xf numFmtId="168" fontId="44" fillId="0" borderId="11" xfId="9" applyNumberFormat="1" applyFont="1" applyBorder="1" applyAlignment="1">
      <alignment horizontal="center" vertical="center"/>
    </xf>
    <xf numFmtId="168" fontId="65" fillId="0" borderId="11" xfId="9" applyNumberFormat="1" applyFont="1" applyBorder="1" applyAlignment="1">
      <alignment vertical="center"/>
    </xf>
    <xf numFmtId="168" fontId="65" fillId="0" borderId="0" xfId="9" applyNumberFormat="1" applyFont="1" applyAlignment="1">
      <alignment vertical="center"/>
    </xf>
    <xf numFmtId="0" fontId="13" fillId="0" borderId="0" xfId="0" applyFont="1" applyAlignment="1">
      <alignment vertical="center"/>
    </xf>
    <xf numFmtId="174" fontId="50" fillId="3" borderId="30" xfId="0" applyNumberFormat="1" applyFont="1" applyFill="1" applyBorder="1" applyAlignment="1">
      <alignment horizontal="center" vertical="center"/>
    </xf>
    <xf numFmtId="184" fontId="53" fillId="3" borderId="30" xfId="2" applyNumberFormat="1" applyFont="1" applyFill="1" applyBorder="1" applyAlignment="1">
      <alignment horizontal="center" vertical="center"/>
    </xf>
    <xf numFmtId="184" fontId="53" fillId="3" borderId="31" xfId="2" applyNumberFormat="1" applyFont="1" applyFill="1" applyBorder="1" applyAlignment="1">
      <alignment horizontal="center" vertical="center"/>
    </xf>
    <xf numFmtId="175" fontId="81" fillId="19" borderId="0" xfId="0" applyNumberFormat="1" applyFont="1" applyFill="1" applyAlignment="1">
      <alignment horizontal="left" vertical="center" wrapText="1" readingOrder="1"/>
    </xf>
    <xf numFmtId="175" fontId="81" fillId="19" borderId="0" xfId="0" applyNumberFormat="1" applyFont="1" applyFill="1" applyAlignment="1">
      <alignment horizontal="center" vertical="center" wrapText="1" readingOrder="1"/>
    </xf>
    <xf numFmtId="175" fontId="81" fillId="30" borderId="29" xfId="0" applyNumberFormat="1" applyFont="1" applyFill="1" applyBorder="1" applyAlignment="1">
      <alignment horizontal="center" vertical="center" wrapText="1" readingOrder="1"/>
    </xf>
    <xf numFmtId="1" fontId="81" fillId="19" borderId="0" xfId="0" applyNumberFormat="1" applyFont="1" applyFill="1" applyAlignment="1">
      <alignment horizontal="center" vertical="center" wrapText="1" readingOrder="1"/>
    </xf>
    <xf numFmtId="0" fontId="81" fillId="19" borderId="0" xfId="0" applyFont="1" applyFill="1" applyAlignment="1">
      <alignment horizontal="center" vertical="center" wrapText="1" readingOrder="1"/>
    </xf>
    <xf numFmtId="0" fontId="76" fillId="0" borderId="0" xfId="9" applyFont="1" applyAlignment="1">
      <alignment vertical="center"/>
    </xf>
    <xf numFmtId="0" fontId="80" fillId="0" borderId="0" xfId="0" applyFont="1" applyAlignment="1">
      <alignment horizontal="left" vertical="center" wrapText="1" readingOrder="1"/>
    </xf>
    <xf numFmtId="0" fontId="73" fillId="18" borderId="0" xfId="0" applyFont="1" applyFill="1" applyAlignment="1">
      <alignment horizontal="left" vertical="center" wrapText="1" readingOrder="1"/>
    </xf>
    <xf numFmtId="0" fontId="83" fillId="0" borderId="0" xfId="0" applyFont="1" applyAlignment="1">
      <alignment vertical="center" wrapText="1"/>
    </xf>
    <xf numFmtId="0" fontId="73" fillId="2" borderId="0" xfId="0" applyFont="1" applyFill="1" applyAlignment="1">
      <alignment horizontal="left" vertical="center" wrapText="1" readingOrder="1"/>
    </xf>
    <xf numFmtId="0" fontId="84" fillId="0" borderId="0" xfId="0" applyFont="1" applyAlignment="1">
      <alignment horizontal="left" vertical="center" wrapText="1" readingOrder="1"/>
    </xf>
    <xf numFmtId="0" fontId="73" fillId="0" borderId="0" xfId="0" applyFont="1" applyAlignment="1">
      <alignment horizontal="left" vertical="center" wrapText="1" readingOrder="1"/>
    </xf>
    <xf numFmtId="0" fontId="80" fillId="0" borderId="0" xfId="0" applyFont="1" applyAlignment="1">
      <alignment horizontal="left" wrapText="1" readingOrder="1"/>
    </xf>
    <xf numFmtId="175" fontId="81" fillId="30" borderId="14" xfId="0" applyNumberFormat="1" applyFont="1" applyFill="1" applyBorder="1" applyAlignment="1">
      <alignment horizontal="center" vertical="center" wrapText="1" readingOrder="1"/>
    </xf>
    <xf numFmtId="178" fontId="86" fillId="3" borderId="0" xfId="0" applyNumberFormat="1" applyFont="1" applyFill="1" applyAlignment="1">
      <alignment horizontal="center" vertical="center"/>
    </xf>
    <xf numFmtId="178" fontId="87" fillId="3" borderId="0" xfId="0" applyNumberFormat="1" applyFont="1" applyFill="1" applyAlignment="1">
      <alignment horizontal="center" vertical="center"/>
    </xf>
    <xf numFmtId="0" fontId="65" fillId="0" borderId="0" xfId="0" applyFont="1" applyAlignment="1">
      <alignment vertical="center"/>
    </xf>
    <xf numFmtId="174" fontId="88" fillId="24" borderId="0" xfId="0" applyNumberFormat="1" applyFont="1" applyFill="1" applyAlignment="1">
      <alignment horizontal="center" vertical="center"/>
    </xf>
    <xf numFmtId="174" fontId="88" fillId="24" borderId="30" xfId="0" applyNumberFormat="1" applyFont="1" applyFill="1" applyBorder="1" applyAlignment="1">
      <alignment horizontal="center" vertical="center"/>
    </xf>
    <xf numFmtId="0" fontId="60" fillId="0" borderId="0" xfId="0" applyFont="1" applyAlignment="1">
      <alignment vertical="center"/>
    </xf>
    <xf numFmtId="174" fontId="89" fillId="24" borderId="0" xfId="0" applyNumberFormat="1" applyFont="1" applyFill="1" applyAlignment="1">
      <alignment horizontal="center" vertical="center"/>
    </xf>
    <xf numFmtId="178" fontId="88" fillId="24" borderId="0" xfId="0" applyNumberFormat="1" applyFont="1" applyFill="1" applyAlignment="1">
      <alignment horizontal="center" vertical="center"/>
    </xf>
    <xf numFmtId="178" fontId="89" fillId="24" borderId="0" xfId="0" applyNumberFormat="1" applyFont="1" applyFill="1" applyAlignment="1">
      <alignment horizontal="center" vertical="center"/>
    </xf>
    <xf numFmtId="174" fontId="88" fillId="12" borderId="0" xfId="0" applyNumberFormat="1" applyFont="1" applyFill="1" applyAlignment="1">
      <alignment horizontal="center" vertical="center"/>
    </xf>
    <xf numFmtId="174" fontId="88" fillId="12" borderId="30" xfId="0" applyNumberFormat="1" applyFont="1" applyFill="1" applyBorder="1" applyAlignment="1">
      <alignment horizontal="center" vertical="center"/>
    </xf>
    <xf numFmtId="174" fontId="89" fillId="12" borderId="0" xfId="0" applyNumberFormat="1" applyFont="1" applyFill="1" applyAlignment="1">
      <alignment horizontal="center" vertical="center"/>
    </xf>
    <xf numFmtId="178" fontId="88" fillId="12" borderId="0" xfId="0" applyNumberFormat="1" applyFont="1" applyFill="1" applyAlignment="1">
      <alignment horizontal="center" vertical="center"/>
    </xf>
    <xf numFmtId="178" fontId="89" fillId="12" borderId="0" xfId="0" applyNumberFormat="1" applyFont="1" applyFill="1" applyAlignment="1">
      <alignment horizontal="center" vertical="center"/>
    </xf>
    <xf numFmtId="164" fontId="11" fillId="0" borderId="0" xfId="0" applyNumberFormat="1" applyFont="1"/>
    <xf numFmtId="168" fontId="39" fillId="15" borderId="10" xfId="9" applyNumberFormat="1" applyFont="1" applyFill="1" applyBorder="1" applyAlignment="1">
      <alignment horizontal="center" vertical="center"/>
    </xf>
    <xf numFmtId="168" fontId="72" fillId="0" borderId="11" xfId="9" applyNumberFormat="1" applyFont="1" applyBorder="1" applyAlignment="1">
      <alignment horizontal="center" vertical="center"/>
    </xf>
    <xf numFmtId="168" fontId="44" fillId="29" borderId="0" xfId="9" applyNumberFormat="1" applyFont="1" applyFill="1" applyAlignment="1">
      <alignment horizontal="center" vertical="center"/>
    </xf>
    <xf numFmtId="168" fontId="43" fillId="29" borderId="0" xfId="9" applyNumberFormat="1" applyFont="1" applyFill="1" applyAlignment="1">
      <alignment horizontal="center" vertical="center"/>
    </xf>
    <xf numFmtId="168" fontId="11" fillId="0" borderId="17" xfId="9" applyNumberFormat="1" applyFont="1" applyBorder="1" applyAlignment="1">
      <alignment horizontal="center" vertical="center"/>
    </xf>
    <xf numFmtId="168" fontId="15" fillId="15" borderId="17" xfId="9" applyNumberFormat="1" applyFont="1" applyFill="1" applyBorder="1" applyAlignment="1">
      <alignment horizontal="center" vertical="center"/>
    </xf>
    <xf numFmtId="9" fontId="55" fillId="0" borderId="0" xfId="2" applyFont="1"/>
    <xf numFmtId="181" fontId="43" fillId="0" borderId="0" xfId="9" applyNumberFormat="1" applyFont="1" applyAlignment="1">
      <alignment horizontal="center" vertical="center"/>
    </xf>
    <xf numFmtId="0" fontId="68" fillId="0" borderId="0" xfId="9" applyFont="1" applyAlignment="1">
      <alignment horizontal="left"/>
    </xf>
    <xf numFmtId="189" fontId="0" fillId="0" borderId="0" xfId="0" applyNumberFormat="1" applyAlignment="1">
      <alignment horizontal="left" vertical="center" indent="3"/>
    </xf>
    <xf numFmtId="185" fontId="90" fillId="0" borderId="0" xfId="0" applyNumberFormat="1" applyFont="1" applyAlignment="1">
      <alignment horizontal="center" vertical="center"/>
    </xf>
    <xf numFmtId="185" fontId="91" fillId="15" borderId="32" xfId="0" applyNumberFormat="1" applyFont="1" applyFill="1" applyBorder="1" applyAlignment="1">
      <alignment horizontal="center" vertical="center"/>
    </xf>
    <xf numFmtId="185" fontId="92" fillId="0" borderId="0" xfId="0" applyNumberFormat="1" applyFont="1" applyAlignment="1">
      <alignment horizontal="center" vertical="center"/>
    </xf>
    <xf numFmtId="185" fontId="92" fillId="0" borderId="0" xfId="0" applyNumberFormat="1" applyFont="1" applyAlignment="1">
      <alignment horizontal="left" vertical="center" indent="3"/>
    </xf>
    <xf numFmtId="0" fontId="60" fillId="0" borderId="34" xfId="9" applyFont="1" applyBorder="1" applyAlignment="1">
      <alignment vertical="center"/>
    </xf>
    <xf numFmtId="0" fontId="60" fillId="0" borderId="36" xfId="9" applyFont="1" applyBorder="1" applyAlignment="1">
      <alignment vertical="center"/>
    </xf>
    <xf numFmtId="0" fontId="60" fillId="0" borderId="38" xfId="9" applyFont="1" applyBorder="1" applyAlignment="1">
      <alignment vertical="center"/>
    </xf>
    <xf numFmtId="0" fontId="60" fillId="0" borderId="39" xfId="9" applyFont="1" applyBorder="1" applyAlignment="1">
      <alignment vertical="center"/>
    </xf>
    <xf numFmtId="189" fontId="0" fillId="12" borderId="37" xfId="0" applyNumberFormat="1" applyFill="1" applyBorder="1" applyAlignment="1">
      <alignment horizontal="left" vertical="center" indent="3"/>
    </xf>
    <xf numFmtId="0" fontId="60" fillId="12" borderId="38" xfId="9" applyFont="1" applyFill="1" applyBorder="1" applyAlignment="1">
      <alignment vertical="center"/>
    </xf>
    <xf numFmtId="0" fontId="76" fillId="12" borderId="38" xfId="9" applyFont="1" applyFill="1" applyBorder="1" applyAlignment="1">
      <alignment vertical="center"/>
    </xf>
    <xf numFmtId="189" fontId="0" fillId="12" borderId="35" xfId="0" applyNumberFormat="1" applyFill="1" applyBorder="1" applyAlignment="1">
      <alignment horizontal="left" vertical="center" indent="3"/>
    </xf>
    <xf numFmtId="0" fontId="60" fillId="12" borderId="36" xfId="9" applyFont="1" applyFill="1" applyBorder="1" applyAlignment="1">
      <alignment vertical="center"/>
    </xf>
    <xf numFmtId="0" fontId="76" fillId="12" borderId="36" xfId="9" applyFont="1" applyFill="1" applyBorder="1" applyAlignment="1">
      <alignment vertical="center"/>
    </xf>
    <xf numFmtId="188" fontId="93" fillId="0" borderId="0" xfId="0" applyNumberFormat="1" applyFont="1" applyAlignment="1">
      <alignment horizontal="left" vertical="center" indent="2"/>
    </xf>
    <xf numFmtId="172" fontId="90" fillId="0" borderId="0" xfId="0" applyNumberFormat="1" applyFont="1" applyAlignment="1">
      <alignment horizontal="center" vertical="center"/>
    </xf>
    <xf numFmtId="172" fontId="91" fillId="15" borderId="32" xfId="0" applyNumberFormat="1" applyFont="1" applyFill="1" applyBorder="1" applyAlignment="1">
      <alignment horizontal="center" vertical="center"/>
    </xf>
    <xf numFmtId="172" fontId="92" fillId="0" borderId="0" xfId="0" applyNumberFormat="1" applyFont="1" applyAlignment="1">
      <alignment horizontal="center" vertical="center"/>
    </xf>
    <xf numFmtId="172" fontId="92" fillId="0" borderId="0" xfId="0" applyNumberFormat="1" applyFont="1" applyAlignment="1">
      <alignment horizontal="left" vertical="center" indent="3"/>
    </xf>
    <xf numFmtId="171" fontId="90" fillId="0" borderId="0" xfId="2" applyNumberFormat="1" applyFont="1" applyFill="1" applyAlignment="1">
      <alignment horizontal="center" vertical="center"/>
    </xf>
    <xf numFmtId="178" fontId="91" fillId="15" borderId="40" xfId="0" applyNumberFormat="1" applyFont="1" applyFill="1" applyBorder="1" applyAlignment="1">
      <alignment horizontal="center" vertical="center"/>
    </xf>
    <xf numFmtId="178" fontId="91" fillId="15" borderId="32" xfId="0" applyNumberFormat="1" applyFont="1" applyFill="1" applyBorder="1" applyAlignment="1">
      <alignment horizontal="center" vertical="center"/>
    </xf>
    <xf numFmtId="171" fontId="90" fillId="0" borderId="0" xfId="2" applyNumberFormat="1" applyFont="1" applyFill="1" applyAlignment="1">
      <alignment horizontal="center"/>
    </xf>
    <xf numFmtId="190" fontId="91" fillId="31" borderId="33" xfId="0" applyNumberFormat="1" applyFont="1" applyFill="1" applyBorder="1" applyAlignment="1">
      <alignment horizontal="center" vertical="center"/>
    </xf>
    <xf numFmtId="190" fontId="91" fillId="31" borderId="37" xfId="0" applyNumberFormat="1" applyFont="1" applyFill="1" applyBorder="1" applyAlignment="1">
      <alignment horizontal="center" vertical="center"/>
    </xf>
    <xf numFmtId="190" fontId="91" fillId="31" borderId="32" xfId="0" applyNumberFormat="1" applyFont="1" applyFill="1" applyBorder="1" applyAlignment="1">
      <alignment horizontal="center" vertical="center"/>
    </xf>
    <xf numFmtId="190" fontId="90" fillId="0" borderId="0" xfId="0" applyNumberFormat="1" applyFont="1" applyAlignment="1">
      <alignment horizontal="center" vertical="center"/>
    </xf>
    <xf numFmtId="190" fontId="91" fillId="31" borderId="40" xfId="0" applyNumberFormat="1" applyFont="1" applyFill="1" applyBorder="1" applyAlignment="1">
      <alignment horizontal="center" vertical="center"/>
    </xf>
    <xf numFmtId="185" fontId="91" fillId="15" borderId="40" xfId="0" applyNumberFormat="1" applyFont="1" applyFill="1" applyBorder="1" applyAlignment="1">
      <alignment horizontal="center" vertical="center"/>
    </xf>
    <xf numFmtId="178" fontId="90" fillId="0" borderId="0" xfId="0" applyNumberFormat="1" applyFont="1" applyAlignment="1">
      <alignment horizontal="center" vertical="center"/>
    </xf>
    <xf numFmtId="172" fontId="91" fillId="15" borderId="40" xfId="0" applyNumberFormat="1" applyFont="1" applyFill="1" applyBorder="1" applyAlignment="1">
      <alignment horizontal="center" vertical="center"/>
    </xf>
    <xf numFmtId="172" fontId="94" fillId="0" borderId="36" xfId="0" applyNumberFormat="1" applyFont="1" applyBorder="1" applyAlignment="1">
      <alignment horizontal="center" vertical="center"/>
    </xf>
    <xf numFmtId="171" fontId="82" fillId="0" borderId="0" xfId="2" applyNumberFormat="1" applyFont="1" applyFill="1" applyAlignment="1">
      <alignment horizontal="center"/>
    </xf>
    <xf numFmtId="0" fontId="65" fillId="3" borderId="0" xfId="0" applyFont="1" applyFill="1"/>
    <xf numFmtId="189" fontId="0" fillId="3" borderId="0" xfId="0" applyNumberFormat="1" applyFill="1" applyAlignment="1">
      <alignment horizontal="left" vertical="center" indent="3"/>
    </xf>
    <xf numFmtId="0" fontId="60" fillId="3" borderId="0" xfId="9" applyFont="1" applyFill="1" applyAlignment="1">
      <alignment vertical="center"/>
    </xf>
    <xf numFmtId="0" fontId="76" fillId="3" borderId="0" xfId="9" applyFont="1" applyFill="1" applyAlignment="1">
      <alignment vertical="center"/>
    </xf>
    <xf numFmtId="185" fontId="91" fillId="9" borderId="0" xfId="0" applyNumberFormat="1" applyFont="1" applyFill="1" applyAlignment="1">
      <alignment horizontal="center" vertical="center"/>
    </xf>
    <xf numFmtId="165" fontId="60" fillId="3" borderId="0" xfId="9" applyNumberFormat="1" applyFont="1" applyFill="1" applyAlignment="1">
      <alignment horizontal="center" vertical="center"/>
    </xf>
    <xf numFmtId="174" fontId="50" fillId="3" borderId="41" xfId="0" applyNumberFormat="1" applyFont="1" applyFill="1" applyBorder="1" applyAlignment="1">
      <alignment horizontal="center" vertical="center"/>
    </xf>
    <xf numFmtId="174" fontId="88" fillId="24" borderId="41" xfId="0" applyNumberFormat="1" applyFont="1" applyFill="1" applyBorder="1" applyAlignment="1">
      <alignment horizontal="center" vertical="center"/>
    </xf>
    <xf numFmtId="174" fontId="88" fillId="12" borderId="41" xfId="0" applyNumberFormat="1" applyFont="1" applyFill="1" applyBorder="1" applyAlignment="1">
      <alignment horizontal="center" vertical="center"/>
    </xf>
    <xf numFmtId="184" fontId="53" fillId="3" borderId="41" xfId="2" applyNumberFormat="1" applyFont="1" applyFill="1" applyBorder="1" applyAlignment="1">
      <alignment horizontal="center" vertical="center"/>
    </xf>
    <xf numFmtId="174" fontId="58" fillId="3" borderId="30" xfId="0" applyNumberFormat="1" applyFont="1" applyFill="1" applyBorder="1" applyAlignment="1">
      <alignment horizontal="center" vertical="center"/>
    </xf>
    <xf numFmtId="171" fontId="90" fillId="0" borderId="0" xfId="2" applyNumberFormat="1" applyFont="1" applyAlignment="1">
      <alignment horizontal="center" vertical="center"/>
    </xf>
    <xf numFmtId="171" fontId="91" fillId="15" borderId="32" xfId="2" applyNumberFormat="1" applyFont="1" applyFill="1" applyBorder="1" applyAlignment="1">
      <alignment horizontal="center" vertical="center"/>
    </xf>
    <xf numFmtId="171" fontId="90" fillId="0" borderId="0" xfId="2" applyNumberFormat="1" applyFont="1" applyAlignment="1">
      <alignment horizontal="center"/>
    </xf>
    <xf numFmtId="172" fontId="96" fillId="0" borderId="42" xfId="0" applyNumberFormat="1" applyFont="1" applyBorder="1" applyAlignment="1">
      <alignment horizontal="center" vertical="center"/>
    </xf>
    <xf numFmtId="171" fontId="82" fillId="0" borderId="0" xfId="2" applyNumberFormat="1" applyFont="1" applyAlignment="1">
      <alignment horizontal="center"/>
    </xf>
    <xf numFmtId="174" fontId="11" fillId="0" borderId="0" xfId="0" applyNumberFormat="1" applyFont="1" applyAlignment="1">
      <alignment vertical="center"/>
    </xf>
    <xf numFmtId="178" fontId="11" fillId="0" borderId="0" xfId="0" applyNumberFormat="1" applyFont="1" applyAlignment="1">
      <alignment vertical="center"/>
    </xf>
    <xf numFmtId="169" fontId="15" fillId="12" borderId="10" xfId="9" applyNumberFormat="1" applyFont="1" applyFill="1" applyBorder="1" applyAlignment="1">
      <alignment horizontal="left" vertical="center"/>
    </xf>
    <xf numFmtId="168" fontId="35" fillId="12" borderId="10" xfId="9" applyNumberFormat="1" applyFont="1" applyFill="1" applyBorder="1" applyAlignment="1">
      <alignment horizontal="center" vertical="center"/>
    </xf>
    <xf numFmtId="169" fontId="60" fillId="12" borderId="10" xfId="9" applyNumberFormat="1" applyFont="1" applyFill="1" applyBorder="1" applyAlignment="1">
      <alignment horizontal="left" vertical="center"/>
    </xf>
    <xf numFmtId="0" fontId="60" fillId="12" borderId="10" xfId="1" applyNumberFormat="1" applyFont="1" applyFill="1" applyBorder="1" applyAlignment="1">
      <alignment horizontal="center" vertical="center"/>
    </xf>
    <xf numFmtId="168" fontId="59" fillId="12" borderId="10" xfId="9" applyNumberFormat="1" applyFont="1" applyFill="1" applyBorder="1" applyAlignment="1">
      <alignment horizontal="center" vertical="center"/>
    </xf>
    <xf numFmtId="0" fontId="97" fillId="0" borderId="0" xfId="0" applyFont="1" applyAlignment="1">
      <alignment vertical="center"/>
    </xf>
    <xf numFmtId="191" fontId="97" fillId="0" borderId="0" xfId="0" applyNumberFormat="1" applyFont="1" applyAlignment="1">
      <alignment vertical="center"/>
    </xf>
    <xf numFmtId="175" fontId="98" fillId="19" borderId="0" xfId="0" applyNumberFormat="1" applyFont="1" applyFill="1" applyAlignment="1">
      <alignment horizontal="left" vertical="center" wrapText="1" readingOrder="1"/>
    </xf>
    <xf numFmtId="0" fontId="12" fillId="0" borderId="0" xfId="0" applyFont="1" applyAlignment="1">
      <alignment vertical="center"/>
    </xf>
    <xf numFmtId="175" fontId="98" fillId="30" borderId="29" xfId="0" applyNumberFormat="1" applyFont="1" applyFill="1" applyBorder="1" applyAlignment="1">
      <alignment horizontal="left" vertical="center" wrapText="1" readingOrder="1"/>
    </xf>
    <xf numFmtId="174" fontId="50" fillId="3" borderId="31" xfId="0" applyNumberFormat="1" applyFont="1" applyFill="1" applyBorder="1" applyAlignment="1">
      <alignment horizontal="center" vertical="center"/>
    </xf>
    <xf numFmtId="49" fontId="64" fillId="0" borderId="0" xfId="9" applyNumberFormat="1" applyFont="1" applyAlignment="1">
      <alignment horizontal="left" vertical="top"/>
    </xf>
    <xf numFmtId="193" fontId="97" fillId="0" borderId="0" xfId="0" applyNumberFormat="1" applyFont="1" applyAlignment="1">
      <alignment vertical="center"/>
    </xf>
    <xf numFmtId="169" fontId="44" fillId="0" borderId="0" xfId="9" applyNumberFormat="1" applyFont="1" applyAlignment="1">
      <alignment horizontal="left" vertical="center"/>
    </xf>
    <xf numFmtId="0" fontId="35" fillId="12" borderId="10" xfId="9" applyFont="1" applyFill="1" applyBorder="1" applyAlignment="1">
      <alignment vertical="center"/>
    </xf>
    <xf numFmtId="0" fontId="100" fillId="0" borderId="0" xfId="0" applyFont="1"/>
    <xf numFmtId="0" fontId="44" fillId="0" borderId="0" xfId="1" applyNumberFormat="1" applyFont="1" applyAlignment="1">
      <alignment horizontal="center" vertical="center"/>
    </xf>
    <xf numFmtId="0" fontId="44" fillId="0" borderId="0" xfId="1" applyNumberFormat="1" applyFont="1" applyFill="1" applyAlignment="1">
      <alignment horizontal="center" vertical="center"/>
    </xf>
    <xf numFmtId="0" fontId="35" fillId="12" borderId="10" xfId="1" applyNumberFormat="1" applyFont="1" applyFill="1" applyBorder="1" applyAlignment="1">
      <alignment horizontal="center" vertical="center"/>
    </xf>
    <xf numFmtId="0" fontId="100" fillId="0" borderId="0" xfId="1" applyNumberFormat="1" applyFont="1" applyAlignment="1">
      <alignment horizontal="center"/>
    </xf>
    <xf numFmtId="168" fontId="35" fillId="12" borderId="10" xfId="1" applyNumberFormat="1" applyFont="1" applyFill="1" applyBorder="1" applyAlignment="1">
      <alignment horizontal="center" vertical="center"/>
    </xf>
    <xf numFmtId="0" fontId="15" fillId="0" borderId="11" xfId="0" applyFont="1" applyBorder="1" applyAlignment="1">
      <alignment vertical="center"/>
    </xf>
    <xf numFmtId="0" fontId="11" fillId="0" borderId="0" xfId="0" applyFont="1" applyAlignment="1">
      <alignment horizontal="left" vertical="center"/>
    </xf>
    <xf numFmtId="0" fontId="15" fillId="0" borderId="13" xfId="0" applyFont="1" applyBorder="1" applyAlignment="1">
      <alignment vertical="center"/>
    </xf>
    <xf numFmtId="4" fontId="34" fillId="0" borderId="0" xfId="0" applyNumberFormat="1" applyFont="1" applyAlignment="1">
      <alignment vertical="center"/>
    </xf>
    <xf numFmtId="168" fontId="41" fillId="0" borderId="0" xfId="9" applyNumberFormat="1" applyFont="1" applyAlignment="1">
      <alignment horizontal="center" vertical="center"/>
    </xf>
    <xf numFmtId="0" fontId="11" fillId="0" borderId="0" xfId="1" applyNumberFormat="1" applyFont="1" applyFill="1" applyAlignment="1">
      <alignment horizontal="center" vertical="center"/>
    </xf>
    <xf numFmtId="0" fontId="34" fillId="0" borderId="0" xfId="0" applyFont="1" applyAlignment="1">
      <alignment horizontal="center"/>
    </xf>
    <xf numFmtId="168" fontId="39" fillId="0" borderId="11" xfId="9" applyNumberFormat="1" applyFont="1" applyBorder="1" applyAlignment="1">
      <alignment horizontal="center" vertical="center"/>
    </xf>
    <xf numFmtId="168" fontId="40" fillId="0" borderId="13" xfId="9" applyNumberFormat="1" applyFont="1" applyBorder="1" applyAlignment="1">
      <alignment horizontal="center" vertical="center"/>
    </xf>
    <xf numFmtId="168" fontId="40" fillId="0" borderId="11" xfId="9" applyNumberFormat="1" applyFont="1" applyBorder="1" applyAlignment="1">
      <alignment horizontal="center" vertical="center"/>
    </xf>
    <xf numFmtId="169" fontId="65" fillId="0" borderId="0" xfId="9" applyNumberFormat="1" applyFont="1" applyAlignment="1">
      <alignment horizontal="left" vertical="center"/>
    </xf>
    <xf numFmtId="194" fontId="65" fillId="0" borderId="0" xfId="0" applyNumberFormat="1" applyFont="1" applyAlignment="1">
      <alignment vertical="center"/>
    </xf>
    <xf numFmtId="168" fontId="80" fillId="0" borderId="0" xfId="9" applyNumberFormat="1" applyFont="1" applyAlignment="1">
      <alignment horizontal="center" vertical="center"/>
    </xf>
    <xf numFmtId="168" fontId="101" fillId="0" borderId="0" xfId="9" applyNumberFormat="1" applyFont="1" applyAlignment="1">
      <alignment horizontal="center" vertical="center"/>
    </xf>
    <xf numFmtId="169" fontId="60" fillId="15" borderId="10" xfId="9" applyNumberFormat="1" applyFont="1" applyFill="1" applyBorder="1" applyAlignment="1">
      <alignment horizontal="center" vertical="center"/>
    </xf>
    <xf numFmtId="195" fontId="65" fillId="0" borderId="0" xfId="2" applyNumberFormat="1" applyFont="1" applyAlignment="1">
      <alignment horizontal="center"/>
    </xf>
    <xf numFmtId="168" fontId="73" fillId="15" borderId="12" xfId="9" applyNumberFormat="1" applyFont="1" applyFill="1" applyBorder="1" applyAlignment="1">
      <alignment horizontal="center" vertical="center"/>
    </xf>
    <xf numFmtId="165" fontId="65" fillId="0" borderId="0" xfId="0" applyNumberFormat="1" applyFont="1" applyAlignment="1">
      <alignment horizontal="center"/>
    </xf>
    <xf numFmtId="196" fontId="65" fillId="0" borderId="0" xfId="0" applyNumberFormat="1" applyFont="1" applyAlignment="1">
      <alignment horizontal="center"/>
    </xf>
    <xf numFmtId="0" fontId="60" fillId="0" borderId="11" xfId="0" applyFont="1" applyBorder="1" applyAlignment="1">
      <alignment vertical="center"/>
    </xf>
    <xf numFmtId="0" fontId="65" fillId="0" borderId="0" xfId="0" applyFont="1" applyAlignment="1">
      <alignment horizontal="left" vertical="center"/>
    </xf>
    <xf numFmtId="0" fontId="60" fillId="0" borderId="13" xfId="0" applyFont="1" applyBorder="1" applyAlignment="1">
      <alignment vertical="center"/>
    </xf>
    <xf numFmtId="0" fontId="65" fillId="0" borderId="0" xfId="0" applyFont="1" applyAlignment="1">
      <alignment horizontal="center"/>
    </xf>
    <xf numFmtId="168" fontId="102" fillId="0" borderId="0" xfId="9" applyNumberFormat="1" applyFont="1" applyAlignment="1">
      <alignment horizontal="center" vertical="center"/>
    </xf>
    <xf numFmtId="168" fontId="73" fillId="0" borderId="11" xfId="9" applyNumberFormat="1" applyFont="1" applyBorder="1" applyAlignment="1">
      <alignment horizontal="center" vertical="center"/>
    </xf>
    <xf numFmtId="168" fontId="80" fillId="0" borderId="10" xfId="9" applyNumberFormat="1" applyFont="1" applyBorder="1" applyAlignment="1">
      <alignment horizontal="center" vertical="center"/>
    </xf>
    <xf numFmtId="0" fontId="82" fillId="24" borderId="10" xfId="0" applyFont="1" applyFill="1" applyBorder="1"/>
    <xf numFmtId="168" fontId="15" fillId="24" borderId="10" xfId="9" applyNumberFormat="1" applyFont="1" applyFill="1" applyBorder="1" applyAlignment="1">
      <alignment horizontal="center" vertical="center"/>
    </xf>
    <xf numFmtId="17" fontId="90" fillId="24" borderId="44" xfId="14" applyNumberFormat="1" applyFont="1" applyFill="1" applyBorder="1" applyAlignment="1">
      <alignment horizontal="center" vertical="center"/>
    </xf>
    <xf numFmtId="192" fontId="43" fillId="0" borderId="0" xfId="9" applyNumberFormat="1" applyFont="1" applyAlignment="1">
      <alignment horizontal="center" vertical="center"/>
    </xf>
    <xf numFmtId="0" fontId="55" fillId="29" borderId="43" xfId="0" applyFont="1" applyFill="1" applyBorder="1" applyAlignment="1">
      <alignment horizontal="left" vertical="center" readingOrder="1"/>
    </xf>
    <xf numFmtId="181" fontId="43" fillId="29" borderId="0" xfId="9" applyNumberFormat="1" applyFont="1" applyFill="1" applyAlignment="1">
      <alignment horizontal="center" vertical="center"/>
    </xf>
    <xf numFmtId="0" fontId="0" fillId="29" borderId="0" xfId="0" applyFill="1"/>
    <xf numFmtId="0" fontId="65" fillId="29" borderId="0" xfId="0" applyFont="1" applyFill="1"/>
    <xf numFmtId="192" fontId="43" fillId="29" borderId="0" xfId="9" applyNumberFormat="1" applyFont="1" applyFill="1" applyAlignment="1">
      <alignment horizontal="center" vertical="center"/>
    </xf>
    <xf numFmtId="0" fontId="55" fillId="0" borderId="0" xfId="12" applyFont="1"/>
    <xf numFmtId="0" fontId="72" fillId="0" borderId="0" xfId="0" applyFont="1"/>
    <xf numFmtId="0" fontId="69" fillId="0" borderId="0" xfId="9" applyFont="1" applyAlignment="1">
      <alignment horizontal="left"/>
    </xf>
    <xf numFmtId="168" fontId="35" fillId="0" borderId="17" xfId="9" applyNumberFormat="1" applyFont="1" applyBorder="1" applyAlignment="1">
      <alignment horizontal="center" vertical="center"/>
    </xf>
    <xf numFmtId="168" fontId="72" fillId="0" borderId="0" xfId="1" applyNumberFormat="1" applyFont="1" applyFill="1"/>
    <xf numFmtId="9" fontId="72" fillId="0" borderId="0" xfId="2" applyFont="1" applyFill="1"/>
    <xf numFmtId="9" fontId="67" fillId="0" borderId="0" xfId="2" applyFont="1" applyFill="1" applyAlignment="1">
      <alignment horizontal="center"/>
    </xf>
    <xf numFmtId="9" fontId="65" fillId="0" borderId="0" xfId="2" applyFont="1" applyFill="1"/>
    <xf numFmtId="168" fontId="65" fillId="0" borderId="0" xfId="1" applyNumberFormat="1" applyFont="1" applyFill="1"/>
    <xf numFmtId="168" fontId="59" fillId="0" borderId="10" xfId="9" applyNumberFormat="1" applyFont="1" applyBorder="1" applyAlignment="1">
      <alignment horizontal="center" vertical="center"/>
    </xf>
    <xf numFmtId="43" fontId="65" fillId="0" borderId="0" xfId="1" applyFont="1" applyFill="1"/>
    <xf numFmtId="164" fontId="65" fillId="0" borderId="0" xfId="0" applyNumberFormat="1" applyFont="1"/>
    <xf numFmtId="43" fontId="65" fillId="0" borderId="0" xfId="0" applyNumberFormat="1" applyFont="1"/>
    <xf numFmtId="0" fontId="103" fillId="0" borderId="0" xfId="0" applyFont="1"/>
    <xf numFmtId="0" fontId="103" fillId="0" borderId="11" xfId="0" applyFont="1" applyBorder="1"/>
    <xf numFmtId="168" fontId="104" fillId="0" borderId="0" xfId="0" applyNumberFormat="1" applyFont="1" applyAlignment="1">
      <alignment horizontal="center"/>
    </xf>
    <xf numFmtId="184" fontId="53" fillId="0" borderId="30" xfId="2" applyNumberFormat="1" applyFont="1" applyFill="1" applyBorder="1" applyAlignment="1">
      <alignment horizontal="center" vertical="center"/>
    </xf>
    <xf numFmtId="182" fontId="43" fillId="0" borderId="10" xfId="9" applyNumberFormat="1" applyFont="1" applyBorder="1" applyAlignment="1">
      <alignment horizontal="center" vertical="center"/>
    </xf>
    <xf numFmtId="172" fontId="94" fillId="0" borderId="42" xfId="0" applyNumberFormat="1" applyFont="1" applyBorder="1" applyAlignment="1">
      <alignment horizontal="center" vertical="center"/>
    </xf>
    <xf numFmtId="198" fontId="86" fillId="3" borderId="0" xfId="0" applyNumberFormat="1" applyFont="1" applyFill="1" applyAlignment="1">
      <alignment horizontal="center" vertical="center"/>
    </xf>
    <xf numFmtId="198" fontId="88" fillId="24" borderId="0" xfId="0" applyNumberFormat="1" applyFont="1" applyFill="1" applyAlignment="1">
      <alignment horizontal="center" vertical="center"/>
    </xf>
    <xf numFmtId="198" fontId="88" fillId="12" borderId="0" xfId="0" applyNumberFormat="1" applyFont="1" applyFill="1" applyAlignment="1">
      <alignment horizontal="center" vertical="center"/>
    </xf>
    <xf numFmtId="0" fontId="2" fillId="29" borderId="0" xfId="8" applyFont="1" applyFill="1" applyAlignment="1">
      <alignment horizontal="left" vertical="center"/>
    </xf>
    <xf numFmtId="199" fontId="11" fillId="0" borderId="10" xfId="9" applyNumberFormat="1" applyFont="1" applyBorder="1" applyAlignment="1">
      <alignment horizontal="center" vertical="center"/>
    </xf>
    <xf numFmtId="199" fontId="15" fillId="15" borderId="11" xfId="9" applyNumberFormat="1" applyFont="1" applyFill="1" applyBorder="1" applyAlignment="1">
      <alignment horizontal="center" vertical="center"/>
    </xf>
    <xf numFmtId="164" fontId="0" fillId="0" borderId="0" xfId="0" applyNumberFormat="1"/>
    <xf numFmtId="187" fontId="0" fillId="0" borderId="0" xfId="0" applyNumberFormat="1"/>
    <xf numFmtId="0" fontId="11" fillId="0" borderId="10" xfId="1" applyNumberFormat="1" applyFont="1" applyFill="1" applyBorder="1" applyAlignment="1">
      <alignment horizontal="center" vertical="center"/>
    </xf>
    <xf numFmtId="43" fontId="11" fillId="0" borderId="0" xfId="1" applyFont="1" applyFill="1"/>
    <xf numFmtId="0" fontId="2" fillId="32" borderId="0" xfId="8" applyFont="1" applyFill="1" applyAlignment="1">
      <alignment horizontal="left" vertical="center"/>
    </xf>
    <xf numFmtId="181" fontId="35" fillId="0" borderId="10" xfId="9" applyNumberFormat="1" applyFont="1" applyBorder="1" applyAlignment="1">
      <alignment horizontal="center" vertical="center"/>
    </xf>
    <xf numFmtId="197" fontId="72" fillId="0" borderId="0" xfId="1" applyNumberFormat="1" applyFont="1"/>
    <xf numFmtId="197" fontId="72" fillId="0" borderId="0" xfId="0" applyNumberFormat="1" applyFont="1"/>
    <xf numFmtId="197" fontId="65" fillId="0" borderId="0" xfId="0" applyNumberFormat="1" applyFont="1"/>
    <xf numFmtId="168" fontId="35" fillId="31" borderId="17" xfId="9" applyNumberFormat="1" applyFont="1" applyFill="1" applyBorder="1" applyAlignment="1">
      <alignment horizontal="center" vertical="center"/>
    </xf>
    <xf numFmtId="182" fontId="44" fillId="0" borderId="0" xfId="9" applyNumberFormat="1" applyFont="1" applyAlignment="1">
      <alignment horizontal="center" vertical="center"/>
    </xf>
    <xf numFmtId="168" fontId="65" fillId="12" borderId="10" xfId="9" applyNumberFormat="1" applyFont="1" applyFill="1" applyBorder="1" applyAlignment="1">
      <alignment vertical="center"/>
    </xf>
    <xf numFmtId="169" fontId="60" fillId="12" borderId="11" xfId="9" applyNumberFormat="1" applyFont="1" applyFill="1" applyBorder="1" applyAlignment="1">
      <alignment horizontal="center" vertical="center"/>
    </xf>
    <xf numFmtId="168" fontId="75" fillId="12" borderId="11" xfId="9" applyNumberFormat="1" applyFont="1" applyFill="1" applyBorder="1" applyAlignment="1">
      <alignment horizontal="center" vertical="center"/>
    </xf>
    <xf numFmtId="168" fontId="69" fillId="4" borderId="0" xfId="9" applyNumberFormat="1" applyFont="1" applyFill="1" applyAlignment="1">
      <alignment horizontal="left"/>
    </xf>
    <xf numFmtId="0" fontId="95" fillId="0" borderId="0" xfId="0" applyFont="1"/>
    <xf numFmtId="168" fontId="44" fillId="0" borderId="13" xfId="9" applyNumberFormat="1" applyFont="1" applyBorder="1" applyAlignment="1">
      <alignment horizontal="center" vertical="center"/>
    </xf>
    <xf numFmtId="168" fontId="35" fillId="0" borderId="0" xfId="9" applyNumberFormat="1" applyFont="1" applyAlignment="1">
      <alignment horizontal="center" vertical="center"/>
    </xf>
    <xf numFmtId="0" fontId="65" fillId="32" borderId="0" xfId="0" applyFont="1" applyFill="1"/>
    <xf numFmtId="168" fontId="44" fillId="32" borderId="0" xfId="9" applyNumberFormat="1" applyFont="1" applyFill="1" applyAlignment="1">
      <alignment horizontal="center" vertical="center"/>
    </xf>
    <xf numFmtId="200" fontId="65" fillId="0" borderId="0" xfId="0" applyNumberFormat="1" applyFont="1"/>
    <xf numFmtId="182" fontId="44" fillId="32" borderId="0" xfId="9" applyNumberFormat="1" applyFont="1" applyFill="1" applyAlignment="1">
      <alignment horizontal="center" vertical="center"/>
    </xf>
    <xf numFmtId="168" fontId="43" fillId="32" borderId="0" xfId="9" applyNumberFormat="1" applyFont="1" applyFill="1" applyAlignment="1">
      <alignment horizontal="center" vertical="center"/>
    </xf>
    <xf numFmtId="181" fontId="43" fillId="32" borderId="0" xfId="9" applyNumberFormat="1" applyFont="1" applyFill="1" applyAlignment="1">
      <alignment horizontal="center" vertical="center"/>
    </xf>
    <xf numFmtId="182" fontId="65" fillId="0" borderId="0" xfId="0" applyNumberFormat="1" applyFont="1"/>
    <xf numFmtId="201" fontId="79" fillId="0" borderId="0" xfId="9" applyNumberFormat="1" applyFont="1" applyAlignment="1">
      <alignment horizontal="center" vertical="center"/>
    </xf>
    <xf numFmtId="44" fontId="11" fillId="0" borderId="0" xfId="1" applyNumberFormat="1" applyFont="1"/>
    <xf numFmtId="202" fontId="72" fillId="0" borderId="0" xfId="1" applyNumberFormat="1" applyFont="1"/>
    <xf numFmtId="181" fontId="72" fillId="0" borderId="0" xfId="0" applyNumberFormat="1" applyFont="1"/>
    <xf numFmtId="192" fontId="44" fillId="0" borderId="0" xfId="9" applyNumberFormat="1" applyFont="1" applyAlignment="1">
      <alignment horizontal="center" vertical="center"/>
    </xf>
    <xf numFmtId="181" fontId="44" fillId="0" borderId="0" xfId="9" applyNumberFormat="1" applyFont="1" applyAlignment="1">
      <alignment horizontal="center" vertical="center"/>
    </xf>
    <xf numFmtId="179" fontId="44" fillId="0" borderId="10" xfId="9" applyNumberFormat="1" applyFont="1" applyBorder="1" applyAlignment="1">
      <alignment horizontal="center" vertical="center"/>
    </xf>
    <xf numFmtId="179" fontId="78" fillId="0" borderId="11" xfId="9" applyNumberFormat="1" applyFont="1" applyBorder="1" applyAlignment="1">
      <alignment horizontal="center" vertical="center"/>
    </xf>
    <xf numFmtId="171" fontId="67" fillId="0" borderId="0" xfId="2" applyNumberFormat="1" applyFont="1" applyAlignment="1">
      <alignment horizontal="center"/>
    </xf>
    <xf numFmtId="174" fontId="50" fillId="0" borderId="0" xfId="0" applyNumberFormat="1" applyFont="1" applyAlignment="1">
      <alignment horizontal="center" vertical="center"/>
    </xf>
    <xf numFmtId="3" fontId="11" fillId="0" borderId="0" xfId="0" applyNumberFormat="1" applyFont="1"/>
    <xf numFmtId="43" fontId="65" fillId="0" borderId="0" xfId="1" applyFont="1"/>
    <xf numFmtId="203" fontId="65" fillId="0" borderId="0" xfId="0" applyNumberFormat="1" applyFont="1" applyAlignment="1">
      <alignment horizontal="center"/>
    </xf>
    <xf numFmtId="4" fontId="23" fillId="0" borderId="0" xfId="0" applyNumberFormat="1" applyFont="1"/>
    <xf numFmtId="168" fontId="15" fillId="0" borderId="0" xfId="9" applyNumberFormat="1" applyFont="1" applyAlignment="1">
      <alignment vertical="center"/>
    </xf>
    <xf numFmtId="172" fontId="107" fillId="0" borderId="42" xfId="0" applyNumberFormat="1" applyFont="1" applyBorder="1" applyAlignment="1">
      <alignment horizontal="center" vertical="center"/>
    </xf>
    <xf numFmtId="204" fontId="44" fillId="0" borderId="10" xfId="9" applyNumberFormat="1" applyFont="1" applyBorder="1" applyAlignment="1">
      <alignment horizontal="center" vertical="center"/>
    </xf>
    <xf numFmtId="168" fontId="44" fillId="33" borderId="10" xfId="9" applyNumberFormat="1" applyFont="1" applyFill="1" applyBorder="1" applyAlignment="1">
      <alignment horizontal="center" vertical="center"/>
    </xf>
    <xf numFmtId="0" fontId="10" fillId="2" borderId="0" xfId="6" applyFont="1" applyFill="1" applyAlignment="1">
      <alignment horizontal="left" vertical="center"/>
    </xf>
    <xf numFmtId="0" fontId="3" fillId="2" borderId="0" xfId="3" applyFont="1" applyFill="1" applyAlignment="1">
      <alignment horizontal="left" vertical="top" wrapText="1"/>
    </xf>
    <xf numFmtId="0" fontId="15" fillId="3" borderId="13" xfId="0" applyFont="1" applyFill="1" applyBorder="1" applyAlignment="1">
      <alignment horizontal="left" vertical="center"/>
    </xf>
    <xf numFmtId="0" fontId="15" fillId="3" borderId="0" xfId="0" applyFont="1" applyFill="1" applyAlignment="1">
      <alignment horizontal="left" vertical="center"/>
    </xf>
    <xf numFmtId="0" fontId="15" fillId="3" borderId="11" xfId="0" applyFont="1" applyFill="1" applyBorder="1" applyAlignment="1">
      <alignment horizontal="left" vertical="center"/>
    </xf>
    <xf numFmtId="171" fontId="11" fillId="3" borderId="13" xfId="2" applyNumberFormat="1" applyFont="1" applyFill="1" applyBorder="1" applyAlignment="1">
      <alignment horizontal="center" vertical="center"/>
    </xf>
    <xf numFmtId="171" fontId="11" fillId="3" borderId="0" xfId="2" applyNumberFormat="1" applyFont="1" applyFill="1" applyBorder="1" applyAlignment="1">
      <alignment horizontal="center" vertical="center"/>
    </xf>
    <xf numFmtId="171" fontId="11" fillId="3" borderId="11" xfId="2" applyNumberFormat="1" applyFont="1" applyFill="1" applyBorder="1" applyAlignment="1">
      <alignment horizontal="center" vertical="center"/>
    </xf>
    <xf numFmtId="171" fontId="11" fillId="3" borderId="13" xfId="0" applyNumberFormat="1" applyFont="1" applyFill="1" applyBorder="1" applyAlignment="1">
      <alignment horizontal="center" vertical="center"/>
    </xf>
    <xf numFmtId="171" fontId="11" fillId="3" borderId="0" xfId="0" applyNumberFormat="1" applyFont="1" applyFill="1" applyAlignment="1">
      <alignment horizontal="center" vertical="center"/>
    </xf>
    <xf numFmtId="171" fontId="11" fillId="3" borderId="11" xfId="0" applyNumberFormat="1" applyFont="1" applyFill="1" applyBorder="1" applyAlignment="1">
      <alignment horizontal="center" vertical="center"/>
    </xf>
    <xf numFmtId="168" fontId="44" fillId="0" borderId="0" xfId="9" applyNumberFormat="1" applyFont="1" applyBorder="1" applyAlignment="1">
      <alignment horizontal="center" vertical="center"/>
    </xf>
    <xf numFmtId="168" fontId="65" fillId="0" borderId="0" xfId="0" applyNumberFormat="1" applyFont="1" applyBorder="1"/>
  </cellXfs>
  <cellStyles count="15">
    <cellStyle name="% 2" xfId="8" xr:uid="{E6489FD4-69BC-4764-9FE5-ABEDE8BCF061}"/>
    <cellStyle name="ANCLAS,REZONES Y SUS PARTES,DE FUNDICION,DE HIERRO O DE ACERO" xfId="4" xr:uid="{74F44A50-5964-486A-AE12-A4E868AA9765}"/>
    <cellStyle name="Millares" xfId="1" builtinId="3"/>
    <cellStyle name="Moneda 9" xfId="10" xr:uid="{7113D204-EF02-49F5-9AC1-FEF667B9A8C5}"/>
    <cellStyle name="Normal" xfId="0" builtinId="0"/>
    <cellStyle name="Normal 2" xfId="9" xr:uid="{8FB5338A-A08B-4854-BAAF-91E8A643804F}"/>
    <cellStyle name="Normal 2 2" xfId="13" xr:uid="{A2B859AB-AAB0-4935-89C4-A29579CCCC0C}"/>
    <cellStyle name="Normal 2 6" xfId="14" xr:uid="{29353E59-E134-4AE1-A241-C63C56ED7FD6}"/>
    <cellStyle name="Normal 3" xfId="11" xr:uid="{3F74DB1A-723A-4341-9219-E58ACA301ADB}"/>
    <cellStyle name="Normal 3 2" xfId="12" xr:uid="{3676EE7D-0848-4399-B911-FE2795605F62}"/>
    <cellStyle name="Normal 5" xfId="7" xr:uid="{17C7E6F0-D927-4FB0-89BD-0F9CC92C6177}"/>
    <cellStyle name="Normal_DCF2_LAF Glacier Model (27 Mar 08) v3" xfId="5" xr:uid="{6A5CEFAF-D5DA-4224-BD9F-FFD0B942D9BE}"/>
    <cellStyle name="Normal_Miles Valuation 040902" xfId="3" xr:uid="{00752CC5-4BB4-4E40-B964-00027297F64F}"/>
    <cellStyle name="Normal_sheet" xfId="6" xr:uid="{E328A743-DC4C-44B3-892E-09545CD9533A}"/>
    <cellStyle name="Porcentaje" xfId="2" builtinId="5"/>
  </cellStyles>
  <dxfs count="140">
    <dxf>
      <font>
        <color rgb="FF9C0006"/>
      </font>
      <fill>
        <patternFill>
          <bgColor rgb="FFFFC7CE"/>
        </patternFill>
      </fill>
    </dxf>
    <dxf>
      <font>
        <color rgb="FF11ABAB"/>
      </font>
    </dxf>
    <dxf>
      <font>
        <color rgb="FFFF0000"/>
      </font>
    </dxf>
    <dxf>
      <font>
        <color rgb="FF11ABAB"/>
      </font>
    </dxf>
    <dxf>
      <font>
        <color rgb="FFFF0000"/>
      </font>
    </dxf>
    <dxf>
      <font>
        <color rgb="FF11ABAB"/>
      </font>
    </dxf>
    <dxf>
      <font>
        <color rgb="FFFF0000"/>
      </font>
    </dxf>
    <dxf>
      <font>
        <color rgb="FFFF0000"/>
      </font>
    </dxf>
    <dxf>
      <font>
        <color rgb="FF11ABAB"/>
      </font>
    </dxf>
    <dxf>
      <font>
        <color rgb="FFFF0000"/>
      </font>
    </dxf>
    <dxf>
      <font>
        <color rgb="FF11ABAB"/>
      </font>
    </dxf>
    <dxf>
      <font>
        <color rgb="FF11ABAB"/>
      </font>
    </dxf>
    <dxf>
      <font>
        <color rgb="FFFF0000"/>
      </font>
    </dxf>
    <dxf>
      <font>
        <color rgb="FFFF0000"/>
      </font>
    </dxf>
    <dxf>
      <font>
        <color rgb="FF11ABAB"/>
      </font>
    </dxf>
    <dxf>
      <font>
        <color rgb="FF11ABAB"/>
      </font>
    </dxf>
    <dxf>
      <font>
        <color rgb="FFFF0000"/>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11ABAB"/>
      </font>
    </dxf>
    <dxf>
      <font>
        <color rgb="FFFF0000"/>
      </font>
    </dxf>
    <dxf>
      <font>
        <color rgb="FFFF0000"/>
      </font>
    </dxf>
    <dxf>
      <font>
        <color rgb="FF11ABAB"/>
      </font>
    </dxf>
    <dxf>
      <font>
        <color rgb="FFFF0000"/>
      </font>
    </dxf>
    <dxf>
      <font>
        <color rgb="FF11ABAB"/>
      </font>
    </dxf>
    <dxf>
      <font>
        <color rgb="FFFF0000"/>
      </font>
    </dxf>
    <dxf>
      <font>
        <color rgb="FF11ABAB"/>
      </font>
    </dxf>
    <dxf>
      <font>
        <color rgb="FF11ABAB"/>
      </font>
    </dxf>
    <dxf>
      <font>
        <color rgb="FFFF0000"/>
      </font>
    </dxf>
    <dxf>
      <font>
        <color rgb="FFFF0000"/>
      </font>
    </dxf>
    <dxf>
      <font>
        <color rgb="FF11ABAB"/>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FF0000"/>
      </font>
    </dxf>
    <dxf>
      <font>
        <color rgb="FF11ABAB"/>
      </font>
    </dxf>
    <dxf>
      <font>
        <color rgb="FFFF0000"/>
      </font>
    </dxf>
    <dxf>
      <font>
        <color rgb="FF11ABAB"/>
      </font>
    </dxf>
    <dxf>
      <font>
        <color rgb="FFFF0000"/>
      </font>
    </dxf>
    <dxf>
      <font>
        <color rgb="FF11ABAB"/>
      </font>
    </dxf>
    <dxf>
      <font>
        <color rgb="FF11ABAB"/>
      </font>
    </dxf>
    <dxf>
      <font>
        <color rgb="FFFF0000"/>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FF0000"/>
      </font>
    </dxf>
    <dxf>
      <font>
        <color rgb="FF11ABAB"/>
      </font>
    </dxf>
    <dxf>
      <font>
        <color rgb="FF11ABAB"/>
      </font>
    </dxf>
    <dxf>
      <font>
        <color rgb="FFFF0000"/>
      </font>
    </dxf>
    <dxf>
      <fill>
        <patternFill>
          <bgColor theme="9" tint="0.39994506668294322"/>
        </patternFill>
      </fill>
    </dxf>
    <dxf>
      <fill>
        <patternFill>
          <bgColor rgb="FFF63D2A"/>
        </patternFill>
      </fill>
    </dxf>
    <dxf>
      <fill>
        <patternFill>
          <bgColor theme="9" tint="0.39994506668294322"/>
        </patternFill>
      </fill>
    </dxf>
    <dxf>
      <fill>
        <patternFill>
          <bgColor rgb="FFF63D2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99"/>
      <color rgb="FFFFFFCC"/>
      <color rgb="FF0000FF"/>
      <color rgb="FF90CCC5"/>
      <color rgb="FF11ABAB"/>
      <color rgb="FF83D9BE"/>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undraise/OIC/VF/2025/LTO/VEMO%202025%20LTO%20FY%20Financials%20FV.xlsx" TargetMode="External"/><Relationship Id="rId2" Type="http://schemas.openxmlformats.org/officeDocument/2006/relationships/externalLinkPath" Target="https://vemobilidad-my.sharepoint.com/personal/carlos_galvez_vemo_com_mx/Documents/FP&amp;A/Fundraise/OIC/VF/2025/LTO/VEMO%202025%20LTO%20FY%20Financials%20FV.xlsx" TargetMode="External"/><Relationship Id="rId1" Type="http://schemas.openxmlformats.org/officeDocument/2006/relationships/externalLinkPath" Target="/personal/carlos_galvez_vemo_com_mx/Documents/FP&amp;A/Fundraise/OIC/VF/2025/LTO/VEMO%202025%20LTO%20FY%20Financials%20F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TO Board View (Actuals) (2)"/>
      <sheetName val="Cover"/>
      <sheetName val="Non Operating "/>
      <sheetName val="TB DATA BASE"/>
      <sheetName val="LTO Board View (Actuals)"/>
      <sheetName val="LTO Accounting View"/>
      <sheetName val="Monthly View"/>
      <sheetName val="LTO Board View (Budget) (2)"/>
      <sheetName val="LTO Board View (Budget)"/>
      <sheetName val="Hoja2"/>
      <sheetName val="Operative &amp; Financial Metrics"/>
      <sheetName val="Monthly View (2)"/>
      <sheetName val="Operative &amp; Financial Metri (2)"/>
      <sheetName val="Sheet1"/>
      <sheetName val="LTO Ratios"/>
      <sheetName val="Assumptions"/>
      <sheetName val="Board Tabs Outputs"/>
      <sheetName val="Ratio Analysis"/>
      <sheetName val="Inputs"/>
      <sheetName val="Validations"/>
      <sheetName val="Hoja1"/>
      <sheetName val="Mapping"/>
      <sheetName val="LTO Board View (Budget) New"/>
      <sheetName val="Scenarios"/>
      <sheetName val="TB DATA Eliminations"/>
      <sheetName val="Managerial Consolidated"/>
      <sheetName val="LTO Board View (Detail)"/>
      <sheetName val="SG&amp;A &amp; OPEX"/>
    </sheetNames>
    <sheetDataSet>
      <sheetData sheetId="0"/>
      <sheetData sheetId="1"/>
      <sheetData sheetId="2"/>
      <sheetData sheetId="3"/>
      <sheetData sheetId="4">
        <row r="2">
          <cell r="J2">
            <v>2025</v>
          </cell>
        </row>
        <row r="16">
          <cell r="E16"/>
          <cell r="F16"/>
          <cell r="G16"/>
          <cell r="H16"/>
          <cell r="I16"/>
          <cell r="J16"/>
          <cell r="K16"/>
          <cell r="L16"/>
          <cell r="M16"/>
          <cell r="N16"/>
          <cell r="O16"/>
          <cell r="P16"/>
          <cell r="Q16"/>
          <cell r="R16"/>
          <cell r="S16"/>
          <cell r="T16"/>
          <cell r="U16"/>
          <cell r="V16"/>
          <cell r="W16"/>
          <cell r="X16"/>
          <cell r="Y16"/>
          <cell r="Z16"/>
          <cell r="AA16"/>
          <cell r="AB16"/>
        </row>
        <row r="18">
          <cell r="E18"/>
          <cell r="F18">
            <v>53</v>
          </cell>
          <cell r="G18">
            <v>69</v>
          </cell>
          <cell r="H18">
            <v>62</v>
          </cell>
          <cell r="I18">
            <v>74</v>
          </cell>
          <cell r="J18">
            <v>92</v>
          </cell>
          <cell r="K18">
            <v>103</v>
          </cell>
          <cell r="L18">
            <v>119</v>
          </cell>
          <cell r="M18">
            <v>119</v>
          </cell>
          <cell r="N18">
            <v>112</v>
          </cell>
          <cell r="O18">
            <v>120</v>
          </cell>
          <cell r="P18">
            <v>95</v>
          </cell>
          <cell r="Q18">
            <v>105</v>
          </cell>
          <cell r="R18">
            <v>97</v>
          </cell>
          <cell r="S18">
            <v>99</v>
          </cell>
          <cell r="T18">
            <v>136</v>
          </cell>
          <cell r="U18">
            <v>161</v>
          </cell>
          <cell r="V18">
            <v>157</v>
          </cell>
          <cell r="W18">
            <v>195</v>
          </cell>
          <cell r="X18">
            <v>199</v>
          </cell>
          <cell r="Y18">
            <v>166</v>
          </cell>
          <cell r="Z18">
            <v>180</v>
          </cell>
          <cell r="AA18">
            <v>206</v>
          </cell>
          <cell r="AB18">
            <v>211</v>
          </cell>
        </row>
        <row r="19">
          <cell r="F19">
            <v>45</v>
          </cell>
          <cell r="G19">
            <v>44</v>
          </cell>
          <cell r="H19">
            <v>37</v>
          </cell>
          <cell r="I19">
            <v>49</v>
          </cell>
          <cell r="J19">
            <v>61</v>
          </cell>
          <cell r="K19">
            <v>47</v>
          </cell>
          <cell r="L19">
            <v>60</v>
          </cell>
          <cell r="M19">
            <v>57</v>
          </cell>
          <cell r="N19">
            <v>72</v>
          </cell>
          <cell r="O19">
            <v>75</v>
          </cell>
          <cell r="P19">
            <v>38</v>
          </cell>
          <cell r="Q19">
            <v>13</v>
          </cell>
          <cell r="R19">
            <v>29</v>
          </cell>
          <cell r="S19">
            <v>44</v>
          </cell>
          <cell r="T19">
            <v>29</v>
          </cell>
          <cell r="U19">
            <v>50</v>
          </cell>
          <cell r="V19">
            <v>66</v>
          </cell>
          <cell r="W19">
            <v>98</v>
          </cell>
          <cell r="X19">
            <v>70</v>
          </cell>
          <cell r="Y19">
            <v>57</v>
          </cell>
          <cell r="Z19">
            <v>65</v>
          </cell>
          <cell r="AA19">
            <v>113</v>
          </cell>
          <cell r="AB19">
            <v>98</v>
          </cell>
        </row>
        <row r="75">
          <cell r="R75">
            <v>0</v>
          </cell>
          <cell r="S75">
            <v>-93969.979999899864</v>
          </cell>
          <cell r="T75">
            <v>0</v>
          </cell>
          <cell r="U75">
            <v>-1.1920928955078125E-6</v>
          </cell>
          <cell r="V75">
            <v>0</v>
          </cell>
          <cell r="W75">
            <v>0</v>
          </cell>
          <cell r="X75">
            <v>0</v>
          </cell>
          <cell r="Y75">
            <v>141711.02862012386</v>
          </cell>
          <cell r="Z75">
            <v>0</v>
          </cell>
          <cell r="AA75">
            <v>0</v>
          </cell>
          <cell r="AB75">
            <v>0</v>
          </cell>
        </row>
        <row r="84">
          <cell r="F84">
            <v>1.8700000000000001E-2</v>
          </cell>
          <cell r="G84">
            <v>0.02</v>
          </cell>
          <cell r="H84">
            <v>2.4E-2</v>
          </cell>
          <cell r="I84">
            <v>2.5999999999999999E-2</v>
          </cell>
          <cell r="J84">
            <v>2.8000000000000001E-2</v>
          </cell>
          <cell r="K84">
            <v>3.6608983750048715E-2</v>
          </cell>
          <cell r="L84">
            <v>3.3799999999999997E-2</v>
          </cell>
          <cell r="M84">
            <v>5.4854080541181467E-2</v>
          </cell>
          <cell r="N84">
            <v>5.3913155489545672E-2</v>
          </cell>
          <cell r="O84">
            <v>4.6699999999999998E-2</v>
          </cell>
          <cell r="P84">
            <v>5.0633198334204016E-2</v>
          </cell>
          <cell r="Q84">
            <v>4.3938481836270443E-2</v>
          </cell>
          <cell r="R84">
            <v>3.7900000000000003E-2</v>
          </cell>
          <cell r="S84">
            <v>7.3863401248878177E-2</v>
          </cell>
          <cell r="T84">
            <v>7.5600805276513139E-2</v>
          </cell>
          <cell r="U84">
            <v>7.460374788870125E-2</v>
          </cell>
          <cell r="V84">
            <v>0.09</v>
          </cell>
          <cell r="W84">
            <v>0.09</v>
          </cell>
          <cell r="X84">
            <v>9.2200000000000004E-2</v>
          </cell>
          <cell r="Y84">
            <v>0.13419423128873278</v>
          </cell>
          <cell r="Z84">
            <v>0.11618997575831863</v>
          </cell>
          <cell r="AA84">
            <v>0.13565891472868216</v>
          </cell>
          <cell r="AB84">
            <v>0.13271914692420925</v>
          </cell>
        </row>
        <row r="120">
          <cell r="F120">
            <v>3.8202853409119934E-2</v>
          </cell>
          <cell r="G120">
            <v>3.6509250203659055E-2</v>
          </cell>
          <cell r="H120">
            <v>4.5846339660029441E-2</v>
          </cell>
          <cell r="I120">
            <v>3.6248816417649612E-2</v>
          </cell>
          <cell r="J120">
            <v>4.3838952176384553E-2</v>
          </cell>
          <cell r="K120">
            <v>3.3840027456458532E-2</v>
          </cell>
          <cell r="L120">
            <v>3.356397132005004E-2</v>
          </cell>
          <cell r="M120">
            <v>4.2390731643701336E-2</v>
          </cell>
          <cell r="N120">
            <v>3.38542139025374E-2</v>
          </cell>
          <cell r="O120">
            <v>3.4181712714805024E-2</v>
          </cell>
          <cell r="P120">
            <v>4.4972181703273051E-2</v>
          </cell>
          <cell r="Q120">
            <v>3.4782007007204102E-2</v>
          </cell>
          <cell r="R120">
            <v>5.2894549030582813E-2</v>
          </cell>
          <cell r="S120">
            <v>4.5765879309959102E-2</v>
          </cell>
          <cell r="T120">
            <v>4.388480337296647E-2</v>
          </cell>
          <cell r="U120">
            <v>4.3372632698237039E-2</v>
          </cell>
          <cell r="V120">
            <v>4.5420669037701089E-2</v>
          </cell>
          <cell r="W120">
            <v>4.3998645079938066E-2</v>
          </cell>
          <cell r="X120">
            <v>4.0797327821482113E-2</v>
          </cell>
          <cell r="Y120">
            <v>4.0211783321503922E-2</v>
          </cell>
          <cell r="Z120">
            <v>3.8898037899192252E-2</v>
          </cell>
          <cell r="AA120">
            <v>3.9222547364687346E-2</v>
          </cell>
          <cell r="AB120">
            <v>3.7624915040402412E-2</v>
          </cell>
        </row>
        <row r="172">
          <cell r="R172">
            <v>3</v>
          </cell>
          <cell r="S172">
            <v>3</v>
          </cell>
          <cell r="T172">
            <v>3</v>
          </cell>
          <cell r="U172">
            <v>3</v>
          </cell>
          <cell r="V172">
            <v>4</v>
          </cell>
          <cell r="W172">
            <v>4</v>
          </cell>
          <cell r="X172">
            <v>4</v>
          </cell>
          <cell r="Y172">
            <v>5</v>
          </cell>
          <cell r="Z172">
            <v>5</v>
          </cell>
          <cell r="AA172">
            <v>4</v>
          </cell>
          <cell r="AB172">
            <v>4</v>
          </cell>
        </row>
        <row r="181">
          <cell r="R181">
            <v>1</v>
          </cell>
          <cell r="S181">
            <v>1</v>
          </cell>
          <cell r="T181">
            <v>1</v>
          </cell>
          <cell r="U181">
            <v>1</v>
          </cell>
          <cell r="V181">
            <v>1</v>
          </cell>
          <cell r="W181">
            <v>0</v>
          </cell>
          <cell r="X181">
            <v>0</v>
          </cell>
          <cell r="Y181">
            <v>0</v>
          </cell>
          <cell r="Z181">
            <v>0</v>
          </cell>
          <cell r="AA181">
            <v>0</v>
          </cell>
          <cell r="AB181">
            <v>0</v>
          </cell>
        </row>
        <row r="231">
          <cell r="E231"/>
          <cell r="F231">
            <v>0.31963239304448965</v>
          </cell>
          <cell r="G231">
            <v>0.17915879860021128</v>
          </cell>
          <cell r="H231">
            <v>0.30255226404416402</v>
          </cell>
          <cell r="I231">
            <v>0.20968163191804101</v>
          </cell>
          <cell r="J231">
            <v>0.19967311297285983</v>
          </cell>
          <cell r="K231">
            <v>0.1819060436831102</v>
          </cell>
          <cell r="L231">
            <v>0.20875152427931884</v>
          </cell>
          <cell r="M231">
            <v>0.16818982720871112</v>
          </cell>
          <cell r="N231">
            <v>0.19616644713829975</v>
          </cell>
          <cell r="O231">
            <v>0.17828303835706311</v>
          </cell>
          <cell r="P231">
            <v>0.13646843065260214</v>
          </cell>
          <cell r="Q231">
            <v>0.57271316500537361</v>
          </cell>
          <cell r="R231">
            <v>0.42821894276227002</v>
          </cell>
          <cell r="S231">
            <v>0.16727792639390315</v>
          </cell>
          <cell r="T231">
            <v>0.23202344223899912</v>
          </cell>
          <cell r="U231">
            <v>0.14056784009802131</v>
          </cell>
          <cell r="V231">
            <v>0.11244593120523122</v>
          </cell>
          <cell r="W231">
            <v>0.27417425041673016</v>
          </cell>
          <cell r="X231">
            <v>0.23176941298445816</v>
          </cell>
          <cell r="Y231">
            <v>0.14076406568211175</v>
          </cell>
          <cell r="Z231">
            <v>0.16724983953011274</v>
          </cell>
          <cell r="AA231">
            <v>0.22166254378120842</v>
          </cell>
          <cell r="AB231">
            <v>0.16368778742427498</v>
          </cell>
        </row>
        <row r="246">
          <cell r="L246">
            <v>1.4732423009052463E-2</v>
          </cell>
          <cell r="M246">
            <v>1.5648360725784596E-2</v>
          </cell>
          <cell r="N246">
            <v>1.3830914293944936E-2</v>
          </cell>
          <cell r="O246">
            <v>1.4131130215413101E-2</v>
          </cell>
          <cell r="P246">
            <v>1.7999032868475706E-2</v>
          </cell>
          <cell r="Q246">
            <v>2.7043212661186665E-2</v>
          </cell>
          <cell r="R246">
            <v>2.0656357900827475E-2</v>
          </cell>
          <cell r="S246">
            <v>1.8819586756311558E-2</v>
          </cell>
          <cell r="T246">
            <v>1.0497186502408594E-2</v>
          </cell>
          <cell r="U246">
            <v>7.851185418981662E-3</v>
          </cell>
          <cell r="V246">
            <v>1.1498992547667125E-2</v>
          </cell>
          <cell r="W246">
            <v>1.5122057081092346E-2</v>
          </cell>
          <cell r="X246">
            <v>1.5264488759292759E-2</v>
          </cell>
          <cell r="Y246">
            <v>2.0871799614344596E-2</v>
          </cell>
        </row>
        <row r="250">
          <cell r="F250">
            <v>4.3427515041187199</v>
          </cell>
          <cell r="G250">
            <v>3.7537684191447838</v>
          </cell>
          <cell r="H250">
            <v>4.118328858713638</v>
          </cell>
          <cell r="I250">
            <v>4.1556858444543279</v>
          </cell>
          <cell r="J250">
            <v>4.3565726559795523</v>
          </cell>
          <cell r="K250">
            <v>4.5014952901395846</v>
          </cell>
          <cell r="L250">
            <v>4.5447658759967666</v>
          </cell>
          <cell r="M250">
            <v>4.415091019361153</v>
          </cell>
          <cell r="N250">
            <v>4.5322049516353164</v>
          </cell>
          <cell r="O250">
            <v>4.0894018564964325</v>
          </cell>
          <cell r="P250">
            <v>3.9360307698932897</v>
          </cell>
          <cell r="Q250">
            <v>4.4039641698687335</v>
          </cell>
          <cell r="R250">
            <v>4.452186312992783</v>
          </cell>
          <cell r="S250">
            <v>4.4784371585890543</v>
          </cell>
          <cell r="T250">
            <v>4.3923309141750249</v>
          </cell>
          <cell r="U250">
            <v>4.2476109198638579</v>
          </cell>
          <cell r="V250">
            <v>4.1404207774002346</v>
          </cell>
          <cell r="W250">
            <v>4.0423749093762318</v>
          </cell>
          <cell r="X250">
            <v>3.942898409798592</v>
          </cell>
          <cell r="Y250">
            <v>4.050695667937136</v>
          </cell>
        </row>
        <row r="273">
          <cell r="F273">
            <v>0</v>
          </cell>
          <cell r="G273">
            <v>0</v>
          </cell>
          <cell r="H273">
            <v>0</v>
          </cell>
          <cell r="I273">
            <v>0</v>
          </cell>
          <cell r="J273">
            <v>0</v>
          </cell>
          <cell r="K273">
            <v>0</v>
          </cell>
          <cell r="L273">
            <v>0</v>
          </cell>
          <cell r="M273">
            <v>0</v>
          </cell>
          <cell r="N273">
            <v>86206.9</v>
          </cell>
          <cell r="O273">
            <v>51724.129999999976</v>
          </cell>
          <cell r="P273">
            <v>10233</v>
          </cell>
          <cell r="Q273">
            <v>188133.38000000006</v>
          </cell>
          <cell r="R273">
            <v>282483</v>
          </cell>
          <cell r="S273">
            <v>349800</v>
          </cell>
          <cell r="T273">
            <v>107661.75999999978</v>
          </cell>
          <cell r="U273">
            <v>173936</v>
          </cell>
          <cell r="V273">
            <v>303246.8200000003</v>
          </cell>
          <cell r="W273">
            <v>303246.81999999937</v>
          </cell>
          <cell r="X273">
            <v>1103247</v>
          </cell>
          <cell r="Y273">
            <v>1297005.3599999994</v>
          </cell>
          <cell r="Z273">
            <v>1377331.8300000003</v>
          </cell>
          <cell r="AA273">
            <v>675077.33999999985</v>
          </cell>
          <cell r="AB273">
            <v>1966897.9899999984</v>
          </cell>
        </row>
        <row r="276">
          <cell r="F276">
            <v>50225.04</v>
          </cell>
          <cell r="G276">
            <v>55234.780000000006</v>
          </cell>
          <cell r="H276">
            <v>33242.97</v>
          </cell>
          <cell r="I276">
            <v>30951.569999999978</v>
          </cell>
          <cell r="J276">
            <v>23660.200000000012</v>
          </cell>
          <cell r="K276">
            <v>35414.459999999992</v>
          </cell>
          <cell r="L276">
            <v>43560.940000000031</v>
          </cell>
          <cell r="M276">
            <v>23393.039999999979</v>
          </cell>
          <cell r="N276">
            <v>8241.2600000000093</v>
          </cell>
          <cell r="O276">
            <v>19607.640000000014</v>
          </cell>
          <cell r="P276">
            <v>14473.069999999949</v>
          </cell>
          <cell r="Q276">
            <v>15762.830000000016</v>
          </cell>
          <cell r="R276">
            <v>27881.61</v>
          </cell>
          <cell r="S276">
            <v>23223.949999999997</v>
          </cell>
          <cell r="T276">
            <v>24669.540000000008</v>
          </cell>
          <cell r="U276">
            <v>16708.459999999992</v>
          </cell>
          <cell r="V276">
            <v>7758.5400000000081</v>
          </cell>
          <cell r="W276">
            <v>4507.7299999999959</v>
          </cell>
          <cell r="X276">
            <v>8934.3999999999942</v>
          </cell>
          <cell r="Y276">
            <v>10205.940000000002</v>
          </cell>
          <cell r="Z276">
            <v>6249.8800000000047</v>
          </cell>
          <cell r="AA276">
            <v>3663.6899999999878</v>
          </cell>
          <cell r="AB276">
            <v>2413.6900000000023</v>
          </cell>
        </row>
        <row r="279">
          <cell r="E279"/>
          <cell r="F279"/>
          <cell r="G279"/>
          <cell r="H279"/>
          <cell r="I279"/>
          <cell r="J279"/>
          <cell r="K279"/>
          <cell r="L279"/>
          <cell r="M279"/>
          <cell r="N279"/>
          <cell r="O279"/>
          <cell r="P279"/>
          <cell r="Q279"/>
          <cell r="R279"/>
          <cell r="S279"/>
          <cell r="T279"/>
          <cell r="U279"/>
          <cell r="V279"/>
          <cell r="W279"/>
          <cell r="X279"/>
          <cell r="Y279"/>
          <cell r="Z279"/>
          <cell r="AA279"/>
          <cell r="AB279"/>
        </row>
        <row r="280">
          <cell r="F280">
            <v>7146978.7000000002</v>
          </cell>
          <cell r="G280">
            <v>5299721.459999999</v>
          </cell>
          <cell r="H280">
            <v>8187921.8000000017</v>
          </cell>
          <cell r="I280">
            <v>6869480.1600000001</v>
          </cell>
          <cell r="J280">
            <v>8542428.5600000024</v>
          </cell>
          <cell r="K280">
            <v>7366745.1099999938</v>
          </cell>
          <cell r="L280">
            <v>9183916.5200000033</v>
          </cell>
          <cell r="M280">
            <v>7595536.1900000013</v>
          </cell>
          <cell r="N280">
            <v>10235287.280000003</v>
          </cell>
          <cell r="O280">
            <v>8462921.7399999928</v>
          </cell>
          <cell r="P280">
            <v>8779178.6800000109</v>
          </cell>
          <cell r="Q280">
            <v>22386810.620000001</v>
          </cell>
          <cell r="R280">
            <v>16669909.250000002</v>
          </cell>
          <cell r="S280">
            <v>12779517.199999999</v>
          </cell>
          <cell r="T280">
            <v>14464748.019999996</v>
          </cell>
          <cell r="U280">
            <v>12748255.960000003</v>
          </cell>
          <cell r="V280">
            <v>15294349.089999992</v>
          </cell>
          <cell r="W280">
            <v>15832740.670000009</v>
          </cell>
          <cell r="X280">
            <v>16531610.929999996</v>
          </cell>
          <cell r="Y280">
            <v>19244740.969999999</v>
          </cell>
          <cell r="Z280">
            <v>22963429.269999996</v>
          </cell>
          <cell r="AA280">
            <v>23493289.270000018</v>
          </cell>
          <cell r="AB280">
            <v>26623125.572730724</v>
          </cell>
        </row>
        <row r="284">
          <cell r="F284">
            <v>-465354.31000000006</v>
          </cell>
          <cell r="G284">
            <v>-124298.07999999999</v>
          </cell>
          <cell r="H284">
            <v>-1105723.0900000001</v>
          </cell>
          <cell r="I284">
            <v>-321390.60000000003</v>
          </cell>
          <cell r="J284">
            <v>-255932.82999999993</v>
          </cell>
          <cell r="K284">
            <v>-181076.61000000004</v>
          </cell>
          <cell r="L284">
            <v>-159045.86000000019</v>
          </cell>
          <cell r="M284">
            <v>34485301.219999999</v>
          </cell>
          <cell r="N284">
            <v>-221749.41999999981</v>
          </cell>
          <cell r="O284">
            <v>-264055.89000000036</v>
          </cell>
          <cell r="P284">
            <v>-1731762.2999999993</v>
          </cell>
          <cell r="Q284">
            <v>913157.18000000343</v>
          </cell>
          <cell r="R284">
            <v>-1055872.79</v>
          </cell>
          <cell r="S284">
            <v>-1430096.4400000002</v>
          </cell>
          <cell r="T284">
            <v>-923883.8</v>
          </cell>
          <cell r="U284">
            <v>-1185265.96</v>
          </cell>
          <cell r="V284">
            <v>-3739012.64</v>
          </cell>
          <cell r="W284">
            <v>-1378251.26</v>
          </cell>
          <cell r="X284">
            <v>-345188.36000000057</v>
          </cell>
          <cell r="Y284">
            <v>-3296407.81</v>
          </cell>
          <cell r="Z284">
            <v>-4092589.2899999991</v>
          </cell>
          <cell r="AA284">
            <v>-1917372.2100000014</v>
          </cell>
          <cell r="AB284">
            <v>-3348776.0799999987</v>
          </cell>
        </row>
        <row r="289">
          <cell r="F289">
            <v>-14112.5</v>
          </cell>
          <cell r="G289">
            <v>-13648.83</v>
          </cell>
          <cell r="H289">
            <v>-13648.83</v>
          </cell>
          <cell r="I289">
            <v>-13648.830000000002</v>
          </cell>
          <cell r="J289">
            <v>-13648.829999999998</v>
          </cell>
          <cell r="K289">
            <v>-13648.830000000002</v>
          </cell>
          <cell r="L289">
            <v>-13648.829999999998</v>
          </cell>
          <cell r="M289">
            <v>-13648.829999999998</v>
          </cell>
          <cell r="N289">
            <v>0</v>
          </cell>
          <cell r="O289">
            <v>0</v>
          </cell>
          <cell r="P289">
            <v>0</v>
          </cell>
          <cell r="Q289">
            <v>-624159.27</v>
          </cell>
          <cell r="R289">
            <v>0</v>
          </cell>
          <cell r="S289">
            <v>-42765.66</v>
          </cell>
          <cell r="T289">
            <v>-21382.829999999998</v>
          </cell>
          <cell r="U289">
            <v>-21382.83</v>
          </cell>
          <cell r="V289">
            <v>-21382.829999999994</v>
          </cell>
          <cell r="W289">
            <v>-21382.83</v>
          </cell>
          <cell r="X289">
            <v>-21382.83</v>
          </cell>
          <cell r="Y289">
            <v>-21382.83</v>
          </cell>
          <cell r="Z289">
            <v>-21382.83</v>
          </cell>
          <cell r="AA289">
            <v>-21382.829999999987</v>
          </cell>
          <cell r="AB289">
            <v>-84560.830000000016</v>
          </cell>
        </row>
        <row r="294">
          <cell r="F294">
            <v>-32222.240000000002</v>
          </cell>
          <cell r="G294">
            <v>-39793.06</v>
          </cell>
          <cell r="H294">
            <v>-36464.740000000005</v>
          </cell>
          <cell r="I294">
            <v>-29930.54</v>
          </cell>
          <cell r="J294">
            <v>-1028471.5</v>
          </cell>
          <cell r="K294">
            <v>-38283.829999999994</v>
          </cell>
          <cell r="L294">
            <v>-82657.919999999998</v>
          </cell>
          <cell r="M294">
            <v>-76253.539999999994</v>
          </cell>
          <cell r="N294">
            <v>-76753.150000000009</v>
          </cell>
          <cell r="O294">
            <v>-81438.269999999975</v>
          </cell>
          <cell r="P294">
            <v>-94224.880000000019</v>
          </cell>
          <cell r="Q294">
            <v>-290346.18</v>
          </cell>
          <cell r="R294">
            <v>-106846.47000000002</v>
          </cell>
          <cell r="S294">
            <v>-192406.77999999997</v>
          </cell>
          <cell r="T294">
            <v>-291206.08999999997</v>
          </cell>
          <cell r="U294">
            <v>-759464.72000000009</v>
          </cell>
          <cell r="V294">
            <v>-160162.93000000005</v>
          </cell>
          <cell r="W294">
            <v>-421421.13999999984</v>
          </cell>
          <cell r="X294">
            <v>-153334.05000000005</v>
          </cell>
          <cell r="Y294">
            <v>-202856.15999999997</v>
          </cell>
          <cell r="Z294">
            <v>-397031.45999999996</v>
          </cell>
          <cell r="AA294">
            <v>-715811.66</v>
          </cell>
          <cell r="AB294">
            <v>-3357240.32273072</v>
          </cell>
        </row>
        <row r="296">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row>
        <row r="298">
          <cell r="F298">
            <v>0</v>
          </cell>
          <cell r="G298">
            <v>-46034.37</v>
          </cell>
          <cell r="H298">
            <v>-10999.269999999997</v>
          </cell>
          <cell r="I298">
            <v>-540.36000000000058</v>
          </cell>
          <cell r="J298">
            <v>-41238.81</v>
          </cell>
          <cell r="K298">
            <v>-13164.619999999995</v>
          </cell>
          <cell r="L298">
            <v>-56554.84</v>
          </cell>
          <cell r="M298">
            <v>-1527.3600000000151</v>
          </cell>
          <cell r="N298">
            <v>-10187.829999999987</v>
          </cell>
          <cell r="O298">
            <v>-52790.020000000019</v>
          </cell>
          <cell r="P298">
            <v>0</v>
          </cell>
          <cell r="Q298">
            <v>-4617.5699999999779</v>
          </cell>
          <cell r="R298">
            <v>-21139.11</v>
          </cell>
          <cell r="S298">
            <v>-99749.1</v>
          </cell>
          <cell r="T298">
            <v>-567.38999999999942</v>
          </cell>
          <cell r="U298">
            <v>-1567.3899999999994</v>
          </cell>
          <cell r="V298">
            <v>-85487.119999999981</v>
          </cell>
          <cell r="W298">
            <v>-1134.7800000000279</v>
          </cell>
          <cell r="X298">
            <v>0</v>
          </cell>
          <cell r="Y298">
            <v>-10069.449999999983</v>
          </cell>
          <cell r="Z298">
            <v>0</v>
          </cell>
          <cell r="AA298">
            <v>-1284.2099999999919</v>
          </cell>
          <cell r="AB298">
            <v>0</v>
          </cell>
        </row>
        <row r="316">
          <cell r="F316">
            <v>-219204.95</v>
          </cell>
          <cell r="G316">
            <v>-32863.29</v>
          </cell>
          <cell r="H316">
            <v>-11541.349999999999</v>
          </cell>
          <cell r="I316">
            <v>-197460.8</v>
          </cell>
          <cell r="J316">
            <v>-262733.98</v>
          </cell>
          <cell r="K316">
            <v>-783410.42999999993</v>
          </cell>
          <cell r="L316">
            <v>-617492.16000000015</v>
          </cell>
          <cell r="M316">
            <v>-655092.73999999987</v>
          </cell>
          <cell r="N316">
            <v>-1363540.0000000002</v>
          </cell>
          <cell r="O316">
            <v>-1267505.6699999997</v>
          </cell>
          <cell r="P316">
            <v>-1505688.3399999996</v>
          </cell>
          <cell r="Q316">
            <v>-2266648.7200000002</v>
          </cell>
          <cell r="R316">
            <v>-2468693.2299999995</v>
          </cell>
          <cell r="S316">
            <v>-1423320.74</v>
          </cell>
          <cell r="T316">
            <v>-2152875.2200000002</v>
          </cell>
          <cell r="U316">
            <v>-2626252.7599999998</v>
          </cell>
          <cell r="V316">
            <v>-3623783.85</v>
          </cell>
          <cell r="W316">
            <v>-3212976.84</v>
          </cell>
          <cell r="X316">
            <v>-3673612.85</v>
          </cell>
          <cell r="Y316">
            <v>-4037184.6999999993</v>
          </cell>
          <cell r="Z316">
            <v>-2973986.1500000004</v>
          </cell>
          <cell r="AA316">
            <v>-3514211.4399999995</v>
          </cell>
          <cell r="AB316">
            <v>-3684006.0500000012</v>
          </cell>
        </row>
        <row r="317">
          <cell r="F317">
            <v>341674.50999999995</v>
          </cell>
          <cell r="G317">
            <v>241033.90000000005</v>
          </cell>
          <cell r="H317">
            <v>195925.31999999998</v>
          </cell>
          <cell r="I317">
            <v>151178.69</v>
          </cell>
          <cell r="J317">
            <v>14952.590000000084</v>
          </cell>
          <cell r="K317">
            <v>31392.979999999981</v>
          </cell>
          <cell r="L317">
            <v>-84401.65000000014</v>
          </cell>
          <cell r="M317">
            <v>-33678737.75</v>
          </cell>
          <cell r="N317">
            <v>-418831.00000000012</v>
          </cell>
          <cell r="O317">
            <v>-309302.7899999998</v>
          </cell>
          <cell r="P317">
            <v>87759.04000000027</v>
          </cell>
          <cell r="Q317">
            <v>-6364327.7200000063</v>
          </cell>
          <cell r="R317">
            <v>-667114.3599999994</v>
          </cell>
          <cell r="S317">
            <v>194195.10000000009</v>
          </cell>
          <cell r="T317">
            <v>-11353.340000000317</v>
          </cell>
          <cell r="U317">
            <v>-810211.2899999998</v>
          </cell>
          <cell r="V317">
            <v>-834515.81999999983</v>
          </cell>
          <cell r="W317">
            <v>-368210.25</v>
          </cell>
          <cell r="X317">
            <v>-647922.59999999916</v>
          </cell>
          <cell r="Y317">
            <v>-453622.03000000119</v>
          </cell>
          <cell r="Z317">
            <v>100468.04999999981</v>
          </cell>
          <cell r="AA317">
            <v>310101.39000000339</v>
          </cell>
          <cell r="AB317">
            <v>62761.969999999274</v>
          </cell>
        </row>
        <row r="351">
          <cell r="F351">
            <v>42819998.5</v>
          </cell>
          <cell r="G351">
            <v>33481028.859999996</v>
          </cell>
          <cell r="H351">
            <v>93439510.920000002</v>
          </cell>
          <cell r="I351">
            <v>96267818.670000002</v>
          </cell>
          <cell r="J351">
            <v>127703746.33000001</v>
          </cell>
          <cell r="K351">
            <v>112760530.91</v>
          </cell>
          <cell r="L351">
            <v>96639403.109999999</v>
          </cell>
          <cell r="M351">
            <v>38590319.859999999</v>
          </cell>
          <cell r="N351">
            <v>78290825.660000011</v>
          </cell>
          <cell r="O351">
            <v>149221289.61999997</v>
          </cell>
          <cell r="P351">
            <v>106541409.87</v>
          </cell>
          <cell r="Q351">
            <v>90241366.519999996</v>
          </cell>
          <cell r="R351">
            <v>88547775.150000006</v>
          </cell>
          <cell r="S351">
            <v>108127599.42</v>
          </cell>
          <cell r="T351">
            <v>78334561.969999999</v>
          </cell>
          <cell r="U351">
            <v>65383511.980000004</v>
          </cell>
          <cell r="V351">
            <v>141426744.06999999</v>
          </cell>
          <cell r="W351">
            <v>138711787.03999999</v>
          </cell>
          <cell r="X351">
            <v>193161760.36000001</v>
          </cell>
          <cell r="Y351">
            <v>213305329.94</v>
          </cell>
          <cell r="Z351">
            <v>381763868.69</v>
          </cell>
          <cell r="AA351">
            <v>515726360.04000002</v>
          </cell>
          <cell r="AB351">
            <v>462362738.57000005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6">
          <cell r="J6" t="str">
            <v>ENE</v>
          </cell>
        </row>
      </sheetData>
      <sheetData sheetId="20"/>
      <sheetData sheetId="21"/>
      <sheetData sheetId="22" refreshError="1"/>
      <sheetData sheetId="23"/>
      <sheetData sheetId="24"/>
      <sheetData sheetId="25"/>
      <sheetData sheetId="26"/>
      <sheetData sheetId="27"/>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29F84C-42D1-43E3-AF57-57C2D7AFBCF7}">
  <we:reference id="WA200009404" version="1.0.0.8" store="Omex" storeType="OMEX"/>
  <we:alternateReferences>
    <we:reference id="WA200009404" version="1.0.0.8" store="WA200009404" storeType="OMEX"/>
  </we:alternateReferences>
  <we:properties>
    <we:property name="claude.fileId" value="&quot;529a2055-84b8-4fd2-92ff-07dc3a83fba5&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E72B-DE5E-4E0E-91A4-EE310F34352D}">
  <sheetPr codeName="Sheet1"/>
  <dimension ref="A1:N20"/>
  <sheetViews>
    <sheetView workbookViewId="0"/>
    <sheetView workbookViewId="1"/>
  </sheetViews>
  <sheetFormatPr baseColWidth="10" defaultColWidth="8.54296875" defaultRowHeight="15" outlineLevelCol="1" x14ac:dyDescent="0.45"/>
  <cols>
    <col min="1" max="1" width="4.54296875" style="46" bestFit="1" customWidth="1"/>
    <col min="2" max="2" width="79" style="46" bestFit="1" customWidth="1"/>
    <col min="3" max="3" width="12.81640625" style="46" bestFit="1" customWidth="1"/>
    <col min="4" max="4" width="5.453125" style="181" customWidth="1"/>
    <col min="5" max="5" width="7" style="181" customWidth="1"/>
    <col min="6" max="6" width="8.54296875" style="46" customWidth="1"/>
    <col min="7" max="9" width="8.54296875" style="46"/>
    <col min="10" max="13" width="8.54296875" style="46" hidden="1" customWidth="1" outlineLevel="1"/>
    <col min="14" max="14" width="8.54296875" style="46" collapsed="1"/>
    <col min="15" max="16384" width="8.54296875" style="46"/>
  </cols>
  <sheetData>
    <row r="1" spans="1:13" x14ac:dyDescent="0.45">
      <c r="B1" s="25" t="s">
        <v>0</v>
      </c>
      <c r="C1" s="26" t="s">
        <v>1</v>
      </c>
      <c r="D1" s="175"/>
      <c r="E1" s="175"/>
    </row>
    <row r="2" spans="1:13" x14ac:dyDescent="0.45">
      <c r="A2" s="243" t="e">
        <f>+SUM(A3:A1048576)</f>
        <v>#REF!</v>
      </c>
      <c r="B2" s="25" t="s">
        <v>2</v>
      </c>
      <c r="C2" s="244" t="e">
        <f>+A2</f>
        <v>#REF!</v>
      </c>
      <c r="D2" s="175"/>
      <c r="E2" s="175"/>
    </row>
    <row r="3" spans="1:13" x14ac:dyDescent="0.45">
      <c r="B3" s="93"/>
      <c r="C3" s="93"/>
      <c r="D3" s="176"/>
      <c r="E3" s="176"/>
    </row>
    <row r="4" spans="1:13" x14ac:dyDescent="0.45">
      <c r="B4" s="91"/>
      <c r="C4" s="91"/>
      <c r="D4" s="177"/>
      <c r="E4" s="177"/>
    </row>
    <row r="5" spans="1:13" x14ac:dyDescent="0.45">
      <c r="B5" s="90"/>
      <c r="C5" s="90"/>
      <c r="D5" s="178"/>
      <c r="E5" s="178"/>
      <c r="J5" s="245" t="s">
        <v>3</v>
      </c>
      <c r="K5" s="246" t="s">
        <v>4</v>
      </c>
      <c r="M5" s="245" t="s">
        <v>5</v>
      </c>
    </row>
    <row r="6" spans="1:13" x14ac:dyDescent="0.45">
      <c r="J6" s="247" t="s">
        <v>6</v>
      </c>
      <c r="K6" s="248" t="s">
        <v>7</v>
      </c>
      <c r="M6" s="249">
        <v>2024</v>
      </c>
    </row>
    <row r="7" spans="1:13" x14ac:dyDescent="0.45">
      <c r="B7" s="55" t="s">
        <v>8</v>
      </c>
      <c r="C7" s="55"/>
      <c r="D7" s="182"/>
      <c r="E7" s="182"/>
      <c r="J7" s="250" t="s">
        <v>9</v>
      </c>
      <c r="K7" s="251" t="s">
        <v>7</v>
      </c>
      <c r="M7" s="252">
        <v>2025</v>
      </c>
    </row>
    <row r="8" spans="1:13" x14ac:dyDescent="0.45">
      <c r="J8" s="250" t="s">
        <v>10</v>
      </c>
      <c r="K8" s="251" t="s">
        <v>7</v>
      </c>
    </row>
    <row r="9" spans="1:13" x14ac:dyDescent="0.45">
      <c r="A9" s="243" t="e">
        <f>+C9</f>
        <v>#REF!</v>
      </c>
      <c r="B9" s="102" t="s">
        <v>11</v>
      </c>
      <c r="C9" s="253" t="e">
        <f>'Managerial Consolidated'!#REF!</f>
        <v>#REF!</v>
      </c>
      <c r="J9" s="250" t="s">
        <v>12</v>
      </c>
      <c r="K9" s="251" t="s">
        <v>13</v>
      </c>
    </row>
    <row r="10" spans="1:13" x14ac:dyDescent="0.45">
      <c r="A10" s="243" t="e">
        <f t="shared" ref="A10:A16" si="0">+C10</f>
        <v>#REF!</v>
      </c>
      <c r="B10" s="102" t="s">
        <v>14</v>
      </c>
      <c r="C10" s="253" t="e">
        <f>#REF!</f>
        <v>#REF!</v>
      </c>
      <c r="J10" s="250" t="s">
        <v>15</v>
      </c>
      <c r="K10" s="251" t="s">
        <v>13</v>
      </c>
    </row>
    <row r="11" spans="1:13" x14ac:dyDescent="0.45">
      <c r="A11" s="243">
        <f t="shared" si="0"/>
        <v>0</v>
      </c>
      <c r="B11" s="102" t="s">
        <v>16</v>
      </c>
      <c r="C11" s="253">
        <f>'Data BASE'!A1</f>
        <v>0</v>
      </c>
      <c r="J11" s="250" t="s">
        <v>17</v>
      </c>
      <c r="K11" s="251" t="s">
        <v>13</v>
      </c>
    </row>
    <row r="12" spans="1:13" x14ac:dyDescent="0.45">
      <c r="A12" s="243">
        <f t="shared" si="0"/>
        <v>0</v>
      </c>
      <c r="B12" s="102" t="s">
        <v>18</v>
      </c>
      <c r="C12" s="253">
        <f>Inputs!A55</f>
        <v>0</v>
      </c>
      <c r="J12" s="250" t="s">
        <v>19</v>
      </c>
      <c r="K12" s="251" t="s">
        <v>20</v>
      </c>
    </row>
    <row r="13" spans="1:13" x14ac:dyDescent="0.45">
      <c r="A13" s="243">
        <f t="shared" si="0"/>
        <v>0</v>
      </c>
      <c r="B13" s="102" t="s">
        <v>2</v>
      </c>
      <c r="C13" s="253">
        <f>'Managerial Consolidated'!Q2</f>
        <v>0</v>
      </c>
      <c r="J13" s="250" t="s">
        <v>21</v>
      </c>
      <c r="K13" s="251" t="s">
        <v>20</v>
      </c>
    </row>
    <row r="14" spans="1:13" x14ac:dyDescent="0.45">
      <c r="A14" s="243" t="e">
        <f t="shared" si="0"/>
        <v>#REF!</v>
      </c>
      <c r="B14" s="102" t="s">
        <v>22</v>
      </c>
      <c r="C14" s="253" t="e">
        <f>#REF!</f>
        <v>#REF!</v>
      </c>
      <c r="J14" s="250" t="s">
        <v>23</v>
      </c>
      <c r="K14" s="251" t="s">
        <v>20</v>
      </c>
    </row>
    <row r="15" spans="1:13" x14ac:dyDescent="0.45">
      <c r="A15" s="243">
        <f t="shared" si="0"/>
        <v>0</v>
      </c>
      <c r="B15" s="102" t="s">
        <v>24</v>
      </c>
      <c r="C15" s="254"/>
      <c r="J15" s="250" t="s">
        <v>25</v>
      </c>
      <c r="K15" s="251" t="s">
        <v>26</v>
      </c>
    </row>
    <row r="16" spans="1:13" x14ac:dyDescent="0.45">
      <c r="A16" s="243">
        <f t="shared" si="0"/>
        <v>0</v>
      </c>
      <c r="B16" s="102" t="s">
        <v>27</v>
      </c>
      <c r="C16" s="254"/>
      <c r="J16" s="255" t="s">
        <v>28</v>
      </c>
      <c r="K16" s="256" t="s">
        <v>26</v>
      </c>
    </row>
    <row r="18" spans="2:5" x14ac:dyDescent="0.45">
      <c r="B18" s="55" t="s">
        <v>29</v>
      </c>
      <c r="C18" s="55"/>
      <c r="D18" s="182"/>
      <c r="E18" s="182"/>
    </row>
    <row r="20" spans="2:5" x14ac:dyDescent="0.45">
      <c r="B20" s="4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3D65-9137-43A9-BF5A-D5B32BD5A603}">
  <sheetPr codeName="Sheet2">
    <tabColor theme="0" tint="-0.499984740745262"/>
  </sheetPr>
  <dimension ref="D4:AZ25"/>
  <sheetViews>
    <sheetView topLeftCell="A7" workbookViewId="0"/>
    <sheetView topLeftCell="A7" workbookViewId="1">
      <selection activeCell="D12" sqref="D12:G25"/>
    </sheetView>
  </sheetViews>
  <sheetFormatPr baseColWidth="10" defaultColWidth="0" defaultRowHeight="0" customHeight="1" zeroHeight="1" x14ac:dyDescent="0.35"/>
  <cols>
    <col min="1" max="1" width="5.453125" customWidth="1"/>
    <col min="2" max="2" width="0.54296875" customWidth="1"/>
    <col min="3" max="3" width="9.453125" customWidth="1"/>
    <col min="4" max="4" width="20.453125" customWidth="1"/>
    <col min="5" max="5" width="45.453125" customWidth="1"/>
    <col min="6" max="6" width="28.453125" customWidth="1"/>
    <col min="7" max="7" width="89.453125" customWidth="1"/>
    <col min="8" max="8" width="10.54296875" customWidth="1"/>
    <col min="9" max="9" width="2.54296875" customWidth="1"/>
    <col min="10" max="10" width="36.54296875" customWidth="1"/>
    <col min="55" max="55" width="12.54296875" customWidth="1"/>
  </cols>
  <sheetData>
    <row r="4" spans="4:52" ht="0" hidden="1" customHeight="1" x14ac:dyDescent="0.35">
      <c r="AZ4" t="s">
        <v>31</v>
      </c>
    </row>
    <row r="7" spans="4:52" ht="14.5" x14ac:dyDescent="0.35">
      <c r="D7" s="561" t="s">
        <v>1020</v>
      </c>
      <c r="E7" s="561"/>
      <c r="F7" s="561"/>
      <c r="G7" s="561"/>
    </row>
    <row r="8" spans="4:52" ht="14.5" x14ac:dyDescent="0.35">
      <c r="D8" s="561"/>
      <c r="E8" s="561"/>
      <c r="F8" s="561"/>
      <c r="G8" s="561"/>
    </row>
    <row r="9" spans="4:52" ht="15" thickBot="1" x14ac:dyDescent="0.4">
      <c r="D9" s="5"/>
      <c r="E9" s="4"/>
      <c r="F9" s="4"/>
      <c r="G9" s="4"/>
    </row>
    <row r="10" spans="4:52" ht="15" thickTop="1" x14ac:dyDescent="0.35">
      <c r="D10" s="3"/>
      <c r="E10" s="3"/>
      <c r="F10" s="3"/>
      <c r="G10" s="3"/>
    </row>
    <row r="11" spans="4:52" ht="14.5" x14ac:dyDescent="0.35">
      <c r="D11" s="2" t="s">
        <v>32</v>
      </c>
      <c r="E11" s="1"/>
      <c r="F11" s="1"/>
      <c r="G11" s="1"/>
    </row>
    <row r="12" spans="4:52" ht="14.5" x14ac:dyDescent="0.35">
      <c r="D12" s="562" t="s">
        <v>33</v>
      </c>
      <c r="E12" s="562"/>
      <c r="F12" s="562"/>
      <c r="G12" s="562"/>
    </row>
    <row r="13" spans="4:52" ht="14.5" x14ac:dyDescent="0.35">
      <c r="D13" s="562"/>
      <c r="E13" s="562"/>
      <c r="F13" s="562"/>
      <c r="G13" s="562"/>
    </row>
    <row r="14" spans="4:52" ht="14.5" x14ac:dyDescent="0.35">
      <c r="D14" s="562"/>
      <c r="E14" s="562"/>
      <c r="F14" s="562"/>
      <c r="G14" s="562"/>
    </row>
    <row r="15" spans="4:52" ht="14.5" x14ac:dyDescent="0.35">
      <c r="D15" s="562"/>
      <c r="E15" s="562"/>
      <c r="F15" s="562"/>
      <c r="G15" s="562"/>
    </row>
    <row r="16" spans="4:52" ht="14.5" x14ac:dyDescent="0.35">
      <c r="D16" s="562"/>
      <c r="E16" s="562"/>
      <c r="F16" s="562"/>
      <c r="G16" s="562"/>
    </row>
    <row r="17" spans="4:7" ht="14.5" x14ac:dyDescent="0.35">
      <c r="D17" s="562"/>
      <c r="E17" s="562"/>
      <c r="F17" s="562"/>
      <c r="G17" s="562"/>
    </row>
    <row r="18" spans="4:7" ht="14.5" x14ac:dyDescent="0.35">
      <c r="D18" s="562"/>
      <c r="E18" s="562"/>
      <c r="F18" s="562"/>
      <c r="G18" s="562"/>
    </row>
    <row r="19" spans="4:7" ht="14.5" x14ac:dyDescent="0.35">
      <c r="D19" s="562"/>
      <c r="E19" s="562"/>
      <c r="F19" s="562"/>
      <c r="G19" s="562"/>
    </row>
    <row r="20" spans="4:7" ht="14.5" x14ac:dyDescent="0.35">
      <c r="D20" s="562"/>
      <c r="E20" s="562"/>
      <c r="F20" s="562"/>
      <c r="G20" s="562"/>
    </row>
    <row r="21" spans="4:7" ht="14.5" x14ac:dyDescent="0.35">
      <c r="D21" s="562"/>
      <c r="E21" s="562"/>
      <c r="F21" s="562"/>
      <c r="G21" s="562"/>
    </row>
    <row r="22" spans="4:7" ht="14.5" x14ac:dyDescent="0.35">
      <c r="D22" s="562"/>
      <c r="E22" s="562"/>
      <c r="F22" s="562"/>
      <c r="G22" s="562"/>
    </row>
    <row r="23" spans="4:7" ht="14.5" x14ac:dyDescent="0.35">
      <c r="D23" s="562"/>
      <c r="E23" s="562"/>
      <c r="F23" s="562"/>
      <c r="G23" s="562"/>
    </row>
    <row r="24" spans="4:7" ht="14.5" x14ac:dyDescent="0.35">
      <c r="D24" s="562"/>
      <c r="E24" s="562"/>
      <c r="F24" s="562"/>
      <c r="G24" s="562"/>
    </row>
    <row r="25" spans="4:7" ht="14.5" x14ac:dyDescent="0.35">
      <c r="D25" s="562"/>
      <c r="E25" s="562"/>
      <c r="F25" s="562"/>
      <c r="G25" s="562"/>
    </row>
  </sheetData>
  <mergeCells count="2">
    <mergeCell ref="D7:G8"/>
    <mergeCell ref="D12:G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C90F-BD5B-4938-8BC8-251FAB3A2149}">
  <sheetPr codeName="Sheet3" filterMode="1">
    <tabColor rgb="FFFF0000"/>
  </sheetPr>
  <dimension ref="A2:S95"/>
  <sheetViews>
    <sheetView workbookViewId="0"/>
    <sheetView workbookViewId="1"/>
  </sheetViews>
  <sheetFormatPr baseColWidth="10" defaultColWidth="11.453125" defaultRowHeight="14.5" x14ac:dyDescent="0.35"/>
  <cols>
    <col min="5" max="5" width="32.54296875" bestFit="1" customWidth="1"/>
    <col min="6" max="6" width="36.54296875" bestFit="1" customWidth="1"/>
    <col min="9" max="9" width="52.54296875" bestFit="1" customWidth="1"/>
    <col min="10" max="12" width="12.54296875" bestFit="1" customWidth="1"/>
    <col min="14" max="14" width="29.54296875" bestFit="1" customWidth="1"/>
    <col min="15" max="16" width="12.54296875" bestFit="1" customWidth="1"/>
    <col min="18" max="18" width="13.54296875" bestFit="1" customWidth="1"/>
    <col min="19" max="19" width="14.54296875" bestFit="1" customWidth="1"/>
  </cols>
  <sheetData>
    <row r="2" spans="1:19" x14ac:dyDescent="0.35">
      <c r="A2" s="30" t="s">
        <v>34</v>
      </c>
      <c r="B2" s="29" t="s">
        <v>35</v>
      </c>
      <c r="C2" s="29" t="s">
        <v>36</v>
      </c>
      <c r="D2" s="29" t="s">
        <v>37</v>
      </c>
      <c r="E2" s="173" t="s">
        <v>38</v>
      </c>
      <c r="F2" s="173" t="s">
        <v>39</v>
      </c>
      <c r="G2" s="29" t="s">
        <v>40</v>
      </c>
      <c r="H2" s="29" t="s">
        <v>41</v>
      </c>
      <c r="I2" s="29" t="s">
        <v>42</v>
      </c>
      <c r="J2" t="s">
        <v>43</v>
      </c>
      <c r="K2" t="s">
        <v>44</v>
      </c>
      <c r="L2" s="29" t="s">
        <v>45</v>
      </c>
      <c r="O2" t="s">
        <v>46</v>
      </c>
      <c r="P2" t="s">
        <v>47</v>
      </c>
    </row>
    <row r="3" spans="1:19" x14ac:dyDescent="0.35">
      <c r="A3" s="205" t="s">
        <v>48</v>
      </c>
      <c r="B3" s="205" t="s">
        <v>49</v>
      </c>
      <c r="C3" s="205" t="s">
        <v>50</v>
      </c>
      <c r="D3" s="205" t="s">
        <v>51</v>
      </c>
      <c r="E3" s="205" t="s">
        <v>52</v>
      </c>
      <c r="F3" s="205" t="s">
        <v>53</v>
      </c>
      <c r="G3" s="205" t="s">
        <v>54</v>
      </c>
      <c r="H3" s="205" t="s">
        <v>55</v>
      </c>
      <c r="I3" s="205" t="s">
        <v>56</v>
      </c>
      <c r="J3" s="206">
        <v>156206.38</v>
      </c>
      <c r="K3" s="206">
        <v>6890.84</v>
      </c>
      <c r="L3" s="208">
        <f>-(K3-J3)</f>
        <v>149315.54</v>
      </c>
      <c r="N3" s="27" t="s">
        <v>52</v>
      </c>
      <c r="O3" s="44">
        <f>L3+L12</f>
        <v>1470691.2599999998</v>
      </c>
      <c r="P3" s="44">
        <f>L5</f>
        <v>-165565.64000000013</v>
      </c>
      <c r="R3" s="195">
        <v>1470691.2599999998</v>
      </c>
      <c r="S3" s="195">
        <v>-165565.64000000001</v>
      </c>
    </row>
    <row r="4" spans="1:19" hidden="1" x14ac:dyDescent="0.35">
      <c r="A4" s="27" t="s">
        <v>57</v>
      </c>
      <c r="B4" s="27" t="s">
        <v>49</v>
      </c>
      <c r="C4" s="27" t="s">
        <v>58</v>
      </c>
      <c r="D4" s="27" t="s">
        <v>51</v>
      </c>
      <c r="E4" s="27" t="s">
        <v>52</v>
      </c>
      <c r="F4" s="27" t="s">
        <v>59</v>
      </c>
      <c r="G4" s="27" t="s">
        <v>54</v>
      </c>
      <c r="H4" s="27" t="s">
        <v>55</v>
      </c>
      <c r="I4" s="27" t="s">
        <v>56</v>
      </c>
      <c r="J4" s="45">
        <v>0</v>
      </c>
      <c r="K4" s="45">
        <v>0</v>
      </c>
      <c r="L4" s="44">
        <f t="shared" ref="L4:L11" si="0">K4-J4</f>
        <v>0</v>
      </c>
    </row>
    <row r="5" spans="1:19" x14ac:dyDescent="0.35">
      <c r="A5" s="209" t="s">
        <v>60</v>
      </c>
      <c r="B5" s="209" t="s">
        <v>49</v>
      </c>
      <c r="C5" s="209" t="s">
        <v>61</v>
      </c>
      <c r="D5" s="209" t="s">
        <v>51</v>
      </c>
      <c r="E5" s="209" t="s">
        <v>52</v>
      </c>
      <c r="F5" s="209" t="s">
        <v>62</v>
      </c>
      <c r="G5" s="209" t="s">
        <v>54</v>
      </c>
      <c r="H5" s="209" t="s">
        <v>55</v>
      </c>
      <c r="I5" s="209" t="s">
        <v>56</v>
      </c>
      <c r="J5" s="210">
        <v>1255093.69</v>
      </c>
      <c r="K5" s="210">
        <v>1420659.33</v>
      </c>
      <c r="L5" s="211">
        <f>-(K5-J5)</f>
        <v>-165565.64000000013</v>
      </c>
      <c r="N5" s="27" t="s">
        <v>63</v>
      </c>
      <c r="O5">
        <v>0</v>
      </c>
      <c r="P5" s="44">
        <f>L13+L14</f>
        <v>-3491489.9499999988</v>
      </c>
      <c r="R5" s="195"/>
      <c r="S5" s="195">
        <v>-3491489.95</v>
      </c>
    </row>
    <row r="6" spans="1:19" hidden="1" x14ac:dyDescent="0.35">
      <c r="A6" s="27" t="s">
        <v>64</v>
      </c>
      <c r="B6" s="27" t="s">
        <v>49</v>
      </c>
      <c r="C6" s="27" t="s">
        <v>65</v>
      </c>
      <c r="D6" s="27" t="s">
        <v>51</v>
      </c>
      <c r="E6" s="27" t="s">
        <v>52</v>
      </c>
      <c r="F6" s="27" t="s">
        <v>66</v>
      </c>
      <c r="G6" s="27" t="s">
        <v>54</v>
      </c>
      <c r="H6" s="27" t="s">
        <v>55</v>
      </c>
      <c r="I6" s="27" t="s">
        <v>56</v>
      </c>
      <c r="J6" s="45">
        <v>370.6</v>
      </c>
      <c r="K6" s="45">
        <v>370.6</v>
      </c>
      <c r="L6" s="44">
        <f t="shared" si="0"/>
        <v>0</v>
      </c>
    </row>
    <row r="7" spans="1:19" hidden="1" x14ac:dyDescent="0.35">
      <c r="A7" s="27" t="s">
        <v>67</v>
      </c>
      <c r="B7" s="27" t="s">
        <v>49</v>
      </c>
      <c r="C7" s="27" t="s">
        <v>68</v>
      </c>
      <c r="D7" s="27" t="s">
        <v>51</v>
      </c>
      <c r="E7" s="27" t="s">
        <v>52</v>
      </c>
      <c r="F7" s="27" t="s">
        <v>69</v>
      </c>
      <c r="G7" s="27" t="s">
        <v>54</v>
      </c>
      <c r="H7" s="27" t="s">
        <v>55</v>
      </c>
      <c r="I7" s="27" t="s">
        <v>56</v>
      </c>
      <c r="J7" s="45">
        <v>43.43</v>
      </c>
      <c r="K7" s="45">
        <v>43.43</v>
      </c>
      <c r="L7" s="44">
        <f t="shared" si="0"/>
        <v>0</v>
      </c>
    </row>
    <row r="8" spans="1:19" hidden="1" x14ac:dyDescent="0.35">
      <c r="A8" s="27" t="s">
        <v>70</v>
      </c>
      <c r="B8" s="27" t="s">
        <v>49</v>
      </c>
      <c r="C8" s="27" t="s">
        <v>71</v>
      </c>
      <c r="D8" s="27" t="s">
        <v>51</v>
      </c>
      <c r="E8" s="27" t="s">
        <v>52</v>
      </c>
      <c r="F8" s="27" t="s">
        <v>72</v>
      </c>
      <c r="G8" s="27" t="s">
        <v>54</v>
      </c>
      <c r="H8" s="27" t="s">
        <v>55</v>
      </c>
      <c r="I8" s="27" t="s">
        <v>56</v>
      </c>
      <c r="J8" s="45">
        <v>80.349999999999994</v>
      </c>
      <c r="K8" s="45">
        <v>80.349999999999994</v>
      </c>
      <c r="L8" s="44">
        <f t="shared" si="0"/>
        <v>0</v>
      </c>
    </row>
    <row r="9" spans="1:19" hidden="1" x14ac:dyDescent="0.35">
      <c r="A9" s="27" t="s">
        <v>73</v>
      </c>
      <c r="B9" s="27" t="s">
        <v>49</v>
      </c>
      <c r="C9" s="27" t="s">
        <v>74</v>
      </c>
      <c r="D9" s="27" t="s">
        <v>51</v>
      </c>
      <c r="E9" s="27" t="s">
        <v>52</v>
      </c>
      <c r="F9" s="27" t="s">
        <v>75</v>
      </c>
      <c r="G9" s="27" t="s">
        <v>54</v>
      </c>
      <c r="H9" s="27" t="s">
        <v>55</v>
      </c>
      <c r="I9" s="27" t="s">
        <v>56</v>
      </c>
      <c r="J9" s="45">
        <v>376.76</v>
      </c>
      <c r="K9" s="45">
        <v>376.76</v>
      </c>
      <c r="L9" s="44">
        <f t="shared" si="0"/>
        <v>0</v>
      </c>
    </row>
    <row r="10" spans="1:19" hidden="1" x14ac:dyDescent="0.35">
      <c r="A10" s="27" t="s">
        <v>76</v>
      </c>
      <c r="B10" s="27" t="s">
        <v>49</v>
      </c>
      <c r="C10" s="27" t="s">
        <v>77</v>
      </c>
      <c r="D10" s="27" t="s">
        <v>51</v>
      </c>
      <c r="E10" s="27" t="s">
        <v>52</v>
      </c>
      <c r="F10" s="27" t="s">
        <v>78</v>
      </c>
      <c r="G10" s="27" t="s">
        <v>54</v>
      </c>
      <c r="H10" s="27" t="s">
        <v>55</v>
      </c>
      <c r="I10" s="27" t="s">
        <v>56</v>
      </c>
      <c r="J10" s="45">
        <v>85.23</v>
      </c>
      <c r="K10" s="45">
        <v>85.23</v>
      </c>
      <c r="L10" s="44">
        <f t="shared" si="0"/>
        <v>0</v>
      </c>
    </row>
    <row r="11" spans="1:19" hidden="1" x14ac:dyDescent="0.35">
      <c r="A11" s="27" t="s">
        <v>79</v>
      </c>
      <c r="B11" s="27" t="s">
        <v>49</v>
      </c>
      <c r="C11" s="27" t="s">
        <v>80</v>
      </c>
      <c r="D11" s="27" t="s">
        <v>51</v>
      </c>
      <c r="E11" s="27" t="s">
        <v>52</v>
      </c>
      <c r="F11" s="27" t="s">
        <v>81</v>
      </c>
      <c r="G11" s="27" t="s">
        <v>54</v>
      </c>
      <c r="H11" s="27" t="s">
        <v>55</v>
      </c>
      <c r="I11" s="27" t="s">
        <v>56</v>
      </c>
      <c r="J11" s="45">
        <v>0</v>
      </c>
      <c r="K11" s="45">
        <v>0</v>
      </c>
      <c r="L11" s="44">
        <f t="shared" si="0"/>
        <v>0</v>
      </c>
    </row>
    <row r="12" spans="1:19" x14ac:dyDescent="0.35">
      <c r="A12" s="205" t="s">
        <v>82</v>
      </c>
      <c r="B12" s="205" t="s">
        <v>49</v>
      </c>
      <c r="C12" s="205" t="s">
        <v>83</v>
      </c>
      <c r="D12" s="205" t="s">
        <v>51</v>
      </c>
      <c r="E12" s="205" t="s">
        <v>52</v>
      </c>
      <c r="F12" s="205" t="s">
        <v>84</v>
      </c>
      <c r="G12" s="205" t="s">
        <v>54</v>
      </c>
      <c r="H12" s="205" t="s">
        <v>55</v>
      </c>
      <c r="I12" s="205" t="s">
        <v>56</v>
      </c>
      <c r="J12" s="206">
        <v>5857369.4299999997</v>
      </c>
      <c r="K12" s="206">
        <v>4535993.71</v>
      </c>
      <c r="L12" s="208">
        <f>-(K12-J12)</f>
        <v>1321375.7199999997</v>
      </c>
      <c r="N12" s="27" t="s">
        <v>85</v>
      </c>
      <c r="O12" s="44">
        <f>L17</f>
        <v>2645.83</v>
      </c>
      <c r="P12" s="44">
        <f>L16</f>
        <v>-35127.380000000005</v>
      </c>
      <c r="R12" s="195">
        <v>2645.83</v>
      </c>
      <c r="S12" s="195">
        <v>-35127.379999999997</v>
      </c>
    </row>
    <row r="13" spans="1:19" x14ac:dyDescent="0.35">
      <c r="A13" s="209" t="s">
        <v>86</v>
      </c>
      <c r="B13" s="209" t="s">
        <v>49</v>
      </c>
      <c r="C13" s="209" t="s">
        <v>87</v>
      </c>
      <c r="D13" s="209" t="s">
        <v>51</v>
      </c>
      <c r="E13" s="209" t="s">
        <v>63</v>
      </c>
      <c r="F13" s="209" t="s">
        <v>88</v>
      </c>
      <c r="G13" s="209" t="s">
        <v>54</v>
      </c>
      <c r="H13" s="209" t="s">
        <v>55</v>
      </c>
      <c r="I13" s="209" t="s">
        <v>89</v>
      </c>
      <c r="J13" s="210">
        <v>34025682.100000001</v>
      </c>
      <c r="K13" s="210">
        <v>37423900.32</v>
      </c>
      <c r="L13" s="211">
        <f>-(K13-J13)</f>
        <v>-3398218.2199999988</v>
      </c>
      <c r="N13" s="27" t="s">
        <v>90</v>
      </c>
      <c r="O13">
        <v>0</v>
      </c>
      <c r="P13" s="44">
        <f>L20</f>
        <v>634311</v>
      </c>
      <c r="R13" s="195"/>
      <c r="S13" s="195">
        <v>-634311</v>
      </c>
    </row>
    <row r="14" spans="1:19" x14ac:dyDescent="0.35">
      <c r="A14" s="209" t="s">
        <v>91</v>
      </c>
      <c r="B14" s="209" t="s">
        <v>49</v>
      </c>
      <c r="C14" s="209" t="s">
        <v>92</v>
      </c>
      <c r="D14" s="209" t="s">
        <v>51</v>
      </c>
      <c r="E14" s="209" t="s">
        <v>63</v>
      </c>
      <c r="F14" s="209" t="s">
        <v>93</v>
      </c>
      <c r="G14" s="209" t="s">
        <v>54</v>
      </c>
      <c r="H14" s="209" t="s">
        <v>55</v>
      </c>
      <c r="I14" s="209" t="s">
        <v>89</v>
      </c>
      <c r="J14" s="210">
        <v>1156470.47</v>
      </c>
      <c r="K14" s="210">
        <v>1249742.2</v>
      </c>
      <c r="L14" s="211">
        <f>-(K14-J14)</f>
        <v>-93271.729999999981</v>
      </c>
      <c r="N14" s="27" t="s">
        <v>94</v>
      </c>
      <c r="O14" s="44">
        <f>L30</f>
        <v>-5937.5999999999985</v>
      </c>
      <c r="P14" s="44">
        <f>L29+L31</f>
        <v>297276.84999999998</v>
      </c>
      <c r="R14" s="195">
        <v>5937.6</v>
      </c>
      <c r="S14" s="195">
        <v>-297276.84999999998</v>
      </c>
    </row>
    <row r="15" spans="1:19" hidden="1" x14ac:dyDescent="0.35">
      <c r="A15" s="27" t="s">
        <v>95</v>
      </c>
      <c r="B15" s="27" t="s">
        <v>49</v>
      </c>
      <c r="C15" s="27" t="s">
        <v>96</v>
      </c>
      <c r="D15" s="27" t="s">
        <v>51</v>
      </c>
      <c r="E15" s="27" t="s">
        <v>63</v>
      </c>
      <c r="F15" s="27" t="s">
        <v>97</v>
      </c>
      <c r="G15" s="27" t="s">
        <v>54</v>
      </c>
      <c r="H15" s="27" t="s">
        <v>55</v>
      </c>
      <c r="I15" s="27" t="s">
        <v>89</v>
      </c>
      <c r="J15" s="45">
        <v>0</v>
      </c>
      <c r="K15" s="45">
        <v>0</v>
      </c>
      <c r="L15" s="44">
        <f>-(K15-J15)</f>
        <v>0</v>
      </c>
    </row>
    <row r="16" spans="1:19" x14ac:dyDescent="0.35">
      <c r="A16" s="27" t="s">
        <v>98</v>
      </c>
      <c r="B16" s="27" t="s">
        <v>49</v>
      </c>
      <c r="C16" s="27" t="s">
        <v>99</v>
      </c>
      <c r="D16" s="27" t="s">
        <v>51</v>
      </c>
      <c r="E16" s="27" t="s">
        <v>85</v>
      </c>
      <c r="F16" s="27" t="s">
        <v>100</v>
      </c>
      <c r="G16" s="27" t="s">
        <v>54</v>
      </c>
      <c r="H16" s="27" t="s">
        <v>55</v>
      </c>
      <c r="I16" s="27" t="s">
        <v>101</v>
      </c>
      <c r="J16" s="45">
        <v>38203.47</v>
      </c>
      <c r="K16" s="45">
        <v>73330.850000000006</v>
      </c>
      <c r="L16" s="44">
        <f>-(K16-J16)</f>
        <v>-35127.380000000005</v>
      </c>
      <c r="N16" s="27" t="s">
        <v>102</v>
      </c>
      <c r="O16" s="44">
        <f>L32+L34+L35+L36+L37</f>
        <v>-497731.18999999989</v>
      </c>
      <c r="P16" s="44">
        <f>L33</f>
        <v>62861.979999999981</v>
      </c>
      <c r="R16" s="195">
        <v>497731.19</v>
      </c>
      <c r="S16" s="195">
        <v>-62861.98</v>
      </c>
    </row>
    <row r="17" spans="1:19" x14ac:dyDescent="0.35">
      <c r="A17" s="27" t="s">
        <v>103</v>
      </c>
      <c r="B17" s="27" t="s">
        <v>49</v>
      </c>
      <c r="C17" s="27" t="s">
        <v>104</v>
      </c>
      <c r="D17" s="27" t="s">
        <v>51</v>
      </c>
      <c r="E17" s="27" t="s">
        <v>85</v>
      </c>
      <c r="F17" s="27" t="s">
        <v>105</v>
      </c>
      <c r="G17" s="27" t="s">
        <v>54</v>
      </c>
      <c r="H17" s="27" t="s">
        <v>55</v>
      </c>
      <c r="I17" s="27" t="s">
        <v>101</v>
      </c>
      <c r="J17" s="45">
        <v>5291.67</v>
      </c>
      <c r="K17" s="45">
        <v>2645.84</v>
      </c>
      <c r="L17" s="44">
        <f t="shared" ref="L17:L39" si="1">-(K17-J17)</f>
        <v>2645.83</v>
      </c>
      <c r="N17" s="27" t="s">
        <v>106</v>
      </c>
      <c r="O17" s="44">
        <f>L40</f>
        <v>-4135236.17</v>
      </c>
      <c r="P17" s="44">
        <f>L41+L43+L46</f>
        <v>199343.13999999524</v>
      </c>
      <c r="R17" s="195">
        <v>4135236.17</v>
      </c>
      <c r="S17" s="195">
        <v>-199343.13999999501</v>
      </c>
    </row>
    <row r="18" spans="1:19" hidden="1" x14ac:dyDescent="0.35">
      <c r="A18" s="27" t="s">
        <v>107</v>
      </c>
      <c r="B18" s="27" t="s">
        <v>49</v>
      </c>
      <c r="C18" s="27" t="s">
        <v>108</v>
      </c>
      <c r="D18" s="27" t="s">
        <v>51</v>
      </c>
      <c r="E18" s="27" t="s">
        <v>109</v>
      </c>
      <c r="F18" s="27" t="s">
        <v>110</v>
      </c>
      <c r="G18" s="27" t="s">
        <v>54</v>
      </c>
      <c r="H18" s="27" t="s">
        <v>55</v>
      </c>
      <c r="I18" s="27" t="s">
        <v>101</v>
      </c>
      <c r="J18" s="45">
        <v>0</v>
      </c>
      <c r="K18" s="45">
        <v>0</v>
      </c>
      <c r="L18" s="44">
        <f t="shared" si="1"/>
        <v>0</v>
      </c>
    </row>
    <row r="19" spans="1:19" hidden="1" x14ac:dyDescent="0.35">
      <c r="A19" s="27" t="s">
        <v>111</v>
      </c>
      <c r="B19" s="27" t="s">
        <v>49</v>
      </c>
      <c r="C19" s="27" t="s">
        <v>112</v>
      </c>
      <c r="D19" s="27" t="s">
        <v>51</v>
      </c>
      <c r="E19" s="27" t="s">
        <v>90</v>
      </c>
      <c r="F19" s="27" t="s">
        <v>90</v>
      </c>
      <c r="G19" s="27" t="s">
        <v>54</v>
      </c>
      <c r="H19" s="27" t="s">
        <v>55</v>
      </c>
      <c r="I19" s="27" t="s">
        <v>113</v>
      </c>
      <c r="J19" s="45">
        <v>71455174.540000007</v>
      </c>
      <c r="K19" s="45">
        <v>71455174.540000007</v>
      </c>
      <c r="L19" s="44">
        <f t="shared" si="1"/>
        <v>0</v>
      </c>
    </row>
    <row r="20" spans="1:19" x14ac:dyDescent="0.35">
      <c r="A20" s="27" t="s">
        <v>114</v>
      </c>
      <c r="B20" s="27" t="s">
        <v>49</v>
      </c>
      <c r="C20" s="27" t="s">
        <v>115</v>
      </c>
      <c r="D20" s="27" t="s">
        <v>51</v>
      </c>
      <c r="E20" s="27" t="s">
        <v>90</v>
      </c>
      <c r="F20" s="27" t="s">
        <v>116</v>
      </c>
      <c r="G20" s="27" t="s">
        <v>54</v>
      </c>
      <c r="H20" s="27" t="s">
        <v>55</v>
      </c>
      <c r="I20" s="27" t="s">
        <v>113</v>
      </c>
      <c r="J20" s="45">
        <v>-8162249.0899999999</v>
      </c>
      <c r="K20" s="45">
        <v>-8796560.0899999999</v>
      </c>
      <c r="L20" s="44">
        <f>-(K20-J20)</f>
        <v>634311</v>
      </c>
      <c r="P20" s="44">
        <f>L39</f>
        <v>-610000</v>
      </c>
      <c r="R20" s="195"/>
      <c r="S20" s="195">
        <v>-610000</v>
      </c>
    </row>
    <row r="21" spans="1:19" hidden="1" x14ac:dyDescent="0.35">
      <c r="A21" s="27" t="s">
        <v>117</v>
      </c>
      <c r="B21" s="27" t="s">
        <v>49</v>
      </c>
      <c r="C21" s="27" t="s">
        <v>118</v>
      </c>
      <c r="D21" s="27" t="s">
        <v>51</v>
      </c>
      <c r="E21" s="27" t="s">
        <v>119</v>
      </c>
      <c r="F21" s="27" t="s">
        <v>120</v>
      </c>
      <c r="G21" s="27" t="s">
        <v>54</v>
      </c>
      <c r="H21" s="27" t="s">
        <v>55</v>
      </c>
      <c r="I21" s="27" t="s">
        <v>56</v>
      </c>
      <c r="J21" s="45">
        <v>776459</v>
      </c>
      <c r="K21" s="45">
        <v>776459</v>
      </c>
      <c r="L21" s="44">
        <f t="shared" si="1"/>
        <v>0</v>
      </c>
    </row>
    <row r="22" spans="1:19" hidden="1" x14ac:dyDescent="0.35">
      <c r="A22" s="27" t="s">
        <v>121</v>
      </c>
      <c r="B22" s="27" t="s">
        <v>49</v>
      </c>
      <c r="C22" s="27" t="s">
        <v>122</v>
      </c>
      <c r="D22" s="27" t="s">
        <v>51</v>
      </c>
      <c r="E22" s="27" t="s">
        <v>119</v>
      </c>
      <c r="F22" s="27" t="s">
        <v>123</v>
      </c>
      <c r="G22" s="27" t="s">
        <v>54</v>
      </c>
      <c r="H22" s="27" t="s">
        <v>55</v>
      </c>
      <c r="I22" s="27" t="s">
        <v>56</v>
      </c>
      <c r="J22" s="45">
        <v>341504</v>
      </c>
      <c r="K22" s="45">
        <v>341504</v>
      </c>
      <c r="L22" s="44">
        <f t="shared" si="1"/>
        <v>0</v>
      </c>
    </row>
    <row r="23" spans="1:19" hidden="1" x14ac:dyDescent="0.35">
      <c r="A23" s="27" t="s">
        <v>124</v>
      </c>
      <c r="B23" s="27" t="s">
        <v>49</v>
      </c>
      <c r="C23" s="27" t="s">
        <v>125</v>
      </c>
      <c r="D23" s="27" t="s">
        <v>51</v>
      </c>
      <c r="E23" s="27" t="s">
        <v>119</v>
      </c>
      <c r="F23" s="27" t="s">
        <v>126</v>
      </c>
      <c r="G23" s="27" t="s">
        <v>54</v>
      </c>
      <c r="H23" s="27" t="s">
        <v>55</v>
      </c>
      <c r="I23" s="27" t="s">
        <v>56</v>
      </c>
      <c r="J23" s="45">
        <v>137592</v>
      </c>
      <c r="K23" s="45">
        <v>137592</v>
      </c>
      <c r="L23" s="44">
        <f t="shared" si="1"/>
        <v>0</v>
      </c>
    </row>
    <row r="24" spans="1:19" hidden="1" x14ac:dyDescent="0.35">
      <c r="A24" s="27" t="s">
        <v>127</v>
      </c>
      <c r="B24" s="27" t="s">
        <v>49</v>
      </c>
      <c r="C24" s="27" t="s">
        <v>128</v>
      </c>
      <c r="D24" s="27" t="s">
        <v>51</v>
      </c>
      <c r="E24" s="27" t="s">
        <v>119</v>
      </c>
      <c r="F24" s="27" t="s">
        <v>129</v>
      </c>
      <c r="G24" s="27" t="s">
        <v>54</v>
      </c>
      <c r="H24" s="27" t="s">
        <v>55</v>
      </c>
      <c r="I24" s="27" t="s">
        <v>56</v>
      </c>
      <c r="J24" s="45">
        <v>840000</v>
      </c>
      <c r="K24" s="45">
        <v>840000</v>
      </c>
      <c r="L24" s="44">
        <f t="shared" si="1"/>
        <v>0</v>
      </c>
    </row>
    <row r="25" spans="1:19" hidden="1" x14ac:dyDescent="0.35">
      <c r="A25" s="27" t="s">
        <v>130</v>
      </c>
      <c r="B25" s="27" t="s">
        <v>49</v>
      </c>
      <c r="C25" s="27" t="s">
        <v>131</v>
      </c>
      <c r="D25" s="27" t="s">
        <v>51</v>
      </c>
      <c r="E25" s="27" t="s">
        <v>119</v>
      </c>
      <c r="F25" s="27" t="s">
        <v>132</v>
      </c>
      <c r="G25" s="27" t="s">
        <v>54</v>
      </c>
      <c r="H25" s="27" t="s">
        <v>55</v>
      </c>
      <c r="I25" s="27" t="s">
        <v>56</v>
      </c>
      <c r="J25" s="45">
        <v>440203.72</v>
      </c>
      <c r="K25" s="45">
        <v>440203.72</v>
      </c>
      <c r="L25" s="44">
        <f t="shared" si="1"/>
        <v>0</v>
      </c>
    </row>
    <row r="26" spans="1:19" hidden="1" x14ac:dyDescent="0.35">
      <c r="A26" s="27" t="s">
        <v>133</v>
      </c>
      <c r="B26" s="27" t="s">
        <v>49</v>
      </c>
      <c r="C26" s="27" t="s">
        <v>134</v>
      </c>
      <c r="D26" s="27" t="s">
        <v>51</v>
      </c>
      <c r="E26" s="27" t="s">
        <v>119</v>
      </c>
      <c r="F26" s="27" t="s">
        <v>135</v>
      </c>
      <c r="G26" s="27" t="s">
        <v>54</v>
      </c>
      <c r="H26" s="27" t="s">
        <v>55</v>
      </c>
      <c r="I26" s="27" t="s">
        <v>56</v>
      </c>
      <c r="J26" s="45">
        <v>297310</v>
      </c>
      <c r="K26" s="45">
        <v>297310</v>
      </c>
      <c r="L26" s="44">
        <f t="shared" si="1"/>
        <v>0</v>
      </c>
    </row>
    <row r="27" spans="1:19" hidden="1" x14ac:dyDescent="0.35">
      <c r="A27" s="27" t="s">
        <v>136</v>
      </c>
      <c r="B27" s="27" t="s">
        <v>49</v>
      </c>
      <c r="C27" s="27" t="s">
        <v>137</v>
      </c>
      <c r="D27" s="27" t="s">
        <v>51</v>
      </c>
      <c r="E27" s="27" t="s">
        <v>119</v>
      </c>
      <c r="F27" s="27" t="s">
        <v>138</v>
      </c>
      <c r="G27" s="27" t="s">
        <v>54</v>
      </c>
      <c r="H27" s="27" t="s">
        <v>55</v>
      </c>
      <c r="I27" s="27" t="s">
        <v>56</v>
      </c>
      <c r="J27" s="45">
        <v>16456.82</v>
      </c>
      <c r="K27" s="45">
        <v>16456.82</v>
      </c>
      <c r="L27" s="44">
        <f t="shared" si="1"/>
        <v>0</v>
      </c>
    </row>
    <row r="28" spans="1:19" hidden="1" x14ac:dyDescent="0.35">
      <c r="A28" s="27" t="s">
        <v>139</v>
      </c>
      <c r="B28" s="27" t="s">
        <v>49</v>
      </c>
      <c r="C28" s="27" t="s">
        <v>140</v>
      </c>
      <c r="D28" s="27" t="s">
        <v>51</v>
      </c>
      <c r="E28" s="27" t="s">
        <v>94</v>
      </c>
      <c r="F28" s="27" t="s">
        <v>141</v>
      </c>
      <c r="G28" s="27" t="s">
        <v>54</v>
      </c>
      <c r="H28" s="27" t="s">
        <v>142</v>
      </c>
      <c r="I28" s="27" t="s">
        <v>143</v>
      </c>
      <c r="J28" s="45">
        <v>0</v>
      </c>
      <c r="K28" s="45">
        <v>0</v>
      </c>
      <c r="L28" s="44">
        <f t="shared" si="1"/>
        <v>0</v>
      </c>
    </row>
    <row r="29" spans="1:19" x14ac:dyDescent="0.35">
      <c r="A29" s="27" t="s">
        <v>144</v>
      </c>
      <c r="B29" s="27" t="s">
        <v>49</v>
      </c>
      <c r="C29" s="27" t="s">
        <v>145</v>
      </c>
      <c r="D29" s="27" t="s">
        <v>51</v>
      </c>
      <c r="E29" s="27" t="s">
        <v>94</v>
      </c>
      <c r="F29" s="27" t="s">
        <v>146</v>
      </c>
      <c r="G29" s="27" t="s">
        <v>54</v>
      </c>
      <c r="H29" s="27" t="s">
        <v>142</v>
      </c>
      <c r="I29" s="27" t="s">
        <v>143</v>
      </c>
      <c r="J29" s="45">
        <v>-22841.7</v>
      </c>
      <c r="K29" s="45">
        <v>-37176.550000000003</v>
      </c>
      <c r="L29" s="44">
        <f t="shared" si="1"/>
        <v>14334.850000000002</v>
      </c>
      <c r="R29" s="213">
        <f>SUM(R3:R20)</f>
        <v>6112242.0499999998</v>
      </c>
      <c r="S29" s="213">
        <f>SUM(S3:S20)</f>
        <v>-5495975.9399999958</v>
      </c>
    </row>
    <row r="30" spans="1:19" x14ac:dyDescent="0.35">
      <c r="A30" s="27" t="s">
        <v>147</v>
      </c>
      <c r="B30" s="27" t="s">
        <v>49</v>
      </c>
      <c r="C30" s="27" t="s">
        <v>148</v>
      </c>
      <c r="D30" s="27" t="s">
        <v>51</v>
      </c>
      <c r="E30" s="27" t="s">
        <v>94</v>
      </c>
      <c r="F30" s="27" t="s">
        <v>149</v>
      </c>
      <c r="G30" s="27" t="s">
        <v>54</v>
      </c>
      <c r="H30" s="27" t="s">
        <v>142</v>
      </c>
      <c r="I30" s="27" t="s">
        <v>143</v>
      </c>
      <c r="J30" s="45">
        <v>-25333.32</v>
      </c>
      <c r="K30" s="45">
        <v>-19395.72</v>
      </c>
      <c r="L30" s="44">
        <f t="shared" si="1"/>
        <v>-5937.5999999999985</v>
      </c>
      <c r="S30" s="213">
        <f>S29+R29</f>
        <v>616266.11000000406</v>
      </c>
    </row>
    <row r="31" spans="1:19" x14ac:dyDescent="0.35">
      <c r="A31" s="27" t="s">
        <v>150</v>
      </c>
      <c r="B31" s="27" t="s">
        <v>49</v>
      </c>
      <c r="C31" s="27" t="s">
        <v>151</v>
      </c>
      <c r="D31" s="27" t="s">
        <v>51</v>
      </c>
      <c r="E31" s="27" t="s">
        <v>94</v>
      </c>
      <c r="F31" s="27" t="s">
        <v>152</v>
      </c>
      <c r="G31" s="27" t="s">
        <v>54</v>
      </c>
      <c r="H31" s="27" t="s">
        <v>142</v>
      </c>
      <c r="I31" s="27" t="s">
        <v>143</v>
      </c>
      <c r="J31" s="45">
        <v>-5855759.6299999999</v>
      </c>
      <c r="K31" s="45">
        <v>-6138701.6299999999</v>
      </c>
      <c r="L31" s="44">
        <f t="shared" si="1"/>
        <v>282942</v>
      </c>
    </row>
    <row r="32" spans="1:19" x14ac:dyDescent="0.35">
      <c r="A32" s="27" t="s">
        <v>153</v>
      </c>
      <c r="B32" s="27" t="s">
        <v>49</v>
      </c>
      <c r="C32" s="27" t="s">
        <v>154</v>
      </c>
      <c r="D32" s="27" t="s">
        <v>51</v>
      </c>
      <c r="E32" s="205" t="s">
        <v>102</v>
      </c>
      <c r="F32" s="205" t="s">
        <v>155</v>
      </c>
      <c r="G32" s="205" t="s">
        <v>54</v>
      </c>
      <c r="H32" s="205" t="s">
        <v>142</v>
      </c>
      <c r="I32" s="205" t="s">
        <v>156</v>
      </c>
      <c r="J32" s="206">
        <v>-3018998.9</v>
      </c>
      <c r="K32" s="206">
        <v>-2860206.06</v>
      </c>
      <c r="L32" s="208">
        <f t="shared" si="1"/>
        <v>-158792.83999999985</v>
      </c>
    </row>
    <row r="33" spans="1:12" x14ac:dyDescent="0.35">
      <c r="A33" s="27" t="s">
        <v>157</v>
      </c>
      <c r="B33" s="27" t="s">
        <v>49</v>
      </c>
      <c r="C33" s="27" t="s">
        <v>158</v>
      </c>
      <c r="D33" s="27" t="s">
        <v>51</v>
      </c>
      <c r="E33" s="205" t="s">
        <v>102</v>
      </c>
      <c r="F33" s="205" t="s">
        <v>159</v>
      </c>
      <c r="G33" s="205" t="s">
        <v>54</v>
      </c>
      <c r="H33" s="205" t="s">
        <v>142</v>
      </c>
      <c r="I33" s="205" t="s">
        <v>156</v>
      </c>
      <c r="J33" s="206">
        <v>-2684197.27</v>
      </c>
      <c r="K33" s="206">
        <v>-2747059.25</v>
      </c>
      <c r="L33" s="208">
        <f t="shared" si="1"/>
        <v>62861.979999999981</v>
      </c>
    </row>
    <row r="34" spans="1:12" x14ac:dyDescent="0.35">
      <c r="A34" s="27" t="s">
        <v>160</v>
      </c>
      <c r="B34" s="27" t="s">
        <v>49</v>
      </c>
      <c r="C34" s="27" t="s">
        <v>161</v>
      </c>
      <c r="D34" s="27" t="s">
        <v>51</v>
      </c>
      <c r="E34" s="205" t="s">
        <v>102</v>
      </c>
      <c r="F34" s="205" t="s">
        <v>162</v>
      </c>
      <c r="G34" s="205" t="s">
        <v>54</v>
      </c>
      <c r="H34" s="205" t="s">
        <v>142</v>
      </c>
      <c r="I34" s="205" t="s">
        <v>156</v>
      </c>
      <c r="J34" s="206">
        <v>-1380493.57</v>
      </c>
      <c r="K34" s="206">
        <v>-1347422.57</v>
      </c>
      <c r="L34" s="208">
        <f t="shared" si="1"/>
        <v>-33071</v>
      </c>
    </row>
    <row r="35" spans="1:12" x14ac:dyDescent="0.35">
      <c r="A35" s="27" t="s">
        <v>163</v>
      </c>
      <c r="B35" s="27" t="s">
        <v>49</v>
      </c>
      <c r="C35" s="27" t="s">
        <v>164</v>
      </c>
      <c r="D35" s="27" t="s">
        <v>51</v>
      </c>
      <c r="E35" s="205" t="s">
        <v>102</v>
      </c>
      <c r="F35" s="205" t="s">
        <v>165</v>
      </c>
      <c r="G35" s="205" t="s">
        <v>54</v>
      </c>
      <c r="H35" s="205" t="s">
        <v>142</v>
      </c>
      <c r="I35" s="205" t="s">
        <v>156</v>
      </c>
      <c r="J35" s="206">
        <v>-272307.28000000003</v>
      </c>
      <c r="K35" s="206">
        <v>-249528.07</v>
      </c>
      <c r="L35" s="208">
        <f t="shared" si="1"/>
        <v>-22779.210000000021</v>
      </c>
    </row>
    <row r="36" spans="1:12" x14ac:dyDescent="0.35">
      <c r="A36" s="27" t="s">
        <v>166</v>
      </c>
      <c r="B36" s="27" t="s">
        <v>49</v>
      </c>
      <c r="C36" s="27" t="s">
        <v>167</v>
      </c>
      <c r="D36" s="27" t="s">
        <v>51</v>
      </c>
      <c r="E36" s="205" t="s">
        <v>102</v>
      </c>
      <c r="F36" s="205" t="s">
        <v>168</v>
      </c>
      <c r="G36" s="205" t="s">
        <v>54</v>
      </c>
      <c r="H36" s="205" t="s">
        <v>142</v>
      </c>
      <c r="I36" s="205" t="s">
        <v>156</v>
      </c>
      <c r="J36" s="206">
        <v>-1582575.34</v>
      </c>
      <c r="K36" s="206">
        <v>-1391703.84</v>
      </c>
      <c r="L36" s="208">
        <f t="shared" si="1"/>
        <v>-190871.5</v>
      </c>
    </row>
    <row r="37" spans="1:12" x14ac:dyDescent="0.35">
      <c r="A37" s="27" t="s">
        <v>169</v>
      </c>
      <c r="B37" s="27" t="s">
        <v>49</v>
      </c>
      <c r="C37" s="27" t="s">
        <v>170</v>
      </c>
      <c r="D37" s="27" t="s">
        <v>51</v>
      </c>
      <c r="E37" s="205" t="s">
        <v>102</v>
      </c>
      <c r="F37" s="205" t="s">
        <v>171</v>
      </c>
      <c r="G37" s="205" t="s">
        <v>54</v>
      </c>
      <c r="H37" s="205" t="s">
        <v>142</v>
      </c>
      <c r="I37" s="205" t="s">
        <v>156</v>
      </c>
      <c r="J37" s="206">
        <v>-1055992.29</v>
      </c>
      <c r="K37" s="206">
        <v>-963775.65</v>
      </c>
      <c r="L37" s="208">
        <f t="shared" si="1"/>
        <v>-92216.640000000014</v>
      </c>
    </row>
    <row r="38" spans="1:12" hidden="1" x14ac:dyDescent="0.35">
      <c r="A38" s="27" t="s">
        <v>172</v>
      </c>
      <c r="B38" s="27" t="s">
        <v>49</v>
      </c>
      <c r="C38" s="27" t="s">
        <v>173</v>
      </c>
      <c r="D38" s="27" t="s">
        <v>51</v>
      </c>
      <c r="E38" s="27" t="s">
        <v>102</v>
      </c>
      <c r="F38" s="27" t="s">
        <v>174</v>
      </c>
      <c r="G38" s="27" t="s">
        <v>54</v>
      </c>
      <c r="H38" s="27" t="s">
        <v>142</v>
      </c>
      <c r="I38" s="27" t="s">
        <v>156</v>
      </c>
      <c r="J38" s="45">
        <v>-55990068.420000002</v>
      </c>
      <c r="K38" s="45">
        <v>-55990068.420000002</v>
      </c>
      <c r="L38" s="44">
        <f t="shared" si="1"/>
        <v>0</v>
      </c>
    </row>
    <row r="39" spans="1:12" x14ac:dyDescent="0.35">
      <c r="A39" s="204" t="s">
        <v>175</v>
      </c>
      <c r="B39" s="194" t="s">
        <v>49</v>
      </c>
      <c r="C39" s="194" t="s">
        <v>176</v>
      </c>
      <c r="D39" s="194" t="s">
        <v>51</v>
      </c>
      <c r="E39" s="212" t="s">
        <v>85</v>
      </c>
      <c r="F39" s="27" t="s">
        <v>177</v>
      </c>
      <c r="G39" s="27" t="s">
        <v>54</v>
      </c>
      <c r="H39" s="27" t="s">
        <v>55</v>
      </c>
      <c r="I39" s="27" t="s">
        <v>101</v>
      </c>
      <c r="J39" s="45">
        <v>0</v>
      </c>
      <c r="K39" s="45">
        <v>610000</v>
      </c>
      <c r="L39" s="44">
        <f t="shared" si="1"/>
        <v>-610000</v>
      </c>
    </row>
    <row r="40" spans="1:12" x14ac:dyDescent="0.35">
      <c r="A40" s="27" t="s">
        <v>178</v>
      </c>
      <c r="B40" s="27" t="s">
        <v>49</v>
      </c>
      <c r="C40" s="27" t="str">
        <f t="shared" ref="C40:C46" si="2">+B40&amp;" | "&amp;A40</f>
        <v>[MC] | 219-01-001</v>
      </c>
      <c r="D40" s="27" t="s">
        <v>51</v>
      </c>
      <c r="E40" s="27" t="s">
        <v>106</v>
      </c>
      <c r="F40" s="27" t="s">
        <v>179</v>
      </c>
      <c r="G40" s="27" t="s">
        <v>54</v>
      </c>
      <c r="H40" s="27" t="s">
        <v>142</v>
      </c>
      <c r="I40" s="27" t="s">
        <v>180</v>
      </c>
      <c r="J40" s="45">
        <v>-4135236.17</v>
      </c>
      <c r="K40" s="45">
        <v>0</v>
      </c>
      <c r="L40" s="44">
        <f>-(K40-J40)</f>
        <v>-4135236.17</v>
      </c>
    </row>
    <row r="41" spans="1:12" x14ac:dyDescent="0.35">
      <c r="A41" s="27" t="s">
        <v>181</v>
      </c>
      <c r="B41" s="27" t="s">
        <v>49</v>
      </c>
      <c r="C41" s="27" t="str">
        <f t="shared" si="2"/>
        <v>[MC] | 219-01-002</v>
      </c>
      <c r="D41" s="27" t="s">
        <v>51</v>
      </c>
      <c r="E41" s="27" t="s">
        <v>106</v>
      </c>
      <c r="F41" s="27" t="s">
        <v>182</v>
      </c>
      <c r="G41" s="27" t="s">
        <v>54</v>
      </c>
      <c r="H41" s="27" t="s">
        <v>142</v>
      </c>
      <c r="I41" s="27" t="s">
        <v>180</v>
      </c>
      <c r="J41" s="45">
        <v>-2606569.96</v>
      </c>
      <c r="K41" s="45">
        <v>-2610768.96</v>
      </c>
      <c r="L41" s="44">
        <f t="shared" ref="L41:L46" si="3">-(K41-J41)</f>
        <v>4199</v>
      </c>
    </row>
    <row r="42" spans="1:12" hidden="1" x14ac:dyDescent="0.35">
      <c r="A42" s="27" t="s">
        <v>183</v>
      </c>
      <c r="B42" s="27" t="s">
        <v>49</v>
      </c>
      <c r="C42" s="27" t="str">
        <f t="shared" si="2"/>
        <v>[MC] | 219-01-003</v>
      </c>
      <c r="D42" s="27" t="s">
        <v>51</v>
      </c>
      <c r="E42" s="27" t="s">
        <v>106</v>
      </c>
      <c r="F42" s="27" t="s">
        <v>184</v>
      </c>
      <c r="G42" s="27" t="s">
        <v>54</v>
      </c>
      <c r="H42" s="27" t="s">
        <v>142</v>
      </c>
      <c r="I42" s="27" t="s">
        <v>180</v>
      </c>
      <c r="J42" s="45">
        <v>-2617161.7599999998</v>
      </c>
      <c r="K42" s="45">
        <v>-2617161.7599999998</v>
      </c>
      <c r="L42" s="44">
        <f t="shared" si="3"/>
        <v>0</v>
      </c>
    </row>
    <row r="43" spans="1:12" x14ac:dyDescent="0.35">
      <c r="A43" s="27" t="s">
        <v>185</v>
      </c>
      <c r="B43" s="27" t="s">
        <v>49</v>
      </c>
      <c r="C43" s="27" t="str">
        <f t="shared" si="2"/>
        <v>[MC] | 219-01-004</v>
      </c>
      <c r="D43" s="27" t="s">
        <v>51</v>
      </c>
      <c r="E43" s="27" t="s">
        <v>106</v>
      </c>
      <c r="F43" s="27" t="s">
        <v>186</v>
      </c>
      <c r="G43" s="27" t="s">
        <v>54</v>
      </c>
      <c r="H43" s="27" t="s">
        <v>142</v>
      </c>
      <c r="I43" s="27" t="s">
        <v>180</v>
      </c>
      <c r="J43" s="45">
        <v>-41775544.880000003</v>
      </c>
      <c r="K43" s="45">
        <v>-41926752.009999998</v>
      </c>
      <c r="L43" s="44">
        <f t="shared" si="3"/>
        <v>151207.12999999523</v>
      </c>
    </row>
    <row r="44" spans="1:12" hidden="1" x14ac:dyDescent="0.35">
      <c r="A44" s="27" t="s">
        <v>187</v>
      </c>
      <c r="B44" s="27" t="s">
        <v>49</v>
      </c>
      <c r="C44" s="27" t="str">
        <f t="shared" si="2"/>
        <v>[MC] | 219-01-005</v>
      </c>
      <c r="D44" s="27" t="s">
        <v>51</v>
      </c>
      <c r="E44" s="27" t="s">
        <v>106</v>
      </c>
      <c r="F44" s="27" t="s">
        <v>188</v>
      </c>
      <c r="G44" s="27" t="s">
        <v>54</v>
      </c>
      <c r="H44" s="27" t="s">
        <v>142</v>
      </c>
      <c r="I44" s="27" t="s">
        <v>180</v>
      </c>
      <c r="J44" s="45">
        <v>-2160825.12</v>
      </c>
      <c r="K44" s="45">
        <v>-2160825.12</v>
      </c>
      <c r="L44" s="44">
        <f t="shared" si="3"/>
        <v>0</v>
      </c>
    </row>
    <row r="45" spans="1:12" hidden="1" x14ac:dyDescent="0.35">
      <c r="A45" s="27" t="s">
        <v>189</v>
      </c>
      <c r="B45" s="27" t="s">
        <v>49</v>
      </c>
      <c r="C45" s="27" t="str">
        <f t="shared" si="2"/>
        <v>[MC] | 219-01-008</v>
      </c>
      <c r="D45" s="27" t="s">
        <v>51</v>
      </c>
      <c r="E45" s="27" t="s">
        <v>106</v>
      </c>
      <c r="F45" s="27" t="s">
        <v>190</v>
      </c>
      <c r="G45" s="27" t="s">
        <v>54</v>
      </c>
      <c r="H45" s="27" t="s">
        <v>142</v>
      </c>
      <c r="I45" s="27" t="s">
        <v>180</v>
      </c>
      <c r="J45" s="45">
        <v>-1685391.84</v>
      </c>
      <c r="K45" s="45">
        <v>-1685391.84</v>
      </c>
      <c r="L45" s="44">
        <f t="shared" si="3"/>
        <v>0</v>
      </c>
    </row>
    <row r="46" spans="1:12" x14ac:dyDescent="0.35">
      <c r="A46" s="27" t="s">
        <v>191</v>
      </c>
      <c r="B46" s="27" t="s">
        <v>49</v>
      </c>
      <c r="C46" s="27" t="str">
        <f t="shared" si="2"/>
        <v>[MC] | 219-01-009</v>
      </c>
      <c r="D46" s="27" t="s">
        <v>51</v>
      </c>
      <c r="E46" s="27" t="s">
        <v>106</v>
      </c>
      <c r="F46" s="27" t="s">
        <v>192</v>
      </c>
      <c r="G46" s="27" t="s">
        <v>54</v>
      </c>
      <c r="H46" s="27" t="s">
        <v>142</v>
      </c>
      <c r="I46" s="27" t="s">
        <v>180</v>
      </c>
      <c r="J46" s="45">
        <v>-219685.05</v>
      </c>
      <c r="K46" s="45">
        <v>-263622.06</v>
      </c>
      <c r="L46" s="44">
        <f t="shared" si="3"/>
        <v>43937.010000000009</v>
      </c>
    </row>
    <row r="47" spans="1:12" hidden="1" x14ac:dyDescent="0.35">
      <c r="A47" s="27" t="s">
        <v>193</v>
      </c>
      <c r="B47" s="27" t="s">
        <v>49</v>
      </c>
      <c r="C47" s="27" t="s">
        <v>194</v>
      </c>
      <c r="D47" s="27" t="s">
        <v>51</v>
      </c>
      <c r="E47" s="27" t="s">
        <v>195</v>
      </c>
      <c r="F47" s="27" t="s">
        <v>196</v>
      </c>
      <c r="G47" s="27" t="s">
        <v>54</v>
      </c>
      <c r="H47" s="27" t="s">
        <v>142</v>
      </c>
      <c r="I47" s="27" t="s">
        <v>197</v>
      </c>
      <c r="J47" s="45">
        <v>-6608.09</v>
      </c>
      <c r="K47" s="45">
        <v>-6608.09</v>
      </c>
      <c r="L47" s="44">
        <f>K47-J47</f>
        <v>0</v>
      </c>
    </row>
    <row r="48" spans="1:12" hidden="1" x14ac:dyDescent="0.35">
      <c r="A48" s="27" t="s">
        <v>198</v>
      </c>
      <c r="B48" s="27" t="s">
        <v>49</v>
      </c>
      <c r="C48" s="27" t="s">
        <v>199</v>
      </c>
      <c r="D48" s="27" t="s">
        <v>51</v>
      </c>
      <c r="E48" s="27" t="s">
        <v>195</v>
      </c>
      <c r="F48" s="27" t="s">
        <v>200</v>
      </c>
      <c r="G48" s="27" t="s">
        <v>54</v>
      </c>
      <c r="H48" s="27" t="s">
        <v>142</v>
      </c>
      <c r="I48" s="27" t="s">
        <v>197</v>
      </c>
      <c r="J48" s="45">
        <v>-34365.96</v>
      </c>
      <c r="K48" s="45">
        <v>-34365.96</v>
      </c>
      <c r="L48" s="44">
        <f>K48-J48</f>
        <v>0</v>
      </c>
    </row>
    <row r="49" spans="1:12" x14ac:dyDescent="0.35">
      <c r="A49" s="27" t="s">
        <v>201</v>
      </c>
      <c r="B49" s="27" t="s">
        <v>49</v>
      </c>
      <c r="C49" s="27" t="s">
        <v>202</v>
      </c>
      <c r="D49" s="27" t="s">
        <v>51</v>
      </c>
      <c r="E49" s="27" t="s">
        <v>195</v>
      </c>
      <c r="F49" s="27" t="s">
        <v>159</v>
      </c>
      <c r="G49" s="27" t="s">
        <v>54</v>
      </c>
      <c r="H49" s="27" t="s">
        <v>142</v>
      </c>
      <c r="I49" s="27" t="s">
        <v>197</v>
      </c>
      <c r="J49" s="45">
        <v>-190672.39</v>
      </c>
      <c r="K49" s="45">
        <v>-12612.2</v>
      </c>
      <c r="L49" s="44">
        <f>J49-K49</f>
        <v>-178060.19</v>
      </c>
    </row>
    <row r="50" spans="1:12" hidden="1" x14ac:dyDescent="0.35">
      <c r="A50" s="27" t="s">
        <v>203</v>
      </c>
      <c r="B50" s="27" t="s">
        <v>49</v>
      </c>
      <c r="C50" s="27" t="s">
        <v>204</v>
      </c>
      <c r="D50" s="27" t="s">
        <v>51</v>
      </c>
      <c r="E50" s="27" t="s">
        <v>195</v>
      </c>
      <c r="F50" s="27" t="s">
        <v>205</v>
      </c>
      <c r="G50" s="27" t="s">
        <v>54</v>
      </c>
      <c r="H50" s="27" t="s">
        <v>142</v>
      </c>
      <c r="I50" s="27" t="s">
        <v>197</v>
      </c>
      <c r="J50" s="45">
        <v>-987</v>
      </c>
      <c r="K50" s="45">
        <v>-987</v>
      </c>
      <c r="L50" s="44">
        <f t="shared" ref="L50:L95" si="4">J50-K50</f>
        <v>0</v>
      </c>
    </row>
    <row r="51" spans="1:12" x14ac:dyDescent="0.35">
      <c r="A51" s="27" t="s">
        <v>206</v>
      </c>
      <c r="B51" s="27" t="s">
        <v>49</v>
      </c>
      <c r="C51" s="27" t="s">
        <v>207</v>
      </c>
      <c r="D51" s="27" t="s">
        <v>51</v>
      </c>
      <c r="E51" s="27" t="s">
        <v>195</v>
      </c>
      <c r="F51" s="27" t="s">
        <v>208</v>
      </c>
      <c r="G51" s="27" t="s">
        <v>54</v>
      </c>
      <c r="H51" s="27" t="s">
        <v>142</v>
      </c>
      <c r="I51" s="27" t="s">
        <v>197</v>
      </c>
      <c r="J51" s="45">
        <v>-651022.93999999994</v>
      </c>
      <c r="K51" s="45">
        <v>-238874.23999999999</v>
      </c>
      <c r="L51" s="44">
        <f t="shared" si="4"/>
        <v>-412148.69999999995</v>
      </c>
    </row>
    <row r="52" spans="1:12" hidden="1" x14ac:dyDescent="0.35">
      <c r="A52" s="27" t="s">
        <v>209</v>
      </c>
      <c r="B52" s="27" t="s">
        <v>49</v>
      </c>
      <c r="C52" s="27" t="s">
        <v>210</v>
      </c>
      <c r="D52" s="27" t="s">
        <v>51</v>
      </c>
      <c r="E52" s="27" t="s">
        <v>195</v>
      </c>
      <c r="F52" s="27" t="s">
        <v>211</v>
      </c>
      <c r="G52" s="27" t="s">
        <v>54</v>
      </c>
      <c r="H52" s="27" t="s">
        <v>142</v>
      </c>
      <c r="I52" s="27" t="s">
        <v>197</v>
      </c>
      <c r="J52" s="45">
        <v>0</v>
      </c>
      <c r="K52" s="45">
        <v>0</v>
      </c>
      <c r="L52" s="44">
        <f t="shared" si="4"/>
        <v>0</v>
      </c>
    </row>
    <row r="53" spans="1:12" hidden="1" x14ac:dyDescent="0.35">
      <c r="A53" s="27" t="s">
        <v>212</v>
      </c>
      <c r="B53" s="27" t="s">
        <v>49</v>
      </c>
      <c r="C53" s="27" t="s">
        <v>213</v>
      </c>
      <c r="D53" s="27" t="s">
        <v>51</v>
      </c>
      <c r="E53" s="27" t="s">
        <v>195</v>
      </c>
      <c r="F53" s="27" t="s">
        <v>214</v>
      </c>
      <c r="G53" s="27" t="s">
        <v>54</v>
      </c>
      <c r="H53" s="27" t="s">
        <v>142</v>
      </c>
      <c r="I53" s="27" t="s">
        <v>197</v>
      </c>
      <c r="J53" s="45">
        <v>0</v>
      </c>
      <c r="K53" s="45">
        <v>0</v>
      </c>
      <c r="L53" s="44">
        <f t="shared" si="4"/>
        <v>0</v>
      </c>
    </row>
    <row r="54" spans="1:12" hidden="1" x14ac:dyDescent="0.35">
      <c r="A54" s="27" t="s">
        <v>215</v>
      </c>
      <c r="B54" s="27" t="s">
        <v>49</v>
      </c>
      <c r="C54" s="27" t="s">
        <v>216</v>
      </c>
      <c r="D54" s="27" t="s">
        <v>51</v>
      </c>
      <c r="E54" s="27" t="s">
        <v>195</v>
      </c>
      <c r="F54" s="27" t="s">
        <v>217</v>
      </c>
      <c r="G54" s="27" t="s">
        <v>54</v>
      </c>
      <c r="H54" s="27" t="s">
        <v>142</v>
      </c>
      <c r="I54" s="27" t="s">
        <v>197</v>
      </c>
      <c r="J54" s="45">
        <v>0</v>
      </c>
      <c r="K54" s="45">
        <v>0</v>
      </c>
      <c r="L54" s="44">
        <f t="shared" si="4"/>
        <v>0</v>
      </c>
    </row>
    <row r="55" spans="1:12" x14ac:dyDescent="0.35">
      <c r="A55" s="27" t="s">
        <v>218</v>
      </c>
      <c r="B55" s="27" t="s">
        <v>49</v>
      </c>
      <c r="C55" s="27" t="s">
        <v>219</v>
      </c>
      <c r="D55" s="27" t="s">
        <v>51</v>
      </c>
      <c r="E55" s="27" t="s">
        <v>195</v>
      </c>
      <c r="F55" s="27" t="s">
        <v>220</v>
      </c>
      <c r="G55" s="27" t="s">
        <v>54</v>
      </c>
      <c r="H55" s="27" t="s">
        <v>142</v>
      </c>
      <c r="I55" s="27" t="s">
        <v>197</v>
      </c>
      <c r="J55" s="45">
        <v>-162400</v>
      </c>
      <c r="K55" s="45">
        <v>-324800</v>
      </c>
      <c r="L55" s="44">
        <f t="shared" si="4"/>
        <v>162400</v>
      </c>
    </row>
    <row r="56" spans="1:12" hidden="1" x14ac:dyDescent="0.35">
      <c r="A56" s="27" t="s">
        <v>221</v>
      </c>
      <c r="B56" s="27" t="s">
        <v>49</v>
      </c>
      <c r="C56" s="27" t="s">
        <v>222</v>
      </c>
      <c r="D56" s="27" t="s">
        <v>51</v>
      </c>
      <c r="E56" s="27" t="s">
        <v>195</v>
      </c>
      <c r="F56" s="27" t="s">
        <v>223</v>
      </c>
      <c r="G56" s="27" t="s">
        <v>54</v>
      </c>
      <c r="H56" s="27" t="s">
        <v>142</v>
      </c>
      <c r="I56" s="27" t="s">
        <v>197</v>
      </c>
      <c r="J56" s="45">
        <v>0</v>
      </c>
      <c r="K56" s="45">
        <v>0</v>
      </c>
      <c r="L56" s="44">
        <f t="shared" si="4"/>
        <v>0</v>
      </c>
    </row>
    <row r="57" spans="1:12" hidden="1" x14ac:dyDescent="0.35">
      <c r="A57" s="27" t="s">
        <v>224</v>
      </c>
      <c r="B57" s="27" t="s">
        <v>49</v>
      </c>
      <c r="C57" s="27" t="s">
        <v>225</v>
      </c>
      <c r="D57" s="27" t="s">
        <v>51</v>
      </c>
      <c r="E57" s="27" t="s">
        <v>195</v>
      </c>
      <c r="F57" s="27" t="s">
        <v>135</v>
      </c>
      <c r="G57" s="27" t="s">
        <v>54</v>
      </c>
      <c r="H57" s="27" t="s">
        <v>142</v>
      </c>
      <c r="I57" s="27" t="s">
        <v>197</v>
      </c>
      <c r="J57" s="45">
        <v>-194008.89</v>
      </c>
      <c r="K57" s="45">
        <v>-194008.89</v>
      </c>
      <c r="L57" s="44">
        <f t="shared" si="4"/>
        <v>0</v>
      </c>
    </row>
    <row r="58" spans="1:12" x14ac:dyDescent="0.35">
      <c r="A58" s="27" t="s">
        <v>226</v>
      </c>
      <c r="B58" s="27" t="s">
        <v>49</v>
      </c>
      <c r="C58" s="27" t="s">
        <v>227</v>
      </c>
      <c r="D58" s="27" t="s">
        <v>51</v>
      </c>
      <c r="E58" s="27" t="s">
        <v>195</v>
      </c>
      <c r="F58" s="27" t="s">
        <v>228</v>
      </c>
      <c r="G58" s="27" t="s">
        <v>54</v>
      </c>
      <c r="H58" s="27" t="s">
        <v>142</v>
      </c>
      <c r="I58" s="27" t="s">
        <v>197</v>
      </c>
      <c r="J58" s="45">
        <v>-34492.120000000003</v>
      </c>
      <c r="K58" s="45">
        <v>-25712.13</v>
      </c>
      <c r="L58" s="44">
        <f t="shared" si="4"/>
        <v>-8779.9900000000016</v>
      </c>
    </row>
    <row r="59" spans="1:12" hidden="1" x14ac:dyDescent="0.35">
      <c r="A59" s="27" t="s">
        <v>229</v>
      </c>
      <c r="B59" s="27" t="s">
        <v>49</v>
      </c>
      <c r="C59" s="27" t="s">
        <v>230</v>
      </c>
      <c r="D59" s="27" t="s">
        <v>51</v>
      </c>
      <c r="E59" s="27" t="s">
        <v>195</v>
      </c>
      <c r="F59" s="27" t="s">
        <v>231</v>
      </c>
      <c r="G59" s="27" t="s">
        <v>54</v>
      </c>
      <c r="H59" s="27" t="s">
        <v>142</v>
      </c>
      <c r="I59" s="27" t="s">
        <v>197</v>
      </c>
      <c r="J59" s="45">
        <v>0</v>
      </c>
      <c r="K59" s="45">
        <v>0</v>
      </c>
      <c r="L59" s="44">
        <f t="shared" si="4"/>
        <v>0</v>
      </c>
    </row>
    <row r="60" spans="1:12" hidden="1" x14ac:dyDescent="0.35">
      <c r="A60" s="27" t="s">
        <v>232</v>
      </c>
      <c r="B60" s="27" t="s">
        <v>49</v>
      </c>
      <c r="C60" s="27" t="s">
        <v>233</v>
      </c>
      <c r="D60" s="27" t="s">
        <v>51</v>
      </c>
      <c r="E60" s="27" t="s">
        <v>195</v>
      </c>
      <c r="F60" s="27" t="s">
        <v>234</v>
      </c>
      <c r="G60" s="27" t="s">
        <v>54</v>
      </c>
      <c r="H60" s="27" t="s">
        <v>142</v>
      </c>
      <c r="I60" s="27" t="s">
        <v>197</v>
      </c>
      <c r="J60" s="45">
        <v>0</v>
      </c>
      <c r="K60" s="45">
        <v>0</v>
      </c>
      <c r="L60" s="44">
        <f t="shared" si="4"/>
        <v>0</v>
      </c>
    </row>
    <row r="61" spans="1:12" hidden="1" x14ac:dyDescent="0.35">
      <c r="A61" s="27" t="s">
        <v>235</v>
      </c>
      <c r="B61" s="27" t="s">
        <v>49</v>
      </c>
      <c r="C61" s="27" t="s">
        <v>236</v>
      </c>
      <c r="D61" s="27" t="s">
        <v>51</v>
      </c>
      <c r="E61" s="27" t="s">
        <v>195</v>
      </c>
      <c r="F61" s="27" t="s">
        <v>237</v>
      </c>
      <c r="G61" s="27" t="s">
        <v>54</v>
      </c>
      <c r="H61" s="27" t="s">
        <v>142</v>
      </c>
      <c r="I61" s="27" t="s">
        <v>197</v>
      </c>
      <c r="J61" s="45">
        <v>0</v>
      </c>
      <c r="K61" s="45">
        <v>0</v>
      </c>
      <c r="L61" s="44">
        <f t="shared" si="4"/>
        <v>0</v>
      </c>
    </row>
    <row r="62" spans="1:12" hidden="1" x14ac:dyDescent="0.35">
      <c r="A62" s="27" t="s">
        <v>238</v>
      </c>
      <c r="B62" s="27" t="s">
        <v>49</v>
      </c>
      <c r="C62" s="27" t="s">
        <v>239</v>
      </c>
      <c r="D62" s="27" t="s">
        <v>51</v>
      </c>
      <c r="E62" s="27" t="s">
        <v>195</v>
      </c>
      <c r="F62" s="27" t="s">
        <v>240</v>
      </c>
      <c r="G62" s="27" t="s">
        <v>54</v>
      </c>
      <c r="H62" s="27" t="s">
        <v>142</v>
      </c>
      <c r="I62" s="27" t="s">
        <v>197</v>
      </c>
      <c r="J62" s="45">
        <v>0</v>
      </c>
      <c r="K62" s="45">
        <v>0</v>
      </c>
      <c r="L62" s="44">
        <f t="shared" si="4"/>
        <v>0</v>
      </c>
    </row>
    <row r="63" spans="1:12" hidden="1" x14ac:dyDescent="0.35">
      <c r="A63" s="27" t="s">
        <v>241</v>
      </c>
      <c r="B63" s="27" t="s">
        <v>49</v>
      </c>
      <c r="C63" s="27" t="s">
        <v>242</v>
      </c>
      <c r="D63" s="27" t="s">
        <v>51</v>
      </c>
      <c r="E63" s="27" t="s">
        <v>195</v>
      </c>
      <c r="F63" s="27" t="s">
        <v>243</v>
      </c>
      <c r="G63" s="27" t="s">
        <v>54</v>
      </c>
      <c r="H63" s="27" t="s">
        <v>142</v>
      </c>
      <c r="I63" s="27" t="s">
        <v>197</v>
      </c>
      <c r="J63" s="45">
        <v>-100340</v>
      </c>
      <c r="K63" s="45">
        <v>-100340</v>
      </c>
      <c r="L63" s="44">
        <f t="shared" si="4"/>
        <v>0</v>
      </c>
    </row>
    <row r="64" spans="1:12" hidden="1" x14ac:dyDescent="0.35">
      <c r="A64" s="27" t="s">
        <v>244</v>
      </c>
      <c r="B64" s="27" t="s">
        <v>49</v>
      </c>
      <c r="C64" s="27" t="s">
        <v>245</v>
      </c>
      <c r="D64" s="27" t="s">
        <v>51</v>
      </c>
      <c r="E64" s="27" t="s">
        <v>195</v>
      </c>
      <c r="F64" s="27" t="s">
        <v>246</v>
      </c>
      <c r="G64" s="27" t="s">
        <v>54</v>
      </c>
      <c r="H64" s="27" t="s">
        <v>142</v>
      </c>
      <c r="I64" s="27" t="s">
        <v>197</v>
      </c>
      <c r="J64" s="45">
        <v>-38665.120000000003</v>
      </c>
      <c r="K64" s="45">
        <v>-38665.120000000003</v>
      </c>
      <c r="L64" s="44">
        <f t="shared" si="4"/>
        <v>0</v>
      </c>
    </row>
    <row r="65" spans="1:12" hidden="1" x14ac:dyDescent="0.35">
      <c r="A65" s="27" t="s">
        <v>247</v>
      </c>
      <c r="B65" s="27" t="s">
        <v>49</v>
      </c>
      <c r="C65" s="27" t="s">
        <v>248</v>
      </c>
      <c r="D65" s="27" t="s">
        <v>51</v>
      </c>
      <c r="E65" s="27" t="s">
        <v>195</v>
      </c>
      <c r="F65" s="27" t="s">
        <v>249</v>
      </c>
      <c r="G65" s="27" t="s">
        <v>54</v>
      </c>
      <c r="H65" s="27" t="s">
        <v>142</v>
      </c>
      <c r="I65" s="27" t="s">
        <v>197</v>
      </c>
      <c r="J65" s="45">
        <v>0</v>
      </c>
      <c r="K65" s="45">
        <v>0</v>
      </c>
      <c r="L65" s="44">
        <f t="shared" si="4"/>
        <v>0</v>
      </c>
    </row>
    <row r="66" spans="1:12" hidden="1" x14ac:dyDescent="0.35">
      <c r="A66" s="27" t="s">
        <v>250</v>
      </c>
      <c r="B66" s="27" t="s">
        <v>49</v>
      </c>
      <c r="C66" s="27" t="s">
        <v>251</v>
      </c>
      <c r="D66" s="27" t="s">
        <v>51</v>
      </c>
      <c r="E66" s="27" t="s">
        <v>195</v>
      </c>
      <c r="F66" s="27" t="s">
        <v>252</v>
      </c>
      <c r="G66" s="27" t="s">
        <v>54</v>
      </c>
      <c r="H66" s="27" t="s">
        <v>142</v>
      </c>
      <c r="I66" s="27" t="s">
        <v>197</v>
      </c>
      <c r="J66" s="45">
        <v>0</v>
      </c>
      <c r="K66" s="45">
        <v>0</v>
      </c>
      <c r="L66" s="44">
        <f t="shared" si="4"/>
        <v>0</v>
      </c>
    </row>
    <row r="67" spans="1:12" hidden="1" x14ac:dyDescent="0.35">
      <c r="A67" s="27" t="s">
        <v>253</v>
      </c>
      <c r="B67" s="27" t="s">
        <v>49</v>
      </c>
      <c r="C67" s="27" t="s">
        <v>254</v>
      </c>
      <c r="D67" s="27" t="s">
        <v>51</v>
      </c>
      <c r="E67" s="27" t="s">
        <v>195</v>
      </c>
      <c r="F67" s="27" t="s">
        <v>255</v>
      </c>
      <c r="G67" s="27" t="s">
        <v>54</v>
      </c>
      <c r="H67" s="27" t="s">
        <v>142</v>
      </c>
      <c r="I67" s="27" t="s">
        <v>197</v>
      </c>
      <c r="J67" s="45">
        <v>0</v>
      </c>
      <c r="K67" s="45">
        <v>0</v>
      </c>
      <c r="L67" s="44">
        <f t="shared" si="4"/>
        <v>0</v>
      </c>
    </row>
    <row r="68" spans="1:12" hidden="1" x14ac:dyDescent="0.35">
      <c r="A68" s="27" t="s">
        <v>256</v>
      </c>
      <c r="B68" s="27" t="s">
        <v>49</v>
      </c>
      <c r="C68" s="27" t="s">
        <v>257</v>
      </c>
      <c r="D68" s="27" t="s">
        <v>51</v>
      </c>
      <c r="E68" s="27" t="s">
        <v>195</v>
      </c>
      <c r="F68" s="27" t="s">
        <v>258</v>
      </c>
      <c r="G68" s="27" t="s">
        <v>54</v>
      </c>
      <c r="H68" s="27" t="s">
        <v>142</v>
      </c>
      <c r="I68" s="27" t="s">
        <v>197</v>
      </c>
      <c r="J68" s="45">
        <v>0</v>
      </c>
      <c r="K68" s="45">
        <v>0</v>
      </c>
      <c r="L68" s="44">
        <f t="shared" si="4"/>
        <v>0</v>
      </c>
    </row>
    <row r="69" spans="1:12" hidden="1" x14ac:dyDescent="0.35">
      <c r="A69" s="27" t="s">
        <v>259</v>
      </c>
      <c r="B69" s="27" t="s">
        <v>49</v>
      </c>
      <c r="C69" s="27" t="s">
        <v>260</v>
      </c>
      <c r="D69" s="27" t="s">
        <v>51</v>
      </c>
      <c r="E69" s="27" t="s">
        <v>195</v>
      </c>
      <c r="F69" s="27" t="s">
        <v>261</v>
      </c>
      <c r="G69" s="27" t="s">
        <v>54</v>
      </c>
      <c r="H69" s="27" t="s">
        <v>142</v>
      </c>
      <c r="I69" s="27" t="s">
        <v>197</v>
      </c>
      <c r="J69" s="45">
        <v>0.88</v>
      </c>
      <c r="K69" s="45">
        <v>0.88</v>
      </c>
      <c r="L69" s="44">
        <f t="shared" si="4"/>
        <v>0</v>
      </c>
    </row>
    <row r="70" spans="1:12" x14ac:dyDescent="0.35">
      <c r="A70" s="27" t="s">
        <v>262</v>
      </c>
      <c r="B70" s="27" t="s">
        <v>49</v>
      </c>
      <c r="C70" s="27" t="s">
        <v>263</v>
      </c>
      <c r="D70" s="27" t="s">
        <v>51</v>
      </c>
      <c r="E70" s="27" t="s">
        <v>195</v>
      </c>
      <c r="F70" s="27" t="s">
        <v>264</v>
      </c>
      <c r="G70" s="27" t="s">
        <v>54</v>
      </c>
      <c r="H70" s="27" t="s">
        <v>142</v>
      </c>
      <c r="I70" s="27" t="s">
        <v>197</v>
      </c>
      <c r="J70" s="45">
        <v>-154413.20000000001</v>
      </c>
      <c r="K70" s="45">
        <v>-242582.98</v>
      </c>
      <c r="L70" s="44">
        <f t="shared" si="4"/>
        <v>88169.78</v>
      </c>
    </row>
    <row r="71" spans="1:12" hidden="1" x14ac:dyDescent="0.35">
      <c r="A71" s="27" t="s">
        <v>265</v>
      </c>
      <c r="B71" s="27" t="s">
        <v>49</v>
      </c>
      <c r="C71" s="27" t="s">
        <v>266</v>
      </c>
      <c r="D71" s="27" t="s">
        <v>51</v>
      </c>
      <c r="E71" s="27" t="s">
        <v>195</v>
      </c>
      <c r="F71" s="27" t="s">
        <v>267</v>
      </c>
      <c r="G71" s="27" t="s">
        <v>54</v>
      </c>
      <c r="H71" s="27" t="s">
        <v>142</v>
      </c>
      <c r="I71" s="27" t="s">
        <v>197</v>
      </c>
      <c r="J71" s="45">
        <v>0</v>
      </c>
      <c r="K71" s="45">
        <v>0</v>
      </c>
      <c r="L71" s="44">
        <f t="shared" si="4"/>
        <v>0</v>
      </c>
    </row>
    <row r="72" spans="1:12" hidden="1" x14ac:dyDescent="0.35">
      <c r="A72" s="27" t="s">
        <v>268</v>
      </c>
      <c r="B72" s="27" t="s">
        <v>49</v>
      </c>
      <c r="C72" s="27" t="s">
        <v>269</v>
      </c>
      <c r="D72" s="27" t="s">
        <v>51</v>
      </c>
      <c r="E72" s="27" t="s">
        <v>195</v>
      </c>
      <c r="F72" s="27" t="s">
        <v>270</v>
      </c>
      <c r="G72" s="27" t="s">
        <v>54</v>
      </c>
      <c r="H72" s="27" t="s">
        <v>142</v>
      </c>
      <c r="I72" s="27" t="s">
        <v>197</v>
      </c>
      <c r="J72" s="45">
        <v>0</v>
      </c>
      <c r="K72" s="45">
        <v>0</v>
      </c>
      <c r="L72" s="44">
        <f t="shared" si="4"/>
        <v>0</v>
      </c>
    </row>
    <row r="73" spans="1:12" hidden="1" x14ac:dyDescent="0.35">
      <c r="A73" s="27" t="s">
        <v>271</v>
      </c>
      <c r="B73" s="27" t="s">
        <v>49</v>
      </c>
      <c r="C73" s="27" t="s">
        <v>272</v>
      </c>
      <c r="D73" s="27" t="s">
        <v>51</v>
      </c>
      <c r="E73" s="27" t="s">
        <v>195</v>
      </c>
      <c r="F73" s="27" t="s">
        <v>273</v>
      </c>
      <c r="G73" s="27" t="s">
        <v>54</v>
      </c>
      <c r="H73" s="27" t="s">
        <v>142</v>
      </c>
      <c r="I73" s="27" t="s">
        <v>197</v>
      </c>
      <c r="J73" s="45">
        <v>0</v>
      </c>
      <c r="K73" s="45">
        <v>0</v>
      </c>
      <c r="L73" s="44">
        <f t="shared" si="4"/>
        <v>0</v>
      </c>
    </row>
    <row r="74" spans="1:12" hidden="1" x14ac:dyDescent="0.35">
      <c r="A74" s="27" t="s">
        <v>274</v>
      </c>
      <c r="B74" s="27" t="s">
        <v>49</v>
      </c>
      <c r="C74" s="27" t="s">
        <v>275</v>
      </c>
      <c r="D74" s="27" t="s">
        <v>51</v>
      </c>
      <c r="E74" s="27" t="s">
        <v>195</v>
      </c>
      <c r="F74" s="27" t="s">
        <v>276</v>
      </c>
      <c r="G74" s="27" t="s">
        <v>54</v>
      </c>
      <c r="H74" s="27" t="s">
        <v>142</v>
      </c>
      <c r="I74" s="27" t="s">
        <v>197</v>
      </c>
      <c r="J74" s="45">
        <v>0</v>
      </c>
      <c r="K74" s="45">
        <v>0</v>
      </c>
      <c r="L74" s="44">
        <f t="shared" si="4"/>
        <v>0</v>
      </c>
    </row>
    <row r="75" spans="1:12" hidden="1" x14ac:dyDescent="0.35">
      <c r="A75" s="27" t="s">
        <v>277</v>
      </c>
      <c r="B75" s="27" t="s">
        <v>49</v>
      </c>
      <c r="C75" s="27" t="s">
        <v>278</v>
      </c>
      <c r="D75" s="27" t="s">
        <v>51</v>
      </c>
      <c r="E75" s="27" t="s">
        <v>195</v>
      </c>
      <c r="F75" s="27" t="s">
        <v>279</v>
      </c>
      <c r="G75" s="27" t="s">
        <v>54</v>
      </c>
      <c r="H75" s="27" t="s">
        <v>142</v>
      </c>
      <c r="I75" s="27" t="s">
        <v>197</v>
      </c>
      <c r="J75" s="45">
        <v>0</v>
      </c>
      <c r="K75" s="45">
        <v>0</v>
      </c>
      <c r="L75" s="44">
        <f t="shared" si="4"/>
        <v>0</v>
      </c>
    </row>
    <row r="76" spans="1:12" hidden="1" x14ac:dyDescent="0.35">
      <c r="A76" s="27" t="s">
        <v>280</v>
      </c>
      <c r="B76" s="27" t="s">
        <v>49</v>
      </c>
      <c r="C76" s="27" t="s">
        <v>281</v>
      </c>
      <c r="D76" s="27" t="s">
        <v>51</v>
      </c>
      <c r="E76" s="27" t="s">
        <v>195</v>
      </c>
      <c r="F76" s="27" t="s">
        <v>282</v>
      </c>
      <c r="G76" s="27" t="s">
        <v>54</v>
      </c>
      <c r="H76" s="27" t="s">
        <v>142</v>
      </c>
      <c r="I76" s="27" t="s">
        <v>197</v>
      </c>
      <c r="J76" s="45">
        <v>0</v>
      </c>
      <c r="K76" s="45">
        <v>0</v>
      </c>
      <c r="L76" s="44">
        <f t="shared" si="4"/>
        <v>0</v>
      </c>
    </row>
    <row r="77" spans="1:12" hidden="1" x14ac:dyDescent="0.35">
      <c r="A77" s="27" t="s">
        <v>283</v>
      </c>
      <c r="B77" s="27" t="s">
        <v>49</v>
      </c>
      <c r="C77" s="27" t="s">
        <v>284</v>
      </c>
      <c r="D77" s="27" t="s">
        <v>51</v>
      </c>
      <c r="E77" s="27" t="s">
        <v>195</v>
      </c>
      <c r="F77" s="27" t="s">
        <v>285</v>
      </c>
      <c r="G77" s="27" t="s">
        <v>54</v>
      </c>
      <c r="H77" s="27" t="s">
        <v>142</v>
      </c>
      <c r="I77" s="27" t="s">
        <v>197</v>
      </c>
      <c r="J77" s="45">
        <v>0</v>
      </c>
      <c r="K77" s="45">
        <v>0</v>
      </c>
      <c r="L77" s="44">
        <f t="shared" si="4"/>
        <v>0</v>
      </c>
    </row>
    <row r="78" spans="1:12" hidden="1" x14ac:dyDescent="0.35">
      <c r="A78" s="27" t="s">
        <v>286</v>
      </c>
      <c r="B78" s="27" t="s">
        <v>49</v>
      </c>
      <c r="C78" s="27" t="s">
        <v>287</v>
      </c>
      <c r="D78" s="27" t="s">
        <v>51</v>
      </c>
      <c r="E78" s="27" t="s">
        <v>195</v>
      </c>
      <c r="F78" s="27" t="s">
        <v>288</v>
      </c>
      <c r="G78" s="27" t="s">
        <v>54</v>
      </c>
      <c r="H78" s="27" t="s">
        <v>142</v>
      </c>
      <c r="I78" s="27" t="s">
        <v>197</v>
      </c>
      <c r="J78" s="45">
        <v>0</v>
      </c>
      <c r="K78" s="45">
        <v>0</v>
      </c>
      <c r="L78" s="44">
        <f t="shared" si="4"/>
        <v>0</v>
      </c>
    </row>
    <row r="79" spans="1:12" hidden="1" x14ac:dyDescent="0.35">
      <c r="A79" s="27" t="s">
        <v>289</v>
      </c>
      <c r="B79" s="27" t="s">
        <v>49</v>
      </c>
      <c r="C79" s="27" t="s">
        <v>290</v>
      </c>
      <c r="D79" s="27" t="s">
        <v>51</v>
      </c>
      <c r="E79" s="27" t="s">
        <v>195</v>
      </c>
      <c r="F79" s="27" t="s">
        <v>291</v>
      </c>
      <c r="G79" s="27" t="s">
        <v>54</v>
      </c>
      <c r="H79" s="27" t="s">
        <v>142</v>
      </c>
      <c r="I79" s="27" t="s">
        <v>197</v>
      </c>
      <c r="J79" s="45">
        <v>0</v>
      </c>
      <c r="K79" s="45">
        <v>0</v>
      </c>
      <c r="L79" s="44">
        <f t="shared" si="4"/>
        <v>0</v>
      </c>
    </row>
    <row r="80" spans="1:12" hidden="1" x14ac:dyDescent="0.35">
      <c r="A80" s="27" t="s">
        <v>292</v>
      </c>
      <c r="B80" s="27" t="s">
        <v>49</v>
      </c>
      <c r="C80" s="27" t="s">
        <v>293</v>
      </c>
      <c r="D80" s="27" t="s">
        <v>51</v>
      </c>
      <c r="E80" s="27" t="s">
        <v>195</v>
      </c>
      <c r="F80" s="27" t="s">
        <v>294</v>
      </c>
      <c r="G80" s="27" t="s">
        <v>54</v>
      </c>
      <c r="H80" s="27" t="s">
        <v>142</v>
      </c>
      <c r="I80" s="27" t="s">
        <v>197</v>
      </c>
      <c r="J80" s="45">
        <v>0</v>
      </c>
      <c r="K80" s="45">
        <v>0</v>
      </c>
      <c r="L80" s="44">
        <f t="shared" si="4"/>
        <v>0</v>
      </c>
    </row>
    <row r="81" spans="1:12" hidden="1" x14ac:dyDescent="0.35">
      <c r="A81" s="27" t="s">
        <v>295</v>
      </c>
      <c r="B81" s="27" t="s">
        <v>49</v>
      </c>
      <c r="C81" s="27" t="s">
        <v>296</v>
      </c>
      <c r="D81" s="27" t="s">
        <v>51</v>
      </c>
      <c r="E81" s="27" t="s">
        <v>195</v>
      </c>
      <c r="F81" s="27" t="s">
        <v>297</v>
      </c>
      <c r="G81" s="27" t="s">
        <v>54</v>
      </c>
      <c r="H81" s="27" t="s">
        <v>142</v>
      </c>
      <c r="I81" s="27" t="s">
        <v>197</v>
      </c>
      <c r="J81" s="45">
        <v>0</v>
      </c>
      <c r="K81" s="45">
        <v>0</v>
      </c>
      <c r="L81" s="44">
        <f t="shared" si="4"/>
        <v>0</v>
      </c>
    </row>
    <row r="82" spans="1:12" x14ac:dyDescent="0.35">
      <c r="A82" s="27" t="s">
        <v>298</v>
      </c>
      <c r="B82" s="27" t="s">
        <v>49</v>
      </c>
      <c r="C82" s="27" t="s">
        <v>299</v>
      </c>
      <c r="D82" s="27" t="s">
        <v>51</v>
      </c>
      <c r="E82" s="27" t="s">
        <v>195</v>
      </c>
      <c r="F82" s="27" t="s">
        <v>300</v>
      </c>
      <c r="G82" s="27" t="s">
        <v>54</v>
      </c>
      <c r="H82" s="27" t="s">
        <v>142</v>
      </c>
      <c r="I82" s="27" t="s">
        <v>197</v>
      </c>
      <c r="J82" s="45">
        <v>-23953.7</v>
      </c>
      <c r="K82" s="45">
        <v>-18442.259999999998</v>
      </c>
      <c r="L82" s="44">
        <f t="shared" si="4"/>
        <v>-5511.4400000000023</v>
      </c>
    </row>
    <row r="83" spans="1:12" hidden="1" x14ac:dyDescent="0.35">
      <c r="A83" s="27" t="s">
        <v>301</v>
      </c>
      <c r="B83" s="194" t="s">
        <v>49</v>
      </c>
      <c r="C83" s="194" t="s">
        <v>302</v>
      </c>
      <c r="D83" s="194" t="s">
        <v>51</v>
      </c>
      <c r="E83" s="27" t="s">
        <v>195</v>
      </c>
      <c r="F83" s="27" t="s">
        <v>303</v>
      </c>
      <c r="G83" s="27" t="s">
        <v>54</v>
      </c>
      <c r="H83" s="27" t="s">
        <v>142</v>
      </c>
      <c r="I83" s="27" t="s">
        <v>197</v>
      </c>
      <c r="J83" s="45">
        <v>0.24</v>
      </c>
      <c r="K83" s="45">
        <v>0.24</v>
      </c>
      <c r="L83" s="44">
        <f t="shared" si="4"/>
        <v>0</v>
      </c>
    </row>
    <row r="84" spans="1:12" hidden="1" x14ac:dyDescent="0.35">
      <c r="A84" s="27" t="s">
        <v>304</v>
      </c>
      <c r="B84" s="194" t="s">
        <v>49</v>
      </c>
      <c r="C84" s="194" t="s">
        <v>305</v>
      </c>
      <c r="D84" s="194" t="s">
        <v>51</v>
      </c>
      <c r="E84" s="27" t="s">
        <v>195</v>
      </c>
      <c r="F84" s="27" t="s">
        <v>306</v>
      </c>
      <c r="G84" s="27" t="s">
        <v>54</v>
      </c>
      <c r="H84" s="27" t="s">
        <v>142</v>
      </c>
      <c r="I84" s="27" t="s">
        <v>197</v>
      </c>
      <c r="J84" s="45">
        <v>0</v>
      </c>
      <c r="K84" s="45">
        <v>0</v>
      </c>
      <c r="L84" s="44">
        <f t="shared" si="4"/>
        <v>0</v>
      </c>
    </row>
    <row r="85" spans="1:12" hidden="1" x14ac:dyDescent="0.35">
      <c r="A85" s="27" t="s">
        <v>307</v>
      </c>
      <c r="B85" s="194" t="s">
        <v>49</v>
      </c>
      <c r="C85" s="194" t="s">
        <v>308</v>
      </c>
      <c r="D85" s="194" t="s">
        <v>51</v>
      </c>
      <c r="E85" s="27" t="s">
        <v>195</v>
      </c>
      <c r="F85" s="27" t="s">
        <v>309</v>
      </c>
      <c r="G85" s="27" t="s">
        <v>54</v>
      </c>
      <c r="H85" s="27" t="s">
        <v>142</v>
      </c>
      <c r="I85" s="27" t="s">
        <v>197</v>
      </c>
      <c r="J85" s="45">
        <v>0</v>
      </c>
      <c r="K85" s="45">
        <v>0</v>
      </c>
      <c r="L85" s="44">
        <f t="shared" si="4"/>
        <v>0</v>
      </c>
    </row>
    <row r="86" spans="1:12" hidden="1" x14ac:dyDescent="0.35">
      <c r="A86" s="27" t="s">
        <v>310</v>
      </c>
      <c r="B86" s="194" t="s">
        <v>49</v>
      </c>
      <c r="C86" s="194" t="s">
        <v>311</v>
      </c>
      <c r="D86" s="194" t="s">
        <v>51</v>
      </c>
      <c r="E86" s="27" t="s">
        <v>195</v>
      </c>
      <c r="F86" s="27" t="s">
        <v>312</v>
      </c>
      <c r="G86" s="27" t="s">
        <v>54</v>
      </c>
      <c r="H86" s="27" t="s">
        <v>142</v>
      </c>
      <c r="I86" s="27" t="s">
        <v>197</v>
      </c>
      <c r="J86" s="45">
        <v>0</v>
      </c>
      <c r="K86" s="45">
        <v>0</v>
      </c>
      <c r="L86" s="44">
        <f t="shared" si="4"/>
        <v>0</v>
      </c>
    </row>
    <row r="87" spans="1:12" hidden="1" x14ac:dyDescent="0.35">
      <c r="A87" s="27" t="s">
        <v>313</v>
      </c>
      <c r="B87" s="194" t="s">
        <v>49</v>
      </c>
      <c r="C87" s="194" t="s">
        <v>314</v>
      </c>
      <c r="D87" s="194" t="s">
        <v>51</v>
      </c>
      <c r="E87" s="27" t="s">
        <v>195</v>
      </c>
      <c r="F87" s="27" t="s">
        <v>315</v>
      </c>
      <c r="G87" s="27" t="s">
        <v>54</v>
      </c>
      <c r="H87" s="27" t="s">
        <v>142</v>
      </c>
      <c r="I87" s="27" t="s">
        <v>197</v>
      </c>
      <c r="J87" s="45">
        <v>0</v>
      </c>
      <c r="K87" s="45">
        <v>0</v>
      </c>
      <c r="L87" s="44">
        <f t="shared" si="4"/>
        <v>0</v>
      </c>
    </row>
    <row r="88" spans="1:12" hidden="1" x14ac:dyDescent="0.35">
      <c r="A88" s="27" t="s">
        <v>316</v>
      </c>
      <c r="B88" s="194" t="s">
        <v>49</v>
      </c>
      <c r="C88" s="194" t="s">
        <v>317</v>
      </c>
      <c r="D88" s="194" t="s">
        <v>51</v>
      </c>
      <c r="E88" s="27" t="s">
        <v>195</v>
      </c>
      <c r="F88" s="27" t="s">
        <v>318</v>
      </c>
      <c r="G88" s="27" t="s">
        <v>54</v>
      </c>
      <c r="H88" s="27" t="s">
        <v>142</v>
      </c>
      <c r="I88" s="27" t="s">
        <v>197</v>
      </c>
      <c r="J88" s="45">
        <v>0</v>
      </c>
      <c r="K88" s="45">
        <v>0</v>
      </c>
      <c r="L88" s="44">
        <f t="shared" si="4"/>
        <v>0</v>
      </c>
    </row>
    <row r="89" spans="1:12" hidden="1" x14ac:dyDescent="0.35">
      <c r="A89" s="27" t="s">
        <v>319</v>
      </c>
      <c r="B89" s="194" t="s">
        <v>49</v>
      </c>
      <c r="C89" s="194" t="s">
        <v>320</v>
      </c>
      <c r="D89" s="194" t="s">
        <v>51</v>
      </c>
      <c r="E89" s="27" t="s">
        <v>195</v>
      </c>
      <c r="F89" s="27" t="s">
        <v>321</v>
      </c>
      <c r="G89" s="27" t="s">
        <v>54</v>
      </c>
      <c r="H89" s="27" t="s">
        <v>142</v>
      </c>
      <c r="I89" s="27" t="s">
        <v>197</v>
      </c>
      <c r="J89" s="45">
        <v>0</v>
      </c>
      <c r="K89" s="45">
        <v>0</v>
      </c>
      <c r="L89" s="44">
        <f t="shared" si="4"/>
        <v>0</v>
      </c>
    </row>
    <row r="90" spans="1:12" hidden="1" x14ac:dyDescent="0.35">
      <c r="A90" s="27" t="s">
        <v>322</v>
      </c>
      <c r="B90" s="194" t="s">
        <v>49</v>
      </c>
      <c r="C90" s="194" t="s">
        <v>323</v>
      </c>
      <c r="D90" s="194" t="s">
        <v>51</v>
      </c>
      <c r="E90" s="27" t="s">
        <v>195</v>
      </c>
      <c r="F90" s="27" t="s">
        <v>324</v>
      </c>
      <c r="G90" s="27" t="s">
        <v>54</v>
      </c>
      <c r="H90" s="27" t="s">
        <v>142</v>
      </c>
      <c r="I90" s="27" t="s">
        <v>197</v>
      </c>
      <c r="J90" s="45">
        <v>0</v>
      </c>
      <c r="K90" s="45">
        <v>0</v>
      </c>
      <c r="L90" s="44">
        <f t="shared" si="4"/>
        <v>0</v>
      </c>
    </row>
    <row r="91" spans="1:12" hidden="1" x14ac:dyDescent="0.35">
      <c r="A91" s="27" t="s">
        <v>325</v>
      </c>
      <c r="B91" s="194" t="s">
        <v>49</v>
      </c>
      <c r="C91" s="194" t="s">
        <v>326</v>
      </c>
      <c r="D91" s="194" t="s">
        <v>51</v>
      </c>
      <c r="E91" s="27" t="s">
        <v>195</v>
      </c>
      <c r="F91" s="27" t="s">
        <v>327</v>
      </c>
      <c r="G91" s="27" t="s">
        <v>54</v>
      </c>
      <c r="H91" s="27" t="s">
        <v>142</v>
      </c>
      <c r="I91" s="27" t="s">
        <v>197</v>
      </c>
      <c r="J91" s="45">
        <v>0</v>
      </c>
      <c r="K91" s="45">
        <v>0</v>
      </c>
      <c r="L91" s="44">
        <f t="shared" si="4"/>
        <v>0</v>
      </c>
    </row>
    <row r="92" spans="1:12" hidden="1" x14ac:dyDescent="0.35">
      <c r="A92" s="27" t="s">
        <v>328</v>
      </c>
      <c r="B92" s="194" t="s">
        <v>49</v>
      </c>
      <c r="C92" s="194" t="s">
        <v>329</v>
      </c>
      <c r="D92" s="194" t="s">
        <v>51</v>
      </c>
      <c r="E92" s="27" t="s">
        <v>195</v>
      </c>
      <c r="F92" s="27" t="s">
        <v>330</v>
      </c>
      <c r="G92" s="27" t="s">
        <v>54</v>
      </c>
      <c r="H92" s="27" t="s">
        <v>142</v>
      </c>
      <c r="I92" s="27" t="s">
        <v>197</v>
      </c>
      <c r="J92" s="45">
        <v>0</v>
      </c>
      <c r="K92" s="45">
        <v>0</v>
      </c>
      <c r="L92" s="44">
        <f t="shared" si="4"/>
        <v>0</v>
      </c>
    </row>
    <row r="93" spans="1:12" hidden="1" x14ac:dyDescent="0.35">
      <c r="A93" s="27" t="s">
        <v>331</v>
      </c>
      <c r="B93" s="194" t="s">
        <v>49</v>
      </c>
      <c r="C93" s="194" t="s">
        <v>332</v>
      </c>
      <c r="D93" s="194" t="s">
        <v>51</v>
      </c>
      <c r="E93" s="27" t="s">
        <v>195</v>
      </c>
      <c r="F93" s="27" t="s">
        <v>333</v>
      </c>
      <c r="G93" s="27" t="s">
        <v>54</v>
      </c>
      <c r="H93" s="27" t="s">
        <v>142</v>
      </c>
      <c r="I93" s="27" t="s">
        <v>197</v>
      </c>
      <c r="J93" s="45">
        <v>-7192</v>
      </c>
      <c r="K93" s="45">
        <v>-7192</v>
      </c>
      <c r="L93" s="44">
        <f t="shared" si="4"/>
        <v>0</v>
      </c>
    </row>
    <row r="94" spans="1:12" hidden="1" x14ac:dyDescent="0.35">
      <c r="A94" s="27" t="s">
        <v>334</v>
      </c>
      <c r="B94" s="194" t="s">
        <v>49</v>
      </c>
      <c r="C94" s="194" t="s">
        <v>335</v>
      </c>
      <c r="D94" s="194" t="s">
        <v>51</v>
      </c>
      <c r="E94" s="27" t="s">
        <v>195</v>
      </c>
      <c r="F94" s="27" t="s">
        <v>336</v>
      </c>
      <c r="G94" s="27" t="s">
        <v>54</v>
      </c>
      <c r="H94" s="27" t="s">
        <v>142</v>
      </c>
      <c r="I94" s="27" t="s">
        <v>197</v>
      </c>
      <c r="J94" s="45">
        <v>0</v>
      </c>
      <c r="K94" s="45">
        <v>0</v>
      </c>
      <c r="L94" s="44">
        <f t="shared" si="4"/>
        <v>0</v>
      </c>
    </row>
    <row r="95" spans="1:12" x14ac:dyDescent="0.35">
      <c r="A95" s="204" t="s">
        <v>337</v>
      </c>
      <c r="B95" s="194" t="s">
        <v>49</v>
      </c>
      <c r="C95" s="194" t="s">
        <v>338</v>
      </c>
      <c r="D95" s="194" t="s">
        <v>51</v>
      </c>
      <c r="E95" s="27" t="s">
        <v>195</v>
      </c>
      <c r="F95" s="27" t="s">
        <v>177</v>
      </c>
      <c r="G95" s="27" t="s">
        <v>54</v>
      </c>
      <c r="H95" s="27" t="s">
        <v>142</v>
      </c>
      <c r="I95" s="27" t="s">
        <v>197</v>
      </c>
      <c r="J95" s="45">
        <v>0</v>
      </c>
      <c r="K95" s="45">
        <v>-25416.67</v>
      </c>
      <c r="L95" s="44">
        <f t="shared" si="4"/>
        <v>25416.67</v>
      </c>
    </row>
  </sheetData>
  <autoFilter ref="A2:L95" xr:uid="{935EC90F-BD5B-4938-8BC8-251FAB3A2149}">
    <filterColumn colId="11">
      <filters>
        <filter val="1,321,375.72"/>
        <filter val="14,334.85"/>
        <filter val="149,315.54"/>
        <filter val="151,207.13"/>
        <filter val="-158,792.84"/>
        <filter val="162,400.00"/>
        <filter val="-165,565.64"/>
        <filter val="-178,060.19"/>
        <filter val="-190,871.50"/>
        <filter val="2,645.83"/>
        <filter val="-22,779.21"/>
        <filter val="25,416.67"/>
        <filter val="282,942.00"/>
        <filter val="-3,398,218.22"/>
        <filter val="-33,071.00"/>
        <filter val="-35,127.38"/>
        <filter val="-4,135,236.17"/>
        <filter val="4,199.00"/>
        <filter val="-412,148.70"/>
        <filter val="43,937.01"/>
        <filter val="-5,511.44"/>
        <filter val="-5,937.60"/>
        <filter val="-610,000.00"/>
        <filter val="62,861.98"/>
        <filter val="634,311.00"/>
        <filter val="-8,779.99"/>
        <filter val="88,169.78"/>
        <filter val="-92,216.64"/>
        <filter val="-93,271.73"/>
      </filters>
    </filterColumn>
  </autoFilter>
  <conditionalFormatting sqref="A2">
    <cfRule type="duplicateValues" dxfId="139" priority="33"/>
  </conditionalFormatting>
  <conditionalFormatting sqref="A3:A38">
    <cfRule type="duplicateValues" dxfId="138" priority="39"/>
  </conditionalFormatting>
  <conditionalFormatting sqref="A3:A39">
    <cfRule type="duplicateValues" dxfId="137" priority="40"/>
    <cfRule type="duplicateValues" dxfId="136" priority="41"/>
  </conditionalFormatting>
  <conditionalFormatting sqref="A39">
    <cfRule type="duplicateValues" dxfId="135" priority="36"/>
  </conditionalFormatting>
  <conditionalFormatting sqref="A40:A46">
    <cfRule type="duplicateValues" dxfId="134" priority="28"/>
    <cfRule type="duplicateValues" dxfId="133" priority="29"/>
    <cfRule type="duplicateValues" dxfId="132" priority="30"/>
  </conditionalFormatting>
  <conditionalFormatting sqref="A47:A82">
    <cfRule type="duplicateValues" dxfId="131" priority="9"/>
  </conditionalFormatting>
  <conditionalFormatting sqref="A47:A95">
    <cfRule type="duplicateValues" dxfId="130" priority="10"/>
    <cfRule type="duplicateValues" dxfId="129" priority="11"/>
  </conditionalFormatting>
  <conditionalFormatting sqref="A83:A94">
    <cfRule type="duplicateValues" dxfId="128" priority="4"/>
  </conditionalFormatting>
  <conditionalFormatting sqref="A95">
    <cfRule type="duplicateValues" dxfId="127" priority="3"/>
  </conditionalFormatting>
  <conditionalFormatting sqref="C2">
    <cfRule type="duplicateValues" dxfId="126" priority="31"/>
    <cfRule type="duplicateValues" dxfId="125" priority="32"/>
  </conditionalFormatting>
  <conditionalFormatting sqref="C3:C38">
    <cfRule type="duplicateValues" dxfId="124" priority="37"/>
    <cfRule type="duplicateValues" dxfId="123" priority="38"/>
  </conditionalFormatting>
  <conditionalFormatting sqref="C39">
    <cfRule type="duplicateValues" dxfId="122" priority="34"/>
    <cfRule type="duplicateValues" dxfId="121" priority="35"/>
  </conditionalFormatting>
  <conditionalFormatting sqref="C40:C46">
    <cfRule type="duplicateValues" dxfId="120" priority="26"/>
    <cfRule type="duplicateValues" dxfId="119" priority="27"/>
  </conditionalFormatting>
  <conditionalFormatting sqref="C47:C82">
    <cfRule type="duplicateValues" dxfId="118" priority="7"/>
    <cfRule type="duplicateValues" dxfId="117" priority="8"/>
  </conditionalFormatting>
  <conditionalFormatting sqref="C83:C94">
    <cfRule type="duplicateValues" dxfId="116" priority="5"/>
    <cfRule type="duplicateValues" dxfId="115" priority="6"/>
  </conditionalFormatting>
  <conditionalFormatting sqref="C95">
    <cfRule type="duplicateValues" dxfId="114" priority="1"/>
    <cfRule type="duplicateValues" dxfId="113"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41F7-AE36-4091-B9A3-DDFC394412EC}">
  <sheetPr codeName="Sheet4">
    <tabColor theme="7" tint="0.79998168889431442"/>
  </sheetPr>
  <dimension ref="B1:AZ16"/>
  <sheetViews>
    <sheetView workbookViewId="0"/>
    <sheetView workbookViewId="1">
      <selection activeCell="H20" sqref="H20"/>
    </sheetView>
  </sheetViews>
  <sheetFormatPr baseColWidth="10" defaultColWidth="11.54296875" defaultRowHeight="15" customHeight="1" x14ac:dyDescent="0.35"/>
  <cols>
    <col min="1" max="2" width="1.453125" style="6" customWidth="1"/>
    <col min="3" max="3" width="35.453125" style="6" bestFit="1" customWidth="1"/>
    <col min="4" max="4" width="16.453125" style="6" bestFit="1" customWidth="1"/>
    <col min="5" max="5" width="12.453125" style="6" bestFit="1" customWidth="1"/>
    <col min="6" max="6" width="12.54296875" style="6" bestFit="1" customWidth="1"/>
    <col min="7" max="7" width="14.54296875" style="6" bestFit="1" customWidth="1"/>
    <col min="8" max="8" width="21" style="6" bestFit="1" customWidth="1"/>
    <col min="9" max="9" width="9.54296875" style="6" bestFit="1" customWidth="1"/>
    <col min="10" max="10" width="11.453125" style="6" customWidth="1"/>
    <col min="11" max="11" width="10.453125" style="6" bestFit="1" customWidth="1"/>
    <col min="12" max="54" width="11.54296875" style="6"/>
    <col min="55" max="55" width="12.54296875" style="6" customWidth="1"/>
    <col min="56" max="16384" width="11.54296875" style="6"/>
  </cols>
  <sheetData>
    <row r="1" spans="2:52" ht="15" customHeight="1" x14ac:dyDescent="0.35">
      <c r="C1" s="25" t="s">
        <v>1021</v>
      </c>
      <c r="D1" s="25"/>
      <c r="E1" s="25"/>
      <c r="F1" s="25"/>
      <c r="G1" s="25"/>
      <c r="H1" s="25"/>
      <c r="I1" s="25"/>
      <c r="J1" s="25"/>
      <c r="K1" s="25"/>
    </row>
    <row r="2" spans="2:52" ht="15" customHeight="1" x14ac:dyDescent="0.35">
      <c r="C2" s="25" t="s">
        <v>340</v>
      </c>
      <c r="D2" s="25"/>
      <c r="E2" s="25"/>
      <c r="F2" s="25"/>
      <c r="G2" s="25"/>
      <c r="H2" s="25"/>
      <c r="I2" s="25"/>
      <c r="J2" s="25"/>
      <c r="K2" s="25"/>
    </row>
    <row r="3" spans="2:52" ht="15" customHeight="1" x14ac:dyDescent="0.35">
      <c r="G3" s="24"/>
      <c r="H3" s="24"/>
    </row>
    <row r="4" spans="2:52" ht="15" customHeight="1" x14ac:dyDescent="0.5">
      <c r="B4" s="6" t="s">
        <v>341</v>
      </c>
      <c r="C4" s="22"/>
      <c r="D4" s="23" t="s">
        <v>342</v>
      </c>
      <c r="E4" s="23" t="s">
        <v>343</v>
      </c>
      <c r="F4" s="23" t="s">
        <v>344</v>
      </c>
      <c r="G4" s="22"/>
      <c r="H4" s="22"/>
      <c r="I4" s="22"/>
      <c r="J4" s="22"/>
      <c r="K4" s="22"/>
      <c r="AZ4" s="6" t="s">
        <v>31</v>
      </c>
    </row>
    <row r="5" spans="2:52" ht="15" customHeight="1" x14ac:dyDescent="0.35">
      <c r="Z5" s="171">
        <v>46053</v>
      </c>
    </row>
    <row r="6" spans="2:52" ht="15" customHeight="1" x14ac:dyDescent="0.35">
      <c r="Z6" s="171">
        <v>46081</v>
      </c>
    </row>
    <row r="7" spans="2:52" ht="15" customHeight="1" x14ac:dyDescent="0.4">
      <c r="E7" s="20" t="s">
        <v>345</v>
      </c>
      <c r="F7" s="21">
        <v>46142</v>
      </c>
      <c r="I7" s="9" t="s">
        <v>346</v>
      </c>
      <c r="J7" s="9" t="s">
        <v>347</v>
      </c>
      <c r="Z7" s="171">
        <v>46112</v>
      </c>
    </row>
    <row r="8" spans="2:52" ht="15" customHeight="1" x14ac:dyDescent="0.4">
      <c r="E8" s="20" t="s">
        <v>348</v>
      </c>
      <c r="F8" s="19">
        <v>1</v>
      </c>
      <c r="I8" s="18">
        <v>1</v>
      </c>
      <c r="J8" s="18">
        <v>2</v>
      </c>
      <c r="Z8" s="171">
        <v>46142</v>
      </c>
    </row>
    <row r="9" spans="2:52" x14ac:dyDescent="0.35">
      <c r="F9" s="17" t="str" cm="1">
        <f t="array" ref="F9">INDEX(I9:K9,,F$8)</f>
        <v>Board View</v>
      </c>
      <c r="I9" s="17" t="s">
        <v>349</v>
      </c>
      <c r="J9" s="17" t="s">
        <v>350</v>
      </c>
      <c r="Z9" s="171">
        <v>46173</v>
      </c>
    </row>
    <row r="10" spans="2:52" x14ac:dyDescent="0.35">
      <c r="Z10" s="171">
        <v>46203</v>
      </c>
    </row>
    <row r="11" spans="2:52" ht="15" customHeight="1" x14ac:dyDescent="0.35">
      <c r="Z11" s="171">
        <v>46234</v>
      </c>
    </row>
    <row r="12" spans="2:52" ht="15" customHeight="1" x14ac:dyDescent="0.5">
      <c r="C12" s="13" t="s">
        <v>351</v>
      </c>
      <c r="D12" s="12"/>
      <c r="E12" s="12"/>
      <c r="F12" s="12"/>
      <c r="G12" s="12"/>
      <c r="H12" s="12"/>
      <c r="I12" s="11"/>
      <c r="J12" s="11"/>
      <c r="K12" s="11"/>
      <c r="Z12" s="171">
        <v>46265</v>
      </c>
    </row>
    <row r="13" spans="2:52" ht="15" customHeight="1" x14ac:dyDescent="0.5">
      <c r="C13" s="7"/>
      <c r="D13" s="7"/>
      <c r="E13" s="7"/>
      <c r="F13" s="7"/>
      <c r="G13" s="7"/>
      <c r="H13" s="7"/>
      <c r="I13" s="7"/>
      <c r="J13" s="7"/>
      <c r="K13" s="7"/>
      <c r="Z13" s="171">
        <v>46295</v>
      </c>
    </row>
    <row r="14" spans="2:52" ht="15" customHeight="1" x14ac:dyDescent="0.5">
      <c r="C14" s="10" t="s">
        <v>352</v>
      </c>
      <c r="D14" s="7"/>
      <c r="E14" s="7"/>
      <c r="F14" s="7"/>
      <c r="G14" s="7"/>
      <c r="H14" s="7"/>
      <c r="I14" s="7"/>
      <c r="J14" s="7"/>
      <c r="K14" s="7"/>
      <c r="Z14" s="171">
        <v>46326</v>
      </c>
    </row>
    <row r="15" spans="2:52" ht="15" customHeight="1" x14ac:dyDescent="0.5">
      <c r="C15" s="7"/>
      <c r="D15" s="8" t="s">
        <v>351</v>
      </c>
      <c r="E15" s="8" t="s">
        <v>353</v>
      </c>
      <c r="F15" s="8" t="str" cm="1">
        <f t="array" ref="F15">INDEX(I15:K15,,F$8)</f>
        <v>BP</v>
      </c>
      <c r="G15" s="7"/>
      <c r="H15" s="7"/>
      <c r="I15" s="16" t="s">
        <v>346</v>
      </c>
      <c r="J15" s="16" t="s">
        <v>347</v>
      </c>
      <c r="Z15" s="171">
        <v>46356</v>
      </c>
    </row>
    <row r="16" spans="2:52" ht="15" customHeight="1" x14ac:dyDescent="0.5">
      <c r="C16" s="7"/>
      <c r="D16" s="15"/>
      <c r="E16" s="15"/>
      <c r="G16" s="7"/>
      <c r="H16" s="7"/>
      <c r="I16" s="14"/>
      <c r="J16" s="14"/>
      <c r="Z16" s="171">
        <v>46387</v>
      </c>
    </row>
  </sheetData>
  <dataValidations count="1">
    <dataValidation type="list" allowBlank="1" showInputMessage="1" showErrorMessage="1" sqref="F7" xr:uid="{477F6A1B-4BD5-4E2D-B64C-D1BA7F086F31}">
      <formula1>$Z$5:$Z$16</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9EE1-FC8B-41CC-874F-9814E8AA6692}">
  <sheetPr codeName="Sheet5" filterMode="1">
    <tabColor rgb="FFFF0000"/>
  </sheetPr>
  <dimension ref="A1:AP963"/>
  <sheetViews>
    <sheetView workbookViewId="0"/>
    <sheetView topLeftCell="R489" zoomScale="75" workbookViewId="1">
      <selection activeCell="AC988" sqref="AC988"/>
    </sheetView>
  </sheetViews>
  <sheetFormatPr baseColWidth="10" defaultColWidth="11.453125" defaultRowHeight="14.5" outlineLevelRow="1" x14ac:dyDescent="0.35"/>
  <cols>
    <col min="1" max="1" width="14.453125" bestFit="1" customWidth="1"/>
    <col min="2" max="2" width="28.453125" customWidth="1"/>
    <col min="3" max="3" width="11.54296875" customWidth="1"/>
    <col min="4" max="4" width="36.453125" customWidth="1"/>
    <col min="5" max="5" width="9.54296875" customWidth="1"/>
    <col min="6" max="6" width="36.453125" customWidth="1"/>
    <col min="7" max="7" width="57.54296875" customWidth="1"/>
    <col min="8" max="8" width="10.453125" customWidth="1"/>
    <col min="9" max="9" width="17.54296875" customWidth="1"/>
    <col min="10" max="10" width="53.54296875" customWidth="1"/>
    <col min="11" max="11" width="51.54296875" customWidth="1"/>
    <col min="12" max="12" width="31.453125" customWidth="1"/>
    <col min="13" max="14" width="42.453125" customWidth="1"/>
    <col min="15" max="16" width="24.453125" customWidth="1"/>
    <col min="17" max="17" width="10.453125" customWidth="1"/>
    <col min="18" max="19" width="16.08984375" customWidth="1"/>
    <col min="20" max="20" width="14.453125" customWidth="1"/>
    <col min="21" max="21" width="16.08984375" customWidth="1"/>
    <col min="22" max="22" width="15.54296875" customWidth="1"/>
    <col min="23" max="24" width="14.54296875" customWidth="1"/>
    <col min="25" max="26" width="14.1796875" customWidth="1"/>
    <col min="27" max="27" width="16.08984375" customWidth="1"/>
    <col min="28" max="28" width="15.54296875" customWidth="1"/>
    <col min="29" max="29" width="15.1796875" customWidth="1"/>
    <col min="30" max="30" width="16.26953125" bestFit="1" customWidth="1"/>
    <col min="31" max="31" width="14.6328125" bestFit="1" customWidth="1"/>
    <col min="32" max="32" width="14.90625" bestFit="1" customWidth="1"/>
    <col min="33" max="33" width="14.6328125" bestFit="1" customWidth="1"/>
    <col min="34" max="34" width="16.6328125" bestFit="1" customWidth="1"/>
    <col min="36" max="36" width="13" bestFit="1" customWidth="1"/>
    <col min="41" max="41" width="12.54296875" customWidth="1"/>
  </cols>
  <sheetData>
    <row r="1" spans="1:42" x14ac:dyDescent="0.35">
      <c r="A1">
        <f>SUM(A578:A921)</f>
        <v>0</v>
      </c>
      <c r="B1" s="41" t="s">
        <v>354</v>
      </c>
      <c r="C1" s="40"/>
      <c r="D1" s="41"/>
      <c r="E1" s="41"/>
      <c r="F1" s="41"/>
      <c r="G1" s="41"/>
      <c r="H1" s="41"/>
      <c r="I1" s="41"/>
      <c r="J1" s="41"/>
      <c r="K1" s="41"/>
      <c r="L1" s="41"/>
      <c r="M1" s="41"/>
      <c r="N1" s="41"/>
      <c r="O1" s="41"/>
      <c r="P1" s="41"/>
      <c r="Q1" s="41" t="s">
        <v>355</v>
      </c>
      <c r="R1" s="39">
        <f ca="1">+SUMIF($H$490:$H$6026,"P&amp;L",R$12:R$443)</f>
        <v>5005846.4900000012</v>
      </c>
      <c r="S1" s="39">
        <f t="shared" ref="S1:AO1" ca="1" si="0">+SUMIF($H$490:$H$6026,"P&amp;L",S$12:S$443)</f>
        <v>11529539.460000006</v>
      </c>
      <c r="T1" s="39">
        <f t="shared" ca="1" si="0"/>
        <v>17937902.211936485</v>
      </c>
      <c r="U1" s="39">
        <f ca="1">+SUMIF($H$490:$H$6026,"P&amp;L",U$12:U$443)</f>
        <v>24264029.919999938</v>
      </c>
      <c r="V1" s="39">
        <f t="shared" ca="1" si="0"/>
        <v>29062721.970000129</v>
      </c>
      <c r="W1" s="39">
        <f t="shared" ca="1" si="0"/>
        <v>35139553.189999945</v>
      </c>
      <c r="X1" s="39">
        <f t="shared" ca="1" si="0"/>
        <v>43045509.160000004</v>
      </c>
      <c r="Y1" s="39">
        <f t="shared" ca="1" si="0"/>
        <v>49597661.140000053</v>
      </c>
      <c r="Z1" s="39">
        <f t="shared" ca="1" si="0"/>
        <v>53068302.629999995</v>
      </c>
      <c r="AA1" s="39">
        <f t="shared" ca="1" si="0"/>
        <v>62247235.360000096</v>
      </c>
      <c r="AB1" s="39">
        <f t="shared" ca="1" si="0"/>
        <v>72504087.530000001</v>
      </c>
      <c r="AC1" s="39">
        <f t="shared" ca="1" si="0"/>
        <v>76118495.179999948</v>
      </c>
      <c r="AD1" s="39">
        <f t="shared" ca="1" si="0"/>
        <v>11011463.819999957</v>
      </c>
      <c r="AE1" s="39">
        <f t="shared" ca="1" si="0"/>
        <v>24156326.163855143</v>
      </c>
      <c r="AF1" s="39">
        <f t="shared" ca="1" si="0"/>
        <v>37430406.555625185</v>
      </c>
      <c r="AG1" s="39">
        <f t="shared" ca="1" si="0"/>
        <v>50007958.290000051</v>
      </c>
      <c r="AH1" s="39">
        <f t="shared" ca="1" si="0"/>
        <v>0</v>
      </c>
      <c r="AI1" s="39">
        <f t="shared" ca="1" si="0"/>
        <v>0</v>
      </c>
      <c r="AJ1" s="39">
        <f t="shared" ca="1" si="0"/>
        <v>0</v>
      </c>
      <c r="AK1" s="39">
        <f t="shared" ca="1" si="0"/>
        <v>0</v>
      </c>
      <c r="AL1" s="39">
        <f t="shared" ca="1" si="0"/>
        <v>0</v>
      </c>
      <c r="AM1" s="39">
        <f t="shared" ca="1" si="0"/>
        <v>0</v>
      </c>
      <c r="AN1" s="39">
        <f t="shared" ca="1" si="0"/>
        <v>0</v>
      </c>
      <c r="AO1" s="39">
        <f t="shared" ca="1" si="0"/>
        <v>0</v>
      </c>
    </row>
    <row r="2" spans="1:42" x14ac:dyDescent="0.35">
      <c r="B2" s="40" t="s">
        <v>356</v>
      </c>
      <c r="C2" s="40"/>
      <c r="D2" s="41"/>
      <c r="E2" s="41"/>
      <c r="F2" s="41"/>
      <c r="G2" s="41"/>
      <c r="H2" s="41"/>
      <c r="I2" s="41"/>
      <c r="J2" s="41"/>
      <c r="K2" s="41"/>
      <c r="L2" s="42"/>
      <c r="M2" s="41"/>
      <c r="N2" s="41"/>
      <c r="O2" s="42"/>
      <c r="P2" s="42"/>
      <c r="Q2" s="41" t="s">
        <v>357</v>
      </c>
      <c r="R2" s="42">
        <f>SUM(R13:R487)</f>
        <v>1.0739313438534737E-8</v>
      </c>
      <c r="S2" s="42">
        <f t="shared" ref="S2:AF2" si="1">SUM(S13:S487)</f>
        <v>2.2526364773511887E-8</v>
      </c>
      <c r="T2" s="42">
        <f t="shared" si="1"/>
        <v>1.1936518596485257E-2</v>
      </c>
      <c r="U2" s="42">
        <f t="shared" si="1"/>
        <v>-7.1944668889045715E-8</v>
      </c>
      <c r="V2" s="42">
        <f t="shared" si="1"/>
        <v>1.2852251529693604E-7</v>
      </c>
      <c r="W2" s="42">
        <f t="shared" si="1"/>
        <v>-9.4762071967124939E-8</v>
      </c>
      <c r="X2" s="42">
        <f t="shared" si="1"/>
        <v>-5.657784640789032E-8</v>
      </c>
      <c r="Y2" s="42">
        <f t="shared" si="1"/>
        <v>4.8195943236351013E-8</v>
      </c>
      <c r="Z2" s="42">
        <f t="shared" si="1"/>
        <v>-2.3283064365386963E-8</v>
      </c>
      <c r="AA2" s="42">
        <f t="shared" si="1"/>
        <v>-1.5832483768463135E-8</v>
      </c>
      <c r="AB2" s="42">
        <f t="shared" si="1"/>
        <v>1.6205012798309326E-7</v>
      </c>
      <c r="AC2" s="42">
        <f t="shared" si="1"/>
        <v>5.2154064178466797E-8</v>
      </c>
      <c r="AD2" s="42">
        <f t="shared" si="1"/>
        <v>3.4924596548080444E-10</v>
      </c>
      <c r="AE2" s="42">
        <f t="shared" si="1"/>
        <v>-6.1450988287106156E-3</v>
      </c>
      <c r="AF2" s="42">
        <f t="shared" si="1"/>
        <v>-1.4374690130352974E-2</v>
      </c>
      <c r="AG2" s="42">
        <f>SUM(AG13:AG487)</f>
        <v>1.2398231774568558E-7</v>
      </c>
      <c r="AH2" s="42">
        <f t="shared" ref="AH2:AO2" si="2">SUM(AH13:AH443)</f>
        <v>0</v>
      </c>
      <c r="AI2" s="42">
        <f t="shared" si="2"/>
        <v>0</v>
      </c>
      <c r="AJ2" s="42">
        <f t="shared" si="2"/>
        <v>0</v>
      </c>
      <c r="AK2" s="42">
        <f t="shared" si="2"/>
        <v>0</v>
      </c>
      <c r="AL2" s="42">
        <f t="shared" si="2"/>
        <v>0</v>
      </c>
      <c r="AM2" s="42">
        <f t="shared" si="2"/>
        <v>0</v>
      </c>
      <c r="AN2" s="42">
        <f t="shared" si="2"/>
        <v>0</v>
      </c>
      <c r="AO2" s="42">
        <f t="shared" si="2"/>
        <v>0</v>
      </c>
      <c r="AP2" s="45">
        <v>813074.54666666698</v>
      </c>
    </row>
    <row r="3" spans="1:42" x14ac:dyDescent="0.35">
      <c r="B3" s="38"/>
      <c r="C3" s="38"/>
      <c r="D3" s="38"/>
      <c r="E3" s="38"/>
      <c r="F3" s="38"/>
      <c r="G3" s="38"/>
      <c r="H3" s="38"/>
      <c r="I3" s="38"/>
      <c r="J3" s="38"/>
      <c r="K3" s="38"/>
      <c r="L3" s="38"/>
      <c r="M3" s="38"/>
      <c r="N3" s="38"/>
      <c r="O3" s="38"/>
      <c r="P3" s="38"/>
      <c r="Q3" s="38"/>
      <c r="U3" s="518"/>
      <c r="AP3" s="45">
        <v>2483918.6387853199</v>
      </c>
    </row>
    <row r="4" spans="1:42" x14ac:dyDescent="0.35">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45">
        <v>-670251.98545194196</v>
      </c>
    </row>
    <row r="5" spans="1:42" x14ac:dyDescent="0.35">
      <c r="B5" s="36"/>
      <c r="C5" s="36"/>
      <c r="D5" s="36"/>
      <c r="E5" s="36"/>
      <c r="F5" s="36"/>
      <c r="G5" s="36"/>
      <c r="H5" s="36"/>
      <c r="I5" s="36"/>
      <c r="J5" s="36"/>
      <c r="K5" s="36"/>
      <c r="L5" s="36"/>
      <c r="M5" s="36"/>
      <c r="N5" s="36"/>
      <c r="O5" s="36"/>
      <c r="P5" s="36"/>
      <c r="Q5" s="36"/>
      <c r="R5" s="519"/>
      <c r="S5" s="519"/>
      <c r="T5" s="519"/>
      <c r="U5" s="519"/>
      <c r="V5" s="519"/>
      <c r="W5" s="519"/>
      <c r="X5" s="519"/>
      <c r="Y5" s="519"/>
      <c r="Z5" s="519"/>
      <c r="AA5" s="519"/>
      <c r="AB5" s="519"/>
      <c r="AC5" s="519"/>
      <c r="AD5" s="519"/>
      <c r="AE5" s="519"/>
      <c r="AF5" s="519"/>
      <c r="AP5" s="45">
        <v>-631296</v>
      </c>
    </row>
    <row r="6" spans="1:42" x14ac:dyDescent="0.35">
      <c r="B6" s="35" t="s">
        <v>358</v>
      </c>
      <c r="C6" s="35"/>
      <c r="D6" s="35"/>
      <c r="E6" s="35"/>
      <c r="F6" s="35"/>
      <c r="G6" s="35"/>
      <c r="H6" s="35"/>
      <c r="I6" s="35"/>
      <c r="J6" s="35"/>
      <c r="K6" s="35"/>
      <c r="L6" s="35"/>
      <c r="M6" s="35"/>
      <c r="N6" s="35"/>
      <c r="O6" s="35"/>
      <c r="P6" s="35"/>
      <c r="Q6" s="35"/>
      <c r="R6" s="34">
        <v>45658</v>
      </c>
      <c r="S6" s="34">
        <v>45689</v>
      </c>
      <c r="T6" s="34">
        <v>45717</v>
      </c>
      <c r="U6" s="34">
        <v>45748</v>
      </c>
      <c r="V6" s="34">
        <v>45778</v>
      </c>
      <c r="W6" s="34">
        <v>45809</v>
      </c>
      <c r="X6" s="34">
        <v>45839</v>
      </c>
      <c r="Y6" s="34">
        <v>45870</v>
      </c>
      <c r="Z6" s="34">
        <v>45901</v>
      </c>
      <c r="AA6" s="34">
        <v>45931</v>
      </c>
      <c r="AB6" s="34">
        <v>45962</v>
      </c>
      <c r="AC6" s="34">
        <v>45992</v>
      </c>
      <c r="AD6" s="34">
        <v>46023</v>
      </c>
      <c r="AE6" s="34">
        <v>46054</v>
      </c>
      <c r="AF6" s="34">
        <v>46082</v>
      </c>
      <c r="AG6" s="34">
        <v>46113</v>
      </c>
      <c r="AH6" s="34">
        <v>46143</v>
      </c>
      <c r="AI6" s="34">
        <v>46174</v>
      </c>
      <c r="AJ6" s="34">
        <v>46204</v>
      </c>
      <c r="AK6" s="34">
        <v>46235</v>
      </c>
      <c r="AL6" s="34">
        <v>46266</v>
      </c>
      <c r="AM6" s="34">
        <v>46296</v>
      </c>
      <c r="AN6" s="34">
        <v>46327</v>
      </c>
      <c r="AO6" s="34">
        <v>46357</v>
      </c>
    </row>
    <row r="7" spans="1:42" x14ac:dyDescent="0.35">
      <c r="B7" s="35" t="s">
        <v>359</v>
      </c>
      <c r="C7" s="35"/>
      <c r="D7" s="35"/>
      <c r="E7" s="35"/>
      <c r="F7" s="35"/>
      <c r="G7" s="35"/>
      <c r="H7" s="35"/>
      <c r="I7" s="35"/>
      <c r="J7" s="35"/>
      <c r="K7" s="35"/>
      <c r="L7" s="35"/>
      <c r="M7" s="35"/>
      <c r="N7" s="35"/>
      <c r="O7" s="35"/>
      <c r="P7" s="35"/>
      <c r="Q7" s="35"/>
      <c r="R7" s="34">
        <v>45688</v>
      </c>
      <c r="S7" s="34">
        <v>45716</v>
      </c>
      <c r="T7" s="34">
        <v>45747</v>
      </c>
      <c r="U7" s="34">
        <v>45777</v>
      </c>
      <c r="V7" s="34">
        <v>45808</v>
      </c>
      <c r="W7" s="34">
        <v>45838</v>
      </c>
      <c r="X7" s="34">
        <v>45869</v>
      </c>
      <c r="Y7" s="34">
        <v>45900</v>
      </c>
      <c r="Z7" s="34">
        <v>45930</v>
      </c>
      <c r="AA7" s="34">
        <v>45961</v>
      </c>
      <c r="AB7" s="34">
        <v>45991</v>
      </c>
      <c r="AC7" s="34">
        <v>46022</v>
      </c>
      <c r="AD7" s="34">
        <v>46053</v>
      </c>
      <c r="AE7" s="34">
        <v>46081</v>
      </c>
      <c r="AF7" s="34">
        <v>46112</v>
      </c>
      <c r="AG7" s="34">
        <v>46142</v>
      </c>
      <c r="AH7" s="34">
        <v>46173</v>
      </c>
      <c r="AI7" s="34">
        <v>46203</v>
      </c>
      <c r="AJ7" s="34">
        <v>46234</v>
      </c>
      <c r="AK7" s="34">
        <v>46265</v>
      </c>
      <c r="AL7" s="34">
        <v>46295</v>
      </c>
      <c r="AM7" s="34">
        <v>46326</v>
      </c>
      <c r="AN7" s="34">
        <v>46356</v>
      </c>
      <c r="AO7" s="34">
        <v>46387</v>
      </c>
    </row>
    <row r="8" spans="1:42" x14ac:dyDescent="0.35">
      <c r="B8" s="32" t="s">
        <v>360</v>
      </c>
      <c r="C8" s="32"/>
      <c r="D8" s="32"/>
      <c r="E8" s="32"/>
      <c r="F8" s="32"/>
      <c r="G8" s="32"/>
      <c r="H8" s="32"/>
      <c r="I8" s="32"/>
      <c r="J8" s="32"/>
      <c r="K8" s="32"/>
      <c r="L8" s="32"/>
      <c r="M8" s="32"/>
      <c r="N8" s="32"/>
      <c r="O8" s="32"/>
      <c r="P8" s="32"/>
      <c r="Q8" s="32"/>
      <c r="R8" s="33">
        <v>2025</v>
      </c>
      <c r="S8" s="33">
        <v>2025</v>
      </c>
      <c r="T8" s="33">
        <v>2025</v>
      </c>
      <c r="U8" s="33">
        <v>2025</v>
      </c>
      <c r="V8" s="33">
        <v>2025</v>
      </c>
      <c r="W8" s="33">
        <v>2025</v>
      </c>
      <c r="X8" s="33">
        <v>2025</v>
      </c>
      <c r="Y8" s="33">
        <v>2025</v>
      </c>
      <c r="Z8" s="33">
        <v>2025</v>
      </c>
      <c r="AA8" s="33">
        <v>2025</v>
      </c>
      <c r="AB8" s="33">
        <v>2025</v>
      </c>
      <c r="AC8" s="33">
        <v>2025</v>
      </c>
      <c r="AD8" s="33">
        <v>2026</v>
      </c>
      <c r="AE8" s="33">
        <v>2026</v>
      </c>
      <c r="AF8" s="33">
        <v>2026</v>
      </c>
      <c r="AG8" s="33">
        <v>2026</v>
      </c>
      <c r="AH8" s="33">
        <v>2026</v>
      </c>
      <c r="AI8" s="33">
        <v>2026</v>
      </c>
      <c r="AJ8" s="33">
        <v>2026</v>
      </c>
      <c r="AK8" s="33">
        <v>2026</v>
      </c>
      <c r="AL8" s="33">
        <v>2026</v>
      </c>
      <c r="AM8" s="33">
        <v>2026</v>
      </c>
      <c r="AN8" s="33">
        <v>2026</v>
      </c>
      <c r="AO8" s="33">
        <v>2026</v>
      </c>
    </row>
    <row r="9" spans="1:42" x14ac:dyDescent="0.35">
      <c r="B9" s="32" t="s">
        <v>361</v>
      </c>
      <c r="C9" s="32"/>
      <c r="D9" s="32"/>
      <c r="E9" s="32"/>
      <c r="F9" s="32"/>
      <c r="G9" s="32"/>
      <c r="H9" s="32"/>
      <c r="I9" s="32"/>
      <c r="J9" s="32"/>
      <c r="K9" s="32"/>
      <c r="L9" s="32"/>
      <c r="M9" s="32"/>
      <c r="N9" s="32"/>
      <c r="O9" s="32"/>
      <c r="P9" s="32"/>
      <c r="Q9" s="32"/>
      <c r="R9" s="31" t="s">
        <v>7</v>
      </c>
      <c r="S9" s="31" t="s">
        <v>7</v>
      </c>
      <c r="T9" s="31" t="s">
        <v>7</v>
      </c>
      <c r="U9" s="31" t="s">
        <v>13</v>
      </c>
      <c r="V9" s="31" t="s">
        <v>13</v>
      </c>
      <c r="W9" s="31" t="s">
        <v>13</v>
      </c>
      <c r="X9" s="31" t="s">
        <v>20</v>
      </c>
      <c r="Y9" s="31" t="s">
        <v>20</v>
      </c>
      <c r="Z9" s="31" t="s">
        <v>20</v>
      </c>
      <c r="AA9" s="31" t="s">
        <v>26</v>
      </c>
      <c r="AB9" s="31" t="s">
        <v>26</v>
      </c>
      <c r="AC9" s="31" t="s">
        <v>26</v>
      </c>
      <c r="AD9" s="31" t="s">
        <v>7</v>
      </c>
      <c r="AE9" s="31" t="s">
        <v>7</v>
      </c>
      <c r="AF9" s="31" t="s">
        <v>7</v>
      </c>
      <c r="AG9" s="31" t="s">
        <v>13</v>
      </c>
      <c r="AH9" s="31" t="s">
        <v>13</v>
      </c>
      <c r="AI9" s="31" t="s">
        <v>13</v>
      </c>
      <c r="AJ9" s="31" t="s">
        <v>20</v>
      </c>
      <c r="AK9" s="31" t="s">
        <v>20</v>
      </c>
      <c r="AL9" s="31" t="s">
        <v>20</v>
      </c>
      <c r="AM9" s="31" t="s">
        <v>26</v>
      </c>
      <c r="AN9" s="31" t="s">
        <v>26</v>
      </c>
      <c r="AO9" s="31" t="s">
        <v>26</v>
      </c>
    </row>
    <row r="10" spans="1:42" x14ac:dyDescent="0.35">
      <c r="B10" s="32" t="s">
        <v>362</v>
      </c>
      <c r="C10" s="32"/>
      <c r="D10" s="32"/>
      <c r="E10" s="32"/>
      <c r="F10" s="32"/>
      <c r="G10" s="32"/>
      <c r="H10" s="32"/>
      <c r="I10" s="32"/>
      <c r="J10" s="32"/>
      <c r="K10" s="32"/>
      <c r="L10" s="32"/>
      <c r="M10" s="32"/>
      <c r="N10" s="32"/>
      <c r="O10" s="32"/>
      <c r="P10" s="32"/>
      <c r="Q10" s="32"/>
      <c r="R10" s="31" t="s">
        <v>362</v>
      </c>
      <c r="S10" s="31" t="s">
        <v>362</v>
      </c>
      <c r="T10" s="31" t="s">
        <v>362</v>
      </c>
      <c r="U10" s="31" t="s">
        <v>362</v>
      </c>
      <c r="V10" s="31" t="s">
        <v>362</v>
      </c>
      <c r="W10" s="31" t="s">
        <v>362</v>
      </c>
      <c r="X10" s="31" t="s">
        <v>362</v>
      </c>
      <c r="Y10" s="31" t="s">
        <v>362</v>
      </c>
      <c r="Z10" s="31" t="s">
        <v>362</v>
      </c>
      <c r="AA10" s="31" t="s">
        <v>362</v>
      </c>
      <c r="AB10" s="31" t="s">
        <v>362</v>
      </c>
      <c r="AC10" s="31" t="s">
        <v>362</v>
      </c>
      <c r="AD10" s="31" t="s">
        <v>362</v>
      </c>
      <c r="AE10" s="31" t="s">
        <v>362</v>
      </c>
      <c r="AF10" s="31" t="s">
        <v>362</v>
      </c>
      <c r="AG10" s="31" t="s">
        <v>362</v>
      </c>
      <c r="AH10" s="31"/>
      <c r="AI10" s="31"/>
      <c r="AJ10" s="31"/>
      <c r="AK10" s="31"/>
      <c r="AL10" s="31"/>
      <c r="AM10" s="31"/>
      <c r="AN10" s="31"/>
      <c r="AO10" s="31"/>
    </row>
    <row r="11" spans="1:42" x14ac:dyDescent="0.35">
      <c r="H11" s="27"/>
      <c r="I11" s="27"/>
      <c r="J11" s="27"/>
      <c r="K11" s="27"/>
      <c r="L11" s="27"/>
      <c r="M11" s="27"/>
      <c r="N11" s="27"/>
      <c r="O11" s="27"/>
      <c r="P11" s="27"/>
      <c r="Q11" s="27"/>
      <c r="AG11" s="44"/>
    </row>
    <row r="12" spans="1:42" x14ac:dyDescent="0.35">
      <c r="B12" s="30" t="s">
        <v>34</v>
      </c>
      <c r="C12" s="29" t="s">
        <v>35</v>
      </c>
      <c r="D12" s="29" t="s">
        <v>36</v>
      </c>
      <c r="E12" s="29" t="s">
        <v>37</v>
      </c>
      <c r="F12" s="173" t="s">
        <v>38</v>
      </c>
      <c r="G12" s="173" t="s">
        <v>39</v>
      </c>
      <c r="H12" s="29" t="s">
        <v>40</v>
      </c>
      <c r="I12" s="29" t="s">
        <v>41</v>
      </c>
      <c r="J12" s="29" t="s">
        <v>42</v>
      </c>
      <c r="K12" s="172" t="s">
        <v>363</v>
      </c>
      <c r="L12" s="172" t="s">
        <v>364</v>
      </c>
      <c r="M12" s="172" t="s">
        <v>365</v>
      </c>
      <c r="N12" s="172" t="s">
        <v>366</v>
      </c>
      <c r="O12" s="172" t="s">
        <v>367</v>
      </c>
      <c r="P12" s="172"/>
      <c r="Q12" s="30" t="s">
        <v>368</v>
      </c>
      <c r="R12" s="28">
        <v>45658</v>
      </c>
      <c r="S12" s="28">
        <v>45689</v>
      </c>
      <c r="T12" s="28">
        <v>45717</v>
      </c>
      <c r="U12" s="28">
        <v>45748</v>
      </c>
      <c r="V12" s="28">
        <v>45778</v>
      </c>
      <c r="W12" s="28">
        <v>45809</v>
      </c>
      <c r="X12" s="28">
        <v>45839</v>
      </c>
      <c r="Y12" s="28">
        <v>45870</v>
      </c>
      <c r="Z12" s="28">
        <v>45901</v>
      </c>
      <c r="AA12" s="28">
        <v>45931</v>
      </c>
      <c r="AB12" s="28">
        <v>45962</v>
      </c>
      <c r="AC12" s="28">
        <v>45992</v>
      </c>
      <c r="AD12" s="28">
        <v>46023</v>
      </c>
      <c r="AE12" s="28">
        <v>46054</v>
      </c>
      <c r="AF12" s="28">
        <v>46082</v>
      </c>
      <c r="AG12" s="28">
        <v>46113</v>
      </c>
      <c r="AH12" s="28">
        <v>46143</v>
      </c>
      <c r="AI12" s="28">
        <v>46174</v>
      </c>
      <c r="AJ12" s="28">
        <v>46204</v>
      </c>
      <c r="AK12" s="28">
        <v>46235</v>
      </c>
      <c r="AL12" s="28">
        <v>46266</v>
      </c>
      <c r="AM12" s="28">
        <v>46296</v>
      </c>
      <c r="AN12" s="28">
        <v>46327</v>
      </c>
      <c r="AO12" s="28">
        <v>46357</v>
      </c>
    </row>
    <row r="13" spans="1:42" outlineLevel="1" x14ac:dyDescent="0.35">
      <c r="B13" s="27" t="s">
        <v>1185</v>
      </c>
      <c r="C13" s="27" t="s">
        <v>51</v>
      </c>
      <c r="D13" s="27" t="s">
        <v>1764</v>
      </c>
      <c r="E13" s="27" t="s">
        <v>51</v>
      </c>
      <c r="F13" s="27" t="s">
        <v>369</v>
      </c>
      <c r="G13" s="27" t="s">
        <v>1366</v>
      </c>
      <c r="H13" s="27" t="s">
        <v>54</v>
      </c>
      <c r="I13" s="27" t="s">
        <v>55</v>
      </c>
      <c r="J13" s="27" t="s">
        <v>370</v>
      </c>
      <c r="K13" s="27" t="s">
        <v>371</v>
      </c>
      <c r="L13" s="27" t="s">
        <v>371</v>
      </c>
      <c r="M13" s="27" t="s">
        <v>371</v>
      </c>
      <c r="N13" s="27" t="s">
        <v>371</v>
      </c>
      <c r="O13" s="27" t="s">
        <v>371</v>
      </c>
      <c r="P13" s="27" t="s">
        <v>371</v>
      </c>
      <c r="Q13" s="27" t="s">
        <v>372</v>
      </c>
      <c r="R13" s="45">
        <v>20031.38</v>
      </c>
      <c r="S13" s="45">
        <v>21420.23</v>
      </c>
      <c r="T13" s="45">
        <v>22234.020000000019</v>
      </c>
      <c r="U13" s="45">
        <v>26807.430000000051</v>
      </c>
      <c r="V13" s="45">
        <v>66331.129999999888</v>
      </c>
      <c r="W13" s="45">
        <v>22588.75</v>
      </c>
      <c r="X13" s="45">
        <v>23381.08</v>
      </c>
      <c r="Y13" s="45">
        <v>27964.86</v>
      </c>
      <c r="Z13" s="45">
        <v>20825.670000000042</v>
      </c>
      <c r="AA13" s="45">
        <v>23424.05</v>
      </c>
      <c r="AB13" s="45">
        <v>28191.62</v>
      </c>
      <c r="AC13" s="45">
        <v>22993.18</v>
      </c>
      <c r="AD13" s="45">
        <v>22017.25</v>
      </c>
      <c r="AE13" s="45">
        <v>22615.11</v>
      </c>
      <c r="AF13" s="45">
        <v>20949.5</v>
      </c>
      <c r="AG13" s="45">
        <v>25559.23</v>
      </c>
      <c r="AH13" s="45"/>
      <c r="AI13" s="45"/>
      <c r="AJ13" s="45"/>
      <c r="AK13" s="45"/>
      <c r="AL13" s="45"/>
      <c r="AM13" s="45"/>
      <c r="AN13" s="45"/>
      <c r="AO13" s="45"/>
    </row>
    <row r="14" spans="1:42" outlineLevel="1" x14ac:dyDescent="0.35">
      <c r="B14" s="27" t="s">
        <v>1186</v>
      </c>
      <c r="C14" s="27" t="s">
        <v>51</v>
      </c>
      <c r="D14" s="27" t="s">
        <v>1765</v>
      </c>
      <c r="E14" s="27" t="s">
        <v>51</v>
      </c>
      <c r="F14" s="27" t="s">
        <v>369</v>
      </c>
      <c r="G14" s="27" t="s">
        <v>1367</v>
      </c>
      <c r="H14" s="27" t="s">
        <v>54</v>
      </c>
      <c r="I14" s="27" t="s">
        <v>55</v>
      </c>
      <c r="J14" s="27" t="s">
        <v>370</v>
      </c>
      <c r="K14" s="27" t="s">
        <v>371</v>
      </c>
      <c r="L14" s="27" t="s">
        <v>371</v>
      </c>
      <c r="M14" s="27" t="s">
        <v>371</v>
      </c>
      <c r="N14" s="27" t="s">
        <v>371</v>
      </c>
      <c r="O14" s="27" t="s">
        <v>371</v>
      </c>
      <c r="P14" s="27" t="s">
        <v>371</v>
      </c>
      <c r="Q14" s="27" t="s">
        <v>372</v>
      </c>
      <c r="R14" s="45">
        <v>526087.72</v>
      </c>
      <c r="S14" s="45">
        <v>293884.71000000002</v>
      </c>
      <c r="T14" s="45">
        <v>508032.10000000149</v>
      </c>
      <c r="U14" s="45">
        <v>34605.570000004023</v>
      </c>
      <c r="V14" s="45">
        <v>59376.679999999702</v>
      </c>
      <c r="W14" s="45">
        <v>41538.440000012517</v>
      </c>
      <c r="X14" s="45">
        <v>12757941.17</v>
      </c>
      <c r="Y14" s="45">
        <v>228982.2</v>
      </c>
      <c r="Z14" s="45">
        <v>2564835.9100000113</v>
      </c>
      <c r="AA14" s="45">
        <v>439539.16</v>
      </c>
      <c r="AB14" s="45">
        <v>37090.51</v>
      </c>
      <c r="AC14" s="45">
        <v>14635514.689999999</v>
      </c>
      <c r="AD14" s="45">
        <v>597273.38</v>
      </c>
      <c r="AE14" s="45">
        <v>461002.64</v>
      </c>
      <c r="AF14" s="45">
        <v>1468592.53</v>
      </c>
      <c r="AG14" s="45">
        <v>8637.42</v>
      </c>
      <c r="AH14" s="45"/>
      <c r="AI14" s="45"/>
      <c r="AJ14" s="45"/>
      <c r="AK14" s="45"/>
      <c r="AL14" s="45"/>
      <c r="AM14" s="45"/>
      <c r="AN14" s="45"/>
      <c r="AO14" s="45"/>
    </row>
    <row r="15" spans="1:42" outlineLevel="1" x14ac:dyDescent="0.35">
      <c r="B15" s="27" t="s">
        <v>373</v>
      </c>
      <c r="C15" s="27" t="s">
        <v>51</v>
      </c>
      <c r="D15" s="27" t="s">
        <v>1368</v>
      </c>
      <c r="E15" s="27" t="s">
        <v>51</v>
      </c>
      <c r="F15" s="27" t="s">
        <v>369</v>
      </c>
      <c r="G15" s="27" t="s">
        <v>374</v>
      </c>
      <c r="H15" s="27" t="s">
        <v>54</v>
      </c>
      <c r="I15" s="27" t="s">
        <v>55</v>
      </c>
      <c r="J15" s="27" t="s">
        <v>370</v>
      </c>
      <c r="K15" s="27" t="s">
        <v>371</v>
      </c>
      <c r="L15" s="27" t="s">
        <v>371</v>
      </c>
      <c r="M15" s="27" t="s">
        <v>371</v>
      </c>
      <c r="N15" s="27" t="s">
        <v>371</v>
      </c>
      <c r="O15" s="27" t="s">
        <v>371</v>
      </c>
      <c r="P15" s="27" t="s">
        <v>371</v>
      </c>
      <c r="Q15" s="27" t="s">
        <v>372</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c r="AI15" s="45"/>
      <c r="AJ15" s="45"/>
      <c r="AK15" s="45"/>
      <c r="AL15" s="45"/>
      <c r="AM15" s="45"/>
      <c r="AN15" s="45"/>
      <c r="AO15" s="45"/>
    </row>
    <row r="16" spans="1:42" outlineLevel="1" x14ac:dyDescent="0.35">
      <c r="B16" s="27" t="s">
        <v>375</v>
      </c>
      <c r="C16" s="27" t="s">
        <v>51</v>
      </c>
      <c r="D16" s="27" t="s">
        <v>1369</v>
      </c>
      <c r="E16" s="27" t="s">
        <v>51</v>
      </c>
      <c r="F16" s="27" t="s">
        <v>369</v>
      </c>
      <c r="G16" s="27" t="s">
        <v>376</v>
      </c>
      <c r="H16" s="27" t="s">
        <v>54</v>
      </c>
      <c r="I16" s="27" t="s">
        <v>55</v>
      </c>
      <c r="J16" s="27" t="s">
        <v>370</v>
      </c>
      <c r="K16" s="27" t="s">
        <v>371</v>
      </c>
      <c r="L16" s="27" t="s">
        <v>371</v>
      </c>
      <c r="M16" s="27" t="s">
        <v>371</v>
      </c>
      <c r="N16" s="27" t="s">
        <v>371</v>
      </c>
      <c r="O16" s="27" t="s">
        <v>371</v>
      </c>
      <c r="P16" s="27" t="s">
        <v>371</v>
      </c>
      <c r="Q16" s="27" t="s">
        <v>372</v>
      </c>
      <c r="R16" s="45">
        <v>1300000.04</v>
      </c>
      <c r="S16" s="45">
        <v>0.04</v>
      </c>
      <c r="T16" s="45">
        <v>1201013.8400000003</v>
      </c>
      <c r="U16" s="45">
        <v>100023.23999999929</v>
      </c>
      <c r="V16" s="45">
        <v>270079.01000000013</v>
      </c>
      <c r="W16" s="45">
        <v>250207.34000000032</v>
      </c>
      <c r="X16" s="45">
        <v>0</v>
      </c>
      <c r="Y16" s="45">
        <v>0</v>
      </c>
      <c r="Z16" s="45">
        <v>0</v>
      </c>
      <c r="AA16" s="45">
        <v>0</v>
      </c>
      <c r="AB16" s="45">
        <v>0</v>
      </c>
      <c r="AC16" s="45">
        <v>0</v>
      </c>
      <c r="AD16" s="45">
        <v>0</v>
      </c>
      <c r="AE16" s="45">
        <v>0</v>
      </c>
      <c r="AF16" s="45">
        <v>0</v>
      </c>
      <c r="AG16" s="45">
        <v>0</v>
      </c>
      <c r="AH16" s="45"/>
      <c r="AI16" s="45"/>
      <c r="AJ16" s="45"/>
      <c r="AK16" s="45"/>
      <c r="AL16" s="45"/>
      <c r="AM16" s="45"/>
      <c r="AN16" s="45"/>
      <c r="AO16" s="45"/>
    </row>
    <row r="17" spans="2:41" outlineLevel="1" x14ac:dyDescent="0.35">
      <c r="B17" s="27" t="s">
        <v>48</v>
      </c>
      <c r="C17" s="27" t="s">
        <v>51</v>
      </c>
      <c r="D17" s="27" t="s">
        <v>1370</v>
      </c>
      <c r="E17" s="27" t="s">
        <v>51</v>
      </c>
      <c r="F17" s="27" t="s">
        <v>377</v>
      </c>
      <c r="G17" s="27" t="s">
        <v>53</v>
      </c>
      <c r="H17" s="27" t="s">
        <v>54</v>
      </c>
      <c r="I17" s="27" t="s">
        <v>55</v>
      </c>
      <c r="J17" s="27" t="s">
        <v>56</v>
      </c>
      <c r="K17" s="27" t="s">
        <v>371</v>
      </c>
      <c r="L17" s="27" t="s">
        <v>371</v>
      </c>
      <c r="M17" s="27" t="s">
        <v>371</v>
      </c>
      <c r="N17" s="27" t="s">
        <v>371</v>
      </c>
      <c r="O17" s="27" t="s">
        <v>371</v>
      </c>
      <c r="P17" s="27" t="s">
        <v>371</v>
      </c>
      <c r="Q17" s="27" t="s">
        <v>372</v>
      </c>
      <c r="R17" s="45">
        <v>1541.37</v>
      </c>
      <c r="S17" s="45">
        <v>-66111.16</v>
      </c>
      <c r="T17" s="45">
        <v>-1132238.6100000003</v>
      </c>
      <c r="U17" s="45">
        <v>0</v>
      </c>
      <c r="V17" s="45">
        <v>0</v>
      </c>
      <c r="W17" s="45">
        <v>0</v>
      </c>
      <c r="X17" s="45">
        <v>0</v>
      </c>
      <c r="Y17" s="45">
        <v>0</v>
      </c>
      <c r="Z17" s="45">
        <v>0</v>
      </c>
      <c r="AA17" s="45">
        <v>0</v>
      </c>
      <c r="AB17" s="45">
        <v>0</v>
      </c>
      <c r="AC17" s="45">
        <v>0</v>
      </c>
      <c r="AD17" s="45">
        <v>0</v>
      </c>
      <c r="AE17" s="45">
        <v>0</v>
      </c>
      <c r="AF17" s="45">
        <v>0</v>
      </c>
      <c r="AG17" s="45">
        <v>0</v>
      </c>
      <c r="AH17" s="45"/>
      <c r="AI17" s="45"/>
      <c r="AJ17" s="45"/>
      <c r="AK17" s="45"/>
      <c r="AL17" s="45"/>
      <c r="AM17" s="45"/>
      <c r="AN17" s="45"/>
      <c r="AO17" s="45"/>
    </row>
    <row r="18" spans="2:41" outlineLevel="1" x14ac:dyDescent="0.35">
      <c r="B18" s="27" t="s">
        <v>1187</v>
      </c>
      <c r="C18" s="27" t="s">
        <v>51</v>
      </c>
      <c r="D18" s="27" t="s">
        <v>1766</v>
      </c>
      <c r="E18" s="27" t="s">
        <v>51</v>
      </c>
      <c r="F18" s="27" t="s">
        <v>377</v>
      </c>
      <c r="G18" s="27" t="s">
        <v>1371</v>
      </c>
      <c r="H18" s="27" t="s">
        <v>54</v>
      </c>
      <c r="I18" s="27" t="s">
        <v>55</v>
      </c>
      <c r="J18" s="27" t="s">
        <v>56</v>
      </c>
      <c r="K18" s="27" t="s">
        <v>371</v>
      </c>
      <c r="L18" s="27" t="s">
        <v>371</v>
      </c>
      <c r="M18" s="27" t="s">
        <v>371</v>
      </c>
      <c r="N18" s="27" t="s">
        <v>371</v>
      </c>
      <c r="O18" s="27" t="s">
        <v>371</v>
      </c>
      <c r="P18" s="27" t="s">
        <v>371</v>
      </c>
      <c r="Q18" s="27" t="s">
        <v>372</v>
      </c>
      <c r="R18" s="45">
        <v>5623755.79</v>
      </c>
      <c r="S18" s="45">
        <v>5625363.0599999996</v>
      </c>
      <c r="T18" s="45">
        <v>5623755.79</v>
      </c>
      <c r="U18" s="45">
        <v>5794985.8000000007</v>
      </c>
      <c r="V18" s="45">
        <v>7100654.5100000007</v>
      </c>
      <c r="W18" s="45">
        <v>6244661.620000001</v>
      </c>
      <c r="X18" s="45">
        <v>6426751.8500000006</v>
      </c>
      <c r="Y18" s="45">
        <v>6106871.4300000006</v>
      </c>
      <c r="Z18" s="45">
        <v>2292333.2299999995</v>
      </c>
      <c r="AA18" s="45">
        <v>3139705.1799999997</v>
      </c>
      <c r="AB18" s="45">
        <v>2099648.0200000005</v>
      </c>
      <c r="AC18" s="45">
        <v>2459412.9700000002</v>
      </c>
      <c r="AD18" s="45">
        <v>2608893.2199999993</v>
      </c>
      <c r="AE18" s="45">
        <v>5717142.459999999</v>
      </c>
      <c r="AF18" s="45">
        <v>5916840.8100000005</v>
      </c>
      <c r="AG18" s="45">
        <v>3586543.16</v>
      </c>
      <c r="AH18" s="45"/>
      <c r="AI18" s="45"/>
      <c r="AJ18" s="45"/>
      <c r="AK18" s="45"/>
      <c r="AL18" s="45"/>
      <c r="AM18" s="45"/>
      <c r="AN18" s="45"/>
      <c r="AO18" s="45"/>
    </row>
    <row r="19" spans="2:41" outlineLevel="1" x14ac:dyDescent="0.35">
      <c r="B19" s="27" t="s">
        <v>64</v>
      </c>
      <c r="C19" s="27" t="s">
        <v>51</v>
      </c>
      <c r="D19" s="27" t="s">
        <v>1372</v>
      </c>
      <c r="E19" s="27" t="s">
        <v>51</v>
      </c>
      <c r="F19" s="27" t="s">
        <v>377</v>
      </c>
      <c r="G19" s="27" t="s">
        <v>66</v>
      </c>
      <c r="H19" s="27" t="s">
        <v>54</v>
      </c>
      <c r="I19" s="27" t="s">
        <v>55</v>
      </c>
      <c r="J19" s="27" t="s">
        <v>56</v>
      </c>
      <c r="K19" s="27" t="s">
        <v>371</v>
      </c>
      <c r="L19" s="27" t="s">
        <v>371</v>
      </c>
      <c r="M19" s="27" t="s">
        <v>371</v>
      </c>
      <c r="N19" s="27" t="s">
        <v>371</v>
      </c>
      <c r="O19" s="27" t="s">
        <v>371</v>
      </c>
      <c r="P19" s="27" t="s">
        <v>371</v>
      </c>
      <c r="Q19" s="27" t="s">
        <v>372</v>
      </c>
      <c r="R19" s="45">
        <v>0</v>
      </c>
      <c r="S19" s="45">
        <v>0</v>
      </c>
      <c r="T19" s="45">
        <v>0</v>
      </c>
      <c r="U19" s="45">
        <v>0</v>
      </c>
      <c r="V19" s="45">
        <v>0</v>
      </c>
      <c r="W19" s="45">
        <v>0</v>
      </c>
      <c r="X19" s="45">
        <v>0</v>
      </c>
      <c r="Y19" s="45">
        <v>0</v>
      </c>
      <c r="Z19" s="45">
        <v>0</v>
      </c>
      <c r="AA19" s="45">
        <v>0</v>
      </c>
      <c r="AB19" s="45">
        <v>0</v>
      </c>
      <c r="AC19" s="45">
        <v>0</v>
      </c>
      <c r="AD19" s="45">
        <v>0</v>
      </c>
      <c r="AE19" s="45">
        <v>0</v>
      </c>
      <c r="AF19" s="45">
        <v>0</v>
      </c>
      <c r="AG19" s="45">
        <v>0</v>
      </c>
      <c r="AH19" s="45"/>
      <c r="AI19" s="45"/>
      <c r="AJ19" s="45"/>
      <c r="AK19" s="45"/>
      <c r="AL19" s="45"/>
      <c r="AM19" s="45"/>
      <c r="AN19" s="45"/>
      <c r="AO19" s="45"/>
    </row>
    <row r="20" spans="2:41" outlineLevel="1" x14ac:dyDescent="0.35">
      <c r="B20" s="27" t="s">
        <v>67</v>
      </c>
      <c r="C20" s="27" t="s">
        <v>51</v>
      </c>
      <c r="D20" s="27" t="s">
        <v>1373</v>
      </c>
      <c r="E20" s="27" t="s">
        <v>51</v>
      </c>
      <c r="F20" s="27" t="s">
        <v>377</v>
      </c>
      <c r="G20" s="27" t="s">
        <v>69</v>
      </c>
      <c r="H20" s="27" t="s">
        <v>54</v>
      </c>
      <c r="I20" s="27" t="s">
        <v>55</v>
      </c>
      <c r="J20" s="27" t="s">
        <v>56</v>
      </c>
      <c r="K20" s="27" t="s">
        <v>371</v>
      </c>
      <c r="L20" s="27" t="s">
        <v>371</v>
      </c>
      <c r="M20" s="27" t="s">
        <v>371</v>
      </c>
      <c r="N20" s="27" t="s">
        <v>371</v>
      </c>
      <c r="O20" s="27" t="s">
        <v>371</v>
      </c>
      <c r="P20" s="27" t="s">
        <v>371</v>
      </c>
      <c r="Q20" s="27" t="s">
        <v>372</v>
      </c>
      <c r="R20" s="45">
        <v>0</v>
      </c>
      <c r="S20" s="45">
        <v>0</v>
      </c>
      <c r="T20" s="45">
        <v>0</v>
      </c>
      <c r="U20" s="45">
        <v>0</v>
      </c>
      <c r="V20" s="45">
        <v>0</v>
      </c>
      <c r="W20" s="45">
        <v>0</v>
      </c>
      <c r="X20" s="45">
        <v>0</v>
      </c>
      <c r="Y20" s="45">
        <v>0</v>
      </c>
      <c r="Z20" s="45">
        <v>0</v>
      </c>
      <c r="AA20" s="45">
        <v>0</v>
      </c>
      <c r="AB20" s="45">
        <v>0</v>
      </c>
      <c r="AC20" s="45">
        <v>0</v>
      </c>
      <c r="AD20" s="45">
        <v>0</v>
      </c>
      <c r="AE20" s="45">
        <v>0</v>
      </c>
      <c r="AF20" s="45">
        <v>0</v>
      </c>
      <c r="AG20" s="45">
        <v>0</v>
      </c>
      <c r="AH20" s="45"/>
      <c r="AI20" s="45"/>
      <c r="AJ20" s="45"/>
      <c r="AK20" s="45"/>
      <c r="AL20" s="45"/>
      <c r="AM20" s="45"/>
      <c r="AN20" s="45"/>
      <c r="AO20" s="45"/>
    </row>
    <row r="21" spans="2:41" outlineLevel="1" x14ac:dyDescent="0.35">
      <c r="B21" s="27" t="s">
        <v>70</v>
      </c>
      <c r="C21" s="27" t="s">
        <v>51</v>
      </c>
      <c r="D21" s="27" t="s">
        <v>1374</v>
      </c>
      <c r="E21" s="27" t="s">
        <v>51</v>
      </c>
      <c r="F21" s="27" t="s">
        <v>377</v>
      </c>
      <c r="G21" s="27" t="s">
        <v>72</v>
      </c>
      <c r="H21" s="27" t="s">
        <v>54</v>
      </c>
      <c r="I21" s="27" t="s">
        <v>55</v>
      </c>
      <c r="J21" s="27" t="s">
        <v>56</v>
      </c>
      <c r="K21" s="27" t="s">
        <v>371</v>
      </c>
      <c r="L21" s="27" t="s">
        <v>371</v>
      </c>
      <c r="M21" s="27" t="s">
        <v>371</v>
      </c>
      <c r="N21" s="27" t="s">
        <v>371</v>
      </c>
      <c r="O21" s="27" t="s">
        <v>371</v>
      </c>
      <c r="P21" s="27" t="s">
        <v>371</v>
      </c>
      <c r="Q21" s="27" t="s">
        <v>372</v>
      </c>
      <c r="R21" s="45">
        <v>0</v>
      </c>
      <c r="S21" s="45">
        <v>0</v>
      </c>
      <c r="T21" s="45">
        <v>0</v>
      </c>
      <c r="U21" s="45">
        <v>0</v>
      </c>
      <c r="V21" s="45">
        <v>0</v>
      </c>
      <c r="W21" s="45">
        <v>0</v>
      </c>
      <c r="X21" s="45">
        <v>0</v>
      </c>
      <c r="Y21" s="45">
        <v>0</v>
      </c>
      <c r="Z21" s="45">
        <v>0</v>
      </c>
      <c r="AA21" s="45">
        <v>0</v>
      </c>
      <c r="AB21" s="45">
        <v>0</v>
      </c>
      <c r="AC21" s="45">
        <v>0</v>
      </c>
      <c r="AD21" s="45">
        <v>0</v>
      </c>
      <c r="AE21" s="45">
        <v>0</v>
      </c>
      <c r="AF21" s="45">
        <v>0</v>
      </c>
      <c r="AG21" s="45">
        <v>0</v>
      </c>
      <c r="AH21" s="45"/>
      <c r="AI21" s="45"/>
      <c r="AJ21" s="45"/>
      <c r="AK21" s="45"/>
      <c r="AL21" s="45"/>
      <c r="AM21" s="45"/>
      <c r="AN21" s="45"/>
      <c r="AO21" s="45"/>
    </row>
    <row r="22" spans="2:41" outlineLevel="1" x14ac:dyDescent="0.35">
      <c r="B22" s="27" t="s">
        <v>73</v>
      </c>
      <c r="C22" s="27" t="s">
        <v>51</v>
      </c>
      <c r="D22" s="27" t="s">
        <v>1375</v>
      </c>
      <c r="E22" s="27" t="s">
        <v>51</v>
      </c>
      <c r="F22" s="27" t="s">
        <v>377</v>
      </c>
      <c r="G22" s="27" t="s">
        <v>75</v>
      </c>
      <c r="H22" s="27" t="s">
        <v>54</v>
      </c>
      <c r="I22" s="27" t="s">
        <v>55</v>
      </c>
      <c r="J22" s="27" t="s">
        <v>56</v>
      </c>
      <c r="K22" s="27" t="s">
        <v>371</v>
      </c>
      <c r="L22" s="27" t="s">
        <v>371</v>
      </c>
      <c r="M22" s="27" t="s">
        <v>371</v>
      </c>
      <c r="N22" s="27" t="s">
        <v>371</v>
      </c>
      <c r="O22" s="27" t="s">
        <v>371</v>
      </c>
      <c r="P22" s="27" t="s">
        <v>371</v>
      </c>
      <c r="Q22" s="27" t="s">
        <v>372</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c r="AI22" s="45"/>
      <c r="AJ22" s="45"/>
      <c r="AK22" s="45"/>
      <c r="AL22" s="45"/>
      <c r="AM22" s="45"/>
      <c r="AN22" s="45"/>
      <c r="AO22" s="45"/>
    </row>
    <row r="23" spans="2:41" outlineLevel="1" x14ac:dyDescent="0.35">
      <c r="B23" s="27" t="s">
        <v>76</v>
      </c>
      <c r="C23" s="27" t="s">
        <v>51</v>
      </c>
      <c r="D23" s="27" t="s">
        <v>1376</v>
      </c>
      <c r="E23" s="27" t="s">
        <v>51</v>
      </c>
      <c r="F23" s="27" t="s">
        <v>377</v>
      </c>
      <c r="G23" s="27" t="s">
        <v>78</v>
      </c>
      <c r="H23" s="27" t="s">
        <v>54</v>
      </c>
      <c r="I23" s="27" t="s">
        <v>55</v>
      </c>
      <c r="J23" s="27" t="s">
        <v>56</v>
      </c>
      <c r="K23" s="27" t="s">
        <v>371</v>
      </c>
      <c r="L23" s="27" t="s">
        <v>371</v>
      </c>
      <c r="M23" s="27" t="s">
        <v>371</v>
      </c>
      <c r="N23" s="27" t="s">
        <v>371</v>
      </c>
      <c r="O23" s="27" t="s">
        <v>371</v>
      </c>
      <c r="P23" s="27" t="s">
        <v>371</v>
      </c>
      <c r="Q23" s="27" t="s">
        <v>372</v>
      </c>
      <c r="R23" s="45">
        <v>0</v>
      </c>
      <c r="S23" s="45">
        <v>0</v>
      </c>
      <c r="T23" s="45">
        <v>0</v>
      </c>
      <c r="U23" s="45">
        <v>0</v>
      </c>
      <c r="V23" s="45">
        <v>0</v>
      </c>
      <c r="W23" s="45">
        <v>0</v>
      </c>
      <c r="X23" s="45">
        <v>0</v>
      </c>
      <c r="Y23" s="45">
        <v>0</v>
      </c>
      <c r="Z23" s="45">
        <v>0</v>
      </c>
      <c r="AA23" s="45">
        <v>0</v>
      </c>
      <c r="AB23" s="45">
        <v>0</v>
      </c>
      <c r="AC23" s="45">
        <v>0</v>
      </c>
      <c r="AD23" s="45">
        <v>0</v>
      </c>
      <c r="AE23" s="45">
        <v>0</v>
      </c>
      <c r="AF23" s="45">
        <v>0</v>
      </c>
      <c r="AG23" s="45">
        <v>0</v>
      </c>
      <c r="AH23" s="45"/>
      <c r="AI23" s="45"/>
      <c r="AJ23" s="45"/>
      <c r="AK23" s="45"/>
      <c r="AL23" s="45"/>
      <c r="AM23" s="45"/>
      <c r="AN23" s="45"/>
      <c r="AO23" s="45"/>
    </row>
    <row r="24" spans="2:41" outlineLevel="1" x14ac:dyDescent="0.35">
      <c r="B24" s="27" t="s">
        <v>82</v>
      </c>
      <c r="C24" s="27" t="s">
        <v>51</v>
      </c>
      <c r="D24" s="27" t="s">
        <v>1377</v>
      </c>
      <c r="E24" s="27" t="s">
        <v>51</v>
      </c>
      <c r="F24" s="27" t="s">
        <v>377</v>
      </c>
      <c r="G24" s="27" t="s">
        <v>84</v>
      </c>
      <c r="H24" s="27" t="s">
        <v>54</v>
      </c>
      <c r="I24" s="27" t="s">
        <v>55</v>
      </c>
      <c r="J24" s="27" t="s">
        <v>56</v>
      </c>
      <c r="K24" s="27" t="s">
        <v>371</v>
      </c>
      <c r="L24" s="27" t="s">
        <v>371</v>
      </c>
      <c r="M24" s="27" t="s">
        <v>371</v>
      </c>
      <c r="N24" s="27" t="s">
        <v>371</v>
      </c>
      <c r="O24" s="27" t="s">
        <v>371</v>
      </c>
      <c r="P24" s="27" t="s">
        <v>371</v>
      </c>
      <c r="Q24" s="27" t="s">
        <v>372</v>
      </c>
      <c r="R24" s="45">
        <v>692427.19</v>
      </c>
      <c r="S24" s="45">
        <v>692427.19</v>
      </c>
      <c r="T24" s="45">
        <v>692427.19</v>
      </c>
      <c r="U24" s="45">
        <v>692427.19</v>
      </c>
      <c r="V24" s="45">
        <v>-0.01</v>
      </c>
      <c r="W24" s="45">
        <v>0</v>
      </c>
      <c r="X24" s="45">
        <v>0</v>
      </c>
      <c r="Y24" s="45">
        <v>0</v>
      </c>
      <c r="Z24" s="45">
        <v>0</v>
      </c>
      <c r="AA24" s="45">
        <v>0</v>
      </c>
      <c r="AB24" s="45">
        <v>0</v>
      </c>
      <c r="AC24" s="45">
        <v>0</v>
      </c>
      <c r="AD24" s="45">
        <v>0</v>
      </c>
      <c r="AE24" s="45">
        <v>0</v>
      </c>
      <c r="AF24" s="45">
        <v>0</v>
      </c>
      <c r="AG24" s="45">
        <v>0</v>
      </c>
      <c r="AH24" s="45"/>
      <c r="AI24" s="45"/>
      <c r="AJ24" s="45"/>
      <c r="AK24" s="45"/>
      <c r="AL24" s="45"/>
      <c r="AM24" s="45"/>
      <c r="AN24" s="45"/>
      <c r="AO24" s="45"/>
    </row>
    <row r="25" spans="2:41" outlineLevel="1" x14ac:dyDescent="0.35">
      <c r="B25" s="27" t="s">
        <v>1188</v>
      </c>
      <c r="C25" s="27" t="s">
        <v>51</v>
      </c>
      <c r="D25" s="27" t="s">
        <v>1767</v>
      </c>
      <c r="E25" s="27" t="s">
        <v>51</v>
      </c>
      <c r="F25" s="27" t="s">
        <v>63</v>
      </c>
      <c r="G25" s="27" t="s">
        <v>1378</v>
      </c>
      <c r="H25" s="27" t="s">
        <v>54</v>
      </c>
      <c r="I25" s="27" t="s">
        <v>55</v>
      </c>
      <c r="J25" s="27" t="s">
        <v>89</v>
      </c>
      <c r="K25" s="27" t="s">
        <v>371</v>
      </c>
      <c r="L25" s="27" t="s">
        <v>371</v>
      </c>
      <c r="M25" s="27" t="s">
        <v>371</v>
      </c>
      <c r="N25" s="27" t="s">
        <v>371</v>
      </c>
      <c r="O25" s="27" t="s">
        <v>371</v>
      </c>
      <c r="P25" s="27" t="s">
        <v>371</v>
      </c>
      <c r="Q25" s="27" t="s">
        <v>372</v>
      </c>
      <c r="R25" s="45">
        <v>1488820.06</v>
      </c>
      <c r="S25" s="45">
        <v>2.73</v>
      </c>
      <c r="T25" s="45">
        <v>0</v>
      </c>
      <c r="U25" s="45">
        <v>2.7699999995529652</v>
      </c>
      <c r="V25" s="45">
        <v>882814.1099999994</v>
      </c>
      <c r="W25" s="45">
        <v>5699087.5800000001</v>
      </c>
      <c r="X25" s="45">
        <v>5546057</v>
      </c>
      <c r="Y25" s="45">
        <v>14921957.510000002</v>
      </c>
      <c r="Z25" s="45">
        <v>28154999.909999996</v>
      </c>
      <c r="AA25" s="45">
        <v>25159415.609999999</v>
      </c>
      <c r="AB25" s="45">
        <v>30897634.800000001</v>
      </c>
      <c r="AC25" s="45">
        <v>17710571.77</v>
      </c>
      <c r="AD25" s="45">
        <v>24525109.440000001</v>
      </c>
      <c r="AE25" s="45">
        <v>18113805.369999997</v>
      </c>
      <c r="AF25" s="45">
        <v>21948867.740000002</v>
      </c>
      <c r="AG25" s="45">
        <v>23021362.25</v>
      </c>
      <c r="AH25" s="45"/>
      <c r="AI25" s="45"/>
      <c r="AJ25" s="45"/>
      <c r="AK25" s="45"/>
      <c r="AL25" s="45"/>
      <c r="AM25" s="45"/>
      <c r="AN25" s="45"/>
      <c r="AO25" s="45"/>
    </row>
    <row r="26" spans="2:41" outlineLevel="1" x14ac:dyDescent="0.35">
      <c r="B26" s="27" t="s">
        <v>91</v>
      </c>
      <c r="C26" s="27" t="s">
        <v>51</v>
      </c>
      <c r="D26" s="27" t="s">
        <v>1379</v>
      </c>
      <c r="E26" s="27" t="s">
        <v>51</v>
      </c>
      <c r="F26" s="27" t="s">
        <v>63</v>
      </c>
      <c r="G26" s="27" t="s">
        <v>93</v>
      </c>
      <c r="H26" s="27" t="s">
        <v>54</v>
      </c>
      <c r="I26" s="27" t="s">
        <v>55</v>
      </c>
      <c r="J26" s="27" t="s">
        <v>89</v>
      </c>
      <c r="K26" s="27" t="s">
        <v>371</v>
      </c>
      <c r="L26" s="27" t="s">
        <v>371</v>
      </c>
      <c r="M26" s="27" t="s">
        <v>371</v>
      </c>
      <c r="N26" s="27" t="s">
        <v>371</v>
      </c>
      <c r="O26" s="27" t="s">
        <v>371</v>
      </c>
      <c r="P26" s="27" t="s">
        <v>371</v>
      </c>
      <c r="Q26" s="27" t="s">
        <v>372</v>
      </c>
      <c r="R26" s="45">
        <v>1677534.03</v>
      </c>
      <c r="S26" s="45">
        <v>1577534.03</v>
      </c>
      <c r="T26" s="45">
        <v>1581768.03</v>
      </c>
      <c r="U26" s="45">
        <v>0</v>
      </c>
      <c r="V26" s="45">
        <v>0</v>
      </c>
      <c r="W26" s="45">
        <v>0</v>
      </c>
      <c r="X26" s="45">
        <v>0</v>
      </c>
      <c r="Y26" s="45">
        <v>0</v>
      </c>
      <c r="Z26" s="45">
        <v>0</v>
      </c>
      <c r="AA26" s="45">
        <v>0</v>
      </c>
      <c r="AB26" s="45">
        <v>0</v>
      </c>
      <c r="AC26" s="45">
        <v>0</v>
      </c>
      <c r="AD26" s="45">
        <v>0</v>
      </c>
      <c r="AE26" s="45">
        <v>0</v>
      </c>
      <c r="AF26" s="45">
        <v>0</v>
      </c>
      <c r="AG26" s="45">
        <v>0</v>
      </c>
      <c r="AH26" s="45"/>
      <c r="AI26" s="45"/>
      <c r="AJ26" s="45"/>
      <c r="AK26" s="45"/>
      <c r="AL26" s="45"/>
      <c r="AM26" s="45"/>
      <c r="AN26" s="45"/>
      <c r="AO26" s="45"/>
    </row>
    <row r="27" spans="2:41" outlineLevel="1" x14ac:dyDescent="0.35">
      <c r="B27" s="27" t="s">
        <v>95</v>
      </c>
      <c r="C27" s="27" t="s">
        <v>51</v>
      </c>
      <c r="D27" s="27" t="s">
        <v>1380</v>
      </c>
      <c r="E27" s="27" t="s">
        <v>51</v>
      </c>
      <c r="F27" s="27" t="s">
        <v>63</v>
      </c>
      <c r="G27" s="27" t="s">
        <v>97</v>
      </c>
      <c r="H27" s="27" t="s">
        <v>54</v>
      </c>
      <c r="I27" s="27" t="s">
        <v>55</v>
      </c>
      <c r="J27" s="27" t="s">
        <v>89</v>
      </c>
      <c r="K27" s="27" t="s">
        <v>371</v>
      </c>
      <c r="L27" s="27" t="s">
        <v>371</v>
      </c>
      <c r="M27" s="27" t="s">
        <v>371</v>
      </c>
      <c r="N27" s="27" t="s">
        <v>371</v>
      </c>
      <c r="O27" s="27" t="s">
        <v>371</v>
      </c>
      <c r="P27" s="27" t="s">
        <v>371</v>
      </c>
      <c r="Q27" s="27" t="s">
        <v>372</v>
      </c>
      <c r="R27" s="45">
        <v>0</v>
      </c>
      <c r="S27" s="45">
        <v>0</v>
      </c>
      <c r="T27" s="45">
        <v>0</v>
      </c>
      <c r="U27" s="45">
        <v>0</v>
      </c>
      <c r="V27" s="45">
        <v>0</v>
      </c>
      <c r="W27" s="45">
        <v>0</v>
      </c>
      <c r="X27" s="45">
        <v>0</v>
      </c>
      <c r="Y27" s="45">
        <v>0</v>
      </c>
      <c r="Z27" s="45">
        <v>0</v>
      </c>
      <c r="AA27" s="45">
        <v>0</v>
      </c>
      <c r="AB27" s="45">
        <v>0</v>
      </c>
      <c r="AC27" s="45">
        <v>0</v>
      </c>
      <c r="AD27" s="45">
        <v>0</v>
      </c>
      <c r="AE27" s="45">
        <v>0</v>
      </c>
      <c r="AF27" s="45">
        <v>0</v>
      </c>
      <c r="AG27" s="45">
        <v>0</v>
      </c>
      <c r="AH27" s="45"/>
      <c r="AI27" s="45"/>
      <c r="AJ27" s="45"/>
      <c r="AK27" s="45"/>
      <c r="AL27" s="45"/>
      <c r="AM27" s="45"/>
      <c r="AN27" s="45"/>
      <c r="AO27" s="45"/>
    </row>
    <row r="28" spans="2:41" outlineLevel="1" x14ac:dyDescent="0.35">
      <c r="B28" s="27" t="s">
        <v>98</v>
      </c>
      <c r="C28" s="27" t="s">
        <v>51</v>
      </c>
      <c r="D28" s="27" t="s">
        <v>1381</v>
      </c>
      <c r="E28" s="27" t="s">
        <v>51</v>
      </c>
      <c r="F28" s="27" t="s">
        <v>85</v>
      </c>
      <c r="G28" s="27" t="s">
        <v>100</v>
      </c>
      <c r="H28" s="27" t="s">
        <v>54</v>
      </c>
      <c r="I28" s="27" t="s">
        <v>55</v>
      </c>
      <c r="J28" s="27" t="s">
        <v>101</v>
      </c>
      <c r="K28" s="27" t="s">
        <v>371</v>
      </c>
      <c r="L28" s="27" t="s">
        <v>371</v>
      </c>
      <c r="M28" s="27" t="s">
        <v>371</v>
      </c>
      <c r="N28" s="27" t="s">
        <v>371</v>
      </c>
      <c r="O28" s="27" t="s">
        <v>371</v>
      </c>
      <c r="P28" s="27" t="s">
        <v>371</v>
      </c>
      <c r="Q28" s="27" t="s">
        <v>372</v>
      </c>
      <c r="R28" s="45">
        <v>195644.95</v>
      </c>
      <c r="S28" s="45">
        <v>171189.33</v>
      </c>
      <c r="T28" s="45">
        <v>146733.71</v>
      </c>
      <c r="U28" s="45">
        <v>122278.09</v>
      </c>
      <c r="V28" s="45">
        <v>97822.47</v>
      </c>
      <c r="W28" s="45">
        <v>73366.850000000006</v>
      </c>
      <c r="X28" s="45">
        <v>48911.23</v>
      </c>
      <c r="Y28" s="45">
        <v>24455.61</v>
      </c>
      <c r="Z28" s="45">
        <v>-9.9999999983992893E-3</v>
      </c>
      <c r="AA28" s="45">
        <v>-0.01</v>
      </c>
      <c r="AB28" s="45">
        <v>0</v>
      </c>
      <c r="AC28" s="45">
        <v>0</v>
      </c>
      <c r="AD28" s="45">
        <v>0</v>
      </c>
      <c r="AE28" s="45">
        <v>0</v>
      </c>
      <c r="AF28" s="45">
        <v>0</v>
      </c>
      <c r="AG28" s="45">
        <v>0</v>
      </c>
      <c r="AH28" s="45"/>
      <c r="AI28" s="45"/>
      <c r="AJ28" s="45"/>
      <c r="AK28" s="45"/>
      <c r="AL28" s="45"/>
      <c r="AM28" s="45"/>
      <c r="AN28" s="45"/>
      <c r="AO28" s="45"/>
    </row>
    <row r="29" spans="2:41" outlineLevel="1" x14ac:dyDescent="0.35">
      <c r="B29" s="27" t="s">
        <v>103</v>
      </c>
      <c r="C29" s="27" t="s">
        <v>51</v>
      </c>
      <c r="D29" s="27" t="s">
        <v>1382</v>
      </c>
      <c r="E29" s="27" t="s">
        <v>51</v>
      </c>
      <c r="F29" s="27" t="s">
        <v>85</v>
      </c>
      <c r="G29" s="27" t="s">
        <v>105</v>
      </c>
      <c r="H29" s="27" t="s">
        <v>54</v>
      </c>
      <c r="I29" s="27" t="s">
        <v>55</v>
      </c>
      <c r="J29" s="27" t="s">
        <v>101</v>
      </c>
      <c r="K29" s="27" t="s">
        <v>371</v>
      </c>
      <c r="L29" s="27" t="s">
        <v>371</v>
      </c>
      <c r="M29" s="27" t="s">
        <v>371</v>
      </c>
      <c r="N29" s="27" t="s">
        <v>371</v>
      </c>
      <c r="O29" s="27" t="s">
        <v>371</v>
      </c>
      <c r="P29" s="27" t="s">
        <v>371</v>
      </c>
      <c r="Q29" s="27" t="s">
        <v>372</v>
      </c>
      <c r="R29" s="45">
        <v>0</v>
      </c>
      <c r="S29" s="45">
        <v>0</v>
      </c>
      <c r="T29" s="45">
        <v>0</v>
      </c>
      <c r="U29" s="45">
        <v>0</v>
      </c>
      <c r="V29" s="45">
        <v>0</v>
      </c>
      <c r="W29" s="45">
        <v>0</v>
      </c>
      <c r="X29" s="45">
        <v>0</v>
      </c>
      <c r="Y29" s="45">
        <v>0</v>
      </c>
      <c r="Z29" s="45">
        <v>0</v>
      </c>
      <c r="AA29" s="45">
        <v>0</v>
      </c>
      <c r="AB29" s="45">
        <v>0</v>
      </c>
      <c r="AC29" s="45">
        <v>0</v>
      </c>
      <c r="AD29" s="45">
        <v>0</v>
      </c>
      <c r="AE29" s="45">
        <v>0</v>
      </c>
      <c r="AF29" s="45">
        <v>0</v>
      </c>
      <c r="AG29" s="45">
        <v>0</v>
      </c>
      <c r="AH29" s="45"/>
      <c r="AI29" s="45"/>
      <c r="AJ29" s="45"/>
      <c r="AK29" s="45"/>
      <c r="AL29" s="45"/>
      <c r="AM29" s="45"/>
      <c r="AN29" s="45"/>
      <c r="AO29" s="45"/>
    </row>
    <row r="30" spans="2:41" outlineLevel="1" x14ac:dyDescent="0.35">
      <c r="B30" s="27" t="s">
        <v>1189</v>
      </c>
      <c r="C30" s="27" t="s">
        <v>51</v>
      </c>
      <c r="D30" s="27" t="s">
        <v>1768</v>
      </c>
      <c r="E30" s="27" t="s">
        <v>51</v>
      </c>
      <c r="F30" s="27" t="s">
        <v>378</v>
      </c>
      <c r="G30" s="27" t="s">
        <v>1383</v>
      </c>
      <c r="H30" s="27" t="s">
        <v>54</v>
      </c>
      <c r="I30" s="27" t="s">
        <v>55</v>
      </c>
      <c r="J30" s="27" t="s">
        <v>379</v>
      </c>
      <c r="K30" s="27" t="s">
        <v>371</v>
      </c>
      <c r="L30" s="27" t="s">
        <v>371</v>
      </c>
      <c r="M30" s="27" t="s">
        <v>371</v>
      </c>
      <c r="N30" s="27" t="s">
        <v>371</v>
      </c>
      <c r="O30" s="27" t="s">
        <v>371</v>
      </c>
      <c r="P30" s="27" t="s">
        <v>371</v>
      </c>
      <c r="Q30" s="27" t="s">
        <v>372</v>
      </c>
      <c r="R30" s="45">
        <v>17659561.780000001</v>
      </c>
      <c r="S30" s="45">
        <v>18601338.75</v>
      </c>
      <c r="T30" s="45">
        <v>18601338.75</v>
      </c>
      <c r="U30" s="45">
        <v>22137153.100000001</v>
      </c>
      <c r="V30" s="45">
        <v>26114838.290000003</v>
      </c>
      <c r="W30" s="45">
        <v>26114838.289999999</v>
      </c>
      <c r="X30" s="45">
        <v>40818103.619999997</v>
      </c>
      <c r="Y30" s="45">
        <v>44005861.520000003</v>
      </c>
      <c r="Z30" s="45">
        <v>50333054.410000004</v>
      </c>
      <c r="AA30" s="45">
        <v>58252367.590000004</v>
      </c>
      <c r="AB30" s="45">
        <v>64407173.82</v>
      </c>
      <c r="AC30" s="45">
        <v>67839711.689999998</v>
      </c>
      <c r="AD30" s="45">
        <v>71673267.959999993</v>
      </c>
      <c r="AE30" s="45">
        <v>76312957.540000007</v>
      </c>
      <c r="AF30" s="45">
        <v>84084058.579999998</v>
      </c>
      <c r="AG30" s="45">
        <v>89276677.829999998</v>
      </c>
      <c r="AH30" s="45"/>
      <c r="AI30" s="45"/>
      <c r="AJ30" s="45"/>
      <c r="AK30" s="45"/>
      <c r="AL30" s="45"/>
      <c r="AM30" s="45"/>
      <c r="AN30" s="45"/>
      <c r="AO30" s="45"/>
    </row>
    <row r="31" spans="2:41" outlineLevel="1" x14ac:dyDescent="0.35">
      <c r="B31" s="27" t="s">
        <v>1190</v>
      </c>
      <c r="C31" s="27" t="s">
        <v>51</v>
      </c>
      <c r="D31" s="27" t="s">
        <v>1769</v>
      </c>
      <c r="E31" s="27" t="s">
        <v>51</v>
      </c>
      <c r="F31" s="27" t="s">
        <v>378</v>
      </c>
      <c r="G31" s="27" t="s">
        <v>1384</v>
      </c>
      <c r="H31" s="27" t="s">
        <v>54</v>
      </c>
      <c r="I31" s="27" t="s">
        <v>55</v>
      </c>
      <c r="J31" s="27" t="s">
        <v>379</v>
      </c>
      <c r="K31" s="27" t="s">
        <v>371</v>
      </c>
      <c r="L31" s="27" t="s">
        <v>371</v>
      </c>
      <c r="M31" s="27" t="s">
        <v>371</v>
      </c>
      <c r="N31" s="27" t="s">
        <v>371</v>
      </c>
      <c r="O31" s="27" t="s">
        <v>371</v>
      </c>
      <c r="P31" s="27" t="s">
        <v>371</v>
      </c>
      <c r="Q31" s="27" t="s">
        <v>372</v>
      </c>
      <c r="R31" s="45">
        <v>6374.13</v>
      </c>
      <c r="S31" s="45">
        <v>6493.35</v>
      </c>
      <c r="T31" s="45">
        <v>9287.09</v>
      </c>
      <c r="U31" s="45">
        <v>13481.59</v>
      </c>
      <c r="V31" s="45">
        <v>28965.25</v>
      </c>
      <c r="W31" s="45">
        <v>38454.699999999997</v>
      </c>
      <c r="X31" s="45">
        <v>63113.2</v>
      </c>
      <c r="Y31" s="45">
        <v>68088.2</v>
      </c>
      <c r="Z31" s="45">
        <v>70456.87999999999</v>
      </c>
      <c r="AA31" s="45">
        <v>70895.45</v>
      </c>
      <c r="AB31" s="45">
        <v>72597.8</v>
      </c>
      <c r="AC31" s="45">
        <v>72597.8</v>
      </c>
      <c r="AD31" s="45">
        <v>72597.8</v>
      </c>
      <c r="AE31" s="45">
        <v>72597.8</v>
      </c>
      <c r="AF31" s="45">
        <v>72597.8</v>
      </c>
      <c r="AG31" s="45">
        <v>79249.69</v>
      </c>
      <c r="AH31" s="45"/>
      <c r="AI31" s="45"/>
      <c r="AJ31" s="45"/>
      <c r="AK31" s="45"/>
      <c r="AL31" s="45"/>
      <c r="AM31" s="45"/>
      <c r="AN31" s="45"/>
      <c r="AO31" s="45"/>
    </row>
    <row r="32" spans="2:41" outlineLevel="1" x14ac:dyDescent="0.35">
      <c r="B32" s="27" t="s">
        <v>380</v>
      </c>
      <c r="C32" s="27" t="s">
        <v>51</v>
      </c>
      <c r="D32" s="27" t="s">
        <v>1385</v>
      </c>
      <c r="E32" s="27" t="s">
        <v>51</v>
      </c>
      <c r="F32" s="27" t="s">
        <v>381</v>
      </c>
      <c r="G32" s="27" t="s">
        <v>382</v>
      </c>
      <c r="H32" s="27" t="s">
        <v>54</v>
      </c>
      <c r="I32" s="27" t="s">
        <v>55</v>
      </c>
      <c r="J32" s="27" t="s">
        <v>383</v>
      </c>
      <c r="K32" s="27" t="s">
        <v>371</v>
      </c>
      <c r="L32" s="27" t="s">
        <v>371</v>
      </c>
      <c r="M32" s="27" t="s">
        <v>371</v>
      </c>
      <c r="N32" s="27" t="s">
        <v>371</v>
      </c>
      <c r="O32" s="27" t="s">
        <v>371</v>
      </c>
      <c r="P32" s="27" t="s">
        <v>371</v>
      </c>
      <c r="Q32" s="27" t="s">
        <v>372</v>
      </c>
      <c r="R32" s="45">
        <v>0</v>
      </c>
      <c r="S32" s="45">
        <v>0</v>
      </c>
      <c r="T32" s="45">
        <v>0</v>
      </c>
      <c r="U32" s="45">
        <v>0</v>
      </c>
      <c r="V32" s="45">
        <v>0</v>
      </c>
      <c r="W32" s="45">
        <v>0</v>
      </c>
      <c r="X32" s="45">
        <v>0</v>
      </c>
      <c r="Y32" s="45">
        <v>0</v>
      </c>
      <c r="Z32" s="45">
        <v>0</v>
      </c>
      <c r="AA32" s="45">
        <v>0</v>
      </c>
      <c r="AB32" s="45">
        <v>0</v>
      </c>
      <c r="AC32" s="45">
        <v>0</v>
      </c>
      <c r="AD32" s="45">
        <v>0</v>
      </c>
      <c r="AE32" s="45">
        <v>0</v>
      </c>
      <c r="AF32" s="45">
        <v>0</v>
      </c>
      <c r="AG32" s="45">
        <v>0</v>
      </c>
      <c r="AH32" s="45"/>
      <c r="AI32" s="45"/>
      <c r="AJ32" s="45"/>
      <c r="AK32" s="45"/>
      <c r="AL32" s="45"/>
      <c r="AM32" s="45"/>
      <c r="AN32" s="45"/>
      <c r="AO32" s="45"/>
    </row>
    <row r="33" spans="2:41" outlineLevel="1" x14ac:dyDescent="0.35">
      <c r="B33" s="27" t="s">
        <v>384</v>
      </c>
      <c r="C33" s="27" t="s">
        <v>51</v>
      </c>
      <c r="D33" s="27" t="s">
        <v>1386</v>
      </c>
      <c r="E33" s="27" t="s">
        <v>51</v>
      </c>
      <c r="F33" s="27" t="s">
        <v>381</v>
      </c>
      <c r="G33" s="27" t="s">
        <v>386</v>
      </c>
      <c r="H33" s="27" t="s">
        <v>54</v>
      </c>
      <c r="I33" s="27" t="s">
        <v>55</v>
      </c>
      <c r="J33" s="27" t="s">
        <v>383</v>
      </c>
      <c r="K33" s="27" t="s">
        <v>371</v>
      </c>
      <c r="L33" s="27" t="s">
        <v>371</v>
      </c>
      <c r="M33" s="27" t="s">
        <v>371</v>
      </c>
      <c r="N33" s="27" t="s">
        <v>371</v>
      </c>
      <c r="O33" s="27" t="s">
        <v>371</v>
      </c>
      <c r="P33" s="27" t="s">
        <v>371</v>
      </c>
      <c r="Q33" s="27" t="s">
        <v>372</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c r="AI33" s="45"/>
      <c r="AJ33" s="45"/>
      <c r="AK33" s="45"/>
      <c r="AL33" s="45"/>
      <c r="AM33" s="45"/>
      <c r="AN33" s="45"/>
      <c r="AO33" s="45"/>
    </row>
    <row r="34" spans="2:41" outlineLevel="1" x14ac:dyDescent="0.35">
      <c r="B34" s="27" t="s">
        <v>387</v>
      </c>
      <c r="C34" s="27" t="s">
        <v>51</v>
      </c>
      <c r="D34" s="27" t="s">
        <v>1387</v>
      </c>
      <c r="E34" s="27" t="s">
        <v>51</v>
      </c>
      <c r="F34" s="27" t="s">
        <v>381</v>
      </c>
      <c r="G34" s="27" t="s">
        <v>388</v>
      </c>
      <c r="H34" s="27" t="s">
        <v>54</v>
      </c>
      <c r="I34" s="27" t="s">
        <v>55</v>
      </c>
      <c r="J34" s="27" t="s">
        <v>383</v>
      </c>
      <c r="K34" s="27" t="s">
        <v>371</v>
      </c>
      <c r="L34" s="27" t="s">
        <v>371</v>
      </c>
      <c r="M34" s="27" t="s">
        <v>371</v>
      </c>
      <c r="N34" s="27" t="s">
        <v>371</v>
      </c>
      <c r="O34" s="27" t="s">
        <v>371</v>
      </c>
      <c r="P34" s="27" t="s">
        <v>371</v>
      </c>
      <c r="Q34" s="27" t="s">
        <v>372</v>
      </c>
      <c r="R34" s="45">
        <v>0</v>
      </c>
      <c r="S34" s="45">
        <v>0</v>
      </c>
      <c r="T34" s="45">
        <v>0</v>
      </c>
      <c r="U34" s="45">
        <v>0</v>
      </c>
      <c r="V34" s="45">
        <v>0</v>
      </c>
      <c r="W34" s="45">
        <v>0</v>
      </c>
      <c r="X34" s="45">
        <v>0</v>
      </c>
      <c r="Y34" s="45">
        <v>0</v>
      </c>
      <c r="Z34" s="45">
        <v>0</v>
      </c>
      <c r="AA34" s="45">
        <v>0</v>
      </c>
      <c r="AB34" s="45">
        <v>0</v>
      </c>
      <c r="AC34" s="45">
        <v>0</v>
      </c>
      <c r="AD34" s="45">
        <v>0</v>
      </c>
      <c r="AE34" s="45">
        <v>0</v>
      </c>
      <c r="AF34" s="45">
        <v>0</v>
      </c>
      <c r="AG34" s="45">
        <v>0</v>
      </c>
      <c r="AH34" s="45"/>
      <c r="AI34" s="45"/>
      <c r="AJ34" s="45"/>
      <c r="AK34" s="45"/>
      <c r="AL34" s="45"/>
      <c r="AM34" s="45"/>
      <c r="AN34" s="45"/>
      <c r="AO34" s="45"/>
    </row>
    <row r="35" spans="2:41" outlineLevel="1" x14ac:dyDescent="0.35">
      <c r="B35" s="27" t="s">
        <v>389</v>
      </c>
      <c r="C35" s="27" t="s">
        <v>51</v>
      </c>
      <c r="D35" s="27" t="s">
        <v>1388</v>
      </c>
      <c r="E35" s="27" t="s">
        <v>51</v>
      </c>
      <c r="F35" s="27" t="s">
        <v>381</v>
      </c>
      <c r="G35" s="27" t="s">
        <v>390</v>
      </c>
      <c r="H35" s="27" t="s">
        <v>54</v>
      </c>
      <c r="I35" s="27" t="s">
        <v>55</v>
      </c>
      <c r="J35" s="27" t="s">
        <v>383</v>
      </c>
      <c r="K35" s="27" t="s">
        <v>371</v>
      </c>
      <c r="L35" s="27" t="s">
        <v>371</v>
      </c>
      <c r="M35" s="27" t="s">
        <v>371</v>
      </c>
      <c r="N35" s="27" t="s">
        <v>371</v>
      </c>
      <c r="O35" s="27" t="s">
        <v>371</v>
      </c>
      <c r="P35" s="27" t="s">
        <v>371</v>
      </c>
      <c r="Q35" s="27" t="s">
        <v>372</v>
      </c>
      <c r="R35" s="45">
        <v>0</v>
      </c>
      <c r="S35" s="45">
        <v>0</v>
      </c>
      <c r="T35" s="45">
        <v>0</v>
      </c>
      <c r="U35" s="45">
        <v>0</v>
      </c>
      <c r="V35" s="45">
        <v>0</v>
      </c>
      <c r="W35" s="45">
        <v>0</v>
      </c>
      <c r="X35" s="45">
        <v>0</v>
      </c>
      <c r="Y35" s="45">
        <v>0</v>
      </c>
      <c r="Z35" s="45">
        <v>0</v>
      </c>
      <c r="AA35" s="45">
        <v>0</v>
      </c>
      <c r="AB35" s="45">
        <v>0</v>
      </c>
      <c r="AC35" s="45">
        <v>0</v>
      </c>
      <c r="AD35" s="45">
        <v>0</v>
      </c>
      <c r="AE35" s="45">
        <v>0</v>
      </c>
      <c r="AF35" s="45">
        <v>0</v>
      </c>
      <c r="AG35" s="45">
        <v>0</v>
      </c>
      <c r="AH35" s="45"/>
      <c r="AI35" s="45"/>
      <c r="AJ35" s="45"/>
      <c r="AK35" s="45"/>
      <c r="AL35" s="45"/>
      <c r="AM35" s="45"/>
      <c r="AN35" s="45"/>
      <c r="AO35" s="45"/>
    </row>
    <row r="36" spans="2:41" outlineLevel="1" x14ac:dyDescent="0.35">
      <c r="B36" s="27" t="s">
        <v>391</v>
      </c>
      <c r="C36" s="27" t="s">
        <v>51</v>
      </c>
      <c r="D36" s="27" t="s">
        <v>1389</v>
      </c>
      <c r="E36" s="27" t="s">
        <v>51</v>
      </c>
      <c r="F36" s="27" t="s">
        <v>378</v>
      </c>
      <c r="G36" s="27" t="s">
        <v>392</v>
      </c>
      <c r="H36" s="27" t="s">
        <v>54</v>
      </c>
      <c r="I36" s="27" t="s">
        <v>55</v>
      </c>
      <c r="J36" s="27" t="s">
        <v>379</v>
      </c>
      <c r="K36" s="27" t="s">
        <v>371</v>
      </c>
      <c r="L36" s="27" t="s">
        <v>371</v>
      </c>
      <c r="M36" s="27" t="s">
        <v>371</v>
      </c>
      <c r="N36" s="27" t="s">
        <v>371</v>
      </c>
      <c r="O36" s="27" t="s">
        <v>371</v>
      </c>
      <c r="P36" s="27" t="s">
        <v>371</v>
      </c>
      <c r="Q36" s="27" t="s">
        <v>372</v>
      </c>
      <c r="R36" s="45">
        <v>3531770.76</v>
      </c>
      <c r="S36" s="45">
        <v>0</v>
      </c>
      <c r="T36" s="45">
        <v>2939431.78</v>
      </c>
      <c r="U36" s="45">
        <v>0</v>
      </c>
      <c r="V36" s="45">
        <v>0</v>
      </c>
      <c r="W36" s="45">
        <v>5478284.5800000001</v>
      </c>
      <c r="X36" s="45">
        <v>0</v>
      </c>
      <c r="Y36" s="45">
        <v>0</v>
      </c>
      <c r="Z36" s="45">
        <v>0</v>
      </c>
      <c r="AA36" s="45">
        <v>0</v>
      </c>
      <c r="AB36" s="45">
        <v>0</v>
      </c>
      <c r="AC36" s="45">
        <v>0</v>
      </c>
      <c r="AD36" s="45">
        <v>0</v>
      </c>
      <c r="AE36" s="45">
        <v>0</v>
      </c>
      <c r="AF36" s="45">
        <v>0</v>
      </c>
      <c r="AG36" s="45">
        <v>0</v>
      </c>
      <c r="AH36" s="45"/>
      <c r="AI36" s="45"/>
      <c r="AJ36" s="45"/>
      <c r="AK36" s="45"/>
      <c r="AL36" s="45"/>
      <c r="AM36" s="45"/>
      <c r="AN36" s="45"/>
      <c r="AO36" s="45"/>
    </row>
    <row r="37" spans="2:41" outlineLevel="1" x14ac:dyDescent="0.35">
      <c r="B37" s="27" t="s">
        <v>1191</v>
      </c>
      <c r="C37" s="27" t="s">
        <v>51</v>
      </c>
      <c r="D37" s="27" t="s">
        <v>1770</v>
      </c>
      <c r="E37" s="27" t="s">
        <v>51</v>
      </c>
      <c r="F37" s="27" t="s">
        <v>378</v>
      </c>
      <c r="G37" s="27" t="s">
        <v>1390</v>
      </c>
      <c r="H37" s="27" t="s">
        <v>54</v>
      </c>
      <c r="I37" s="27" t="s">
        <v>55</v>
      </c>
      <c r="J37" s="27" t="s">
        <v>379</v>
      </c>
      <c r="K37" s="27" t="s">
        <v>371</v>
      </c>
      <c r="L37" s="27" t="s">
        <v>371</v>
      </c>
      <c r="M37" s="27" t="s">
        <v>371</v>
      </c>
      <c r="N37" s="27" t="s">
        <v>371</v>
      </c>
      <c r="O37" s="27" t="s">
        <v>371</v>
      </c>
      <c r="P37" s="27" t="s">
        <v>371</v>
      </c>
      <c r="Q37" s="27" t="s">
        <v>372</v>
      </c>
      <c r="R37" s="45">
        <v>13042990.939999999</v>
      </c>
      <c r="S37" s="45">
        <v>11301841.5</v>
      </c>
      <c r="T37" s="45">
        <v>12407963.51</v>
      </c>
      <c r="U37" s="45">
        <v>10826359.34</v>
      </c>
      <c r="V37" s="45">
        <v>14675646.119999997</v>
      </c>
      <c r="W37" s="45">
        <v>16052073.859999999</v>
      </c>
      <c r="X37" s="45">
        <v>7105158.1200000001</v>
      </c>
      <c r="Y37" s="45">
        <v>7444099.5300000003</v>
      </c>
      <c r="Z37" s="45">
        <v>6117797.790000001</v>
      </c>
      <c r="AA37" s="45">
        <v>1723927.63</v>
      </c>
      <c r="AB37" s="45">
        <v>1199480.46</v>
      </c>
      <c r="AC37" s="45">
        <v>6275426.7599999998</v>
      </c>
      <c r="AD37" s="45">
        <v>5473740.3200000003</v>
      </c>
      <c r="AE37" s="45">
        <v>3114710.53</v>
      </c>
      <c r="AF37" s="45">
        <v>1418207.25</v>
      </c>
      <c r="AG37" s="45">
        <v>1511759.99</v>
      </c>
      <c r="AH37" s="45"/>
      <c r="AI37" s="45"/>
      <c r="AJ37" s="45"/>
      <c r="AK37" s="45"/>
      <c r="AL37" s="45"/>
      <c r="AM37" s="45"/>
      <c r="AN37" s="45"/>
      <c r="AO37" s="45"/>
    </row>
    <row r="38" spans="2:41" outlineLevel="1" x14ac:dyDescent="0.35">
      <c r="B38" s="27" t="s">
        <v>1192</v>
      </c>
      <c r="C38" s="27" t="s">
        <v>51</v>
      </c>
      <c r="D38" s="27" t="s">
        <v>1771</v>
      </c>
      <c r="E38" s="27" t="s">
        <v>51</v>
      </c>
      <c r="F38" s="27" t="s">
        <v>385</v>
      </c>
      <c r="G38" s="27" t="s">
        <v>1391</v>
      </c>
      <c r="H38" s="27" t="s">
        <v>54</v>
      </c>
      <c r="I38" s="27" t="s">
        <v>55</v>
      </c>
      <c r="J38" s="27" t="s">
        <v>393</v>
      </c>
      <c r="K38" s="27" t="s">
        <v>371</v>
      </c>
      <c r="L38" s="27" t="s">
        <v>371</v>
      </c>
      <c r="M38" s="27" t="s">
        <v>371</v>
      </c>
      <c r="N38" s="27" t="s">
        <v>371</v>
      </c>
      <c r="O38" s="27" t="s">
        <v>371</v>
      </c>
      <c r="P38" s="27" t="s">
        <v>371</v>
      </c>
      <c r="Q38" s="27" t="s">
        <v>372</v>
      </c>
      <c r="R38" s="45">
        <v>5310646.17</v>
      </c>
      <c r="S38" s="45">
        <v>5310646.17</v>
      </c>
      <c r="T38" s="45">
        <v>5310646.17</v>
      </c>
      <c r="U38" s="45">
        <v>5310646.17</v>
      </c>
      <c r="V38" s="45">
        <v>5310646.17</v>
      </c>
      <c r="W38" s="45">
        <v>5310646.17</v>
      </c>
      <c r="X38" s="45">
        <v>5310646.17</v>
      </c>
      <c r="Y38" s="45">
        <v>5352970.25</v>
      </c>
      <c r="Z38" s="45">
        <v>5449609.25</v>
      </c>
      <c r="AA38" s="45">
        <v>5536475.6100000003</v>
      </c>
      <c r="AB38" s="45">
        <v>5560855.6100000003</v>
      </c>
      <c r="AC38" s="45">
        <v>6061805.6100000003</v>
      </c>
      <c r="AD38" s="45">
        <v>5746751.2300000004</v>
      </c>
      <c r="AE38" s="45">
        <v>5933234.2300000004</v>
      </c>
      <c r="AF38" s="45">
        <v>6497792.0100000007</v>
      </c>
      <c r="AG38" s="45">
        <v>6497792.0099999998</v>
      </c>
      <c r="AH38" s="45"/>
      <c r="AI38" s="45"/>
      <c r="AJ38" s="45"/>
      <c r="AK38" s="45"/>
      <c r="AL38" s="45"/>
      <c r="AM38" s="45"/>
      <c r="AN38" s="45"/>
      <c r="AO38" s="45"/>
    </row>
    <row r="39" spans="2:41" outlineLevel="1" x14ac:dyDescent="0.35">
      <c r="B39" s="27" t="s">
        <v>1193</v>
      </c>
      <c r="C39" s="27" t="s">
        <v>51</v>
      </c>
      <c r="D39" s="27" t="s">
        <v>1772</v>
      </c>
      <c r="E39" s="27" t="s">
        <v>51</v>
      </c>
      <c r="F39" s="27" t="s">
        <v>90</v>
      </c>
      <c r="G39" s="27" t="s">
        <v>1968</v>
      </c>
      <c r="H39" s="27" t="s">
        <v>54</v>
      </c>
      <c r="I39" s="27" t="s">
        <v>55</v>
      </c>
      <c r="J39" s="27" t="s">
        <v>393</v>
      </c>
      <c r="K39" s="27" t="s">
        <v>371</v>
      </c>
      <c r="L39" s="27" t="s">
        <v>371</v>
      </c>
      <c r="M39" s="27" t="s">
        <v>371</v>
      </c>
      <c r="N39" s="27" t="s">
        <v>371</v>
      </c>
      <c r="O39" s="27" t="s">
        <v>371</v>
      </c>
      <c r="P39" s="27" t="s">
        <v>371</v>
      </c>
      <c r="Q39" s="27" t="s">
        <v>372</v>
      </c>
      <c r="R39" s="45">
        <v>33711028.719999999</v>
      </c>
      <c r="S39" s="45">
        <v>33985062.450000003</v>
      </c>
      <c r="T39" s="45">
        <v>38647986.960000001</v>
      </c>
      <c r="U39" s="45">
        <v>38647986.960000001</v>
      </c>
      <c r="V39" s="45">
        <v>38688443.149999999</v>
      </c>
      <c r="W39" s="45">
        <v>39034322.219999999</v>
      </c>
      <c r="X39" s="45">
        <v>39034322.219999999</v>
      </c>
      <c r="Y39" s="45">
        <v>39089270.039999999</v>
      </c>
      <c r="Z39" s="45">
        <v>39095552.310000002</v>
      </c>
      <c r="AA39" s="45">
        <v>43681002.270000003</v>
      </c>
      <c r="AB39" s="45">
        <v>44553665.890000001</v>
      </c>
      <c r="AC39" s="45">
        <v>58178297.890000001</v>
      </c>
      <c r="AD39" s="45">
        <v>58958033.530000001</v>
      </c>
      <c r="AE39" s="45">
        <v>59290955</v>
      </c>
      <c r="AF39" s="45">
        <v>64300786.539999999</v>
      </c>
      <c r="AG39" s="45">
        <v>62200122.869999997</v>
      </c>
      <c r="AH39" s="45"/>
      <c r="AI39" s="45"/>
      <c r="AJ39" s="45"/>
      <c r="AK39" s="45"/>
      <c r="AL39" s="45"/>
      <c r="AM39" s="45"/>
      <c r="AN39" s="45"/>
      <c r="AO39" s="45"/>
    </row>
    <row r="40" spans="2:41" outlineLevel="1" x14ac:dyDescent="0.35">
      <c r="B40" s="27" t="s">
        <v>1194</v>
      </c>
      <c r="C40" s="27" t="s">
        <v>51</v>
      </c>
      <c r="D40" s="27" t="s">
        <v>1773</v>
      </c>
      <c r="E40" s="27" t="s">
        <v>51</v>
      </c>
      <c r="F40" s="27" t="s">
        <v>90</v>
      </c>
      <c r="G40" s="27" t="s">
        <v>1392</v>
      </c>
      <c r="H40" s="27" t="s">
        <v>54</v>
      </c>
      <c r="I40" s="27" t="s">
        <v>55</v>
      </c>
      <c r="J40" s="27" t="s">
        <v>393</v>
      </c>
      <c r="K40" s="27" t="s">
        <v>371</v>
      </c>
      <c r="L40" s="27" t="s">
        <v>371</v>
      </c>
      <c r="M40" s="27" t="s">
        <v>371</v>
      </c>
      <c r="N40" s="27" t="s">
        <v>371</v>
      </c>
      <c r="O40" s="27" t="s">
        <v>371</v>
      </c>
      <c r="P40" s="27" t="s">
        <v>371</v>
      </c>
      <c r="Q40" s="27" t="s">
        <v>372</v>
      </c>
      <c r="R40" s="45">
        <v>83533190.069999993</v>
      </c>
      <c r="S40" s="45">
        <v>83533190.069999993</v>
      </c>
      <c r="T40" s="45">
        <v>83533190.069999993</v>
      </c>
      <c r="U40" s="45">
        <v>139355662.20999998</v>
      </c>
      <c r="V40" s="45">
        <v>139355662.21000001</v>
      </c>
      <c r="W40" s="45">
        <v>139355662.21000001</v>
      </c>
      <c r="X40" s="45">
        <v>152271552.63999999</v>
      </c>
      <c r="Y40" s="45">
        <v>152271552.63999999</v>
      </c>
      <c r="Z40" s="45">
        <v>152271552.63999999</v>
      </c>
      <c r="AA40" s="45">
        <v>153493415.03</v>
      </c>
      <c r="AB40" s="45">
        <v>171855315.58000001</v>
      </c>
      <c r="AC40" s="45">
        <v>334737208.39999998</v>
      </c>
      <c r="AD40" s="45">
        <v>343103712.49000001</v>
      </c>
      <c r="AE40" s="45">
        <v>343103712.49000001</v>
      </c>
      <c r="AF40" s="45">
        <v>406650303.51999998</v>
      </c>
      <c r="AG40" s="45">
        <v>400390597.29000002</v>
      </c>
      <c r="AH40" s="45"/>
      <c r="AI40" s="45"/>
      <c r="AJ40" s="45"/>
      <c r="AK40" s="45"/>
      <c r="AL40" s="45"/>
      <c r="AM40" s="45"/>
      <c r="AN40" s="45"/>
      <c r="AO40" s="45"/>
    </row>
    <row r="41" spans="2:41" outlineLevel="1" x14ac:dyDescent="0.35">
      <c r="B41" s="27" t="s">
        <v>1195</v>
      </c>
      <c r="C41" s="27" t="s">
        <v>51</v>
      </c>
      <c r="D41" s="27" t="s">
        <v>1774</v>
      </c>
      <c r="E41" s="27" t="s">
        <v>51</v>
      </c>
      <c r="F41" s="27" t="s">
        <v>90</v>
      </c>
      <c r="G41" s="27" t="s">
        <v>1970</v>
      </c>
      <c r="H41" s="27" t="s">
        <v>54</v>
      </c>
      <c r="I41" s="27" t="s">
        <v>55</v>
      </c>
      <c r="J41" s="27" t="s">
        <v>393</v>
      </c>
      <c r="K41" s="27" t="s">
        <v>371</v>
      </c>
      <c r="L41" s="27" t="s">
        <v>371</v>
      </c>
      <c r="M41" s="27" t="s">
        <v>371</v>
      </c>
      <c r="N41" s="27" t="s">
        <v>371</v>
      </c>
      <c r="O41" s="27" t="s">
        <v>371</v>
      </c>
      <c r="P41" s="27" t="s">
        <v>371</v>
      </c>
      <c r="Q41" s="27" t="s">
        <v>372</v>
      </c>
      <c r="R41" s="45">
        <v>1385189.66</v>
      </c>
      <c r="S41" s="45">
        <v>1825393.38</v>
      </c>
      <c r="T41" s="45">
        <v>1825393.38</v>
      </c>
      <c r="U41" s="45">
        <v>1825393.38</v>
      </c>
      <c r="V41" s="45">
        <v>1825393.38</v>
      </c>
      <c r="W41" s="45">
        <v>1825393.38</v>
      </c>
      <c r="X41" s="45">
        <v>1825393.38</v>
      </c>
      <c r="Y41" s="45">
        <v>1825393.38</v>
      </c>
      <c r="Z41" s="45">
        <v>1825393.38</v>
      </c>
      <c r="AA41" s="45">
        <v>1825393.38</v>
      </c>
      <c r="AB41" s="45">
        <v>2074690.82</v>
      </c>
      <c r="AC41" s="45">
        <v>3533243.51</v>
      </c>
      <c r="AD41" s="45">
        <v>3533243.51</v>
      </c>
      <c r="AE41" s="45">
        <v>3673239.23</v>
      </c>
      <c r="AF41" s="45">
        <v>3673239.23</v>
      </c>
      <c r="AG41" s="45">
        <v>252042582.25999999</v>
      </c>
      <c r="AH41" s="45"/>
      <c r="AI41" s="45"/>
      <c r="AJ41" s="45"/>
      <c r="AK41" s="45"/>
      <c r="AL41" s="45"/>
      <c r="AM41" s="45"/>
      <c r="AN41" s="45"/>
      <c r="AO41" s="45"/>
    </row>
    <row r="42" spans="2:41" outlineLevel="1" x14ac:dyDescent="0.35">
      <c r="B42" s="27" t="s">
        <v>1196</v>
      </c>
      <c r="C42" s="27" t="s">
        <v>51</v>
      </c>
      <c r="D42" s="27" t="s">
        <v>1775</v>
      </c>
      <c r="E42" s="27" t="s">
        <v>51</v>
      </c>
      <c r="F42" s="27" t="s">
        <v>90</v>
      </c>
      <c r="G42" s="27" t="s">
        <v>1393</v>
      </c>
      <c r="H42" s="27" t="s">
        <v>54</v>
      </c>
      <c r="I42" s="27" t="s">
        <v>55</v>
      </c>
      <c r="J42" s="27" t="s">
        <v>393</v>
      </c>
      <c r="K42" s="27" t="s">
        <v>371</v>
      </c>
      <c r="L42" s="27" t="s">
        <v>371</v>
      </c>
      <c r="M42" s="27" t="s">
        <v>371</v>
      </c>
      <c r="N42" s="27" t="s">
        <v>371</v>
      </c>
      <c r="O42" s="27" t="s">
        <v>371</v>
      </c>
      <c r="P42" s="27" t="s">
        <v>371</v>
      </c>
      <c r="Q42" s="27" t="s">
        <v>372</v>
      </c>
      <c r="R42" s="45">
        <v>4836978.7</v>
      </c>
      <c r="S42" s="45">
        <v>5919004.7000000002</v>
      </c>
      <c r="T42" s="45">
        <v>5919004.7000000002</v>
      </c>
      <c r="U42" s="45">
        <v>5919004.7000000002</v>
      </c>
      <c r="V42" s="45">
        <v>5981504.7000000002</v>
      </c>
      <c r="W42" s="45">
        <v>5919004.7000000002</v>
      </c>
      <c r="X42" s="45">
        <v>5352935.7</v>
      </c>
      <c r="Y42" s="45">
        <v>5775828.2999999998</v>
      </c>
      <c r="Z42" s="45">
        <v>5930991.5099999998</v>
      </c>
      <c r="AA42" s="45">
        <v>6434120.7000000002</v>
      </c>
      <c r="AB42" s="45">
        <v>6434120.7000000002</v>
      </c>
      <c r="AC42" s="45">
        <v>6434120.7000000002</v>
      </c>
      <c r="AD42" s="45">
        <v>6434120.7000000002</v>
      </c>
      <c r="AE42" s="45">
        <v>6434120.7000000002</v>
      </c>
      <c r="AF42" s="45">
        <v>7543547.1100000003</v>
      </c>
      <c r="AG42" s="45">
        <v>10279156.77</v>
      </c>
      <c r="AH42" s="45"/>
      <c r="AI42" s="45"/>
      <c r="AJ42" s="45"/>
      <c r="AK42" s="45"/>
      <c r="AL42" s="45"/>
      <c r="AM42" s="45"/>
      <c r="AN42" s="45"/>
      <c r="AO42" s="45"/>
    </row>
    <row r="43" spans="2:41" outlineLevel="1" x14ac:dyDescent="0.35">
      <c r="B43" s="27" t="s">
        <v>1197</v>
      </c>
      <c r="C43" s="27" t="s">
        <v>51</v>
      </c>
      <c r="D43" s="27" t="s">
        <v>1776</v>
      </c>
      <c r="E43" s="27" t="s">
        <v>51</v>
      </c>
      <c r="F43" s="27" t="s">
        <v>90</v>
      </c>
      <c r="G43" s="27" t="s">
        <v>1394</v>
      </c>
      <c r="H43" s="27" t="s">
        <v>54</v>
      </c>
      <c r="I43" s="27" t="s">
        <v>55</v>
      </c>
      <c r="J43" s="27" t="s">
        <v>393</v>
      </c>
      <c r="K43" s="27" t="s">
        <v>371</v>
      </c>
      <c r="L43" s="27" t="s">
        <v>371</v>
      </c>
      <c r="M43" s="27" t="s">
        <v>371</v>
      </c>
      <c r="N43" s="27" t="s">
        <v>371</v>
      </c>
      <c r="O43" s="27" t="s">
        <v>371</v>
      </c>
      <c r="P43" s="27" t="s">
        <v>371</v>
      </c>
      <c r="Q43" s="27" t="s">
        <v>372</v>
      </c>
      <c r="R43" s="45">
        <v>1228739.27</v>
      </c>
      <c r="S43" s="45">
        <v>1228739.27</v>
      </c>
      <c r="T43" s="45">
        <v>1228739.27</v>
      </c>
      <c r="U43" s="45">
        <v>1228739.27</v>
      </c>
      <c r="V43" s="45">
        <v>1228739.27</v>
      </c>
      <c r="W43" s="45">
        <v>1228739.27</v>
      </c>
      <c r="X43" s="45">
        <v>1228739.27</v>
      </c>
      <c r="Y43" s="45">
        <v>1228739.27</v>
      </c>
      <c r="Z43" s="45">
        <v>1228739.27</v>
      </c>
      <c r="AA43" s="45">
        <v>1228739.27</v>
      </c>
      <c r="AB43" s="45">
        <v>1228739.27</v>
      </c>
      <c r="AC43" s="45">
        <v>1228739.27</v>
      </c>
      <c r="AD43" s="45">
        <v>1228739.27</v>
      </c>
      <c r="AE43" s="45">
        <v>1228739.27</v>
      </c>
      <c r="AF43" s="45">
        <v>1228739.27</v>
      </c>
      <c r="AG43" s="45">
        <v>37248602.579999998</v>
      </c>
      <c r="AH43" s="45"/>
      <c r="AI43" s="45"/>
      <c r="AJ43" s="45"/>
      <c r="AK43" s="45"/>
      <c r="AL43" s="45"/>
      <c r="AM43" s="45"/>
      <c r="AN43" s="45"/>
      <c r="AO43" s="45"/>
    </row>
    <row r="44" spans="2:41" outlineLevel="1" x14ac:dyDescent="0.35">
      <c r="B44" s="27" t="s">
        <v>395</v>
      </c>
      <c r="C44" s="27" t="s">
        <v>51</v>
      </c>
      <c r="D44" s="27" t="s">
        <v>1395</v>
      </c>
      <c r="E44" s="27" t="s">
        <v>51</v>
      </c>
      <c r="F44" s="27" t="s">
        <v>385</v>
      </c>
      <c r="G44" s="27" t="s">
        <v>396</v>
      </c>
      <c r="H44" s="27" t="s">
        <v>54</v>
      </c>
      <c r="I44" s="27" t="s">
        <v>55</v>
      </c>
      <c r="J44" s="27" t="s">
        <v>393</v>
      </c>
      <c r="K44" s="27" t="s">
        <v>371</v>
      </c>
      <c r="L44" s="27" t="s">
        <v>371</v>
      </c>
      <c r="M44" s="27" t="s">
        <v>371</v>
      </c>
      <c r="N44" s="27" t="s">
        <v>371</v>
      </c>
      <c r="O44" s="27" t="s">
        <v>371</v>
      </c>
      <c r="P44" s="27" t="s">
        <v>371</v>
      </c>
      <c r="Q44" s="27" t="s">
        <v>372</v>
      </c>
      <c r="R44" s="45">
        <v>3979368.45</v>
      </c>
      <c r="S44" s="45">
        <v>3979368.45</v>
      </c>
      <c r="T44" s="45">
        <v>3979368.45</v>
      </c>
      <c r="U44" s="45">
        <v>3979368.45</v>
      </c>
      <c r="V44" s="45">
        <v>4041868.45</v>
      </c>
      <c r="W44" s="45">
        <v>3979368.45</v>
      </c>
      <c r="X44" s="45">
        <v>3979368.45</v>
      </c>
      <c r="Y44" s="45">
        <v>3979368.45</v>
      </c>
      <c r="Z44" s="45">
        <v>3979368.45</v>
      </c>
      <c r="AA44" s="45">
        <v>3979368.45</v>
      </c>
      <c r="AB44" s="45">
        <v>3979368.45</v>
      </c>
      <c r="AC44" s="45">
        <v>4502108.9800000004</v>
      </c>
      <c r="AD44" s="45">
        <v>4502108.9800000004</v>
      </c>
      <c r="AE44" s="45">
        <v>4502108.9800000004</v>
      </c>
      <c r="AF44" s="45">
        <v>4502108.9800000004</v>
      </c>
      <c r="AG44" s="45">
        <v>0</v>
      </c>
      <c r="AH44" s="45"/>
      <c r="AI44" s="45"/>
      <c r="AJ44" s="45"/>
      <c r="AK44" s="45"/>
      <c r="AL44" s="45"/>
      <c r="AM44" s="45"/>
      <c r="AN44" s="45"/>
      <c r="AO44" s="45"/>
    </row>
    <row r="45" spans="2:41" outlineLevel="1" x14ac:dyDescent="0.35">
      <c r="B45" s="27" t="s">
        <v>397</v>
      </c>
      <c r="C45" s="27" t="s">
        <v>51</v>
      </c>
      <c r="D45" s="27" t="s">
        <v>1396</v>
      </c>
      <c r="E45" s="27" t="s">
        <v>51</v>
      </c>
      <c r="F45" s="27" t="s">
        <v>385</v>
      </c>
      <c r="G45" s="27" t="s">
        <v>398</v>
      </c>
      <c r="H45" s="27" t="s">
        <v>54</v>
      </c>
      <c r="I45" s="27" t="s">
        <v>55</v>
      </c>
      <c r="J45" s="27" t="s">
        <v>393</v>
      </c>
      <c r="K45" s="27" t="s">
        <v>371</v>
      </c>
      <c r="L45" s="27" t="s">
        <v>371</v>
      </c>
      <c r="M45" s="27" t="s">
        <v>371</v>
      </c>
      <c r="N45" s="27" t="s">
        <v>371</v>
      </c>
      <c r="O45" s="27" t="s">
        <v>371</v>
      </c>
      <c r="P45" s="27" t="s">
        <v>371</v>
      </c>
      <c r="Q45" s="27" t="s">
        <v>372</v>
      </c>
      <c r="R45" s="45">
        <v>413348.92</v>
      </c>
      <c r="S45" s="45">
        <v>413348.92</v>
      </c>
      <c r="T45" s="45">
        <v>413348.92</v>
      </c>
      <c r="U45" s="45">
        <v>413348.92</v>
      </c>
      <c r="V45" s="45">
        <v>413348.92</v>
      </c>
      <c r="W45" s="45">
        <v>413348.92</v>
      </c>
      <c r="X45" s="45">
        <v>413348.92</v>
      </c>
      <c r="Y45" s="45">
        <v>413348.92</v>
      </c>
      <c r="Z45" s="45">
        <v>413348.92</v>
      </c>
      <c r="AA45" s="45">
        <v>413348.92</v>
      </c>
      <c r="AB45" s="45">
        <v>413348.92</v>
      </c>
      <c r="AC45" s="45">
        <v>413348.92</v>
      </c>
      <c r="AD45" s="45">
        <v>413348.92</v>
      </c>
      <c r="AE45" s="45">
        <v>413348.92</v>
      </c>
      <c r="AF45" s="45">
        <v>413348.92</v>
      </c>
      <c r="AG45" s="45">
        <v>0</v>
      </c>
      <c r="AH45" s="45"/>
      <c r="AI45" s="45"/>
      <c r="AJ45" s="45"/>
      <c r="AK45" s="45"/>
      <c r="AL45" s="45"/>
      <c r="AM45" s="45"/>
      <c r="AN45" s="45"/>
      <c r="AO45" s="45"/>
    </row>
    <row r="46" spans="2:41" outlineLevel="1" x14ac:dyDescent="0.35">
      <c r="B46" s="27" t="s">
        <v>399</v>
      </c>
      <c r="C46" s="27" t="s">
        <v>51</v>
      </c>
      <c r="D46" s="27" t="s">
        <v>1397</v>
      </c>
      <c r="E46" s="27" t="s">
        <v>51</v>
      </c>
      <c r="F46" s="27" t="s">
        <v>385</v>
      </c>
      <c r="G46" s="27" t="s">
        <v>400</v>
      </c>
      <c r="H46" s="27" t="s">
        <v>54</v>
      </c>
      <c r="I46" s="27" t="s">
        <v>55</v>
      </c>
      <c r="J46" s="27" t="s">
        <v>393</v>
      </c>
      <c r="K46" s="27" t="s">
        <v>371</v>
      </c>
      <c r="L46" s="27" t="s">
        <v>371</v>
      </c>
      <c r="M46" s="27" t="s">
        <v>371</v>
      </c>
      <c r="N46" s="27" t="s">
        <v>371</v>
      </c>
      <c r="O46" s="27" t="s">
        <v>371</v>
      </c>
      <c r="P46" s="27" t="s">
        <v>371</v>
      </c>
      <c r="Q46" s="27" t="s">
        <v>372</v>
      </c>
      <c r="R46" s="45">
        <v>667368.97</v>
      </c>
      <c r="S46" s="45">
        <v>877758.97</v>
      </c>
      <c r="T46" s="45">
        <v>877758.97</v>
      </c>
      <c r="U46" s="45">
        <v>877758.97</v>
      </c>
      <c r="V46" s="45">
        <v>940258.97</v>
      </c>
      <c r="W46" s="45">
        <v>877758.97</v>
      </c>
      <c r="X46" s="45">
        <v>877758.97</v>
      </c>
      <c r="Y46" s="45">
        <v>877758.97</v>
      </c>
      <c r="Z46" s="45">
        <v>877758.97</v>
      </c>
      <c r="AA46" s="45">
        <v>877758.97</v>
      </c>
      <c r="AB46" s="45">
        <v>877758.97</v>
      </c>
      <c r="AC46" s="45">
        <v>877758.97</v>
      </c>
      <c r="AD46" s="45">
        <v>1167110.9099999999</v>
      </c>
      <c r="AE46" s="45">
        <v>1167110.9099999999</v>
      </c>
      <c r="AF46" s="45">
        <v>1167110.9099999999</v>
      </c>
      <c r="AG46" s="45">
        <v>0</v>
      </c>
      <c r="AH46" s="45"/>
      <c r="AI46" s="45"/>
      <c r="AJ46" s="45"/>
      <c r="AK46" s="45"/>
      <c r="AL46" s="45"/>
      <c r="AM46" s="45"/>
      <c r="AN46" s="45"/>
      <c r="AO46" s="45"/>
    </row>
    <row r="47" spans="2:41" outlineLevel="1" x14ac:dyDescent="0.35">
      <c r="B47" s="27" t="s">
        <v>401</v>
      </c>
      <c r="C47" s="27" t="s">
        <v>51</v>
      </c>
      <c r="D47" s="27" t="s">
        <v>1398</v>
      </c>
      <c r="E47" s="27" t="s">
        <v>51</v>
      </c>
      <c r="F47" s="27" t="s">
        <v>385</v>
      </c>
      <c r="G47" s="27" t="s">
        <v>402</v>
      </c>
      <c r="H47" s="27" t="s">
        <v>54</v>
      </c>
      <c r="I47" s="27" t="s">
        <v>55</v>
      </c>
      <c r="J47" s="27" t="s">
        <v>393</v>
      </c>
      <c r="K47" s="27" t="s">
        <v>371</v>
      </c>
      <c r="L47" s="27" t="s">
        <v>371</v>
      </c>
      <c r="M47" s="27" t="s">
        <v>371</v>
      </c>
      <c r="N47" s="27" t="s">
        <v>371</v>
      </c>
      <c r="O47" s="27" t="s">
        <v>371</v>
      </c>
      <c r="P47" s="27" t="s">
        <v>371</v>
      </c>
      <c r="Q47" s="27" t="s">
        <v>372</v>
      </c>
      <c r="R47" s="45">
        <v>292242.51</v>
      </c>
      <c r="S47" s="45">
        <v>292242.51</v>
      </c>
      <c r="T47" s="45">
        <v>292242.51</v>
      </c>
      <c r="U47" s="45">
        <v>292242.51</v>
      </c>
      <c r="V47" s="45">
        <v>292242.51</v>
      </c>
      <c r="W47" s="45">
        <v>292242.51</v>
      </c>
      <c r="X47" s="45">
        <v>292242.51</v>
      </c>
      <c r="Y47" s="45">
        <v>292242.51</v>
      </c>
      <c r="Z47" s="45">
        <v>292242.51</v>
      </c>
      <c r="AA47" s="45">
        <v>292242.51</v>
      </c>
      <c r="AB47" s="45">
        <v>292242.51</v>
      </c>
      <c r="AC47" s="45">
        <v>292242.51</v>
      </c>
      <c r="AD47" s="45">
        <v>292242.51</v>
      </c>
      <c r="AE47" s="45">
        <v>292242.51</v>
      </c>
      <c r="AF47" s="45">
        <v>292242.51</v>
      </c>
      <c r="AG47" s="45">
        <v>0</v>
      </c>
      <c r="AH47" s="45"/>
      <c r="AI47" s="45"/>
      <c r="AJ47" s="45"/>
      <c r="AK47" s="45"/>
      <c r="AL47" s="45"/>
      <c r="AM47" s="45"/>
      <c r="AN47" s="45"/>
      <c r="AO47" s="45"/>
    </row>
    <row r="48" spans="2:41" outlineLevel="1" x14ac:dyDescent="0.35">
      <c r="B48" s="27" t="s">
        <v>403</v>
      </c>
      <c r="C48" s="27" t="s">
        <v>51</v>
      </c>
      <c r="D48" s="27" t="s">
        <v>1399</v>
      </c>
      <c r="E48" s="27" t="s">
        <v>51</v>
      </c>
      <c r="F48" s="27" t="s">
        <v>385</v>
      </c>
      <c r="G48" s="27" t="s">
        <v>404</v>
      </c>
      <c r="H48" s="27" t="s">
        <v>54</v>
      </c>
      <c r="I48" s="27" t="s">
        <v>55</v>
      </c>
      <c r="J48" s="27" t="s">
        <v>393</v>
      </c>
      <c r="K48" s="27" t="s">
        <v>371</v>
      </c>
      <c r="L48" s="27" t="s">
        <v>371</v>
      </c>
      <c r="M48" s="27" t="s">
        <v>371</v>
      </c>
      <c r="N48" s="27" t="s">
        <v>371</v>
      </c>
      <c r="O48" s="27" t="s">
        <v>371</v>
      </c>
      <c r="P48" s="27" t="s">
        <v>371</v>
      </c>
      <c r="Q48" s="27" t="s">
        <v>372</v>
      </c>
      <c r="R48" s="45">
        <v>3675066.63</v>
      </c>
      <c r="S48" s="45">
        <v>4202834.95</v>
      </c>
      <c r="T48" s="45">
        <v>5882630.71</v>
      </c>
      <c r="U48" s="45">
        <v>5882630.71</v>
      </c>
      <c r="V48" s="45">
        <v>5945130.71</v>
      </c>
      <c r="W48" s="45">
        <v>5882630.71</v>
      </c>
      <c r="X48" s="45">
        <v>5882630.71</v>
      </c>
      <c r="Y48" s="45">
        <v>5882630.71</v>
      </c>
      <c r="Z48" s="45">
        <v>5882630.71</v>
      </c>
      <c r="AA48" s="45">
        <v>5882630.71</v>
      </c>
      <c r="AB48" s="45">
        <v>5882630.71</v>
      </c>
      <c r="AC48" s="45">
        <v>6516672.5899999999</v>
      </c>
      <c r="AD48" s="45">
        <v>6516672.5899999999</v>
      </c>
      <c r="AE48" s="45">
        <v>6516672.5899999999</v>
      </c>
      <c r="AF48" s="45">
        <v>6516672.5899999999</v>
      </c>
      <c r="AG48" s="45">
        <v>0</v>
      </c>
      <c r="AH48" s="45"/>
      <c r="AI48" s="45"/>
      <c r="AJ48" s="45"/>
      <c r="AK48" s="45"/>
      <c r="AL48" s="45"/>
      <c r="AM48" s="45"/>
      <c r="AN48" s="45"/>
      <c r="AO48" s="45"/>
    </row>
    <row r="49" spans="2:41" outlineLevel="1" x14ac:dyDescent="0.35">
      <c r="B49" s="27" t="s">
        <v>405</v>
      </c>
      <c r="C49" s="27" t="s">
        <v>51</v>
      </c>
      <c r="D49" s="27" t="s">
        <v>1400</v>
      </c>
      <c r="E49" s="27" t="s">
        <v>51</v>
      </c>
      <c r="F49" s="27" t="s">
        <v>385</v>
      </c>
      <c r="G49" s="27" t="s">
        <v>406</v>
      </c>
      <c r="H49" s="27" t="s">
        <v>54</v>
      </c>
      <c r="I49" s="27" t="s">
        <v>55</v>
      </c>
      <c r="J49" s="27" t="s">
        <v>393</v>
      </c>
      <c r="K49" s="27" t="s">
        <v>371</v>
      </c>
      <c r="L49" s="27" t="s">
        <v>371</v>
      </c>
      <c r="M49" s="27" t="s">
        <v>371</v>
      </c>
      <c r="N49" s="27" t="s">
        <v>371</v>
      </c>
      <c r="O49" s="27" t="s">
        <v>371</v>
      </c>
      <c r="P49" s="27" t="s">
        <v>371</v>
      </c>
      <c r="Q49" s="27" t="s">
        <v>372</v>
      </c>
      <c r="R49" s="45">
        <v>19767187.300000001</v>
      </c>
      <c r="S49" s="45">
        <v>19767187.300000001</v>
      </c>
      <c r="T49" s="45">
        <v>19767187.300000001</v>
      </c>
      <c r="U49" s="45">
        <v>19767187.300000001</v>
      </c>
      <c r="V49" s="45">
        <v>19829687.300000001</v>
      </c>
      <c r="W49" s="45">
        <v>19767187.300000001</v>
      </c>
      <c r="X49" s="45">
        <v>19767187.300000001</v>
      </c>
      <c r="Y49" s="45">
        <v>19767187.300000001</v>
      </c>
      <c r="Z49" s="45">
        <v>19767187.300000001</v>
      </c>
      <c r="AA49" s="45">
        <v>19767187.300000001</v>
      </c>
      <c r="AB49" s="45">
        <v>19767187.300000001</v>
      </c>
      <c r="AC49" s="45">
        <v>20937043.829999998</v>
      </c>
      <c r="AD49" s="45">
        <v>20937043.829999998</v>
      </c>
      <c r="AE49" s="45">
        <v>21069488.829999998</v>
      </c>
      <c r="AF49" s="45">
        <v>21084228.829999998</v>
      </c>
      <c r="AG49" s="45">
        <v>0</v>
      </c>
      <c r="AH49" s="45"/>
      <c r="AI49" s="45"/>
      <c r="AJ49" s="45"/>
      <c r="AK49" s="45"/>
      <c r="AL49" s="45"/>
      <c r="AM49" s="45"/>
      <c r="AN49" s="45"/>
      <c r="AO49" s="45"/>
    </row>
    <row r="50" spans="2:41" outlineLevel="1" x14ac:dyDescent="0.35">
      <c r="B50" s="27" t="s">
        <v>407</v>
      </c>
      <c r="C50" s="27" t="s">
        <v>51</v>
      </c>
      <c r="D50" s="27" t="s">
        <v>1401</v>
      </c>
      <c r="E50" s="27" t="s">
        <v>51</v>
      </c>
      <c r="F50" s="27" t="s">
        <v>385</v>
      </c>
      <c r="G50" s="27" t="s">
        <v>408</v>
      </c>
      <c r="H50" s="27" t="s">
        <v>54</v>
      </c>
      <c r="I50" s="27" t="s">
        <v>55</v>
      </c>
      <c r="J50" s="27" t="s">
        <v>393</v>
      </c>
      <c r="K50" s="27" t="s">
        <v>371</v>
      </c>
      <c r="L50" s="27" t="s">
        <v>371</v>
      </c>
      <c r="M50" s="27" t="s">
        <v>371</v>
      </c>
      <c r="N50" s="27" t="s">
        <v>371</v>
      </c>
      <c r="O50" s="27" t="s">
        <v>371</v>
      </c>
      <c r="P50" s="27" t="s">
        <v>371</v>
      </c>
      <c r="Q50" s="27" t="s">
        <v>372</v>
      </c>
      <c r="R50" s="45">
        <v>216866.43</v>
      </c>
      <c r="S50" s="45">
        <v>216866.43</v>
      </c>
      <c r="T50" s="45">
        <v>216866.43</v>
      </c>
      <c r="U50" s="45">
        <v>216866.43</v>
      </c>
      <c r="V50" s="45">
        <v>216866.43</v>
      </c>
      <c r="W50" s="45">
        <v>216866.43</v>
      </c>
      <c r="X50" s="45">
        <v>216866.43</v>
      </c>
      <c r="Y50" s="45">
        <v>216866.43</v>
      </c>
      <c r="Z50" s="45">
        <v>216866.43</v>
      </c>
      <c r="AA50" s="45">
        <v>216866.43</v>
      </c>
      <c r="AB50" s="45">
        <v>216866.43</v>
      </c>
      <c r="AC50" s="45">
        <v>216866.43</v>
      </c>
      <c r="AD50" s="45">
        <v>216866.43</v>
      </c>
      <c r="AE50" s="45">
        <v>216866.43</v>
      </c>
      <c r="AF50" s="45">
        <v>216866.43</v>
      </c>
      <c r="AG50" s="45">
        <v>0</v>
      </c>
      <c r="AH50" s="45"/>
      <c r="AI50" s="45"/>
      <c r="AJ50" s="45"/>
      <c r="AK50" s="45"/>
      <c r="AL50" s="45"/>
      <c r="AM50" s="45"/>
      <c r="AN50" s="45"/>
      <c r="AO50" s="45"/>
    </row>
    <row r="51" spans="2:41" outlineLevel="1" x14ac:dyDescent="0.35">
      <c r="B51" s="27" t="s">
        <v>409</v>
      </c>
      <c r="C51" s="27" t="s">
        <v>51</v>
      </c>
      <c r="D51" s="27" t="s">
        <v>1402</v>
      </c>
      <c r="E51" s="27" t="s">
        <v>51</v>
      </c>
      <c r="F51" s="27" t="s">
        <v>385</v>
      </c>
      <c r="G51" s="27" t="s">
        <v>410</v>
      </c>
      <c r="H51" s="27" t="s">
        <v>54</v>
      </c>
      <c r="I51" s="27" t="s">
        <v>55</v>
      </c>
      <c r="J51" s="27" t="s">
        <v>393</v>
      </c>
      <c r="K51" s="27" t="s">
        <v>371</v>
      </c>
      <c r="L51" s="27" t="s">
        <v>371</v>
      </c>
      <c r="M51" s="27" t="s">
        <v>371</v>
      </c>
      <c r="N51" s="27" t="s">
        <v>371</v>
      </c>
      <c r="O51" s="27" t="s">
        <v>371</v>
      </c>
      <c r="P51" s="27" t="s">
        <v>371</v>
      </c>
      <c r="Q51" s="27" t="s">
        <v>372</v>
      </c>
      <c r="R51" s="45">
        <v>7864.94</v>
      </c>
      <c r="S51" s="45">
        <v>7864.94</v>
      </c>
      <c r="T51" s="45">
        <v>7864.94</v>
      </c>
      <c r="U51" s="45">
        <v>7864.94</v>
      </c>
      <c r="V51" s="45">
        <v>7864.94</v>
      </c>
      <c r="W51" s="45">
        <v>7864.94</v>
      </c>
      <c r="X51" s="45">
        <v>7864.94</v>
      </c>
      <c r="Y51" s="45">
        <v>7864.94</v>
      </c>
      <c r="Z51" s="45">
        <v>7864.94</v>
      </c>
      <c r="AA51" s="45">
        <v>7864.94</v>
      </c>
      <c r="AB51" s="45">
        <v>7864.94</v>
      </c>
      <c r="AC51" s="45">
        <v>7864.94</v>
      </c>
      <c r="AD51" s="45">
        <v>7864.94</v>
      </c>
      <c r="AE51" s="45">
        <v>7864.94</v>
      </c>
      <c r="AF51" s="45">
        <v>7864.94</v>
      </c>
      <c r="AG51" s="45">
        <v>0</v>
      </c>
      <c r="AH51" s="45"/>
      <c r="AI51" s="45"/>
      <c r="AJ51" s="45"/>
      <c r="AK51" s="45"/>
      <c r="AL51" s="45"/>
      <c r="AM51" s="45"/>
      <c r="AN51" s="45"/>
      <c r="AO51" s="45"/>
    </row>
    <row r="52" spans="2:41" outlineLevel="1" x14ac:dyDescent="0.35">
      <c r="B52" s="27" t="s">
        <v>411</v>
      </c>
      <c r="C52" s="27" t="s">
        <v>51</v>
      </c>
      <c r="D52" s="27" t="s">
        <v>1403</v>
      </c>
      <c r="E52" s="27" t="s">
        <v>51</v>
      </c>
      <c r="F52" s="27" t="s">
        <v>385</v>
      </c>
      <c r="G52" s="27" t="s">
        <v>412</v>
      </c>
      <c r="H52" s="27" t="s">
        <v>54</v>
      </c>
      <c r="I52" s="27" t="s">
        <v>55</v>
      </c>
      <c r="J52" s="27" t="s">
        <v>393</v>
      </c>
      <c r="K52" s="27" t="s">
        <v>371</v>
      </c>
      <c r="L52" s="27" t="s">
        <v>371</v>
      </c>
      <c r="M52" s="27" t="s">
        <v>371</v>
      </c>
      <c r="N52" s="27" t="s">
        <v>371</v>
      </c>
      <c r="O52" s="27" t="s">
        <v>371</v>
      </c>
      <c r="P52" s="27" t="s">
        <v>371</v>
      </c>
      <c r="Q52" s="27" t="s">
        <v>372</v>
      </c>
      <c r="R52" s="45">
        <v>463382.99</v>
      </c>
      <c r="S52" s="45">
        <v>463382.99</v>
      </c>
      <c r="T52" s="45">
        <v>463382.99</v>
      </c>
      <c r="U52" s="45">
        <v>463382.99</v>
      </c>
      <c r="V52" s="45">
        <v>463382.99</v>
      </c>
      <c r="W52" s="45">
        <v>463382.99</v>
      </c>
      <c r="X52" s="45">
        <v>463382.99</v>
      </c>
      <c r="Y52" s="45">
        <v>463382.99</v>
      </c>
      <c r="Z52" s="45">
        <v>463382.99</v>
      </c>
      <c r="AA52" s="45">
        <v>463382.99</v>
      </c>
      <c r="AB52" s="45">
        <v>463382.99</v>
      </c>
      <c r="AC52" s="45">
        <v>463382.99</v>
      </c>
      <c r="AD52" s="45">
        <v>463382.99</v>
      </c>
      <c r="AE52" s="45">
        <v>463382.99</v>
      </c>
      <c r="AF52" s="45">
        <v>463382.99</v>
      </c>
      <c r="AG52" s="45">
        <v>0</v>
      </c>
      <c r="AH52" s="45"/>
      <c r="AI52" s="45"/>
      <c r="AJ52" s="45"/>
      <c r="AK52" s="45"/>
      <c r="AL52" s="45"/>
      <c r="AM52" s="45"/>
      <c r="AN52" s="45"/>
      <c r="AO52" s="45"/>
    </row>
    <row r="53" spans="2:41" outlineLevel="1" x14ac:dyDescent="0.35">
      <c r="B53" s="27" t="s">
        <v>413</v>
      </c>
      <c r="C53" s="27" t="s">
        <v>51</v>
      </c>
      <c r="D53" s="27" t="s">
        <v>1404</v>
      </c>
      <c r="E53" s="27" t="s">
        <v>51</v>
      </c>
      <c r="F53" s="27" t="s">
        <v>385</v>
      </c>
      <c r="G53" s="27" t="s">
        <v>414</v>
      </c>
      <c r="H53" s="27" t="s">
        <v>54</v>
      </c>
      <c r="I53" s="27" t="s">
        <v>55</v>
      </c>
      <c r="J53" s="27" t="s">
        <v>393</v>
      </c>
      <c r="K53" s="27" t="s">
        <v>371</v>
      </c>
      <c r="L53" s="27" t="s">
        <v>371</v>
      </c>
      <c r="M53" s="27" t="s">
        <v>371</v>
      </c>
      <c r="N53" s="27" t="s">
        <v>371</v>
      </c>
      <c r="O53" s="27" t="s">
        <v>371</v>
      </c>
      <c r="P53" s="27" t="s">
        <v>371</v>
      </c>
      <c r="Q53" s="27" t="s">
        <v>372</v>
      </c>
      <c r="R53" s="45">
        <v>160975.06</v>
      </c>
      <c r="S53" s="45">
        <v>160975.06</v>
      </c>
      <c r="T53" s="45">
        <v>160975.06</v>
      </c>
      <c r="U53" s="45">
        <v>160975.06</v>
      </c>
      <c r="V53" s="45">
        <v>160975.06</v>
      </c>
      <c r="W53" s="45">
        <v>160975.06</v>
      </c>
      <c r="X53" s="45">
        <v>160975.06</v>
      </c>
      <c r="Y53" s="45">
        <v>160975.06</v>
      </c>
      <c r="Z53" s="45">
        <v>160975.06</v>
      </c>
      <c r="AA53" s="45">
        <v>160975.06</v>
      </c>
      <c r="AB53" s="45">
        <v>160975.06</v>
      </c>
      <c r="AC53" s="45">
        <v>160975.06</v>
      </c>
      <c r="AD53" s="45">
        <v>160975.06</v>
      </c>
      <c r="AE53" s="45">
        <v>160975.06</v>
      </c>
      <c r="AF53" s="45">
        <v>160975.06</v>
      </c>
      <c r="AG53" s="45">
        <v>0</v>
      </c>
      <c r="AH53" s="45"/>
      <c r="AI53" s="45"/>
      <c r="AJ53" s="45"/>
      <c r="AK53" s="45"/>
      <c r="AL53" s="45"/>
      <c r="AM53" s="45"/>
      <c r="AN53" s="45"/>
      <c r="AO53" s="45"/>
    </row>
    <row r="54" spans="2:41" outlineLevel="1" x14ac:dyDescent="0.35">
      <c r="B54" s="27" t="s">
        <v>415</v>
      </c>
      <c r="C54" s="27" t="s">
        <v>51</v>
      </c>
      <c r="D54" s="27" t="s">
        <v>1405</v>
      </c>
      <c r="E54" s="27" t="s">
        <v>51</v>
      </c>
      <c r="F54" s="27" t="s">
        <v>385</v>
      </c>
      <c r="G54" s="27" t="s">
        <v>416</v>
      </c>
      <c r="H54" s="27" t="s">
        <v>54</v>
      </c>
      <c r="I54" s="27" t="s">
        <v>55</v>
      </c>
      <c r="J54" s="27" t="s">
        <v>393</v>
      </c>
      <c r="K54" s="27" t="s">
        <v>371</v>
      </c>
      <c r="L54" s="27" t="s">
        <v>371</v>
      </c>
      <c r="M54" s="27" t="s">
        <v>371</v>
      </c>
      <c r="N54" s="27" t="s">
        <v>371</v>
      </c>
      <c r="O54" s="27" t="s">
        <v>371</v>
      </c>
      <c r="P54" s="27" t="s">
        <v>371</v>
      </c>
      <c r="Q54" s="27" t="s">
        <v>372</v>
      </c>
      <c r="R54" s="45">
        <v>28405.58</v>
      </c>
      <c r="S54" s="45">
        <v>28405.58</v>
      </c>
      <c r="T54" s="45">
        <v>28405.58</v>
      </c>
      <c r="U54" s="45">
        <v>28405.58</v>
      </c>
      <c r="V54" s="45">
        <v>28405.58</v>
      </c>
      <c r="W54" s="45">
        <v>28405.58</v>
      </c>
      <c r="X54" s="45">
        <v>28405.58</v>
      </c>
      <c r="Y54" s="45">
        <v>28405.58</v>
      </c>
      <c r="Z54" s="45">
        <v>28405.58</v>
      </c>
      <c r="AA54" s="45">
        <v>28405.58</v>
      </c>
      <c r="AB54" s="45">
        <v>28405.58</v>
      </c>
      <c r="AC54" s="45">
        <v>28405.58</v>
      </c>
      <c r="AD54" s="45">
        <v>28405.58</v>
      </c>
      <c r="AE54" s="45">
        <v>28405.58</v>
      </c>
      <c r="AF54" s="45">
        <v>28405.58</v>
      </c>
      <c r="AG54" s="45">
        <v>0</v>
      </c>
      <c r="AH54" s="45"/>
      <c r="AI54" s="45"/>
      <c r="AJ54" s="45"/>
      <c r="AK54" s="45"/>
      <c r="AL54" s="45"/>
      <c r="AM54" s="45"/>
      <c r="AN54" s="45"/>
      <c r="AO54" s="45"/>
    </row>
    <row r="55" spans="2:41" outlineLevel="1" x14ac:dyDescent="0.35">
      <c r="B55" s="27" t="s">
        <v>417</v>
      </c>
      <c r="C55" s="27" t="s">
        <v>51</v>
      </c>
      <c r="D55" s="27" t="s">
        <v>1406</v>
      </c>
      <c r="E55" s="27" t="s">
        <v>51</v>
      </c>
      <c r="F55" s="27" t="s">
        <v>385</v>
      </c>
      <c r="G55" s="27" t="s">
        <v>418</v>
      </c>
      <c r="H55" s="27" t="s">
        <v>54</v>
      </c>
      <c r="I55" s="27" t="s">
        <v>55</v>
      </c>
      <c r="J55" s="27" t="s">
        <v>393</v>
      </c>
      <c r="K55" s="27" t="s">
        <v>371</v>
      </c>
      <c r="L55" s="27" t="s">
        <v>371</v>
      </c>
      <c r="M55" s="27" t="s">
        <v>371</v>
      </c>
      <c r="N55" s="27" t="s">
        <v>371</v>
      </c>
      <c r="O55" s="27" t="s">
        <v>371</v>
      </c>
      <c r="P55" s="27" t="s">
        <v>371</v>
      </c>
      <c r="Q55" s="27" t="s">
        <v>372</v>
      </c>
      <c r="R55" s="45">
        <v>88376.73</v>
      </c>
      <c r="S55" s="45">
        <v>88376.73</v>
      </c>
      <c r="T55" s="45">
        <v>88376.73</v>
      </c>
      <c r="U55" s="45">
        <v>88376.73</v>
      </c>
      <c r="V55" s="45">
        <v>88376.73</v>
      </c>
      <c r="W55" s="45">
        <v>88376.73</v>
      </c>
      <c r="X55" s="45">
        <v>88376.73</v>
      </c>
      <c r="Y55" s="45">
        <v>88376.73</v>
      </c>
      <c r="Z55" s="45">
        <v>88376.73</v>
      </c>
      <c r="AA55" s="45">
        <v>88376.73</v>
      </c>
      <c r="AB55" s="45">
        <v>88376.73</v>
      </c>
      <c r="AC55" s="45">
        <v>88376.73</v>
      </c>
      <c r="AD55" s="45">
        <v>88376.73</v>
      </c>
      <c r="AE55" s="45">
        <v>88376.73</v>
      </c>
      <c r="AF55" s="45">
        <v>88376.73</v>
      </c>
      <c r="AG55" s="45">
        <v>0</v>
      </c>
      <c r="AH55" s="45"/>
      <c r="AI55" s="45"/>
      <c r="AJ55" s="45"/>
      <c r="AK55" s="45"/>
      <c r="AL55" s="45"/>
      <c r="AM55" s="45"/>
      <c r="AN55" s="45"/>
      <c r="AO55" s="45"/>
    </row>
    <row r="56" spans="2:41" outlineLevel="1" x14ac:dyDescent="0.35">
      <c r="B56" s="27" t="s">
        <v>419</v>
      </c>
      <c r="C56" s="27" t="s">
        <v>51</v>
      </c>
      <c r="D56" s="27" t="s">
        <v>1407</v>
      </c>
      <c r="E56" s="27" t="s">
        <v>51</v>
      </c>
      <c r="F56" s="27" t="s">
        <v>385</v>
      </c>
      <c r="G56" s="27" t="s">
        <v>420</v>
      </c>
      <c r="H56" s="27" t="s">
        <v>54</v>
      </c>
      <c r="I56" s="27" t="s">
        <v>55</v>
      </c>
      <c r="J56" s="27" t="s">
        <v>393</v>
      </c>
      <c r="K56" s="27" t="s">
        <v>371</v>
      </c>
      <c r="L56" s="27" t="s">
        <v>371</v>
      </c>
      <c r="M56" s="27" t="s">
        <v>371</v>
      </c>
      <c r="N56" s="27" t="s">
        <v>371</v>
      </c>
      <c r="O56" s="27" t="s">
        <v>371</v>
      </c>
      <c r="P56" s="27" t="s">
        <v>371</v>
      </c>
      <c r="Q56" s="27" t="s">
        <v>372</v>
      </c>
      <c r="R56" s="45">
        <v>77369.02</v>
      </c>
      <c r="S56" s="45">
        <v>77369.02</v>
      </c>
      <c r="T56" s="45">
        <v>77369.02</v>
      </c>
      <c r="U56" s="45">
        <v>77369.02</v>
      </c>
      <c r="V56" s="45">
        <v>77369.02</v>
      </c>
      <c r="W56" s="45">
        <v>77369.02</v>
      </c>
      <c r="X56" s="45">
        <v>77369.02</v>
      </c>
      <c r="Y56" s="45">
        <v>77369.02</v>
      </c>
      <c r="Z56" s="45">
        <v>77369.02</v>
      </c>
      <c r="AA56" s="45">
        <v>77369.02</v>
      </c>
      <c r="AB56" s="45">
        <v>77369.02</v>
      </c>
      <c r="AC56" s="45">
        <v>77369.02</v>
      </c>
      <c r="AD56" s="45">
        <v>77369.02</v>
      </c>
      <c r="AE56" s="45">
        <v>77369.02</v>
      </c>
      <c r="AF56" s="45">
        <v>77369.02</v>
      </c>
      <c r="AG56" s="45">
        <v>0</v>
      </c>
      <c r="AH56" s="45"/>
      <c r="AI56" s="45"/>
      <c r="AJ56" s="45"/>
      <c r="AK56" s="45"/>
      <c r="AL56" s="45"/>
      <c r="AM56" s="45"/>
      <c r="AN56" s="45"/>
      <c r="AO56" s="45"/>
    </row>
    <row r="57" spans="2:41" outlineLevel="1" x14ac:dyDescent="0.35">
      <c r="B57" s="27" t="s">
        <v>421</v>
      </c>
      <c r="C57" s="27" t="s">
        <v>51</v>
      </c>
      <c r="D57" s="27" t="s">
        <v>1408</v>
      </c>
      <c r="E57" s="27" t="s">
        <v>51</v>
      </c>
      <c r="F57" s="27" t="s">
        <v>385</v>
      </c>
      <c r="G57" s="27" t="s">
        <v>422</v>
      </c>
      <c r="H57" s="27" t="s">
        <v>54</v>
      </c>
      <c r="I57" s="27" t="s">
        <v>55</v>
      </c>
      <c r="J57" s="27" t="s">
        <v>393</v>
      </c>
      <c r="K57" s="27" t="s">
        <v>371</v>
      </c>
      <c r="L57" s="27" t="s">
        <v>371</v>
      </c>
      <c r="M57" s="27" t="s">
        <v>371</v>
      </c>
      <c r="N57" s="27" t="s">
        <v>371</v>
      </c>
      <c r="O57" s="27" t="s">
        <v>371</v>
      </c>
      <c r="P57" s="27" t="s">
        <v>371</v>
      </c>
      <c r="Q57" s="27" t="s">
        <v>372</v>
      </c>
      <c r="R57" s="45">
        <v>147267.17000000001</v>
      </c>
      <c r="S57" s="45">
        <v>147267.17000000001</v>
      </c>
      <c r="T57" s="45">
        <v>147267.17000000001</v>
      </c>
      <c r="U57" s="45">
        <v>147267.17000000001</v>
      </c>
      <c r="V57" s="45">
        <v>147267.17000000001</v>
      </c>
      <c r="W57" s="45">
        <v>147267.17000000001</v>
      </c>
      <c r="X57" s="45">
        <v>147267.17000000001</v>
      </c>
      <c r="Y57" s="45">
        <v>147267.17000000001</v>
      </c>
      <c r="Z57" s="45">
        <v>147267.17000000001</v>
      </c>
      <c r="AA57" s="45">
        <v>147267.17000000001</v>
      </c>
      <c r="AB57" s="45">
        <v>147267.17000000001</v>
      </c>
      <c r="AC57" s="45">
        <v>147267.17000000001</v>
      </c>
      <c r="AD57" s="45">
        <v>147267.17000000001</v>
      </c>
      <c r="AE57" s="45">
        <v>147267.17000000001</v>
      </c>
      <c r="AF57" s="45">
        <v>147267.17000000001</v>
      </c>
      <c r="AG57" s="45">
        <v>0</v>
      </c>
      <c r="AH57" s="45"/>
      <c r="AI57" s="45"/>
      <c r="AJ57" s="45"/>
      <c r="AK57" s="45"/>
      <c r="AL57" s="45"/>
      <c r="AM57" s="45"/>
      <c r="AN57" s="45"/>
      <c r="AO57" s="45"/>
    </row>
    <row r="58" spans="2:41" outlineLevel="1" x14ac:dyDescent="0.35">
      <c r="B58" s="27" t="s">
        <v>423</v>
      </c>
      <c r="C58" s="27" t="s">
        <v>51</v>
      </c>
      <c r="D58" s="27" t="s">
        <v>1409</v>
      </c>
      <c r="E58" s="27" t="s">
        <v>51</v>
      </c>
      <c r="F58" s="27" t="s">
        <v>385</v>
      </c>
      <c r="G58" s="27" t="s">
        <v>424</v>
      </c>
      <c r="H58" s="27" t="s">
        <v>54</v>
      </c>
      <c r="I58" s="27" t="s">
        <v>55</v>
      </c>
      <c r="J58" s="27" t="s">
        <v>393</v>
      </c>
      <c r="K58" s="27" t="s">
        <v>371</v>
      </c>
      <c r="L58" s="27" t="s">
        <v>371</v>
      </c>
      <c r="M58" s="27" t="s">
        <v>371</v>
      </c>
      <c r="N58" s="27" t="s">
        <v>371</v>
      </c>
      <c r="O58" s="27" t="s">
        <v>371</v>
      </c>
      <c r="P58" s="27" t="s">
        <v>371</v>
      </c>
      <c r="Q58" s="27" t="s">
        <v>372</v>
      </c>
      <c r="R58" s="45">
        <v>68559.990000000005</v>
      </c>
      <c r="S58" s="45">
        <v>68559.990000000005</v>
      </c>
      <c r="T58" s="45">
        <v>68559.990000000005</v>
      </c>
      <c r="U58" s="45">
        <v>68559.990000000005</v>
      </c>
      <c r="V58" s="45">
        <v>68559.990000000005</v>
      </c>
      <c r="W58" s="45">
        <v>68559.990000000005</v>
      </c>
      <c r="X58" s="45">
        <v>68559.990000000005</v>
      </c>
      <c r="Y58" s="45">
        <v>68559.990000000005</v>
      </c>
      <c r="Z58" s="45">
        <v>68559.990000000005</v>
      </c>
      <c r="AA58" s="45">
        <v>68559.990000000005</v>
      </c>
      <c r="AB58" s="45">
        <v>68559.990000000005</v>
      </c>
      <c r="AC58" s="45">
        <v>68559.990000000005</v>
      </c>
      <c r="AD58" s="45">
        <v>68559.990000000005</v>
      </c>
      <c r="AE58" s="45">
        <v>68559.990000000005</v>
      </c>
      <c r="AF58" s="45">
        <v>68559.990000000005</v>
      </c>
      <c r="AG58" s="45">
        <v>0</v>
      </c>
      <c r="AH58" s="45"/>
      <c r="AI58" s="45"/>
      <c r="AJ58" s="45"/>
      <c r="AK58" s="45"/>
      <c r="AL58" s="45"/>
      <c r="AM58" s="45"/>
      <c r="AN58" s="45"/>
      <c r="AO58" s="45"/>
    </row>
    <row r="59" spans="2:41" outlineLevel="1" x14ac:dyDescent="0.35">
      <c r="B59" s="27" t="s">
        <v>425</v>
      </c>
      <c r="C59" s="27" t="s">
        <v>51</v>
      </c>
      <c r="D59" s="27" t="s">
        <v>1410</v>
      </c>
      <c r="E59" s="27" t="s">
        <v>51</v>
      </c>
      <c r="F59" s="27" t="s">
        <v>385</v>
      </c>
      <c r="G59" s="27" t="s">
        <v>426</v>
      </c>
      <c r="H59" s="27" t="s">
        <v>54</v>
      </c>
      <c r="I59" s="27" t="s">
        <v>55</v>
      </c>
      <c r="J59" s="27" t="s">
        <v>393</v>
      </c>
      <c r="K59" s="27" t="s">
        <v>371</v>
      </c>
      <c r="L59" s="27" t="s">
        <v>371</v>
      </c>
      <c r="M59" s="27" t="s">
        <v>371</v>
      </c>
      <c r="N59" s="27" t="s">
        <v>371</v>
      </c>
      <c r="O59" s="27" t="s">
        <v>371</v>
      </c>
      <c r="P59" s="27" t="s">
        <v>371</v>
      </c>
      <c r="Q59" s="27" t="s">
        <v>372</v>
      </c>
      <c r="R59" s="45">
        <v>194979.88</v>
      </c>
      <c r="S59" s="45">
        <v>194979.88</v>
      </c>
      <c r="T59" s="45">
        <v>194979.88</v>
      </c>
      <c r="U59" s="45">
        <v>194979.88</v>
      </c>
      <c r="V59" s="45">
        <v>194979.88</v>
      </c>
      <c r="W59" s="45">
        <v>194979.88</v>
      </c>
      <c r="X59" s="45">
        <v>194979.88</v>
      </c>
      <c r="Y59" s="45">
        <v>194979.88</v>
      </c>
      <c r="Z59" s="45">
        <v>194979.88</v>
      </c>
      <c r="AA59" s="45">
        <v>194979.88</v>
      </c>
      <c r="AB59" s="45">
        <v>194979.88</v>
      </c>
      <c r="AC59" s="45">
        <v>194979.88</v>
      </c>
      <c r="AD59" s="45">
        <v>194979.88</v>
      </c>
      <c r="AE59" s="45">
        <v>194979.88</v>
      </c>
      <c r="AF59" s="45">
        <v>194979.88</v>
      </c>
      <c r="AG59" s="45">
        <v>0</v>
      </c>
      <c r="AH59" s="45"/>
      <c r="AI59" s="45"/>
      <c r="AJ59" s="45"/>
      <c r="AK59" s="45"/>
      <c r="AL59" s="45"/>
      <c r="AM59" s="45"/>
      <c r="AN59" s="45"/>
      <c r="AO59" s="45"/>
    </row>
    <row r="60" spans="2:41" outlineLevel="1" x14ac:dyDescent="0.35">
      <c r="B60" s="27" t="s">
        <v>427</v>
      </c>
      <c r="C60" s="27" t="s">
        <v>51</v>
      </c>
      <c r="D60" s="27" t="s">
        <v>1411</v>
      </c>
      <c r="E60" s="27" t="s">
        <v>51</v>
      </c>
      <c r="F60" s="27" t="s">
        <v>385</v>
      </c>
      <c r="G60" s="27" t="s">
        <v>428</v>
      </c>
      <c r="H60" s="27" t="s">
        <v>54</v>
      </c>
      <c r="I60" s="27" t="s">
        <v>55</v>
      </c>
      <c r="J60" s="27" t="s">
        <v>393</v>
      </c>
      <c r="K60" s="27" t="s">
        <v>371</v>
      </c>
      <c r="L60" s="27" t="s">
        <v>371</v>
      </c>
      <c r="M60" s="27" t="s">
        <v>371</v>
      </c>
      <c r="N60" s="27" t="s">
        <v>371</v>
      </c>
      <c r="O60" s="27" t="s">
        <v>371</v>
      </c>
      <c r="P60" s="27" t="s">
        <v>371</v>
      </c>
      <c r="Q60" s="27" t="s">
        <v>372</v>
      </c>
      <c r="R60" s="45">
        <v>520532.95</v>
      </c>
      <c r="S60" s="45">
        <v>520532.95</v>
      </c>
      <c r="T60" s="45">
        <v>520532.95</v>
      </c>
      <c r="U60" s="45">
        <v>520532.95</v>
      </c>
      <c r="V60" s="45">
        <v>520532.95</v>
      </c>
      <c r="W60" s="45">
        <v>520532.95</v>
      </c>
      <c r="X60" s="45">
        <v>520532.95</v>
      </c>
      <c r="Y60" s="45">
        <v>520532.95</v>
      </c>
      <c r="Z60" s="45">
        <v>520532.95</v>
      </c>
      <c r="AA60" s="45">
        <v>520532.95</v>
      </c>
      <c r="AB60" s="45">
        <v>520532.95</v>
      </c>
      <c r="AC60" s="45">
        <v>520532.95</v>
      </c>
      <c r="AD60" s="45">
        <v>520532.95</v>
      </c>
      <c r="AE60" s="45">
        <v>520532.95</v>
      </c>
      <c r="AF60" s="45">
        <v>520532.95</v>
      </c>
      <c r="AG60" s="45">
        <v>0</v>
      </c>
      <c r="AH60" s="45"/>
      <c r="AI60" s="45"/>
      <c r="AJ60" s="45"/>
      <c r="AK60" s="45"/>
      <c r="AL60" s="45"/>
      <c r="AM60" s="45"/>
      <c r="AN60" s="45"/>
      <c r="AO60" s="45"/>
    </row>
    <row r="61" spans="2:41" outlineLevel="1" x14ac:dyDescent="0.35">
      <c r="B61" s="27" t="s">
        <v>429</v>
      </c>
      <c r="C61" s="27" t="s">
        <v>51</v>
      </c>
      <c r="D61" s="27" t="s">
        <v>1412</v>
      </c>
      <c r="E61" s="27" t="s">
        <v>51</v>
      </c>
      <c r="F61" s="27" t="s">
        <v>385</v>
      </c>
      <c r="G61" s="27" t="s">
        <v>430</v>
      </c>
      <c r="H61" s="27" t="s">
        <v>54</v>
      </c>
      <c r="I61" s="27" t="s">
        <v>55</v>
      </c>
      <c r="J61" s="27" t="s">
        <v>393</v>
      </c>
      <c r="K61" s="27" t="s">
        <v>371</v>
      </c>
      <c r="L61" s="27" t="s">
        <v>371</v>
      </c>
      <c r="M61" s="27" t="s">
        <v>371</v>
      </c>
      <c r="N61" s="27" t="s">
        <v>371</v>
      </c>
      <c r="O61" s="27" t="s">
        <v>371</v>
      </c>
      <c r="P61" s="27" t="s">
        <v>371</v>
      </c>
      <c r="Q61" s="27" t="s">
        <v>372</v>
      </c>
      <c r="R61" s="45">
        <v>765374.27</v>
      </c>
      <c r="S61" s="45">
        <v>765374.27</v>
      </c>
      <c r="T61" s="45">
        <v>765374.27</v>
      </c>
      <c r="U61" s="45">
        <v>765374.27</v>
      </c>
      <c r="V61" s="45">
        <v>765374.27</v>
      </c>
      <c r="W61" s="45">
        <v>765374.27</v>
      </c>
      <c r="X61" s="45">
        <v>765374.27</v>
      </c>
      <c r="Y61" s="45">
        <v>765374.27</v>
      </c>
      <c r="Z61" s="45">
        <v>765374.27</v>
      </c>
      <c r="AA61" s="45">
        <v>765374.27</v>
      </c>
      <c r="AB61" s="45">
        <v>765374.27</v>
      </c>
      <c r="AC61" s="45">
        <v>765374.27</v>
      </c>
      <c r="AD61" s="45">
        <v>765374.27</v>
      </c>
      <c r="AE61" s="45">
        <v>765374.27</v>
      </c>
      <c r="AF61" s="45">
        <v>765374.27</v>
      </c>
      <c r="AG61" s="45">
        <v>0</v>
      </c>
      <c r="AH61" s="45"/>
      <c r="AI61" s="45"/>
      <c r="AJ61" s="45"/>
      <c r="AK61" s="45"/>
      <c r="AL61" s="45"/>
      <c r="AM61" s="45"/>
      <c r="AN61" s="45"/>
      <c r="AO61" s="45"/>
    </row>
    <row r="62" spans="2:41" outlineLevel="1" x14ac:dyDescent="0.35">
      <c r="B62" s="27" t="s">
        <v>1198</v>
      </c>
      <c r="C62" s="27" t="s">
        <v>51</v>
      </c>
      <c r="D62" s="27" t="s">
        <v>1777</v>
      </c>
      <c r="E62" s="27" t="s">
        <v>51</v>
      </c>
      <c r="F62" s="27" t="s">
        <v>385</v>
      </c>
      <c r="G62" s="27" t="s">
        <v>1962</v>
      </c>
      <c r="H62" s="27" t="s">
        <v>54</v>
      </c>
      <c r="I62" s="27" t="s">
        <v>55</v>
      </c>
      <c r="J62" s="27" t="s">
        <v>393</v>
      </c>
      <c r="K62" s="27" t="s">
        <v>371</v>
      </c>
      <c r="L62" s="27" t="s">
        <v>371</v>
      </c>
      <c r="M62" s="27" t="s">
        <v>371</v>
      </c>
      <c r="N62" s="27" t="s">
        <v>371</v>
      </c>
      <c r="O62" s="27" t="s">
        <v>371</v>
      </c>
      <c r="P62" s="27" t="s">
        <v>371</v>
      </c>
      <c r="Q62" s="27" t="s">
        <v>372</v>
      </c>
      <c r="R62" s="45">
        <v>-1026459.2</v>
      </c>
      <c r="S62" s="45">
        <v>-1070714.58</v>
      </c>
      <c r="T62" s="45">
        <v>-1114969.96</v>
      </c>
      <c r="U62" s="45">
        <v>-1159225.3399999999</v>
      </c>
      <c r="V62" s="45">
        <v>-1203480.72</v>
      </c>
      <c r="W62" s="45">
        <v>-1247736.0999999999</v>
      </c>
      <c r="X62" s="45">
        <v>-1291991.48</v>
      </c>
      <c r="Y62" s="45">
        <v>-1336246.8600000001</v>
      </c>
      <c r="Z62" s="45">
        <v>-1380854.9500000002</v>
      </c>
      <c r="AA62" s="45">
        <v>-1426268.36</v>
      </c>
      <c r="AB62" s="45">
        <v>-1472405.66</v>
      </c>
      <c r="AC62" s="45">
        <v>-1518746.12</v>
      </c>
      <c r="AD62" s="45">
        <v>-1566469.92</v>
      </c>
      <c r="AE62" s="45">
        <v>-1614507.82</v>
      </c>
      <c r="AF62" s="45">
        <v>-1672325.19</v>
      </c>
      <c r="AG62" s="45">
        <v>-1726471.19</v>
      </c>
      <c r="AH62" s="45"/>
      <c r="AI62" s="45"/>
      <c r="AJ62" s="45"/>
      <c r="AK62" s="45"/>
      <c r="AL62" s="45"/>
      <c r="AM62" s="45"/>
      <c r="AN62" s="45"/>
      <c r="AO62" s="45"/>
    </row>
    <row r="63" spans="2:41" outlineLevel="1" x14ac:dyDescent="0.35">
      <c r="B63" s="27" t="s">
        <v>1199</v>
      </c>
      <c r="C63" s="27" t="s">
        <v>51</v>
      </c>
      <c r="D63" s="27" t="s">
        <v>1778</v>
      </c>
      <c r="E63" s="27" t="s">
        <v>51</v>
      </c>
      <c r="F63" s="27" t="s">
        <v>90</v>
      </c>
      <c r="G63" s="27" t="s">
        <v>1969</v>
      </c>
      <c r="H63" s="27" t="s">
        <v>54</v>
      </c>
      <c r="I63" s="27" t="s">
        <v>55</v>
      </c>
      <c r="J63" s="27" t="s">
        <v>393</v>
      </c>
      <c r="K63" s="27" t="s">
        <v>371</v>
      </c>
      <c r="L63" s="27" t="s">
        <v>371</v>
      </c>
      <c r="M63" s="27" t="s">
        <v>371</v>
      </c>
      <c r="N63" s="27" t="s">
        <v>371</v>
      </c>
      <c r="O63" s="27" t="s">
        <v>371</v>
      </c>
      <c r="P63" s="27" t="s">
        <v>371</v>
      </c>
      <c r="Q63" s="27" t="s">
        <v>372</v>
      </c>
      <c r="R63" s="45">
        <v>-6432542.2300000004</v>
      </c>
      <c r="S63" s="45">
        <v>-6805445.1600000001</v>
      </c>
      <c r="T63" s="45">
        <v>-7181202.6100000003</v>
      </c>
      <c r="U63" s="45">
        <v>-7605532.1900000004</v>
      </c>
      <c r="V63" s="45">
        <v>-8029861.7700000005</v>
      </c>
      <c r="W63" s="45">
        <v>-8454612.7699999996</v>
      </c>
      <c r="X63" s="45">
        <v>-9026396.9600000009</v>
      </c>
      <c r="Y63" s="45">
        <v>-9475240.9100000001</v>
      </c>
      <c r="Z63" s="45">
        <v>-9924657.2300000004</v>
      </c>
      <c r="AA63" s="45">
        <v>-10374138.99</v>
      </c>
      <c r="AB63" s="45">
        <v>-10871385.85</v>
      </c>
      <c r="AC63" s="45">
        <v>-11377722.960000001</v>
      </c>
      <c r="AD63" s="45">
        <v>-12025983.32</v>
      </c>
      <c r="AE63" s="45">
        <v>-12611726.66</v>
      </c>
      <c r="AF63" s="45">
        <v>-13371610.949999999</v>
      </c>
      <c r="AG63" s="45">
        <v>-8583671.0600000005</v>
      </c>
      <c r="AH63" s="45"/>
      <c r="AI63" s="45"/>
      <c r="AJ63" s="45"/>
      <c r="AK63" s="45"/>
      <c r="AL63" s="45"/>
      <c r="AM63" s="45"/>
      <c r="AN63" s="45"/>
      <c r="AO63" s="45"/>
    </row>
    <row r="64" spans="2:41" outlineLevel="1" x14ac:dyDescent="0.35">
      <c r="B64" s="27" t="s">
        <v>1200</v>
      </c>
      <c r="C64" s="27" t="s">
        <v>51</v>
      </c>
      <c r="D64" s="27" t="s">
        <v>1779</v>
      </c>
      <c r="E64" s="27" t="s">
        <v>51</v>
      </c>
      <c r="F64" s="27" t="s">
        <v>90</v>
      </c>
      <c r="G64" s="27" t="s">
        <v>1414</v>
      </c>
      <c r="H64" s="27" t="s">
        <v>54</v>
      </c>
      <c r="I64" s="27" t="s">
        <v>55</v>
      </c>
      <c r="J64" s="27" t="s">
        <v>393</v>
      </c>
      <c r="K64" s="27" t="s">
        <v>371</v>
      </c>
      <c r="L64" s="27" t="s">
        <v>371</v>
      </c>
      <c r="M64" s="27" t="s">
        <v>371</v>
      </c>
      <c r="N64" s="27" t="s">
        <v>371</v>
      </c>
      <c r="O64" s="27" t="s">
        <v>371</v>
      </c>
      <c r="P64" s="27" t="s">
        <v>371</v>
      </c>
      <c r="Q64" s="27" t="s">
        <v>372</v>
      </c>
      <c r="R64" s="45">
        <v>-15867350.390000001</v>
      </c>
      <c r="S64" s="45">
        <v>-16653492.26</v>
      </c>
      <c r="T64" s="45">
        <v>-17402800.419999998</v>
      </c>
      <c r="U64" s="45">
        <v>-18610567.190000001</v>
      </c>
      <c r="V64" s="45">
        <v>-19677972.240000002</v>
      </c>
      <c r="W64" s="45">
        <v>-20745377.829999998</v>
      </c>
      <c r="X64" s="45">
        <v>-21861540</v>
      </c>
      <c r="Y64" s="45">
        <v>-23000677.640000001</v>
      </c>
      <c r="Z64" s="45">
        <v>-24139815.280000001</v>
      </c>
      <c r="AA64" s="45">
        <v>-25320348.379999999</v>
      </c>
      <c r="AB64" s="45">
        <v>-26681625.57</v>
      </c>
      <c r="AC64" s="45">
        <v>-34893391.25</v>
      </c>
      <c r="AD64" s="45">
        <v>-37408238.939999998</v>
      </c>
      <c r="AE64" s="45">
        <v>-39923086.310000002</v>
      </c>
      <c r="AF64" s="45">
        <v>-42741469.520000003</v>
      </c>
      <c r="AG64" s="45">
        <v>-44014652.93</v>
      </c>
      <c r="AH64" s="45"/>
      <c r="AI64" s="45"/>
      <c r="AJ64" s="45"/>
      <c r="AK64" s="45"/>
      <c r="AL64" s="45"/>
      <c r="AM64" s="45"/>
      <c r="AN64" s="45"/>
      <c r="AO64" s="45"/>
    </row>
    <row r="65" spans="2:41" outlineLevel="1" x14ac:dyDescent="0.35">
      <c r="B65" s="27" t="s">
        <v>1201</v>
      </c>
      <c r="C65" s="27" t="s">
        <v>51</v>
      </c>
      <c r="D65" s="27" t="s">
        <v>1780</v>
      </c>
      <c r="E65" s="27" t="s">
        <v>51</v>
      </c>
      <c r="F65" s="27" t="s">
        <v>90</v>
      </c>
      <c r="G65" s="27" t="s">
        <v>1971</v>
      </c>
      <c r="H65" s="27" t="s">
        <v>54</v>
      </c>
      <c r="I65" s="27" t="s">
        <v>55</v>
      </c>
      <c r="J65" s="27" t="s">
        <v>393</v>
      </c>
      <c r="K65" s="27" t="s">
        <v>371</v>
      </c>
      <c r="L65" s="27" t="s">
        <v>371</v>
      </c>
      <c r="M65" s="27" t="s">
        <v>371</v>
      </c>
      <c r="N65" s="27" t="s">
        <v>371</v>
      </c>
      <c r="O65" s="27" t="s">
        <v>371</v>
      </c>
      <c r="P65" s="27" t="s">
        <v>371</v>
      </c>
      <c r="Q65" s="27" t="s">
        <v>372</v>
      </c>
      <c r="R65" s="45">
        <v>-6787163.9699999997</v>
      </c>
      <c r="S65" s="45">
        <v>-7407836.6399999997</v>
      </c>
      <c r="T65" s="45">
        <v>-8052809.4299999997</v>
      </c>
      <c r="U65" s="45">
        <v>-8840473.0800000001</v>
      </c>
      <c r="V65" s="45">
        <v>-9636114.0500000007</v>
      </c>
      <c r="W65" s="45">
        <v>-10448542.380000001</v>
      </c>
      <c r="X65" s="45">
        <v>-11684656.67</v>
      </c>
      <c r="Y65" s="45">
        <v>-12557398.91</v>
      </c>
      <c r="Z65" s="45">
        <v>-13425116.15</v>
      </c>
      <c r="AA65" s="45">
        <v>-14303976.029999999</v>
      </c>
      <c r="AB65" s="45">
        <v>-15359897.939999999</v>
      </c>
      <c r="AC65" s="45">
        <v>-16468690.449999999</v>
      </c>
      <c r="AD65" s="45">
        <v>-18242793.640000001</v>
      </c>
      <c r="AE65" s="45">
        <v>-19985241.510000002</v>
      </c>
      <c r="AF65" s="45">
        <v>-21892601.870000001</v>
      </c>
      <c r="AG65" s="45">
        <v>-15330099.300000001</v>
      </c>
      <c r="AH65" s="45"/>
      <c r="AI65" s="45"/>
      <c r="AJ65" s="45"/>
      <c r="AK65" s="45"/>
      <c r="AL65" s="45"/>
      <c r="AM65" s="45"/>
      <c r="AN65" s="45"/>
      <c r="AO65" s="45"/>
    </row>
    <row r="66" spans="2:41" outlineLevel="1" x14ac:dyDescent="0.35">
      <c r="B66" s="27" t="s">
        <v>117</v>
      </c>
      <c r="C66" s="27" t="s">
        <v>51</v>
      </c>
      <c r="D66" s="27" t="s">
        <v>1415</v>
      </c>
      <c r="E66" s="27" t="s">
        <v>51</v>
      </c>
      <c r="F66" s="27" t="s">
        <v>974</v>
      </c>
      <c r="G66" s="27" t="s">
        <v>120</v>
      </c>
      <c r="H66" s="27" t="s">
        <v>54</v>
      </c>
      <c r="I66" s="27" t="s">
        <v>55</v>
      </c>
      <c r="J66" s="27" t="s">
        <v>56</v>
      </c>
      <c r="K66" s="27" t="s">
        <v>371</v>
      </c>
      <c r="L66" s="27" t="s">
        <v>371</v>
      </c>
      <c r="M66" s="27" t="s">
        <v>371</v>
      </c>
      <c r="N66" s="27" t="s">
        <v>371</v>
      </c>
      <c r="O66" s="27" t="s">
        <v>371</v>
      </c>
      <c r="P66" s="27" t="s">
        <v>371</v>
      </c>
      <c r="Q66" s="27" t="s">
        <v>372</v>
      </c>
      <c r="R66" s="45">
        <v>1744431.04</v>
      </c>
      <c r="S66" s="45">
        <v>0</v>
      </c>
      <c r="T66" s="45">
        <v>0</v>
      </c>
      <c r="U66" s="45">
        <v>0</v>
      </c>
      <c r="V66" s="45">
        <v>0</v>
      </c>
      <c r="W66" s="45">
        <v>16096.97</v>
      </c>
      <c r="X66" s="45">
        <v>0</v>
      </c>
      <c r="Y66" s="45">
        <v>0</v>
      </c>
      <c r="Z66" s="45">
        <v>0</v>
      </c>
      <c r="AA66" s="45">
        <v>0</v>
      </c>
      <c r="AB66" s="45">
        <v>0</v>
      </c>
      <c r="AC66" s="45">
        <v>0</v>
      </c>
      <c r="AD66" s="45">
        <v>0</v>
      </c>
      <c r="AE66" s="45">
        <v>20293.88</v>
      </c>
      <c r="AF66" s="45">
        <v>0</v>
      </c>
      <c r="AG66" s="45">
        <v>0</v>
      </c>
      <c r="AH66" s="45"/>
      <c r="AI66" s="45"/>
      <c r="AJ66" s="45"/>
      <c r="AK66" s="45"/>
      <c r="AL66" s="45"/>
      <c r="AM66" s="45"/>
      <c r="AN66" s="45"/>
      <c r="AO66" s="45"/>
    </row>
    <row r="67" spans="2:41" outlineLevel="1" x14ac:dyDescent="0.35">
      <c r="B67" s="27" t="s">
        <v>1202</v>
      </c>
      <c r="C67" s="27" t="s">
        <v>51</v>
      </c>
      <c r="D67" s="27" t="s">
        <v>1781</v>
      </c>
      <c r="E67" s="27" t="s">
        <v>51</v>
      </c>
      <c r="F67" s="27" t="s">
        <v>974</v>
      </c>
      <c r="G67" s="27" t="s">
        <v>1416</v>
      </c>
      <c r="H67" s="27" t="s">
        <v>54</v>
      </c>
      <c r="I67" s="27" t="s">
        <v>55</v>
      </c>
      <c r="J67" s="27" t="s">
        <v>56</v>
      </c>
      <c r="K67" s="27" t="s">
        <v>371</v>
      </c>
      <c r="L67" s="27" t="s">
        <v>371</v>
      </c>
      <c r="M67" s="27" t="s">
        <v>371</v>
      </c>
      <c r="N67" s="27" t="s">
        <v>371</v>
      </c>
      <c r="O67" s="27" t="s">
        <v>371</v>
      </c>
      <c r="P67" s="27" t="s">
        <v>371</v>
      </c>
      <c r="Q67" s="27" t="s">
        <v>372</v>
      </c>
      <c r="R67" s="45">
        <v>2511665.2800000003</v>
      </c>
      <c r="S67" s="45">
        <v>2511665.2800000003</v>
      </c>
      <c r="T67" s="45">
        <v>2511665.2800000003</v>
      </c>
      <c r="U67" s="45">
        <v>3101665.2800000003</v>
      </c>
      <c r="V67" s="45">
        <v>3972104.04</v>
      </c>
      <c r="W67" s="45">
        <v>5066978</v>
      </c>
      <c r="X67" s="45">
        <v>5066978</v>
      </c>
      <c r="Y67" s="45">
        <v>5066978</v>
      </c>
      <c r="Z67" s="45">
        <v>5066978</v>
      </c>
      <c r="AA67" s="45">
        <v>5072754.28</v>
      </c>
      <c r="AB67" s="45">
        <v>5387664.3299999991</v>
      </c>
      <c r="AC67" s="45">
        <v>6475144.3299999991</v>
      </c>
      <c r="AD67" s="45">
        <v>6889144.3299999991</v>
      </c>
      <c r="AE67" s="45">
        <v>7276938.129999999</v>
      </c>
      <c r="AF67" s="45">
        <v>7223449.3299999991</v>
      </c>
      <c r="AG67" s="45">
        <v>6890593.0300000003</v>
      </c>
      <c r="AH67" s="45"/>
      <c r="AI67" s="45"/>
      <c r="AJ67" s="45"/>
      <c r="AK67" s="45"/>
      <c r="AL67" s="45"/>
      <c r="AM67" s="45"/>
      <c r="AN67" s="45"/>
      <c r="AO67" s="45"/>
    </row>
    <row r="68" spans="2:41" outlineLevel="1" x14ac:dyDescent="0.35">
      <c r="B68" s="27" t="s">
        <v>130</v>
      </c>
      <c r="C68" s="27" t="s">
        <v>51</v>
      </c>
      <c r="D68" s="27" t="s">
        <v>1417</v>
      </c>
      <c r="E68" s="27" t="s">
        <v>51</v>
      </c>
      <c r="F68" s="27" t="s">
        <v>431</v>
      </c>
      <c r="G68" s="27" t="s">
        <v>132</v>
      </c>
      <c r="H68" s="27" t="s">
        <v>54</v>
      </c>
      <c r="I68" s="27" t="s">
        <v>55</v>
      </c>
      <c r="J68" s="27" t="s">
        <v>56</v>
      </c>
      <c r="K68" s="27" t="s">
        <v>371</v>
      </c>
      <c r="L68" s="27" t="s">
        <v>371</v>
      </c>
      <c r="M68" s="27" t="s">
        <v>371</v>
      </c>
      <c r="N68" s="27" t="s">
        <v>371</v>
      </c>
      <c r="O68" s="27" t="s">
        <v>371</v>
      </c>
      <c r="P68" s="27" t="s">
        <v>371</v>
      </c>
      <c r="Q68" s="27" t="s">
        <v>372</v>
      </c>
      <c r="R68" s="45">
        <v>0</v>
      </c>
      <c r="S68" s="45">
        <v>0</v>
      </c>
      <c r="T68" s="45">
        <v>0</v>
      </c>
      <c r="U68" s="45">
        <v>0</v>
      </c>
      <c r="V68" s="45">
        <v>0</v>
      </c>
      <c r="W68" s="45">
        <v>0</v>
      </c>
      <c r="X68" s="45">
        <v>0</v>
      </c>
      <c r="Y68" s="45">
        <v>0</v>
      </c>
      <c r="Z68" s="45">
        <v>0</v>
      </c>
      <c r="AA68" s="45">
        <v>0</v>
      </c>
      <c r="AB68" s="45">
        <v>0</v>
      </c>
      <c r="AC68" s="45">
        <v>0</v>
      </c>
      <c r="AD68" s="45">
        <v>0</v>
      </c>
      <c r="AE68" s="45">
        <v>0</v>
      </c>
      <c r="AF68" s="45">
        <v>0</v>
      </c>
      <c r="AG68" s="45">
        <v>0</v>
      </c>
      <c r="AH68" s="45"/>
      <c r="AI68" s="45"/>
      <c r="AJ68" s="45"/>
      <c r="AK68" s="45"/>
      <c r="AL68" s="45"/>
      <c r="AM68" s="45"/>
      <c r="AN68" s="45"/>
      <c r="AO68" s="45"/>
    </row>
    <row r="69" spans="2:41" outlineLevel="1" x14ac:dyDescent="0.35">
      <c r="B69" s="27" t="s">
        <v>1203</v>
      </c>
      <c r="C69" s="27" t="s">
        <v>51</v>
      </c>
      <c r="D69" s="27" t="s">
        <v>1782</v>
      </c>
      <c r="E69" s="27" t="s">
        <v>51</v>
      </c>
      <c r="F69" s="27" t="s">
        <v>195</v>
      </c>
      <c r="G69" s="27" t="s">
        <v>1418</v>
      </c>
      <c r="H69" s="27" t="s">
        <v>54</v>
      </c>
      <c r="I69" s="27" t="s">
        <v>142</v>
      </c>
      <c r="J69" s="27" t="s">
        <v>197</v>
      </c>
      <c r="K69" s="27" t="s">
        <v>371</v>
      </c>
      <c r="L69" s="27" t="s">
        <v>371</v>
      </c>
      <c r="M69" s="27" t="s">
        <v>371</v>
      </c>
      <c r="N69" s="27" t="s">
        <v>371</v>
      </c>
      <c r="O69" s="27" t="s">
        <v>371</v>
      </c>
      <c r="P69" s="27" t="s">
        <v>371</v>
      </c>
      <c r="Q69" s="27" t="s">
        <v>372</v>
      </c>
      <c r="R69" s="45">
        <v>-6608.09</v>
      </c>
      <c r="S69" s="45">
        <v>-6608.09</v>
      </c>
      <c r="T69" s="45">
        <v>-6608.0899999999965</v>
      </c>
      <c r="U69" s="45">
        <v>-6608.0899999999965</v>
      </c>
      <c r="V69" s="45">
        <v>-6608.0899999999965</v>
      </c>
      <c r="W69" s="45">
        <v>-6608.0899999999965</v>
      </c>
      <c r="X69" s="45">
        <v>0</v>
      </c>
      <c r="Y69" s="45">
        <v>0</v>
      </c>
      <c r="Z69" s="45">
        <v>0</v>
      </c>
      <c r="AA69" s="45">
        <v>0</v>
      </c>
      <c r="AB69" s="45">
        <v>0</v>
      </c>
      <c r="AC69" s="45">
        <v>-575078.12</v>
      </c>
      <c r="AD69" s="45">
        <v>-354355.36</v>
      </c>
      <c r="AE69" s="45">
        <v>-1020959.5299999999</v>
      </c>
      <c r="AF69" s="45">
        <v>-1609040.6799999997</v>
      </c>
      <c r="AG69" s="45">
        <v>-9072955.6600000001</v>
      </c>
      <c r="AH69" s="45"/>
      <c r="AI69" s="45"/>
      <c r="AJ69" s="45"/>
      <c r="AK69" s="45"/>
      <c r="AL69" s="45"/>
      <c r="AM69" s="45"/>
      <c r="AN69" s="45"/>
      <c r="AO69" s="45"/>
    </row>
    <row r="70" spans="2:41" outlineLevel="1" x14ac:dyDescent="0.35">
      <c r="B70" s="27" t="s">
        <v>198</v>
      </c>
      <c r="C70" s="27" t="s">
        <v>51</v>
      </c>
      <c r="D70" s="27" t="s">
        <v>1419</v>
      </c>
      <c r="E70" s="27" t="s">
        <v>51</v>
      </c>
      <c r="F70" s="27" t="s">
        <v>195</v>
      </c>
      <c r="G70" s="27" t="s">
        <v>200</v>
      </c>
      <c r="H70" s="27" t="s">
        <v>54</v>
      </c>
      <c r="I70" s="27" t="s">
        <v>142</v>
      </c>
      <c r="J70" s="27" t="s">
        <v>197</v>
      </c>
      <c r="K70" s="27" t="s">
        <v>371</v>
      </c>
      <c r="L70" s="27" t="s">
        <v>371</v>
      </c>
      <c r="M70" s="27" t="s">
        <v>371</v>
      </c>
      <c r="N70" s="27" t="s">
        <v>371</v>
      </c>
      <c r="O70" s="27" t="s">
        <v>371</v>
      </c>
      <c r="P70" s="27" t="s">
        <v>371</v>
      </c>
      <c r="Q70" s="27" t="s">
        <v>372</v>
      </c>
      <c r="R70" s="45">
        <v>-220445.45</v>
      </c>
      <c r="S70" s="45">
        <v>-192076.96</v>
      </c>
      <c r="T70" s="45">
        <v>-163708.47</v>
      </c>
      <c r="U70" s="45">
        <v>-114459.43</v>
      </c>
      <c r="V70" s="45">
        <v>-86090.939999999988</v>
      </c>
      <c r="W70" s="45">
        <v>-57722.45</v>
      </c>
      <c r="X70" s="45">
        <v>-35856.43</v>
      </c>
      <c r="Y70" s="45">
        <v>-7487.94</v>
      </c>
      <c r="Z70" s="45">
        <v>0</v>
      </c>
      <c r="AA70" s="45">
        <v>0</v>
      </c>
      <c r="AB70" s="45">
        <v>0</v>
      </c>
      <c r="AC70" s="45">
        <v>0</v>
      </c>
      <c r="AD70" s="45">
        <v>0</v>
      </c>
      <c r="AE70" s="45">
        <v>0</v>
      </c>
      <c r="AF70" s="45">
        <v>0</v>
      </c>
      <c r="AG70" s="45">
        <v>0</v>
      </c>
      <c r="AH70" s="45"/>
      <c r="AI70" s="45"/>
      <c r="AJ70" s="45"/>
      <c r="AK70" s="45"/>
      <c r="AL70" s="45"/>
      <c r="AM70" s="45"/>
      <c r="AN70" s="45"/>
      <c r="AO70" s="45"/>
    </row>
    <row r="71" spans="2:41" outlineLevel="1" x14ac:dyDescent="0.35">
      <c r="B71" s="27" t="s">
        <v>201</v>
      </c>
      <c r="C71" s="27" t="s">
        <v>51</v>
      </c>
      <c r="D71" s="27" t="s">
        <v>1420</v>
      </c>
      <c r="E71" s="27" t="s">
        <v>51</v>
      </c>
      <c r="F71" s="27" t="s">
        <v>195</v>
      </c>
      <c r="G71" s="27" t="s">
        <v>159</v>
      </c>
      <c r="H71" s="27" t="s">
        <v>54</v>
      </c>
      <c r="I71" s="27" t="s">
        <v>142</v>
      </c>
      <c r="J71" s="27" t="s">
        <v>197</v>
      </c>
      <c r="K71" s="27" t="s">
        <v>371</v>
      </c>
      <c r="L71" s="27" t="s">
        <v>371</v>
      </c>
      <c r="M71" s="27" t="s">
        <v>371</v>
      </c>
      <c r="N71" s="27" t="s">
        <v>371</v>
      </c>
      <c r="O71" s="27" t="s">
        <v>371</v>
      </c>
      <c r="P71" s="27" t="s">
        <v>371</v>
      </c>
      <c r="Q71" s="27" t="s">
        <v>372</v>
      </c>
      <c r="R71" s="45">
        <v>-190672.39</v>
      </c>
      <c r="S71" s="45">
        <v>-190672.39</v>
      </c>
      <c r="T71" s="45">
        <v>-190672.39</v>
      </c>
      <c r="U71" s="45">
        <v>-190672.39</v>
      </c>
      <c r="V71" s="45">
        <v>-190672.39</v>
      </c>
      <c r="W71" s="45">
        <v>-190672.39</v>
      </c>
      <c r="X71" s="45">
        <v>0</v>
      </c>
      <c r="Y71" s="45">
        <v>0</v>
      </c>
      <c r="Z71" s="45">
        <v>0</v>
      </c>
      <c r="AA71" s="45">
        <v>0</v>
      </c>
      <c r="AB71" s="45">
        <v>0</v>
      </c>
      <c r="AC71" s="45">
        <v>0</v>
      </c>
      <c r="AD71" s="45">
        <v>0</v>
      </c>
      <c r="AE71" s="45">
        <v>0</v>
      </c>
      <c r="AF71" s="45">
        <v>0</v>
      </c>
      <c r="AG71" s="45">
        <v>0</v>
      </c>
      <c r="AH71" s="45"/>
      <c r="AI71" s="45"/>
      <c r="AJ71" s="45"/>
      <c r="AK71" s="45"/>
      <c r="AL71" s="45"/>
      <c r="AM71" s="45"/>
      <c r="AN71" s="45"/>
      <c r="AO71" s="45"/>
    </row>
    <row r="72" spans="2:41" outlineLevel="1" x14ac:dyDescent="0.35">
      <c r="B72" s="27" t="s">
        <v>203</v>
      </c>
      <c r="C72" s="27" t="s">
        <v>51</v>
      </c>
      <c r="D72" s="27" t="s">
        <v>1421</v>
      </c>
      <c r="E72" s="27" t="s">
        <v>51</v>
      </c>
      <c r="F72" s="27" t="s">
        <v>195</v>
      </c>
      <c r="G72" s="27" t="s">
        <v>205</v>
      </c>
      <c r="H72" s="27" t="s">
        <v>54</v>
      </c>
      <c r="I72" s="27" t="s">
        <v>142</v>
      </c>
      <c r="J72" s="27" t="s">
        <v>197</v>
      </c>
      <c r="K72" s="27" t="s">
        <v>371</v>
      </c>
      <c r="L72" s="27" t="s">
        <v>371</v>
      </c>
      <c r="M72" s="27" t="s">
        <v>371</v>
      </c>
      <c r="N72" s="27" t="s">
        <v>371</v>
      </c>
      <c r="O72" s="27" t="s">
        <v>371</v>
      </c>
      <c r="P72" s="27" t="s">
        <v>371</v>
      </c>
      <c r="Q72" s="27" t="s">
        <v>372</v>
      </c>
      <c r="R72" s="45">
        <v>-987</v>
      </c>
      <c r="S72" s="45">
        <v>-987</v>
      </c>
      <c r="T72" s="45">
        <v>-987</v>
      </c>
      <c r="U72" s="45">
        <v>-987</v>
      </c>
      <c r="V72" s="45">
        <v>-987</v>
      </c>
      <c r="W72" s="45">
        <v>-987</v>
      </c>
      <c r="X72" s="45">
        <v>0</v>
      </c>
      <c r="Y72" s="45">
        <v>0</v>
      </c>
      <c r="Z72" s="45">
        <v>0</v>
      </c>
      <c r="AA72" s="45">
        <v>0</v>
      </c>
      <c r="AB72" s="45">
        <v>0</v>
      </c>
      <c r="AC72" s="45">
        <v>0</v>
      </c>
      <c r="AD72" s="45">
        <v>0</v>
      </c>
      <c r="AE72" s="45">
        <v>0</v>
      </c>
      <c r="AF72" s="45">
        <v>0</v>
      </c>
      <c r="AG72" s="45">
        <v>0</v>
      </c>
      <c r="AH72" s="45"/>
      <c r="AI72" s="45"/>
      <c r="AJ72" s="45"/>
      <c r="AK72" s="45"/>
      <c r="AL72" s="45"/>
      <c r="AM72" s="45"/>
      <c r="AN72" s="45"/>
      <c r="AO72" s="45"/>
    </row>
    <row r="73" spans="2:41" outlineLevel="1" x14ac:dyDescent="0.35">
      <c r="B73" s="27" t="s">
        <v>206</v>
      </c>
      <c r="C73" s="27" t="s">
        <v>51</v>
      </c>
      <c r="D73" s="27" t="s">
        <v>1422</v>
      </c>
      <c r="E73" s="27" t="s">
        <v>51</v>
      </c>
      <c r="F73" s="27" t="s">
        <v>195</v>
      </c>
      <c r="G73" s="27" t="s">
        <v>208</v>
      </c>
      <c r="H73" s="27" t="s">
        <v>54</v>
      </c>
      <c r="I73" s="27" t="s">
        <v>142</v>
      </c>
      <c r="J73" s="27" t="s">
        <v>197</v>
      </c>
      <c r="K73" s="27" t="s">
        <v>371</v>
      </c>
      <c r="L73" s="27" t="s">
        <v>371</v>
      </c>
      <c r="M73" s="27" t="s">
        <v>371</v>
      </c>
      <c r="N73" s="27" t="s">
        <v>371</v>
      </c>
      <c r="O73" s="27" t="s">
        <v>371</v>
      </c>
      <c r="P73" s="27" t="s">
        <v>371</v>
      </c>
      <c r="Q73" s="27" t="s">
        <v>372</v>
      </c>
      <c r="R73" s="45">
        <v>-500473.26</v>
      </c>
      <c r="S73" s="45">
        <v>-500473.26</v>
      </c>
      <c r="T73" s="45">
        <v>-500673.26</v>
      </c>
      <c r="U73" s="45">
        <v>-861542.76</v>
      </c>
      <c r="V73" s="45">
        <v>-420090.54999999993</v>
      </c>
      <c r="W73" s="45">
        <v>-418844.32</v>
      </c>
      <c r="X73" s="45">
        <v>-418844.32</v>
      </c>
      <c r="Y73" s="45">
        <v>-418844.32</v>
      </c>
      <c r="Z73" s="45">
        <v>-427729.24999999994</v>
      </c>
      <c r="AA73" s="45">
        <v>-427729.25</v>
      </c>
      <c r="AB73" s="45">
        <v>-948735.71</v>
      </c>
      <c r="AC73" s="45">
        <v>-895492.52</v>
      </c>
      <c r="AD73" s="45">
        <v>-427729.25</v>
      </c>
      <c r="AE73" s="45">
        <v>-427729.15</v>
      </c>
      <c r="AF73" s="45">
        <v>0</v>
      </c>
      <c r="AG73" s="45">
        <v>0</v>
      </c>
      <c r="AH73" s="45"/>
      <c r="AI73" s="45"/>
      <c r="AJ73" s="45"/>
      <c r="AK73" s="45"/>
      <c r="AL73" s="45"/>
      <c r="AM73" s="45"/>
      <c r="AN73" s="45"/>
      <c r="AO73" s="45"/>
    </row>
    <row r="74" spans="2:41" outlineLevel="1" x14ac:dyDescent="0.35">
      <c r="B74" s="27" t="s">
        <v>212</v>
      </c>
      <c r="C74" s="27" t="s">
        <v>51</v>
      </c>
      <c r="D74" s="27" t="s">
        <v>1423</v>
      </c>
      <c r="E74" s="27" t="s">
        <v>51</v>
      </c>
      <c r="F74" s="27" t="s">
        <v>195</v>
      </c>
      <c r="G74" s="27" t="s">
        <v>214</v>
      </c>
      <c r="H74" s="27" t="s">
        <v>54</v>
      </c>
      <c r="I74" s="27" t="s">
        <v>142</v>
      </c>
      <c r="J74" s="27" t="s">
        <v>197</v>
      </c>
      <c r="K74" s="27" t="s">
        <v>371</v>
      </c>
      <c r="L74" s="27" t="s">
        <v>371</v>
      </c>
      <c r="M74" s="27" t="s">
        <v>371</v>
      </c>
      <c r="N74" s="27" t="s">
        <v>371</v>
      </c>
      <c r="O74" s="27" t="s">
        <v>371</v>
      </c>
      <c r="P74" s="27" t="s">
        <v>371</v>
      </c>
      <c r="Q74" s="27" t="s">
        <v>372</v>
      </c>
      <c r="R74" s="45">
        <v>0</v>
      </c>
      <c r="S74" s="45">
        <v>-582165.29</v>
      </c>
      <c r="T74" s="45">
        <v>-582165.29</v>
      </c>
      <c r="U74" s="45">
        <v>-582165.29</v>
      </c>
      <c r="V74" s="45">
        <v>-582165.29</v>
      </c>
      <c r="W74" s="45">
        <v>-582165.29</v>
      </c>
      <c r="X74" s="45">
        <v>0</v>
      </c>
      <c r="Y74" s="45">
        <v>0</v>
      </c>
      <c r="Z74" s="45">
        <v>0</v>
      </c>
      <c r="AA74" s="45">
        <v>-855538.8</v>
      </c>
      <c r="AB74" s="45">
        <v>0</v>
      </c>
      <c r="AC74" s="45">
        <v>0</v>
      </c>
      <c r="AD74" s="45">
        <v>0</v>
      </c>
      <c r="AE74" s="45">
        <v>0</v>
      </c>
      <c r="AF74" s="45">
        <v>0</v>
      </c>
      <c r="AG74" s="45">
        <v>0</v>
      </c>
      <c r="AH74" s="45"/>
      <c r="AI74" s="45"/>
      <c r="AJ74" s="45"/>
      <c r="AK74" s="45"/>
      <c r="AL74" s="45"/>
      <c r="AM74" s="45"/>
      <c r="AN74" s="45"/>
      <c r="AO74" s="45"/>
    </row>
    <row r="75" spans="2:41" outlineLevel="1" x14ac:dyDescent="0.35">
      <c r="B75" s="27" t="s">
        <v>218</v>
      </c>
      <c r="C75" s="27" t="s">
        <v>51</v>
      </c>
      <c r="D75" s="27" t="s">
        <v>1424</v>
      </c>
      <c r="E75" s="27" t="s">
        <v>51</v>
      </c>
      <c r="F75" s="27" t="s">
        <v>195</v>
      </c>
      <c r="G75" s="27" t="s">
        <v>220</v>
      </c>
      <c r="H75" s="27" t="s">
        <v>54</v>
      </c>
      <c r="I75" s="27" t="s">
        <v>142</v>
      </c>
      <c r="J75" s="27" t="s">
        <v>197</v>
      </c>
      <c r="K75" s="27" t="s">
        <v>371</v>
      </c>
      <c r="L75" s="27" t="s">
        <v>371</v>
      </c>
      <c r="M75" s="27" t="s">
        <v>371</v>
      </c>
      <c r="N75" s="27" t="s">
        <v>371</v>
      </c>
      <c r="O75" s="27" t="s">
        <v>371</v>
      </c>
      <c r="P75" s="27" t="s">
        <v>371</v>
      </c>
      <c r="Q75" s="27" t="s">
        <v>372</v>
      </c>
      <c r="R75" s="45">
        <v>-1461600</v>
      </c>
      <c r="S75" s="45">
        <v>-201600</v>
      </c>
      <c r="T75" s="45">
        <v>-201600</v>
      </c>
      <c r="U75" s="45">
        <v>0</v>
      </c>
      <c r="V75" s="45">
        <v>0</v>
      </c>
      <c r="W75" s="45">
        <v>0</v>
      </c>
      <c r="X75" s="45">
        <v>0</v>
      </c>
      <c r="Y75" s="45">
        <v>0</v>
      </c>
      <c r="Z75" s="45">
        <v>0</v>
      </c>
      <c r="AA75" s="45">
        <v>0</v>
      </c>
      <c r="AB75" s="45">
        <v>0</v>
      </c>
      <c r="AC75" s="45">
        <v>0</v>
      </c>
      <c r="AD75" s="45">
        <v>0</v>
      </c>
      <c r="AE75" s="45">
        <v>0</v>
      </c>
      <c r="AF75" s="45">
        <v>0</v>
      </c>
      <c r="AG75" s="45">
        <v>0</v>
      </c>
      <c r="AH75" s="45"/>
      <c r="AI75" s="45"/>
      <c r="AJ75" s="45"/>
      <c r="AK75" s="45"/>
      <c r="AL75" s="45"/>
      <c r="AM75" s="45"/>
      <c r="AN75" s="45"/>
      <c r="AO75" s="45"/>
    </row>
    <row r="76" spans="2:41" outlineLevel="1" x14ac:dyDescent="0.35">
      <c r="B76" s="27" t="s">
        <v>224</v>
      </c>
      <c r="C76" s="27" t="s">
        <v>51</v>
      </c>
      <c r="D76" s="27" t="s">
        <v>1425</v>
      </c>
      <c r="E76" s="27" t="s">
        <v>51</v>
      </c>
      <c r="F76" s="27" t="s">
        <v>195</v>
      </c>
      <c r="G76" s="27" t="s">
        <v>135</v>
      </c>
      <c r="H76" s="27" t="s">
        <v>54</v>
      </c>
      <c r="I76" s="27" t="s">
        <v>142</v>
      </c>
      <c r="J76" s="27" t="s">
        <v>197</v>
      </c>
      <c r="K76" s="27" t="s">
        <v>371</v>
      </c>
      <c r="L76" s="27" t="s">
        <v>371</v>
      </c>
      <c r="M76" s="27" t="s">
        <v>371</v>
      </c>
      <c r="N76" s="27" t="s">
        <v>371</v>
      </c>
      <c r="O76" s="27" t="s">
        <v>371</v>
      </c>
      <c r="P76" s="27" t="s">
        <v>371</v>
      </c>
      <c r="Q76" s="27" t="s">
        <v>372</v>
      </c>
      <c r="R76" s="45">
        <v>0</v>
      </c>
      <c r="S76" s="45">
        <v>0</v>
      </c>
      <c r="T76" s="45">
        <v>0</v>
      </c>
      <c r="U76" s="45">
        <v>0</v>
      </c>
      <c r="V76" s="45">
        <v>0</v>
      </c>
      <c r="W76" s="45">
        <v>0</v>
      </c>
      <c r="X76" s="45">
        <v>0</v>
      </c>
      <c r="Y76" s="45">
        <v>-24767.58</v>
      </c>
      <c r="Z76" s="45">
        <v>0</v>
      </c>
      <c r="AA76" s="45">
        <v>0</v>
      </c>
      <c r="AB76" s="45">
        <v>0</v>
      </c>
      <c r="AC76" s="45">
        <v>0</v>
      </c>
      <c r="AD76" s="45">
        <v>0</v>
      </c>
      <c r="AE76" s="45">
        <v>0</v>
      </c>
      <c r="AF76" s="45">
        <v>0</v>
      </c>
      <c r="AG76" s="45">
        <v>0</v>
      </c>
      <c r="AH76" s="45"/>
      <c r="AI76" s="45"/>
      <c r="AJ76" s="45"/>
      <c r="AK76" s="45"/>
      <c r="AL76" s="45"/>
      <c r="AM76" s="45"/>
      <c r="AN76" s="45"/>
      <c r="AO76" s="45"/>
    </row>
    <row r="77" spans="2:41" outlineLevel="1" x14ac:dyDescent="0.35">
      <c r="B77" s="27" t="s">
        <v>226</v>
      </c>
      <c r="C77" s="27" t="s">
        <v>51</v>
      </c>
      <c r="D77" s="27" t="s">
        <v>1426</v>
      </c>
      <c r="E77" s="27" t="s">
        <v>51</v>
      </c>
      <c r="F77" s="27" t="s">
        <v>195</v>
      </c>
      <c r="G77" s="27" t="s">
        <v>228</v>
      </c>
      <c r="H77" s="27" t="s">
        <v>54</v>
      </c>
      <c r="I77" s="27" t="s">
        <v>142</v>
      </c>
      <c r="J77" s="27" t="s">
        <v>197</v>
      </c>
      <c r="K77" s="27" t="s">
        <v>371</v>
      </c>
      <c r="L77" s="27" t="s">
        <v>371</v>
      </c>
      <c r="M77" s="27" t="s">
        <v>371</v>
      </c>
      <c r="N77" s="27" t="s">
        <v>371</v>
      </c>
      <c r="O77" s="27" t="s">
        <v>371</v>
      </c>
      <c r="P77" s="27" t="s">
        <v>371</v>
      </c>
      <c r="Q77" s="27" t="s">
        <v>372</v>
      </c>
      <c r="R77" s="45">
        <v>-26712.13</v>
      </c>
      <c r="S77" s="45">
        <v>-26712.13</v>
      </c>
      <c r="T77" s="45">
        <v>-26712.13</v>
      </c>
      <c r="U77" s="45">
        <v>-26712.13</v>
      </c>
      <c r="V77" s="45">
        <v>-26712.13</v>
      </c>
      <c r="W77" s="45">
        <v>-26712.13</v>
      </c>
      <c r="X77" s="45">
        <v>0</v>
      </c>
      <c r="Y77" s="45">
        <v>0</v>
      </c>
      <c r="Z77" s="45">
        <v>0</v>
      </c>
      <c r="AA77" s="45">
        <v>0</v>
      </c>
      <c r="AB77" s="45">
        <v>0</v>
      </c>
      <c r="AC77" s="45">
        <v>0</v>
      </c>
      <c r="AD77" s="45">
        <v>0</v>
      </c>
      <c r="AE77" s="45">
        <v>0</v>
      </c>
      <c r="AF77" s="45">
        <v>0</v>
      </c>
      <c r="AG77" s="45">
        <v>0</v>
      </c>
      <c r="AH77" s="45"/>
      <c r="AI77" s="45"/>
      <c r="AJ77" s="45"/>
      <c r="AK77" s="45"/>
      <c r="AL77" s="45"/>
      <c r="AM77" s="45"/>
      <c r="AN77" s="45"/>
      <c r="AO77" s="45"/>
    </row>
    <row r="78" spans="2:41" outlineLevel="1" x14ac:dyDescent="0.35">
      <c r="B78" s="27" t="s">
        <v>235</v>
      </c>
      <c r="C78" s="27" t="s">
        <v>51</v>
      </c>
      <c r="D78" s="27" t="s">
        <v>1427</v>
      </c>
      <c r="E78" s="27" t="s">
        <v>51</v>
      </c>
      <c r="F78" s="27" t="s">
        <v>195</v>
      </c>
      <c r="G78" s="27" t="s">
        <v>237</v>
      </c>
      <c r="H78" s="27" t="s">
        <v>54</v>
      </c>
      <c r="I78" s="27" t="s">
        <v>142</v>
      </c>
      <c r="J78" s="27" t="s">
        <v>197</v>
      </c>
      <c r="K78" s="27" t="s">
        <v>371</v>
      </c>
      <c r="L78" s="27" t="s">
        <v>371</v>
      </c>
      <c r="M78" s="27" t="s">
        <v>371</v>
      </c>
      <c r="N78" s="27" t="s">
        <v>371</v>
      </c>
      <c r="O78" s="27" t="s">
        <v>371</v>
      </c>
      <c r="P78" s="27" t="s">
        <v>371</v>
      </c>
      <c r="Q78" s="27" t="s">
        <v>372</v>
      </c>
      <c r="R78" s="45">
        <v>-0.01</v>
      </c>
      <c r="S78" s="45">
        <v>-0.01</v>
      </c>
      <c r="T78" s="45">
        <v>-1.0000000000218279E-2</v>
      </c>
      <c r="U78" s="45">
        <v>-1.0000000000218279E-2</v>
      </c>
      <c r="V78" s="45">
        <v>-1.0000000000218279E-2</v>
      </c>
      <c r="W78" s="45">
        <v>0</v>
      </c>
      <c r="X78" s="45">
        <v>0</v>
      </c>
      <c r="Y78" s="45">
        <v>0</v>
      </c>
      <c r="Z78" s="45">
        <v>0</v>
      </c>
      <c r="AA78" s="45">
        <v>0</v>
      </c>
      <c r="AB78" s="45">
        <v>0</v>
      </c>
      <c r="AC78" s="45">
        <v>0</v>
      </c>
      <c r="AD78" s="45">
        <v>0</v>
      </c>
      <c r="AE78" s="45">
        <v>-0.12</v>
      </c>
      <c r="AF78" s="45">
        <v>0</v>
      </c>
      <c r="AG78" s="45">
        <v>0</v>
      </c>
      <c r="AH78" s="45"/>
      <c r="AI78" s="45"/>
      <c r="AJ78" s="45"/>
      <c r="AK78" s="45"/>
      <c r="AL78" s="45"/>
      <c r="AM78" s="45"/>
      <c r="AN78" s="45"/>
      <c r="AO78" s="45"/>
    </row>
    <row r="79" spans="2:41" outlineLevel="1" x14ac:dyDescent="0.35">
      <c r="B79" s="27" t="s">
        <v>238</v>
      </c>
      <c r="C79" s="27" t="s">
        <v>51</v>
      </c>
      <c r="D79" s="27" t="s">
        <v>1428</v>
      </c>
      <c r="E79" s="27" t="s">
        <v>51</v>
      </c>
      <c r="F79" s="27" t="s">
        <v>195</v>
      </c>
      <c r="G79" s="27" t="s">
        <v>240</v>
      </c>
      <c r="H79" s="27" t="s">
        <v>54</v>
      </c>
      <c r="I79" s="27" t="s">
        <v>142</v>
      </c>
      <c r="J79" s="27" t="s">
        <v>197</v>
      </c>
      <c r="K79" s="27" t="s">
        <v>371</v>
      </c>
      <c r="L79" s="27" t="s">
        <v>371</v>
      </c>
      <c r="M79" s="27" t="s">
        <v>371</v>
      </c>
      <c r="N79" s="27" t="s">
        <v>371</v>
      </c>
      <c r="O79" s="27" t="s">
        <v>371</v>
      </c>
      <c r="P79" s="27" t="s">
        <v>371</v>
      </c>
      <c r="Q79" s="27" t="s">
        <v>372</v>
      </c>
      <c r="R79" s="45">
        <v>0</v>
      </c>
      <c r="S79" s="45">
        <v>0</v>
      </c>
      <c r="T79" s="45">
        <v>0</v>
      </c>
      <c r="U79" s="45">
        <v>0</v>
      </c>
      <c r="V79" s="45">
        <v>0</v>
      </c>
      <c r="W79" s="45">
        <v>0</v>
      </c>
      <c r="X79" s="45">
        <v>0</v>
      </c>
      <c r="Y79" s="45">
        <v>0</v>
      </c>
      <c r="Z79" s="45">
        <v>0</v>
      </c>
      <c r="AA79" s="45">
        <v>0</v>
      </c>
      <c r="AB79" s="45">
        <v>0</v>
      </c>
      <c r="AC79" s="45">
        <v>-7819.57</v>
      </c>
      <c r="AD79" s="45">
        <v>0.43</v>
      </c>
      <c r="AE79" s="45">
        <v>0.43</v>
      </c>
      <c r="AF79" s="45">
        <v>0</v>
      </c>
      <c r="AG79" s="45">
        <v>0</v>
      </c>
      <c r="AH79" s="45"/>
      <c r="AI79" s="45"/>
      <c r="AJ79" s="45"/>
      <c r="AK79" s="45"/>
      <c r="AL79" s="45"/>
      <c r="AM79" s="45"/>
      <c r="AN79" s="45"/>
      <c r="AO79" s="45"/>
    </row>
    <row r="80" spans="2:41" outlineLevel="1" x14ac:dyDescent="0.35">
      <c r="B80" s="27" t="s">
        <v>1204</v>
      </c>
      <c r="C80" s="27" t="s">
        <v>51</v>
      </c>
      <c r="D80" s="27" t="s">
        <v>1783</v>
      </c>
      <c r="E80" s="27" t="s">
        <v>51</v>
      </c>
      <c r="F80" s="27" t="s">
        <v>432</v>
      </c>
      <c r="G80" s="27" t="s">
        <v>1429</v>
      </c>
      <c r="H80" s="27" t="s">
        <v>54</v>
      </c>
      <c r="I80" s="27" t="s">
        <v>142</v>
      </c>
      <c r="J80" s="27" t="s">
        <v>143</v>
      </c>
      <c r="K80" s="27" t="s">
        <v>371</v>
      </c>
      <c r="L80" s="27" t="s">
        <v>371</v>
      </c>
      <c r="M80" s="27" t="s">
        <v>371</v>
      </c>
      <c r="N80" s="27" t="s">
        <v>371</v>
      </c>
      <c r="O80" s="27" t="s">
        <v>371</v>
      </c>
      <c r="P80" s="27" t="s">
        <v>371</v>
      </c>
      <c r="Q80" s="27" t="s">
        <v>372</v>
      </c>
      <c r="R80" s="45">
        <v>-344259.37</v>
      </c>
      <c r="S80" s="45">
        <v>-362780.69</v>
      </c>
      <c r="T80" s="45">
        <v>-381302.01</v>
      </c>
      <c r="U80" s="45">
        <v>-399823.33</v>
      </c>
      <c r="V80" s="45">
        <v>-418344.64999999997</v>
      </c>
      <c r="W80" s="45">
        <v>-436865.97000000003</v>
      </c>
      <c r="X80" s="45">
        <v>-600057.63</v>
      </c>
      <c r="Y80" s="45">
        <v>-821095.23</v>
      </c>
      <c r="Z80" s="45">
        <v>-462724.37</v>
      </c>
      <c r="AA80" s="45">
        <v>-531619.37</v>
      </c>
      <c r="AB80" s="45">
        <v>-176741.37</v>
      </c>
      <c r="AC80" s="45">
        <v>-708450.89</v>
      </c>
      <c r="AD80" s="45">
        <v>-744529.89</v>
      </c>
      <c r="AE80" s="45">
        <v>-692383.98</v>
      </c>
      <c r="AF80" s="45">
        <v>-437978.98</v>
      </c>
      <c r="AG80" s="45">
        <v>-479267.98</v>
      </c>
      <c r="AH80" s="45"/>
      <c r="AI80" s="45"/>
      <c r="AJ80" s="45"/>
      <c r="AK80" s="45"/>
      <c r="AL80" s="45"/>
      <c r="AM80" s="45"/>
      <c r="AN80" s="45"/>
      <c r="AO80" s="45"/>
    </row>
    <row r="81" spans="2:41" outlineLevel="1" x14ac:dyDescent="0.35">
      <c r="B81" s="27" t="s">
        <v>244</v>
      </c>
      <c r="C81" s="27" t="s">
        <v>51</v>
      </c>
      <c r="D81" s="27" t="s">
        <v>1430</v>
      </c>
      <c r="E81" s="27" t="s">
        <v>51</v>
      </c>
      <c r="F81" s="27" t="s">
        <v>195</v>
      </c>
      <c r="G81" s="27" t="s">
        <v>246</v>
      </c>
      <c r="H81" s="27" t="s">
        <v>54</v>
      </c>
      <c r="I81" s="27" t="s">
        <v>142</v>
      </c>
      <c r="J81" s="27" t="s">
        <v>197</v>
      </c>
      <c r="K81" s="27" t="s">
        <v>371</v>
      </c>
      <c r="L81" s="27" t="s">
        <v>371</v>
      </c>
      <c r="M81" s="27" t="s">
        <v>371</v>
      </c>
      <c r="N81" s="27" t="s">
        <v>371</v>
      </c>
      <c r="O81" s="27" t="s">
        <v>371</v>
      </c>
      <c r="P81" s="27" t="s">
        <v>371</v>
      </c>
      <c r="Q81" s="27" t="s">
        <v>372</v>
      </c>
      <c r="R81" s="45">
        <v>0</v>
      </c>
      <c r="S81" s="45">
        <v>0</v>
      </c>
      <c r="T81" s="45">
        <v>0</v>
      </c>
      <c r="U81" s="45">
        <v>0</v>
      </c>
      <c r="V81" s="45">
        <v>0</v>
      </c>
      <c r="W81" s="45">
        <v>0</v>
      </c>
      <c r="X81" s="45">
        <v>0</v>
      </c>
      <c r="Y81" s="45">
        <v>0</v>
      </c>
      <c r="Z81" s="45">
        <v>0</v>
      </c>
      <c r="AA81" s="45">
        <v>0</v>
      </c>
      <c r="AB81" s="45">
        <v>0</v>
      </c>
      <c r="AC81" s="45">
        <v>0</v>
      </c>
      <c r="AD81" s="45">
        <v>0</v>
      </c>
      <c r="AE81" s="45">
        <v>0</v>
      </c>
      <c r="AF81" s="45">
        <v>0</v>
      </c>
      <c r="AG81" s="45">
        <v>0</v>
      </c>
      <c r="AH81" s="45"/>
      <c r="AI81" s="45"/>
      <c r="AJ81" s="45"/>
      <c r="AK81" s="45"/>
      <c r="AL81" s="45"/>
      <c r="AM81" s="45"/>
      <c r="AN81" s="45"/>
      <c r="AO81" s="45"/>
    </row>
    <row r="82" spans="2:41" outlineLevel="1" x14ac:dyDescent="0.35">
      <c r="B82" s="27" t="s">
        <v>259</v>
      </c>
      <c r="C82" s="27" t="s">
        <v>51</v>
      </c>
      <c r="D82" s="27" t="s">
        <v>1431</v>
      </c>
      <c r="E82" s="27" t="s">
        <v>51</v>
      </c>
      <c r="F82" s="27" t="s">
        <v>195</v>
      </c>
      <c r="G82" s="27" t="s">
        <v>261</v>
      </c>
      <c r="H82" s="27" t="s">
        <v>54</v>
      </c>
      <c r="I82" s="27" t="s">
        <v>142</v>
      </c>
      <c r="J82" s="27" t="s">
        <v>197</v>
      </c>
      <c r="K82" s="27" t="s">
        <v>371</v>
      </c>
      <c r="L82" s="27" t="s">
        <v>371</v>
      </c>
      <c r="M82" s="27" t="s">
        <v>371</v>
      </c>
      <c r="N82" s="27" t="s">
        <v>371</v>
      </c>
      <c r="O82" s="27" t="s">
        <v>371</v>
      </c>
      <c r="P82" s="27" t="s">
        <v>371</v>
      </c>
      <c r="Q82" s="27" t="s">
        <v>372</v>
      </c>
      <c r="R82" s="45">
        <v>0</v>
      </c>
      <c r="S82" s="45">
        <v>0</v>
      </c>
      <c r="T82" s="45">
        <v>0</v>
      </c>
      <c r="U82" s="45">
        <v>0</v>
      </c>
      <c r="V82" s="45">
        <v>0</v>
      </c>
      <c r="W82" s="45">
        <v>0</v>
      </c>
      <c r="X82" s="45">
        <v>0</v>
      </c>
      <c r="Y82" s="45">
        <v>0</v>
      </c>
      <c r="Z82" s="45">
        <v>0</v>
      </c>
      <c r="AA82" s="45">
        <v>0</v>
      </c>
      <c r="AB82" s="45">
        <v>0</v>
      </c>
      <c r="AC82" s="45">
        <v>0</v>
      </c>
      <c r="AD82" s="45">
        <v>0</v>
      </c>
      <c r="AE82" s="45">
        <v>0</v>
      </c>
      <c r="AF82" s="45">
        <v>0</v>
      </c>
      <c r="AG82" s="45">
        <v>0</v>
      </c>
      <c r="AH82" s="45"/>
      <c r="AI82" s="45"/>
      <c r="AJ82" s="45"/>
      <c r="AK82" s="45"/>
      <c r="AL82" s="45"/>
      <c r="AM82" s="45"/>
      <c r="AN82" s="45"/>
      <c r="AO82" s="45"/>
    </row>
    <row r="83" spans="2:41" outlineLevel="1" x14ac:dyDescent="0.35">
      <c r="B83" s="27" t="s">
        <v>1205</v>
      </c>
      <c r="C83" s="27" t="s">
        <v>51</v>
      </c>
      <c r="D83" s="27" t="s">
        <v>1784</v>
      </c>
      <c r="E83" s="27" t="s">
        <v>51</v>
      </c>
      <c r="F83" s="27" t="s">
        <v>432</v>
      </c>
      <c r="G83" s="27" t="s">
        <v>1432</v>
      </c>
      <c r="H83" s="27" t="s">
        <v>54</v>
      </c>
      <c r="I83" s="27" t="s">
        <v>142</v>
      </c>
      <c r="J83" s="27" t="s">
        <v>143</v>
      </c>
      <c r="K83" s="27" t="s">
        <v>371</v>
      </c>
      <c r="L83" s="27" t="s">
        <v>371</v>
      </c>
      <c r="M83" s="27" t="s">
        <v>371</v>
      </c>
      <c r="N83" s="27" t="s">
        <v>371</v>
      </c>
      <c r="O83" s="27" t="s">
        <v>371</v>
      </c>
      <c r="P83" s="27" t="s">
        <v>371</v>
      </c>
      <c r="Q83" s="27" t="s">
        <v>372</v>
      </c>
      <c r="R83" s="45">
        <v>-5420297.4699999997</v>
      </c>
      <c r="S83" s="45">
        <v>-6860046.9900000002</v>
      </c>
      <c r="T83" s="45">
        <v>-8090775.9000000004</v>
      </c>
      <c r="U83" s="45">
        <v>-9793529</v>
      </c>
      <c r="V83" s="45">
        <v>-8070534.1699999999</v>
      </c>
      <c r="W83" s="45">
        <v>-9061946.6999999993</v>
      </c>
      <c r="X83" s="45">
        <v>-8197842.5300000003</v>
      </c>
      <c r="Y83" s="45">
        <v>-6149894.2599999998</v>
      </c>
      <c r="Z83" s="45">
        <v>-6501001.8399999999</v>
      </c>
      <c r="AA83" s="45">
        <v>-6426561.5</v>
      </c>
      <c r="AB83" s="45">
        <v>-6788119.71</v>
      </c>
      <c r="AC83" s="45">
        <v>-6480035.3600000003</v>
      </c>
      <c r="AD83" s="45">
        <v>-7514571.25</v>
      </c>
      <c r="AE83" s="45">
        <v>-7757745.5499999998</v>
      </c>
      <c r="AF83" s="45">
        <v>-8028042.6200000001</v>
      </c>
      <c r="AG83" s="45">
        <v>-6212103.2800000003</v>
      </c>
      <c r="AH83" s="45"/>
      <c r="AI83" s="45"/>
      <c r="AJ83" s="45"/>
      <c r="AK83" s="45"/>
      <c r="AL83" s="45"/>
      <c r="AM83" s="45"/>
      <c r="AN83" s="45"/>
      <c r="AO83" s="45"/>
    </row>
    <row r="84" spans="2:41" outlineLevel="1" x14ac:dyDescent="0.35">
      <c r="B84" s="27" t="s">
        <v>268</v>
      </c>
      <c r="C84" s="27" t="s">
        <v>51</v>
      </c>
      <c r="D84" s="27" t="s">
        <v>1433</v>
      </c>
      <c r="E84" s="27" t="s">
        <v>51</v>
      </c>
      <c r="F84" s="27" t="s">
        <v>195</v>
      </c>
      <c r="G84" s="27" t="s">
        <v>270</v>
      </c>
      <c r="H84" s="27" t="s">
        <v>54</v>
      </c>
      <c r="I84" s="27" t="s">
        <v>142</v>
      </c>
      <c r="J84" s="27" t="s">
        <v>197</v>
      </c>
      <c r="K84" s="27" t="s">
        <v>371</v>
      </c>
      <c r="L84" s="27" t="s">
        <v>371</v>
      </c>
      <c r="M84" s="27" t="s">
        <v>371</v>
      </c>
      <c r="N84" s="27" t="s">
        <v>371</v>
      </c>
      <c r="O84" s="27" t="s">
        <v>371</v>
      </c>
      <c r="P84" s="27" t="s">
        <v>371</v>
      </c>
      <c r="Q84" s="27" t="s">
        <v>372</v>
      </c>
      <c r="R84" s="45">
        <v>0</v>
      </c>
      <c r="S84" s="45">
        <v>0</v>
      </c>
      <c r="T84" s="45">
        <v>0</v>
      </c>
      <c r="U84" s="45">
        <v>0</v>
      </c>
      <c r="V84" s="45">
        <v>0</v>
      </c>
      <c r="W84" s="45">
        <v>0</v>
      </c>
      <c r="X84" s="45">
        <v>0</v>
      </c>
      <c r="Y84" s="45">
        <v>0</v>
      </c>
      <c r="Z84" s="45">
        <v>0</v>
      </c>
      <c r="AA84" s="45">
        <v>0</v>
      </c>
      <c r="AB84" s="45">
        <v>0</v>
      </c>
      <c r="AC84" s="45">
        <v>0</v>
      </c>
      <c r="AD84" s="45">
        <v>0</v>
      </c>
      <c r="AE84" s="45">
        <v>0</v>
      </c>
      <c r="AF84" s="45">
        <v>0</v>
      </c>
      <c r="AG84" s="45">
        <v>0</v>
      </c>
      <c r="AH84" s="45"/>
      <c r="AI84" s="45"/>
      <c r="AJ84" s="45"/>
      <c r="AK84" s="45"/>
      <c r="AL84" s="45"/>
      <c r="AM84" s="45"/>
      <c r="AN84" s="45"/>
      <c r="AO84" s="45"/>
    </row>
    <row r="85" spans="2:41" outlineLevel="1" x14ac:dyDescent="0.35">
      <c r="B85" s="27" t="s">
        <v>292</v>
      </c>
      <c r="C85" s="27" t="s">
        <v>51</v>
      </c>
      <c r="D85" s="27" t="s">
        <v>1434</v>
      </c>
      <c r="E85" s="27" t="s">
        <v>51</v>
      </c>
      <c r="F85" s="27" t="s">
        <v>195</v>
      </c>
      <c r="G85" s="27" t="s">
        <v>294</v>
      </c>
      <c r="H85" s="27" t="s">
        <v>54</v>
      </c>
      <c r="I85" s="27" t="s">
        <v>142</v>
      </c>
      <c r="J85" s="27" t="s">
        <v>197</v>
      </c>
      <c r="K85" s="27" t="s">
        <v>371</v>
      </c>
      <c r="L85" s="27" t="s">
        <v>371</v>
      </c>
      <c r="M85" s="27" t="s">
        <v>371</v>
      </c>
      <c r="N85" s="27" t="s">
        <v>371</v>
      </c>
      <c r="O85" s="27" t="s">
        <v>371</v>
      </c>
      <c r="P85" s="27" t="s">
        <v>371</v>
      </c>
      <c r="Q85" s="27" t="s">
        <v>372</v>
      </c>
      <c r="R85" s="45">
        <v>-3105.51</v>
      </c>
      <c r="S85" s="45">
        <v>-3105.51</v>
      </c>
      <c r="T85" s="45">
        <v>-3105.51</v>
      </c>
      <c r="U85" s="45">
        <v>-3105.51</v>
      </c>
      <c r="V85" s="45">
        <v>-3105.51</v>
      </c>
      <c r="W85" s="45">
        <v>-3105.51</v>
      </c>
      <c r="X85" s="45">
        <v>0</v>
      </c>
      <c r="Y85" s="45">
        <v>0</v>
      </c>
      <c r="Z85" s="45">
        <v>0</v>
      </c>
      <c r="AA85" s="45">
        <v>0</v>
      </c>
      <c r="AB85" s="45">
        <v>0</v>
      </c>
      <c r="AC85" s="45">
        <v>0</v>
      </c>
      <c r="AD85" s="45">
        <v>0</v>
      </c>
      <c r="AE85" s="45">
        <v>0</v>
      </c>
      <c r="AF85" s="45">
        <v>0</v>
      </c>
      <c r="AG85" s="45">
        <v>0</v>
      </c>
      <c r="AH85" s="45"/>
      <c r="AI85" s="45"/>
      <c r="AJ85" s="45"/>
      <c r="AK85" s="45"/>
      <c r="AL85" s="45"/>
      <c r="AM85" s="45"/>
      <c r="AN85" s="45"/>
      <c r="AO85" s="45"/>
    </row>
    <row r="86" spans="2:41" outlineLevel="1" x14ac:dyDescent="0.35">
      <c r="B86" s="27" t="s">
        <v>298</v>
      </c>
      <c r="C86" s="27" t="s">
        <v>51</v>
      </c>
      <c r="D86" s="27" t="s">
        <v>1435</v>
      </c>
      <c r="E86" s="27" t="s">
        <v>51</v>
      </c>
      <c r="F86" s="27" t="s">
        <v>195</v>
      </c>
      <c r="G86" s="27" t="s">
        <v>300</v>
      </c>
      <c r="H86" s="27" t="s">
        <v>54</v>
      </c>
      <c r="I86" s="27" t="s">
        <v>142</v>
      </c>
      <c r="J86" s="27" t="s">
        <v>197</v>
      </c>
      <c r="K86" s="27" t="s">
        <v>371</v>
      </c>
      <c r="L86" s="27" t="s">
        <v>371</v>
      </c>
      <c r="M86" s="27" t="s">
        <v>371</v>
      </c>
      <c r="N86" s="27" t="s">
        <v>371</v>
      </c>
      <c r="O86" s="27" t="s">
        <v>371</v>
      </c>
      <c r="P86" s="27" t="s">
        <v>371</v>
      </c>
      <c r="Q86" s="27" t="s">
        <v>372</v>
      </c>
      <c r="R86" s="45">
        <v>0</v>
      </c>
      <c r="S86" s="45">
        <v>0</v>
      </c>
      <c r="T86" s="45">
        <v>0</v>
      </c>
      <c r="U86" s="45">
        <v>0</v>
      </c>
      <c r="V86" s="45">
        <v>0</v>
      </c>
      <c r="W86" s="45">
        <v>0</v>
      </c>
      <c r="X86" s="45">
        <v>0</v>
      </c>
      <c r="Y86" s="45">
        <v>0</v>
      </c>
      <c r="Z86" s="45">
        <v>0</v>
      </c>
      <c r="AA86" s="45">
        <v>0</v>
      </c>
      <c r="AB86" s="45">
        <v>0</v>
      </c>
      <c r="AC86" s="45">
        <v>0</v>
      </c>
      <c r="AD86" s="45">
        <v>0</v>
      </c>
      <c r="AE86" s="45">
        <v>0</v>
      </c>
      <c r="AF86" s="45">
        <v>0</v>
      </c>
      <c r="AG86" s="45">
        <v>0</v>
      </c>
      <c r="AH86" s="45"/>
      <c r="AI86" s="45"/>
      <c r="AJ86" s="45"/>
      <c r="AK86" s="45"/>
      <c r="AL86" s="45"/>
      <c r="AM86" s="45"/>
      <c r="AN86" s="45"/>
      <c r="AO86" s="45"/>
    </row>
    <row r="87" spans="2:41" outlineLevel="1" x14ac:dyDescent="0.35">
      <c r="B87" s="27" t="s">
        <v>433</v>
      </c>
      <c r="C87" s="27" t="s">
        <v>51</v>
      </c>
      <c r="D87" s="27" t="s">
        <v>1436</v>
      </c>
      <c r="E87" s="27" t="s">
        <v>51</v>
      </c>
      <c r="F87" s="27" t="s">
        <v>434</v>
      </c>
      <c r="G87" s="27" t="s">
        <v>435</v>
      </c>
      <c r="H87" s="27" t="s">
        <v>54</v>
      </c>
      <c r="I87" s="27" t="s">
        <v>142</v>
      </c>
      <c r="J87" s="27" t="s">
        <v>436</v>
      </c>
      <c r="K87" s="27" t="s">
        <v>371</v>
      </c>
      <c r="L87" s="27" t="s">
        <v>371</v>
      </c>
      <c r="M87" s="27" t="s">
        <v>371</v>
      </c>
      <c r="N87" s="27" t="s">
        <v>371</v>
      </c>
      <c r="O87" s="27" t="s">
        <v>371</v>
      </c>
      <c r="P87" s="27" t="s">
        <v>371</v>
      </c>
      <c r="Q87" s="27" t="s">
        <v>372</v>
      </c>
      <c r="R87" s="45">
        <v>-3772131.09</v>
      </c>
      <c r="S87" s="45">
        <v>0</v>
      </c>
      <c r="T87" s="45">
        <v>-1593269.63</v>
      </c>
      <c r="U87" s="45">
        <v>0</v>
      </c>
      <c r="V87" s="45">
        <v>0</v>
      </c>
      <c r="W87" s="45">
        <v>-840717</v>
      </c>
      <c r="X87" s="45">
        <v>0</v>
      </c>
      <c r="Y87" s="45">
        <v>0</v>
      </c>
      <c r="Z87" s="45">
        <v>0</v>
      </c>
      <c r="AA87" s="45">
        <v>0</v>
      </c>
      <c r="AB87" s="45">
        <v>0</v>
      </c>
      <c r="AC87" s="45">
        <v>0</v>
      </c>
      <c r="AD87" s="45">
        <v>0</v>
      </c>
      <c r="AE87" s="45">
        <v>0</v>
      </c>
      <c r="AF87" s="45">
        <v>0</v>
      </c>
      <c r="AG87" s="45">
        <v>0</v>
      </c>
      <c r="AH87" s="45"/>
      <c r="AI87" s="45"/>
      <c r="AJ87" s="45"/>
      <c r="AK87" s="45"/>
      <c r="AL87" s="45"/>
      <c r="AM87" s="45"/>
      <c r="AN87" s="45"/>
      <c r="AO87" s="45"/>
    </row>
    <row r="88" spans="2:41" outlineLevel="1" x14ac:dyDescent="0.35">
      <c r="B88" s="27" t="s">
        <v>1206</v>
      </c>
      <c r="C88" s="27" t="s">
        <v>51</v>
      </c>
      <c r="D88" s="27" t="s">
        <v>1785</v>
      </c>
      <c r="E88" s="27" t="s">
        <v>51</v>
      </c>
      <c r="F88" s="27" t="s">
        <v>434</v>
      </c>
      <c r="G88" s="27" t="s">
        <v>1437</v>
      </c>
      <c r="H88" s="27" t="s">
        <v>54</v>
      </c>
      <c r="I88" s="27" t="s">
        <v>142</v>
      </c>
      <c r="J88" s="27" t="s">
        <v>436</v>
      </c>
      <c r="K88" s="27" t="s">
        <v>371</v>
      </c>
      <c r="L88" s="27" t="s">
        <v>371</v>
      </c>
      <c r="M88" s="27" t="s">
        <v>371</v>
      </c>
      <c r="N88" s="27" t="s">
        <v>371</v>
      </c>
      <c r="O88" s="27" t="s">
        <v>371</v>
      </c>
      <c r="P88" s="27" t="s">
        <v>371</v>
      </c>
      <c r="Q88" s="27" t="s">
        <v>372</v>
      </c>
      <c r="R88" s="45">
        <v>-1601683.12</v>
      </c>
      <c r="S88" s="45">
        <v>-669191.64</v>
      </c>
      <c r="T88" s="45">
        <v>-430753.12000000023</v>
      </c>
      <c r="U88" s="45">
        <v>-122013.76000000024</v>
      </c>
      <c r="V88" s="45">
        <v>-919978.63000000012</v>
      </c>
      <c r="W88" s="45">
        <v>-1581594.4</v>
      </c>
      <c r="X88" s="45">
        <v>-1513689.86</v>
      </c>
      <c r="Y88" s="45">
        <v>-2575981.64</v>
      </c>
      <c r="Z88" s="45">
        <v>-3945053.59</v>
      </c>
      <c r="AA88" s="45">
        <v>-3555873.95</v>
      </c>
      <c r="AB88" s="45">
        <v>-4296990.25</v>
      </c>
      <c r="AC88" s="45">
        <v>-2445187.06</v>
      </c>
      <c r="AD88" s="45">
        <v>-3455589.97</v>
      </c>
      <c r="AE88" s="45">
        <v>-2880372.58</v>
      </c>
      <c r="AF88" s="45">
        <v>-3843546</v>
      </c>
      <c r="AG88" s="45">
        <v>-3688285.65</v>
      </c>
      <c r="AH88" s="45"/>
      <c r="AI88" s="45"/>
      <c r="AJ88" s="45"/>
      <c r="AK88" s="45"/>
      <c r="AL88" s="45"/>
      <c r="AM88" s="45"/>
      <c r="AN88" s="45"/>
      <c r="AO88" s="45"/>
    </row>
    <row r="89" spans="2:41" outlineLevel="1" x14ac:dyDescent="0.35">
      <c r="B89" s="27" t="s">
        <v>139</v>
      </c>
      <c r="C89" s="27" t="s">
        <v>51</v>
      </c>
      <c r="D89" s="27" t="s">
        <v>1438</v>
      </c>
      <c r="E89" s="27" t="s">
        <v>51</v>
      </c>
      <c r="F89" s="27" t="s">
        <v>432</v>
      </c>
      <c r="G89" s="27" t="s">
        <v>141</v>
      </c>
      <c r="H89" s="27" t="s">
        <v>54</v>
      </c>
      <c r="I89" s="27" t="s">
        <v>142</v>
      </c>
      <c r="J89" s="27" t="s">
        <v>143</v>
      </c>
      <c r="K89" s="27" t="s">
        <v>371</v>
      </c>
      <c r="L89" s="27" t="s">
        <v>371</v>
      </c>
      <c r="M89" s="27" t="s">
        <v>371</v>
      </c>
      <c r="N89" s="27" t="s">
        <v>371</v>
      </c>
      <c r="O89" s="27" t="s">
        <v>371</v>
      </c>
      <c r="P89" s="27" t="s">
        <v>371</v>
      </c>
      <c r="Q89" s="27" t="s">
        <v>372</v>
      </c>
      <c r="R89" s="45">
        <v>-84047.39</v>
      </c>
      <c r="S89" s="45">
        <v>-0.05</v>
      </c>
      <c r="T89" s="45">
        <v>-5.0000000046566129E-2</v>
      </c>
      <c r="U89" s="45">
        <v>5.0000000046566129E-2</v>
      </c>
      <c r="V89" s="45">
        <v>5.0000000046566129E-2</v>
      </c>
      <c r="W89" s="45">
        <v>0</v>
      </c>
      <c r="X89" s="45">
        <v>0</v>
      </c>
      <c r="Y89" s="45">
        <v>0</v>
      </c>
      <c r="Z89" s="45">
        <v>0</v>
      </c>
      <c r="AA89" s="45">
        <v>0</v>
      </c>
      <c r="AB89" s="45">
        <v>-0.01</v>
      </c>
      <c r="AC89" s="45">
        <v>-0.01</v>
      </c>
      <c r="AD89" s="45">
        <v>-0.01</v>
      </c>
      <c r="AE89" s="45">
        <v>-0.01</v>
      </c>
      <c r="AF89" s="45">
        <v>0</v>
      </c>
      <c r="AG89" s="45">
        <v>0</v>
      </c>
      <c r="AH89" s="45"/>
      <c r="AI89" s="45"/>
      <c r="AJ89" s="45"/>
      <c r="AK89" s="45"/>
      <c r="AL89" s="45"/>
      <c r="AM89" s="45"/>
      <c r="AN89" s="45"/>
      <c r="AO89" s="45"/>
    </row>
    <row r="90" spans="2:41" outlineLevel="1" x14ac:dyDescent="0.35">
      <c r="B90" s="27" t="s">
        <v>1207</v>
      </c>
      <c r="C90" s="27" t="s">
        <v>51</v>
      </c>
      <c r="D90" s="27" t="s">
        <v>1786</v>
      </c>
      <c r="E90" s="27" t="s">
        <v>51</v>
      </c>
      <c r="F90" s="27" t="s">
        <v>432</v>
      </c>
      <c r="G90" s="27" t="s">
        <v>1439</v>
      </c>
      <c r="H90" s="27" t="s">
        <v>54</v>
      </c>
      <c r="I90" s="27" t="s">
        <v>142</v>
      </c>
      <c r="J90" s="27" t="s">
        <v>143</v>
      </c>
      <c r="K90" s="27" t="s">
        <v>371</v>
      </c>
      <c r="L90" s="27" t="s">
        <v>371</v>
      </c>
      <c r="M90" s="27" t="s">
        <v>371</v>
      </c>
      <c r="N90" s="27" t="s">
        <v>371</v>
      </c>
      <c r="O90" s="27" t="s">
        <v>371</v>
      </c>
      <c r="P90" s="27" t="s">
        <v>371</v>
      </c>
      <c r="Q90" s="27" t="s">
        <v>372</v>
      </c>
      <c r="R90" s="45">
        <v>-32682.55</v>
      </c>
      <c r="S90" s="45">
        <v>-87155.8</v>
      </c>
      <c r="T90" s="45">
        <v>-165535.51</v>
      </c>
      <c r="U90" s="45">
        <v>-224011.91000000003</v>
      </c>
      <c r="V90" s="45">
        <v>-265889.15000000002</v>
      </c>
      <c r="W90" s="45">
        <v>-318169.65000000002</v>
      </c>
      <c r="X90" s="45">
        <v>-376144.56</v>
      </c>
      <c r="Y90" s="45">
        <v>-442126.06</v>
      </c>
      <c r="Z90" s="45">
        <v>-516146.49</v>
      </c>
      <c r="AA90" s="45">
        <v>-596795.94999999995</v>
      </c>
      <c r="AB90" s="45">
        <v>-688043.37</v>
      </c>
      <c r="AC90" s="45">
        <v>0</v>
      </c>
      <c r="AD90" s="45">
        <v>-117656.02</v>
      </c>
      <c r="AE90" s="45">
        <v>-236909.23</v>
      </c>
      <c r="AF90" s="45">
        <v>-336816.13</v>
      </c>
      <c r="AG90" s="45">
        <v>-450694.18</v>
      </c>
      <c r="AH90" s="45"/>
      <c r="AI90" s="45"/>
      <c r="AJ90" s="45"/>
      <c r="AK90" s="45"/>
      <c r="AL90" s="45"/>
      <c r="AM90" s="45"/>
      <c r="AN90" s="45"/>
      <c r="AO90" s="45"/>
    </row>
    <row r="91" spans="2:41" outlineLevel="1" x14ac:dyDescent="0.35">
      <c r="B91" s="27" t="s">
        <v>1208</v>
      </c>
      <c r="C91" s="27" t="s">
        <v>51</v>
      </c>
      <c r="D91" s="27" t="s">
        <v>1787</v>
      </c>
      <c r="E91" s="27" t="s">
        <v>51</v>
      </c>
      <c r="F91" s="27" t="s">
        <v>432</v>
      </c>
      <c r="G91" s="27" t="s">
        <v>1440</v>
      </c>
      <c r="H91" s="27" t="s">
        <v>54</v>
      </c>
      <c r="I91" s="27" t="s">
        <v>142</v>
      </c>
      <c r="J91" s="27" t="s">
        <v>143</v>
      </c>
      <c r="K91" s="27" t="s">
        <v>371</v>
      </c>
      <c r="L91" s="27" t="s">
        <v>371</v>
      </c>
      <c r="M91" s="27" t="s">
        <v>371</v>
      </c>
      <c r="N91" s="27" t="s">
        <v>371</v>
      </c>
      <c r="O91" s="27" t="s">
        <v>371</v>
      </c>
      <c r="P91" s="27" t="s">
        <v>371</v>
      </c>
      <c r="Q91" s="27" t="s">
        <v>372</v>
      </c>
      <c r="R91" s="45">
        <v>-60367.06</v>
      </c>
      <c r="S91" s="45">
        <v>-68367.42</v>
      </c>
      <c r="T91" s="45">
        <v>-36406.33</v>
      </c>
      <c r="U91" s="45">
        <v>-45203.8</v>
      </c>
      <c r="V91" s="45">
        <v>-52525.43</v>
      </c>
      <c r="W91" s="45">
        <v>-59560.75</v>
      </c>
      <c r="X91" s="45">
        <v>-68344.929999999993</v>
      </c>
      <c r="Y91" s="45">
        <v>-77889.87</v>
      </c>
      <c r="Z91" s="45">
        <v>-88914.42</v>
      </c>
      <c r="AA91" s="45">
        <v>-71524.95</v>
      </c>
      <c r="AB91" s="45">
        <v>-83381.5</v>
      </c>
      <c r="AC91" s="45">
        <v>-91514.01</v>
      </c>
      <c r="AD91" s="45">
        <v>-84489.01</v>
      </c>
      <c r="AE91" s="45">
        <v>-101321.82</v>
      </c>
      <c r="AF91" s="45">
        <v>-102312.4</v>
      </c>
      <c r="AG91" s="45">
        <v>-121971.56</v>
      </c>
      <c r="AH91" s="45"/>
      <c r="AI91" s="45"/>
      <c r="AJ91" s="45"/>
      <c r="AK91" s="45"/>
      <c r="AL91" s="45"/>
      <c r="AM91" s="45"/>
      <c r="AN91" s="45"/>
      <c r="AO91" s="45"/>
    </row>
    <row r="92" spans="2:41" outlineLevel="1" x14ac:dyDescent="0.35">
      <c r="B92" s="27" t="s">
        <v>1209</v>
      </c>
      <c r="C92" s="27" t="s">
        <v>51</v>
      </c>
      <c r="D92" s="27" t="s">
        <v>1788</v>
      </c>
      <c r="E92" s="27" t="s">
        <v>51</v>
      </c>
      <c r="F92" s="27" t="s">
        <v>432</v>
      </c>
      <c r="G92" s="27" t="s">
        <v>1441</v>
      </c>
      <c r="H92" s="27" t="s">
        <v>54</v>
      </c>
      <c r="I92" s="27" t="s">
        <v>142</v>
      </c>
      <c r="J92" s="27" t="s">
        <v>143</v>
      </c>
      <c r="K92" s="27" t="s">
        <v>371</v>
      </c>
      <c r="L92" s="27" t="s">
        <v>371</v>
      </c>
      <c r="M92" s="27" t="s">
        <v>371</v>
      </c>
      <c r="N92" s="27" t="s">
        <v>371</v>
      </c>
      <c r="O92" s="27" t="s">
        <v>371</v>
      </c>
      <c r="P92" s="27" t="s">
        <v>371</v>
      </c>
      <c r="Q92" s="27" t="s">
        <v>372</v>
      </c>
      <c r="R92" s="45">
        <v>-4508255.1500000004</v>
      </c>
      <c r="S92" s="45">
        <v>-4876197.1500000004</v>
      </c>
      <c r="T92" s="45">
        <v>-5908448.1400000006</v>
      </c>
      <c r="U92" s="45">
        <v>-6501112.9399999995</v>
      </c>
      <c r="V92" s="45">
        <v>-5970799.3500000006</v>
      </c>
      <c r="W92" s="45">
        <v>-6563464.1499999994</v>
      </c>
      <c r="X92" s="45">
        <v>-7339921.1500000004</v>
      </c>
      <c r="Y92" s="45">
        <v>-4036315.49</v>
      </c>
      <c r="Z92" s="45">
        <v>-4812772.49</v>
      </c>
      <c r="AA92" s="45">
        <v>-5589229.4900000002</v>
      </c>
      <c r="AB92" s="45">
        <v>-6365686.4900000002</v>
      </c>
      <c r="AC92" s="45">
        <v>-7142143.4900000002</v>
      </c>
      <c r="AD92" s="45">
        <v>-7932930.3600000003</v>
      </c>
      <c r="AE92" s="45">
        <v>-8742547.4800000004</v>
      </c>
      <c r="AF92" s="45">
        <v>-9590554.1300000008</v>
      </c>
      <c r="AG92" s="45">
        <v>-10439136.689999999</v>
      </c>
      <c r="AH92" s="45"/>
      <c r="AI92" s="45"/>
      <c r="AJ92" s="45"/>
      <c r="AK92" s="45"/>
      <c r="AL92" s="45"/>
      <c r="AM92" s="45"/>
      <c r="AN92" s="45"/>
      <c r="AO92" s="45"/>
    </row>
    <row r="93" spans="2:41" outlineLevel="1" x14ac:dyDescent="0.35">
      <c r="B93" s="27" t="s">
        <v>1210</v>
      </c>
      <c r="C93" s="27" t="s">
        <v>51</v>
      </c>
      <c r="D93" s="27" t="s">
        <v>1789</v>
      </c>
      <c r="E93" s="27" t="s">
        <v>51</v>
      </c>
      <c r="F93" s="27" t="s">
        <v>434</v>
      </c>
      <c r="G93" s="27" t="s">
        <v>1442</v>
      </c>
      <c r="H93" s="27" t="s">
        <v>54</v>
      </c>
      <c r="I93" s="27" t="s">
        <v>142</v>
      </c>
      <c r="J93" s="27" t="s">
        <v>436</v>
      </c>
      <c r="K93" s="27" t="s">
        <v>371</v>
      </c>
      <c r="L93" s="27" t="s">
        <v>371</v>
      </c>
      <c r="M93" s="27" t="s">
        <v>371</v>
      </c>
      <c r="N93" s="27" t="s">
        <v>371</v>
      </c>
      <c r="O93" s="27" t="s">
        <v>371</v>
      </c>
      <c r="P93" s="27" t="s">
        <v>371</v>
      </c>
      <c r="Q93" s="27" t="s">
        <v>372</v>
      </c>
      <c r="R93" s="45">
        <v>-59095.98</v>
      </c>
      <c r="S93" s="45">
        <v>-60122.27</v>
      </c>
      <c r="T93" s="45">
        <v>-67865.84</v>
      </c>
      <c r="U93" s="45">
        <v>-68494.51999999999</v>
      </c>
      <c r="V93" s="45">
        <v>-69726.700000000012</v>
      </c>
      <c r="W93" s="45">
        <v>-64671.549999999996</v>
      </c>
      <c r="X93" s="45">
        <v>-69702.91</v>
      </c>
      <c r="Y93" s="45">
        <v>-73148.06</v>
      </c>
      <c r="Z93" s="45">
        <v>-82410.2</v>
      </c>
      <c r="AA93" s="45">
        <v>-93884.22</v>
      </c>
      <c r="AB93" s="45">
        <v>-109569.27</v>
      </c>
      <c r="AC93" s="45">
        <v>-114644.11</v>
      </c>
      <c r="AD93" s="45">
        <v>-127941.52</v>
      </c>
      <c r="AE93" s="45">
        <v>-110786.85</v>
      </c>
      <c r="AF93" s="45">
        <v>-117991.14</v>
      </c>
      <c r="AG93" s="45">
        <v>-151952.24</v>
      </c>
      <c r="AH93" s="45"/>
      <c r="AI93" s="45"/>
      <c r="AJ93" s="45"/>
      <c r="AK93" s="45"/>
      <c r="AL93" s="45"/>
      <c r="AM93" s="45"/>
      <c r="AN93" s="45"/>
      <c r="AO93" s="45"/>
    </row>
    <row r="94" spans="2:41" outlineLevel="1" x14ac:dyDescent="0.35">
      <c r="B94" s="27" t="s">
        <v>1211</v>
      </c>
      <c r="C94" s="27" t="s">
        <v>51</v>
      </c>
      <c r="D94" s="27" t="s">
        <v>1790</v>
      </c>
      <c r="E94" s="27" t="s">
        <v>51</v>
      </c>
      <c r="F94" s="27" t="s">
        <v>434</v>
      </c>
      <c r="G94" s="27" t="s">
        <v>1443</v>
      </c>
      <c r="H94" s="27" t="s">
        <v>54</v>
      </c>
      <c r="I94" s="27" t="s">
        <v>142</v>
      </c>
      <c r="J94" s="27" t="s">
        <v>436</v>
      </c>
      <c r="K94" s="27" t="s">
        <v>371</v>
      </c>
      <c r="L94" s="27" t="s">
        <v>371</v>
      </c>
      <c r="M94" s="27" t="s">
        <v>371</v>
      </c>
      <c r="N94" s="27" t="s">
        <v>371</v>
      </c>
      <c r="O94" s="27" t="s">
        <v>371</v>
      </c>
      <c r="P94" s="27" t="s">
        <v>371</v>
      </c>
      <c r="Q94" s="27" t="s">
        <v>372</v>
      </c>
      <c r="R94" s="45">
        <v>-55104.869999999995</v>
      </c>
      <c r="S94" s="45">
        <v>-107409.39000000001</v>
      </c>
      <c r="T94" s="45">
        <v>-67873.98000000001</v>
      </c>
      <c r="U94" s="45">
        <v>-131696.87</v>
      </c>
      <c r="V94" s="45">
        <v>-68795.839999999997</v>
      </c>
      <c r="W94" s="45">
        <v>-126901.12000000001</v>
      </c>
      <c r="X94" s="45">
        <v>-63267.69</v>
      </c>
      <c r="Y94" s="45">
        <v>-130206.04999999999</v>
      </c>
      <c r="Z94" s="45">
        <v>-69800.180000000008</v>
      </c>
      <c r="AA94" s="45">
        <v>-148592.20000000001</v>
      </c>
      <c r="AB94" s="45">
        <v>-88247.58</v>
      </c>
      <c r="AC94" s="45">
        <v>-191647.34000000003</v>
      </c>
      <c r="AD94" s="45">
        <v>-109170.93</v>
      </c>
      <c r="AE94" s="45">
        <v>-242327.16</v>
      </c>
      <c r="AF94" s="45">
        <v>-61646.32</v>
      </c>
      <c r="AG94" s="45">
        <v>-172671.21</v>
      </c>
      <c r="AH94" s="45"/>
      <c r="AI94" s="45"/>
      <c r="AJ94" s="45"/>
      <c r="AK94" s="45"/>
      <c r="AL94" s="45"/>
      <c r="AM94" s="45"/>
      <c r="AN94" s="45"/>
      <c r="AO94" s="45"/>
    </row>
    <row r="95" spans="2:41" outlineLevel="1" x14ac:dyDescent="0.35">
      <c r="B95" s="27" t="s">
        <v>1212</v>
      </c>
      <c r="C95" s="27" t="s">
        <v>51</v>
      </c>
      <c r="D95" s="27" t="s">
        <v>1791</v>
      </c>
      <c r="E95" s="27" t="s">
        <v>51</v>
      </c>
      <c r="F95" s="27" t="s">
        <v>434</v>
      </c>
      <c r="G95" s="27" t="s">
        <v>1444</v>
      </c>
      <c r="H95" s="27" t="s">
        <v>54</v>
      </c>
      <c r="I95" s="27" t="s">
        <v>142</v>
      </c>
      <c r="J95" s="27" t="s">
        <v>436</v>
      </c>
      <c r="K95" s="27" t="s">
        <v>371</v>
      </c>
      <c r="L95" s="27" t="s">
        <v>371</v>
      </c>
      <c r="M95" s="27" t="s">
        <v>371</v>
      </c>
      <c r="N95" s="27" t="s">
        <v>371</v>
      </c>
      <c r="O95" s="27" t="s">
        <v>371</v>
      </c>
      <c r="P95" s="27" t="s">
        <v>371</v>
      </c>
      <c r="Q95" s="27" t="s">
        <v>372</v>
      </c>
      <c r="R95" s="45">
        <v>-31156.52</v>
      </c>
      <c r="S95" s="45">
        <v>-62382.15</v>
      </c>
      <c r="T95" s="45">
        <v>-38834.340000000004</v>
      </c>
      <c r="U95" s="45">
        <v>-77053.76999999999</v>
      </c>
      <c r="V95" s="45">
        <v>-39490.570000000007</v>
      </c>
      <c r="W95" s="45">
        <v>-74588.7</v>
      </c>
      <c r="X95" s="45">
        <v>-38220.31</v>
      </c>
      <c r="Y95" s="45">
        <v>-76064.61</v>
      </c>
      <c r="Z95" s="45">
        <v>-39528.550000000003</v>
      </c>
      <c r="AA95" s="45">
        <v>-84147.01</v>
      </c>
      <c r="AB95" s="45">
        <v>-47765.56</v>
      </c>
      <c r="AC95" s="45">
        <v>-115287.58</v>
      </c>
      <c r="AD95" s="45">
        <v>-11147.21</v>
      </c>
      <c r="AE95" s="45">
        <v>-82431.11</v>
      </c>
      <c r="AF95" s="45">
        <v>-74407.009999999995</v>
      </c>
      <c r="AG95" s="45">
        <v>-162175.60999999999</v>
      </c>
      <c r="AH95" s="45"/>
      <c r="AI95" s="45"/>
      <c r="AJ95" s="45"/>
      <c r="AK95" s="45"/>
      <c r="AL95" s="45"/>
      <c r="AM95" s="45"/>
      <c r="AN95" s="45"/>
      <c r="AO95" s="45"/>
    </row>
    <row r="96" spans="2:41" outlineLevel="1" x14ac:dyDescent="0.35">
      <c r="B96" s="27" t="s">
        <v>1213</v>
      </c>
      <c r="C96" s="27" t="s">
        <v>51</v>
      </c>
      <c r="D96" s="27" t="s">
        <v>1792</v>
      </c>
      <c r="E96" s="27" t="s">
        <v>51</v>
      </c>
      <c r="F96" s="27" t="s">
        <v>434</v>
      </c>
      <c r="G96" s="27" t="s">
        <v>1445</v>
      </c>
      <c r="H96" s="27" t="s">
        <v>54</v>
      </c>
      <c r="I96" s="27" t="s">
        <v>142</v>
      </c>
      <c r="J96" s="27" t="s">
        <v>436</v>
      </c>
      <c r="K96" s="27" t="s">
        <v>371</v>
      </c>
      <c r="L96" s="27" t="s">
        <v>371</v>
      </c>
      <c r="M96" s="27" t="s">
        <v>371</v>
      </c>
      <c r="N96" s="27" t="s">
        <v>371</v>
      </c>
      <c r="O96" s="27" t="s">
        <v>371</v>
      </c>
      <c r="P96" s="27" t="s">
        <v>371</v>
      </c>
      <c r="Q96" s="27" t="s">
        <v>372</v>
      </c>
      <c r="R96" s="45">
        <v>-32497.360000000001</v>
      </c>
      <c r="S96" s="45">
        <v>-38474.639999999999</v>
      </c>
      <c r="T96" s="45">
        <v>-45406.13</v>
      </c>
      <c r="U96" s="45">
        <v>-55249.85</v>
      </c>
      <c r="V96" s="45">
        <v>-86354.66</v>
      </c>
      <c r="W96" s="45">
        <v>-64833.33</v>
      </c>
      <c r="X96" s="45">
        <v>-36428.89</v>
      </c>
      <c r="Y96" s="45">
        <v>-83912.31</v>
      </c>
      <c r="Z96" s="45">
        <v>-73996.829999999987</v>
      </c>
      <c r="AA96" s="45">
        <v>-92181.43</v>
      </c>
      <c r="AB96" s="45">
        <v>-106908.78</v>
      </c>
      <c r="AC96" s="45">
        <v>-75412.679999999993</v>
      </c>
      <c r="AD96" s="45">
        <v>-149098.95000000001</v>
      </c>
      <c r="AE96" s="45">
        <v>-185075.5</v>
      </c>
      <c r="AF96" s="45">
        <v>-69695.67</v>
      </c>
      <c r="AG96" s="45">
        <v>-98906.1</v>
      </c>
      <c r="AH96" s="45"/>
      <c r="AI96" s="45"/>
      <c r="AJ96" s="45"/>
      <c r="AK96" s="45"/>
      <c r="AL96" s="45"/>
      <c r="AM96" s="45"/>
      <c r="AN96" s="45"/>
      <c r="AO96" s="45"/>
    </row>
    <row r="97" spans="2:41" outlineLevel="1" x14ac:dyDescent="0.35">
      <c r="B97" s="27" t="s">
        <v>1214</v>
      </c>
      <c r="C97" s="27" t="s">
        <v>51</v>
      </c>
      <c r="D97" s="27" t="s">
        <v>1793</v>
      </c>
      <c r="E97" s="27" t="s">
        <v>51</v>
      </c>
      <c r="F97" s="27" t="s">
        <v>434</v>
      </c>
      <c r="G97" s="27" t="s">
        <v>1446</v>
      </c>
      <c r="H97" s="27" t="s">
        <v>54</v>
      </c>
      <c r="I97" s="27" t="s">
        <v>142</v>
      </c>
      <c r="J97" s="27" t="s">
        <v>436</v>
      </c>
      <c r="K97" s="27" t="s">
        <v>371</v>
      </c>
      <c r="L97" s="27" t="s">
        <v>371</v>
      </c>
      <c r="M97" s="27" t="s">
        <v>371</v>
      </c>
      <c r="N97" s="27" t="s">
        <v>371</v>
      </c>
      <c r="O97" s="27" t="s">
        <v>371</v>
      </c>
      <c r="P97" s="27" t="s">
        <v>371</v>
      </c>
      <c r="Q97" s="27" t="s">
        <v>372</v>
      </c>
      <c r="R97" s="45">
        <v>-190780.83</v>
      </c>
      <c r="S97" s="45">
        <v>-283708.02</v>
      </c>
      <c r="T97" s="45">
        <v>-293022.87</v>
      </c>
      <c r="U97" s="45">
        <v>-293165.69</v>
      </c>
      <c r="V97" s="45">
        <v>-474251.72000000003</v>
      </c>
      <c r="W97" s="45">
        <v>-197359.56</v>
      </c>
      <c r="X97" s="45">
        <v>-197466.74</v>
      </c>
      <c r="Y97" s="45">
        <v>-525767.81000000006</v>
      </c>
      <c r="Z97" s="45">
        <v>-259000.98</v>
      </c>
      <c r="AA97" s="45">
        <v>-315024.67</v>
      </c>
      <c r="AB97" s="45">
        <v>-309191.43</v>
      </c>
      <c r="AC97" s="45">
        <v>-622352.53</v>
      </c>
      <c r="AD97" s="45">
        <v>-367340.88</v>
      </c>
      <c r="AE97" s="45">
        <v>-493001.31</v>
      </c>
      <c r="AF97" s="45">
        <v>-373132.41</v>
      </c>
      <c r="AG97" s="45">
        <v>-430439.96</v>
      </c>
      <c r="AH97" s="45"/>
      <c r="AI97" s="45"/>
      <c r="AJ97" s="45"/>
      <c r="AK97" s="45"/>
      <c r="AL97" s="45"/>
      <c r="AM97" s="45"/>
      <c r="AN97" s="45"/>
      <c r="AO97" s="45"/>
    </row>
    <row r="98" spans="2:41" outlineLevel="1" x14ac:dyDescent="0.35">
      <c r="B98" s="27" t="s">
        <v>1215</v>
      </c>
      <c r="C98" s="27" t="s">
        <v>51</v>
      </c>
      <c r="D98" s="27" t="s">
        <v>1794</v>
      </c>
      <c r="E98" s="27" t="s">
        <v>51</v>
      </c>
      <c r="F98" s="27" t="s">
        <v>434</v>
      </c>
      <c r="G98" s="27" t="s">
        <v>1447</v>
      </c>
      <c r="H98" s="27" t="s">
        <v>54</v>
      </c>
      <c r="I98" s="27" t="s">
        <v>142</v>
      </c>
      <c r="J98" s="27" t="s">
        <v>436</v>
      </c>
      <c r="K98" s="27" t="s">
        <v>371</v>
      </c>
      <c r="L98" s="27" t="s">
        <v>371</v>
      </c>
      <c r="M98" s="27" t="s">
        <v>371</v>
      </c>
      <c r="N98" s="27" t="s">
        <v>371</v>
      </c>
      <c r="O98" s="27" t="s">
        <v>371</v>
      </c>
      <c r="P98" s="27" t="s">
        <v>371</v>
      </c>
      <c r="Q98" s="27" t="s">
        <v>372</v>
      </c>
      <c r="R98" s="45">
        <v>-14951.150000000001</v>
      </c>
      <c r="S98" s="45">
        <v>-22094.91</v>
      </c>
      <c r="T98" s="45">
        <v>-11928.779999999999</v>
      </c>
      <c r="U98" s="45">
        <v>-20455.550000000003</v>
      </c>
      <c r="V98" s="45">
        <v>-5384.5799999999981</v>
      </c>
      <c r="W98" s="45">
        <v>-11859.77</v>
      </c>
      <c r="X98" s="45">
        <v>-13290.140000000001</v>
      </c>
      <c r="Y98" s="45">
        <v>-23085.57</v>
      </c>
      <c r="Z98" s="45">
        <v>-15372.81</v>
      </c>
      <c r="AA98" s="45">
        <v>-26213.29</v>
      </c>
      <c r="AB98" s="45">
        <v>-19751.34</v>
      </c>
      <c r="AC98" s="45">
        <v>-45995.71</v>
      </c>
      <c r="AD98" s="45">
        <v>-76536.290000000008</v>
      </c>
      <c r="AE98" s="45">
        <v>-109584.81</v>
      </c>
      <c r="AF98" s="45">
        <v>-34460.5</v>
      </c>
      <c r="AG98" s="45">
        <v>-61017.51</v>
      </c>
      <c r="AH98" s="45"/>
      <c r="AI98" s="45"/>
      <c r="AJ98" s="45"/>
      <c r="AK98" s="45"/>
      <c r="AL98" s="45"/>
      <c r="AM98" s="45"/>
      <c r="AN98" s="45"/>
      <c r="AO98" s="45"/>
    </row>
    <row r="99" spans="2:41" outlineLevel="1" x14ac:dyDescent="0.35">
      <c r="B99" s="27" t="s">
        <v>1216</v>
      </c>
      <c r="C99" s="27" t="s">
        <v>51</v>
      </c>
      <c r="D99" s="27" t="s">
        <v>1795</v>
      </c>
      <c r="E99" s="27" t="s">
        <v>51</v>
      </c>
      <c r="F99" s="27" t="s">
        <v>434</v>
      </c>
      <c r="G99" s="27" t="s">
        <v>1448</v>
      </c>
      <c r="H99" s="27" t="s">
        <v>54</v>
      </c>
      <c r="I99" s="27" t="s">
        <v>142</v>
      </c>
      <c r="J99" s="27" t="s">
        <v>436</v>
      </c>
      <c r="K99" s="27" t="s">
        <v>371</v>
      </c>
      <c r="L99" s="27" t="s">
        <v>371</v>
      </c>
      <c r="M99" s="27" t="s">
        <v>371</v>
      </c>
      <c r="N99" s="27" t="s">
        <v>371</v>
      </c>
      <c r="O99" s="27" t="s">
        <v>371</v>
      </c>
      <c r="P99" s="27" t="s">
        <v>371</v>
      </c>
      <c r="Q99" s="27" t="s">
        <v>372</v>
      </c>
      <c r="R99" s="45">
        <v>-30139.07</v>
      </c>
      <c r="S99" s="45">
        <v>-51434.080000000002</v>
      </c>
      <c r="T99" s="45">
        <v>-29285.74</v>
      </c>
      <c r="U99" s="45">
        <v>-107182.75</v>
      </c>
      <c r="V99" s="45">
        <v>-131807.96</v>
      </c>
      <c r="W99" s="45">
        <v>-241036.44999999998</v>
      </c>
      <c r="X99" s="45">
        <v>-85034.48</v>
      </c>
      <c r="Y99" s="45">
        <v>-107182.82</v>
      </c>
      <c r="Z99" s="45">
        <v>-87786.46</v>
      </c>
      <c r="AA99" s="45">
        <v>-107182.82</v>
      </c>
      <c r="AB99" s="45">
        <v>-155613.16</v>
      </c>
      <c r="AC99" s="45">
        <v>-176709.68</v>
      </c>
      <c r="AD99" s="45">
        <v>-151561.32999999999</v>
      </c>
      <c r="AE99" s="45">
        <v>-115656.3</v>
      </c>
      <c r="AF99" s="45">
        <v>-270721.62</v>
      </c>
      <c r="AG99" s="45">
        <v>-302543.24</v>
      </c>
      <c r="AH99" s="45"/>
      <c r="AI99" s="45"/>
      <c r="AJ99" s="45"/>
      <c r="AK99" s="45"/>
      <c r="AL99" s="45"/>
      <c r="AM99" s="45"/>
      <c r="AN99" s="45"/>
      <c r="AO99" s="45"/>
    </row>
    <row r="100" spans="2:41" outlineLevel="1" x14ac:dyDescent="0.35">
      <c r="B100" s="27" t="s">
        <v>1217</v>
      </c>
      <c r="C100" s="27" t="s">
        <v>51</v>
      </c>
      <c r="D100" s="27" t="s">
        <v>1796</v>
      </c>
      <c r="E100" s="27" t="s">
        <v>51</v>
      </c>
      <c r="F100" s="27" t="s">
        <v>434</v>
      </c>
      <c r="G100" s="27" t="s">
        <v>1449</v>
      </c>
      <c r="H100" s="27" t="s">
        <v>54</v>
      </c>
      <c r="I100" s="27" t="s">
        <v>142</v>
      </c>
      <c r="J100" s="27" t="s">
        <v>436</v>
      </c>
      <c r="K100" s="27" t="s">
        <v>371</v>
      </c>
      <c r="L100" s="27" t="s">
        <v>371</v>
      </c>
      <c r="M100" s="27" t="s">
        <v>371</v>
      </c>
      <c r="N100" s="27" t="s">
        <v>371</v>
      </c>
      <c r="O100" s="27" t="s">
        <v>371</v>
      </c>
      <c r="P100" s="27" t="s">
        <v>371</v>
      </c>
      <c r="Q100" s="27" t="s">
        <v>372</v>
      </c>
      <c r="R100" s="45">
        <v>-3129.59</v>
      </c>
      <c r="S100" s="45">
        <v>-3029.59</v>
      </c>
      <c r="T100" s="45">
        <v>-3029.59</v>
      </c>
      <c r="U100" s="45">
        <v>-3029.59</v>
      </c>
      <c r="V100" s="45">
        <v>-3151.4700000000003</v>
      </c>
      <c r="W100" s="45">
        <v>-3029.59</v>
      </c>
      <c r="X100" s="45">
        <v>-3029.59</v>
      </c>
      <c r="Y100" s="45">
        <v>-3029.59</v>
      </c>
      <c r="Z100" s="45">
        <v>-3352.09</v>
      </c>
      <c r="AA100" s="45">
        <v>-3058.9700000000003</v>
      </c>
      <c r="AB100" s="45">
        <v>-3392.09</v>
      </c>
      <c r="AC100" s="45">
        <v>-3831.15</v>
      </c>
      <c r="AD100" s="45">
        <v>-3718.92</v>
      </c>
      <c r="AE100" s="45">
        <v>-3868.08</v>
      </c>
      <c r="AF100" s="45">
        <v>-19056.080000000002</v>
      </c>
      <c r="AG100" s="45">
        <v>-49038.13</v>
      </c>
      <c r="AH100" s="45"/>
      <c r="AI100" s="45"/>
      <c r="AJ100" s="45"/>
      <c r="AK100" s="45"/>
      <c r="AL100" s="45"/>
      <c r="AM100" s="45"/>
      <c r="AN100" s="45"/>
      <c r="AO100" s="45"/>
    </row>
    <row r="101" spans="2:41" outlineLevel="1" x14ac:dyDescent="0.35">
      <c r="B101" s="27" t="s">
        <v>1218</v>
      </c>
      <c r="C101" s="27" t="s">
        <v>51</v>
      </c>
      <c r="D101" s="27" t="s">
        <v>1797</v>
      </c>
      <c r="E101" s="27" t="s">
        <v>51</v>
      </c>
      <c r="F101" s="27" t="s">
        <v>102</v>
      </c>
      <c r="G101" s="27" t="s">
        <v>1450</v>
      </c>
      <c r="H101" s="27" t="s">
        <v>54</v>
      </c>
      <c r="I101" s="27" t="s">
        <v>142</v>
      </c>
      <c r="J101" s="27" t="s">
        <v>156</v>
      </c>
      <c r="K101" s="27" t="s">
        <v>371</v>
      </c>
      <c r="L101" s="27" t="s">
        <v>371</v>
      </c>
      <c r="M101" s="27" t="s">
        <v>371</v>
      </c>
      <c r="N101" s="27" t="s">
        <v>371</v>
      </c>
      <c r="O101" s="27" t="s">
        <v>371</v>
      </c>
      <c r="P101" s="27" t="s">
        <v>371</v>
      </c>
      <c r="Q101" s="27" t="s">
        <v>372</v>
      </c>
      <c r="R101" s="45">
        <v>-18529135.259999998</v>
      </c>
      <c r="S101" s="45">
        <v>-18642374</v>
      </c>
      <c r="T101" s="45">
        <v>-17211974.940000001</v>
      </c>
      <c r="U101" s="45">
        <v>-127883230.15000002</v>
      </c>
      <c r="V101" s="45">
        <v>-127267742.75999999</v>
      </c>
      <c r="W101" s="45">
        <v>-126642081.63000001</v>
      </c>
      <c r="X101" s="45">
        <v>-138107036.66999999</v>
      </c>
      <c r="Y101" s="45">
        <v>-137442060.81</v>
      </c>
      <c r="Z101" s="45">
        <v>-136977888.08000001</v>
      </c>
      <c r="AA101" s="45">
        <v>-137543616.72</v>
      </c>
      <c r="AB101" s="45">
        <v>-155414504.03</v>
      </c>
      <c r="AC101" s="45">
        <v>-320123543.46000004</v>
      </c>
      <c r="AD101" s="45">
        <v>-322451265.36000001</v>
      </c>
      <c r="AE101" s="45">
        <v>-323155717.53000009</v>
      </c>
      <c r="AF101" s="45">
        <v>-381635252.24999994</v>
      </c>
      <c r="AG101" s="45">
        <v>-383691129.38</v>
      </c>
      <c r="AH101" s="45"/>
      <c r="AI101" s="45"/>
      <c r="AJ101" s="45"/>
      <c r="AK101" s="45"/>
      <c r="AL101" s="45"/>
      <c r="AM101" s="45"/>
      <c r="AN101" s="45"/>
      <c r="AO101" s="45"/>
    </row>
    <row r="102" spans="2:41" outlineLevel="1" x14ac:dyDescent="0.35">
      <c r="B102" s="27" t="s">
        <v>160</v>
      </c>
      <c r="C102" s="27" t="s">
        <v>51</v>
      </c>
      <c r="D102" s="27" t="s">
        <v>1451</v>
      </c>
      <c r="E102" s="27" t="s">
        <v>51</v>
      </c>
      <c r="F102" s="27" t="s">
        <v>102</v>
      </c>
      <c r="G102" s="27" t="s">
        <v>162</v>
      </c>
      <c r="H102" s="27" t="s">
        <v>54</v>
      </c>
      <c r="I102" s="27" t="s">
        <v>142</v>
      </c>
      <c r="J102" s="27" t="s">
        <v>156</v>
      </c>
      <c r="K102" s="27" t="s">
        <v>371</v>
      </c>
      <c r="L102" s="27" t="s">
        <v>371</v>
      </c>
      <c r="M102" s="27" t="s">
        <v>371</v>
      </c>
      <c r="N102" s="27" t="s">
        <v>371</v>
      </c>
      <c r="O102" s="27" t="s">
        <v>371</v>
      </c>
      <c r="P102" s="27" t="s">
        <v>371</v>
      </c>
      <c r="Q102" s="27" t="s">
        <v>372</v>
      </c>
      <c r="R102" s="45">
        <v>0</v>
      </c>
      <c r="S102" s="45">
        <v>0</v>
      </c>
      <c r="T102" s="45">
        <v>0</v>
      </c>
      <c r="U102" s="45">
        <v>0</v>
      </c>
      <c r="V102" s="45">
        <v>0</v>
      </c>
      <c r="W102" s="45">
        <v>0</v>
      </c>
      <c r="X102" s="45">
        <v>0</v>
      </c>
      <c r="Y102" s="45">
        <v>0</v>
      </c>
      <c r="Z102" s="45">
        <v>0</v>
      </c>
      <c r="AA102" s="45">
        <v>0</v>
      </c>
      <c r="AB102" s="45">
        <v>0</v>
      </c>
      <c r="AC102" s="45">
        <v>0</v>
      </c>
      <c r="AD102" s="45">
        <v>0</v>
      </c>
      <c r="AE102" s="45">
        <v>0</v>
      </c>
      <c r="AF102" s="45">
        <v>0</v>
      </c>
      <c r="AG102" s="45">
        <v>0</v>
      </c>
      <c r="AH102" s="45"/>
      <c r="AI102" s="45"/>
      <c r="AJ102" s="45"/>
      <c r="AK102" s="45"/>
      <c r="AL102" s="45"/>
      <c r="AM102" s="45"/>
      <c r="AN102" s="45"/>
      <c r="AO102" s="45"/>
    </row>
    <row r="103" spans="2:41" outlineLevel="1" x14ac:dyDescent="0.35">
      <c r="B103" s="27" t="s">
        <v>1219</v>
      </c>
      <c r="C103" s="27" t="s">
        <v>51</v>
      </c>
      <c r="D103" s="27" t="s">
        <v>1798</v>
      </c>
      <c r="E103" s="27" t="s">
        <v>51</v>
      </c>
      <c r="F103" s="27" t="s">
        <v>106</v>
      </c>
      <c r="G103" s="27" t="s">
        <v>1452</v>
      </c>
      <c r="H103" s="27" t="s">
        <v>54</v>
      </c>
      <c r="I103" s="27" t="s">
        <v>142</v>
      </c>
      <c r="J103" s="27" t="s">
        <v>180</v>
      </c>
      <c r="K103" s="27" t="s">
        <v>371</v>
      </c>
      <c r="L103" s="27" t="s">
        <v>371</v>
      </c>
      <c r="M103" s="27" t="s">
        <v>371</v>
      </c>
      <c r="N103" s="27" t="s">
        <v>371</v>
      </c>
      <c r="O103" s="27" t="s">
        <v>371</v>
      </c>
      <c r="P103" s="27" t="s">
        <v>371</v>
      </c>
      <c r="Q103" s="27" t="s">
        <v>372</v>
      </c>
      <c r="R103" s="45">
        <v>-85303995.930000007</v>
      </c>
      <c r="S103" s="45">
        <v>-75969501.680000007</v>
      </c>
      <c r="T103" s="45">
        <v>-83468994.200000003</v>
      </c>
      <c r="U103" s="45">
        <v>-74745543.519999996</v>
      </c>
      <c r="V103" s="45">
        <v>-91222988.359999999</v>
      </c>
      <c r="W103" s="45">
        <v>-100075009.16</v>
      </c>
      <c r="X103" s="45">
        <v>-38227021.479999997</v>
      </c>
      <c r="Y103" s="45">
        <v>-48384030.259999998</v>
      </c>
      <c r="Z103" s="45">
        <v>-39234391.049999997</v>
      </c>
      <c r="AA103" s="45">
        <v>-26971102.860000003</v>
      </c>
      <c r="AB103" s="45">
        <v>-15645328.629999999</v>
      </c>
      <c r="AC103" s="45">
        <v>-38684925.779999994</v>
      </c>
      <c r="AD103" s="45">
        <v>-39661490.099999994</v>
      </c>
      <c r="AE103" s="45">
        <v>-21976848.610000003</v>
      </c>
      <c r="AF103" s="45">
        <v>-11704641.119999999</v>
      </c>
      <c r="AG103" s="45">
        <v>-4044461.17</v>
      </c>
      <c r="AH103" s="45"/>
      <c r="AI103" s="45"/>
      <c r="AJ103" s="45"/>
      <c r="AK103" s="45"/>
      <c r="AL103" s="45"/>
      <c r="AM103" s="45"/>
      <c r="AN103" s="45"/>
      <c r="AO103" s="45"/>
    </row>
    <row r="104" spans="2:41" outlineLevel="1" x14ac:dyDescent="0.35">
      <c r="B104" s="27" t="s">
        <v>181</v>
      </c>
      <c r="C104" s="27" t="s">
        <v>51</v>
      </c>
      <c r="D104" s="27" t="s">
        <v>1453</v>
      </c>
      <c r="E104" s="27" t="s">
        <v>51</v>
      </c>
      <c r="F104" s="27" t="s">
        <v>106</v>
      </c>
      <c r="G104" s="27" t="s">
        <v>182</v>
      </c>
      <c r="H104" s="27" t="s">
        <v>54</v>
      </c>
      <c r="I104" s="27" t="s">
        <v>142</v>
      </c>
      <c r="J104" s="27" t="s">
        <v>180</v>
      </c>
      <c r="K104" s="27" t="s">
        <v>371</v>
      </c>
      <c r="L104" s="27" t="s">
        <v>371</v>
      </c>
      <c r="M104" s="27" t="s">
        <v>371</v>
      </c>
      <c r="N104" s="27" t="s">
        <v>371</v>
      </c>
      <c r="O104" s="27" t="s">
        <v>371</v>
      </c>
      <c r="P104" s="27" t="s">
        <v>371</v>
      </c>
      <c r="Q104" s="27" t="s">
        <v>372</v>
      </c>
      <c r="R104" s="45">
        <v>-89270</v>
      </c>
      <c r="S104" s="45">
        <v>-605227</v>
      </c>
      <c r="T104" s="45">
        <v>-819827</v>
      </c>
      <c r="U104" s="45">
        <v>-819827</v>
      </c>
      <c r="V104" s="45">
        <v>-819827</v>
      </c>
      <c r="W104" s="45">
        <v>-819827</v>
      </c>
      <c r="X104" s="45">
        <v>-819827</v>
      </c>
      <c r="Y104" s="45">
        <v>-819827</v>
      </c>
      <c r="Z104" s="45">
        <v>0</v>
      </c>
      <c r="AA104" s="45">
        <v>0</v>
      </c>
      <c r="AB104" s="45">
        <v>0</v>
      </c>
      <c r="AC104" s="45">
        <v>0</v>
      </c>
      <c r="AD104" s="45">
        <v>0</v>
      </c>
      <c r="AE104" s="45">
        <v>0</v>
      </c>
      <c r="AF104" s="45">
        <v>0</v>
      </c>
      <c r="AG104" s="45">
        <v>0</v>
      </c>
      <c r="AH104" s="45"/>
      <c r="AI104" s="45"/>
      <c r="AJ104" s="45"/>
      <c r="AK104" s="45"/>
      <c r="AL104" s="45"/>
      <c r="AM104" s="45"/>
      <c r="AN104" s="45"/>
      <c r="AO104" s="45"/>
    </row>
    <row r="105" spans="2:41" outlineLevel="1" x14ac:dyDescent="0.35">
      <c r="B105" s="27" t="s">
        <v>191</v>
      </c>
      <c r="C105" s="27" t="s">
        <v>51</v>
      </c>
      <c r="D105" s="27" t="s">
        <v>1454</v>
      </c>
      <c r="E105" s="27" t="s">
        <v>51</v>
      </c>
      <c r="F105" s="27" t="s">
        <v>106</v>
      </c>
      <c r="G105" s="27" t="s">
        <v>192</v>
      </c>
      <c r="H105" s="27" t="s">
        <v>54</v>
      </c>
      <c r="I105" s="27" t="s">
        <v>142</v>
      </c>
      <c r="J105" s="27" t="s">
        <v>180</v>
      </c>
      <c r="K105" s="27" t="s">
        <v>371</v>
      </c>
      <c r="L105" s="27" t="s">
        <v>371</v>
      </c>
      <c r="M105" s="27" t="s">
        <v>371</v>
      </c>
      <c r="N105" s="27" t="s">
        <v>371</v>
      </c>
      <c r="O105" s="27" t="s">
        <v>371</v>
      </c>
      <c r="P105" s="27" t="s">
        <v>371</v>
      </c>
      <c r="Q105" s="27" t="s">
        <v>372</v>
      </c>
      <c r="R105" s="45">
        <v>-702992.16</v>
      </c>
      <c r="S105" s="45">
        <v>-517992.16</v>
      </c>
      <c r="T105" s="45">
        <v>-439055.14999999997</v>
      </c>
      <c r="U105" s="45">
        <v>-202874.85000000003</v>
      </c>
      <c r="V105" s="45">
        <v>145789.18000000002</v>
      </c>
      <c r="W105" s="45">
        <v>145789.18</v>
      </c>
      <c r="X105" s="45">
        <v>145789.18</v>
      </c>
      <c r="Y105" s="45">
        <v>145789.18</v>
      </c>
      <c r="Z105" s="45">
        <v>145789.18</v>
      </c>
      <c r="AA105" s="45">
        <v>145789.18</v>
      </c>
      <c r="AB105" s="45">
        <v>145789.18</v>
      </c>
      <c r="AC105" s="45">
        <v>0</v>
      </c>
      <c r="AD105" s="45">
        <v>0</v>
      </c>
      <c r="AE105" s="45">
        <v>0</v>
      </c>
      <c r="AF105" s="45">
        <v>0</v>
      </c>
      <c r="AG105" s="45">
        <v>0</v>
      </c>
      <c r="AH105" s="45"/>
      <c r="AI105" s="45"/>
      <c r="AJ105" s="45"/>
      <c r="AK105" s="45"/>
      <c r="AL105" s="45"/>
      <c r="AM105" s="45"/>
      <c r="AN105" s="45"/>
      <c r="AO105" s="45"/>
    </row>
    <row r="106" spans="2:41" outlineLevel="1" x14ac:dyDescent="0.35">
      <c r="B106" s="27" t="s">
        <v>1220</v>
      </c>
      <c r="C106" s="27" t="s">
        <v>51</v>
      </c>
      <c r="D106" s="27" t="s">
        <v>1799</v>
      </c>
      <c r="E106" s="27" t="s">
        <v>51</v>
      </c>
      <c r="F106" s="27" t="s">
        <v>437</v>
      </c>
      <c r="G106" s="27" t="s">
        <v>1455</v>
      </c>
      <c r="H106" s="27" t="s">
        <v>54</v>
      </c>
      <c r="I106" s="27" t="s">
        <v>142</v>
      </c>
      <c r="J106" s="27" t="s">
        <v>438</v>
      </c>
      <c r="K106" s="27" t="s">
        <v>371</v>
      </c>
      <c r="L106" s="27" t="s">
        <v>371</v>
      </c>
      <c r="M106" s="27" t="s">
        <v>371</v>
      </c>
      <c r="N106" s="27" t="s">
        <v>371</v>
      </c>
      <c r="O106" s="27" t="s">
        <v>371</v>
      </c>
      <c r="P106" s="27" t="s">
        <v>371</v>
      </c>
      <c r="Q106" s="27" t="s">
        <v>372</v>
      </c>
      <c r="R106" s="45">
        <v>-152846</v>
      </c>
      <c r="S106" s="45">
        <v>-160471</v>
      </c>
      <c r="T106" s="45">
        <v>-165798</v>
      </c>
      <c r="U106" s="45">
        <v>-171125</v>
      </c>
      <c r="V106" s="45">
        <v>-48777</v>
      </c>
      <c r="W106" s="45">
        <v>-59431</v>
      </c>
      <c r="X106" s="45">
        <v>-70085</v>
      </c>
      <c r="Y106" s="45">
        <v>-80739</v>
      </c>
      <c r="Z106" s="45">
        <v>-91393</v>
      </c>
      <c r="AA106" s="45">
        <v>-51685.9</v>
      </c>
      <c r="AB106" s="45">
        <v>-62339.9</v>
      </c>
      <c r="AC106" s="45">
        <v>-646116</v>
      </c>
      <c r="AD106" s="45">
        <v>-662655.42000000004</v>
      </c>
      <c r="AE106" s="45">
        <v>-679194.84</v>
      </c>
      <c r="AF106" s="45">
        <v>-695734.26</v>
      </c>
      <c r="AG106" s="45">
        <v>-712273.68</v>
      </c>
      <c r="AH106" s="45"/>
      <c r="AI106" s="45"/>
      <c r="AJ106" s="45"/>
      <c r="AK106" s="45"/>
      <c r="AL106" s="45"/>
      <c r="AM106" s="45"/>
      <c r="AN106" s="45"/>
      <c r="AO106" s="45"/>
    </row>
    <row r="107" spans="2:41" outlineLevel="1" x14ac:dyDescent="0.35">
      <c r="B107" s="27" t="s">
        <v>1221</v>
      </c>
      <c r="C107" s="27" t="s">
        <v>51</v>
      </c>
      <c r="D107" s="27" t="s">
        <v>1800</v>
      </c>
      <c r="E107" s="27" t="s">
        <v>51</v>
      </c>
      <c r="F107" s="27" t="s">
        <v>437</v>
      </c>
      <c r="G107" s="27" t="s">
        <v>1456</v>
      </c>
      <c r="H107" s="27" t="s">
        <v>54</v>
      </c>
      <c r="I107" s="27" t="s">
        <v>142</v>
      </c>
      <c r="J107" s="27" t="s">
        <v>438</v>
      </c>
      <c r="K107" s="27" t="s">
        <v>371</v>
      </c>
      <c r="L107" s="27" t="s">
        <v>371</v>
      </c>
      <c r="M107" s="27" t="s">
        <v>371</v>
      </c>
      <c r="N107" s="27" t="s">
        <v>371</v>
      </c>
      <c r="O107" s="27" t="s">
        <v>371</v>
      </c>
      <c r="P107" s="27" t="s">
        <v>371</v>
      </c>
      <c r="Q107" s="27" t="s">
        <v>372</v>
      </c>
      <c r="R107" s="45">
        <v>-15649</v>
      </c>
      <c r="S107" s="45">
        <v>-17007.66</v>
      </c>
      <c r="T107" s="45">
        <v>-18023.490000000002</v>
      </c>
      <c r="U107" s="45">
        <v>-19039.320000000003</v>
      </c>
      <c r="V107" s="45">
        <v>1789.7100000000009</v>
      </c>
      <c r="W107" s="45">
        <v>-241.95000000000005</v>
      </c>
      <c r="X107" s="45">
        <v>-1138.95</v>
      </c>
      <c r="Y107" s="45">
        <v>-2036.26</v>
      </c>
      <c r="Z107" s="45">
        <v>-2828.46</v>
      </c>
      <c r="AA107" s="45">
        <v>-2828.46</v>
      </c>
      <c r="AB107" s="45">
        <v>-4860.12</v>
      </c>
      <c r="AC107" s="45">
        <v>-61899</v>
      </c>
      <c r="AD107" s="45">
        <v>-66783.58</v>
      </c>
      <c r="AE107" s="45">
        <v>-71668.160000000003</v>
      </c>
      <c r="AF107" s="45">
        <v>-76552.740000000005</v>
      </c>
      <c r="AG107" s="45">
        <v>-81437.320000000007</v>
      </c>
      <c r="AH107" s="45"/>
      <c r="AI107" s="45"/>
      <c r="AJ107" s="45"/>
      <c r="AK107" s="45"/>
      <c r="AL107" s="45"/>
      <c r="AM107" s="45"/>
      <c r="AN107" s="45"/>
      <c r="AO107" s="45"/>
    </row>
    <row r="108" spans="2:41" outlineLevel="1" x14ac:dyDescent="0.35">
      <c r="B108" s="27" t="s">
        <v>172</v>
      </c>
      <c r="C108" s="27" t="s">
        <v>51</v>
      </c>
      <c r="D108" s="27" t="s">
        <v>1457</v>
      </c>
      <c r="E108" s="27" t="s">
        <v>51</v>
      </c>
      <c r="F108" s="27" t="s">
        <v>102</v>
      </c>
      <c r="G108" s="27" t="s">
        <v>174</v>
      </c>
      <c r="H108" s="27" t="s">
        <v>54</v>
      </c>
      <c r="I108" s="27" t="s">
        <v>142</v>
      </c>
      <c r="J108" s="27" t="s">
        <v>156</v>
      </c>
      <c r="K108" s="27" t="s">
        <v>371</v>
      </c>
      <c r="L108" s="27" t="s">
        <v>371</v>
      </c>
      <c r="M108" s="27" t="s">
        <v>371</v>
      </c>
      <c r="N108" s="27" t="s">
        <v>371</v>
      </c>
      <c r="O108" s="27" t="s">
        <v>371</v>
      </c>
      <c r="P108" s="27" t="s">
        <v>371</v>
      </c>
      <c r="Q108" s="27" t="s">
        <v>372</v>
      </c>
      <c r="R108" s="45">
        <v>-55205622.420000002</v>
      </c>
      <c r="S108" s="45">
        <v>-55205622.420000002</v>
      </c>
      <c r="T108" s="45">
        <v>-55205622.420000002</v>
      </c>
      <c r="U108" s="45">
        <v>328185.57999999821</v>
      </c>
      <c r="V108" s="45">
        <v>328185.58</v>
      </c>
      <c r="W108" s="45">
        <v>328185.58</v>
      </c>
      <c r="X108" s="45">
        <v>0.01</v>
      </c>
      <c r="Y108" s="45">
        <v>0.01</v>
      </c>
      <c r="Z108" s="45">
        <v>0.01</v>
      </c>
      <c r="AA108" s="45">
        <v>0.02</v>
      </c>
      <c r="AB108" s="45">
        <v>0</v>
      </c>
      <c r="AC108" s="45">
        <v>0</v>
      </c>
      <c r="AD108" s="45">
        <v>0</v>
      </c>
      <c r="AE108" s="45">
        <v>0</v>
      </c>
      <c r="AF108" s="45">
        <v>0</v>
      </c>
      <c r="AG108" s="45">
        <v>0</v>
      </c>
      <c r="AH108" s="45"/>
      <c r="AI108" s="45"/>
      <c r="AJ108" s="45"/>
      <c r="AK108" s="45"/>
      <c r="AL108" s="45"/>
      <c r="AM108" s="45"/>
      <c r="AN108" s="45"/>
      <c r="AO108" s="45"/>
    </row>
    <row r="109" spans="2:41" outlineLevel="1" x14ac:dyDescent="0.35">
      <c r="B109" s="27" t="s">
        <v>1222</v>
      </c>
      <c r="C109" s="27" t="s">
        <v>51</v>
      </c>
      <c r="D109" s="27" t="s">
        <v>1801</v>
      </c>
      <c r="E109" s="27" t="s">
        <v>51</v>
      </c>
      <c r="F109" s="27" t="s">
        <v>439</v>
      </c>
      <c r="G109" s="27" t="s">
        <v>1458</v>
      </c>
      <c r="H109" s="27" t="s">
        <v>54</v>
      </c>
      <c r="I109" s="27" t="s">
        <v>440</v>
      </c>
      <c r="J109" s="27" t="s">
        <v>441</v>
      </c>
      <c r="K109" s="27" t="s">
        <v>371</v>
      </c>
      <c r="L109" s="27" t="s">
        <v>371</v>
      </c>
      <c r="M109" s="27" t="s">
        <v>371</v>
      </c>
      <c r="N109" s="27" t="s">
        <v>371</v>
      </c>
      <c r="O109" s="27" t="s">
        <v>371</v>
      </c>
      <c r="P109" s="27" t="s">
        <v>371</v>
      </c>
      <c r="Q109" s="27" t="s">
        <v>372</v>
      </c>
      <c r="R109" s="45">
        <v>-1000</v>
      </c>
      <c r="S109" s="45">
        <v>-1000</v>
      </c>
      <c r="T109" s="45">
        <v>-1000</v>
      </c>
      <c r="U109" s="45">
        <v>-1000</v>
      </c>
      <c r="V109" s="45">
        <v>-1000</v>
      </c>
      <c r="W109" s="45">
        <v>-1000</v>
      </c>
      <c r="X109" s="45">
        <v>-1000</v>
      </c>
      <c r="Y109" s="45">
        <v>-1000</v>
      </c>
      <c r="Z109" s="45">
        <v>-1000</v>
      </c>
      <c r="AA109" s="45">
        <v>-1000</v>
      </c>
      <c r="AB109" s="45">
        <v>-1000</v>
      </c>
      <c r="AC109" s="45">
        <v>-1000</v>
      </c>
      <c r="AD109" s="45">
        <v>-1000</v>
      </c>
      <c r="AE109" s="45">
        <v>-1000</v>
      </c>
      <c r="AF109" s="45">
        <v>-1000</v>
      </c>
      <c r="AG109" s="45">
        <v>-1000</v>
      </c>
      <c r="AH109" s="45"/>
      <c r="AI109" s="45"/>
      <c r="AJ109" s="45"/>
      <c r="AK109" s="45"/>
      <c r="AL109" s="45"/>
      <c r="AM109" s="45"/>
      <c r="AN109" s="45"/>
      <c r="AO109" s="45"/>
    </row>
    <row r="110" spans="2:41" outlineLevel="1" x14ac:dyDescent="0.35">
      <c r="B110" s="27" t="s">
        <v>1223</v>
      </c>
      <c r="C110" s="27" t="s">
        <v>51</v>
      </c>
      <c r="D110" s="27" t="s">
        <v>1802</v>
      </c>
      <c r="E110" s="27" t="s">
        <v>51</v>
      </c>
      <c r="F110" s="27" t="s">
        <v>439</v>
      </c>
      <c r="G110" s="27" t="s">
        <v>1459</v>
      </c>
      <c r="H110" s="27" t="s">
        <v>54</v>
      </c>
      <c r="I110" s="27" t="s">
        <v>440</v>
      </c>
      <c r="J110" s="27" t="s">
        <v>441</v>
      </c>
      <c r="K110" s="27" t="s">
        <v>371</v>
      </c>
      <c r="L110" s="27" t="s">
        <v>371</v>
      </c>
      <c r="M110" s="27" t="s">
        <v>371</v>
      </c>
      <c r="N110" s="27" t="s">
        <v>371</v>
      </c>
      <c r="O110" s="27" t="s">
        <v>371</v>
      </c>
      <c r="P110" s="27" t="s">
        <v>371</v>
      </c>
      <c r="Q110" s="27" t="s">
        <v>372</v>
      </c>
      <c r="R110" s="45">
        <v>-167286878.78999999</v>
      </c>
      <c r="S110" s="45">
        <v>-177286878.78999999</v>
      </c>
      <c r="T110" s="45">
        <v>-177286878.78999999</v>
      </c>
      <c r="U110" s="45">
        <v>-177286878.78999999</v>
      </c>
      <c r="V110" s="45">
        <v>-177286878.78999999</v>
      </c>
      <c r="W110" s="45">
        <v>-177286878.78999999</v>
      </c>
      <c r="X110" s="45">
        <v>-177286878.78999999</v>
      </c>
      <c r="Y110" s="45">
        <v>-177286878.78999999</v>
      </c>
      <c r="Z110" s="45">
        <v>-222106518.78999999</v>
      </c>
      <c r="AA110" s="45">
        <v>-273354974</v>
      </c>
      <c r="AB110" s="45">
        <v>-322475650</v>
      </c>
      <c r="AC110" s="45">
        <v>-365007485</v>
      </c>
      <c r="AD110" s="45">
        <v>-381104532</v>
      </c>
      <c r="AE110" s="45">
        <v>-421765896.50999999</v>
      </c>
      <c r="AF110" s="45">
        <v>-480070400.51000005</v>
      </c>
      <c r="AG110" s="45">
        <v>-531001358.50999999</v>
      </c>
      <c r="AH110" s="45"/>
      <c r="AI110" s="45"/>
      <c r="AJ110" s="45"/>
      <c r="AK110" s="45"/>
      <c r="AL110" s="45"/>
      <c r="AM110" s="45"/>
      <c r="AN110" s="45"/>
      <c r="AO110" s="45"/>
    </row>
    <row r="111" spans="2:41" outlineLevel="1" x14ac:dyDescent="0.35">
      <c r="B111" s="27" t="s">
        <v>1224</v>
      </c>
      <c r="C111" s="27" t="s">
        <v>51</v>
      </c>
      <c r="D111" s="27" t="s">
        <v>1803</v>
      </c>
      <c r="E111" s="27" t="s">
        <v>51</v>
      </c>
      <c r="F111" s="27" t="s">
        <v>442</v>
      </c>
      <c r="G111" s="27" t="s">
        <v>1460</v>
      </c>
      <c r="H111" s="27" t="s">
        <v>54</v>
      </c>
      <c r="I111" s="27" t="s">
        <v>440</v>
      </c>
      <c r="J111" s="27" t="s">
        <v>443</v>
      </c>
      <c r="K111" s="27" t="s">
        <v>371</v>
      </c>
      <c r="L111" s="27" t="s">
        <v>371</v>
      </c>
      <c r="M111" s="27" t="s">
        <v>371</v>
      </c>
      <c r="N111" s="27" t="s">
        <v>371</v>
      </c>
      <c r="O111" s="27" t="s">
        <v>371</v>
      </c>
      <c r="P111" s="27" t="s">
        <v>371</v>
      </c>
      <c r="Q111" s="27" t="s">
        <v>372</v>
      </c>
      <c r="R111" s="45">
        <v>32207.69</v>
      </c>
      <c r="S111" s="45">
        <v>32207.69</v>
      </c>
      <c r="T111" s="45">
        <v>32207.69</v>
      </c>
      <c r="U111" s="45">
        <v>32207.69</v>
      </c>
      <c r="V111" s="45">
        <v>32207.69</v>
      </c>
      <c r="W111" s="45">
        <v>32207.69</v>
      </c>
      <c r="X111" s="45">
        <v>32207.69</v>
      </c>
      <c r="Y111" s="45">
        <v>32207.69</v>
      </c>
      <c r="Z111" s="45">
        <v>32207.69</v>
      </c>
      <c r="AA111" s="45">
        <v>32207.69</v>
      </c>
      <c r="AB111" s="45">
        <v>32207.69</v>
      </c>
      <c r="AC111" s="45">
        <v>32207.69</v>
      </c>
      <c r="AD111" s="45">
        <v>32207.69</v>
      </c>
      <c r="AE111" s="45">
        <v>32207.69</v>
      </c>
      <c r="AF111" s="45">
        <v>32207.69</v>
      </c>
      <c r="AG111" s="45">
        <v>32207.69</v>
      </c>
      <c r="AH111" s="45"/>
      <c r="AI111" s="45"/>
      <c r="AJ111" s="45"/>
      <c r="AK111" s="45"/>
      <c r="AL111" s="45"/>
      <c r="AM111" s="45"/>
      <c r="AN111" s="45"/>
      <c r="AO111" s="45"/>
    </row>
    <row r="112" spans="2:41" outlineLevel="1" x14ac:dyDescent="0.35">
      <c r="B112" s="27" t="s">
        <v>1225</v>
      </c>
      <c r="C112" s="27" t="s">
        <v>51</v>
      </c>
      <c r="D112" s="27" t="s">
        <v>1804</v>
      </c>
      <c r="E112" s="27" t="s">
        <v>51</v>
      </c>
      <c r="F112" s="27" t="s">
        <v>442</v>
      </c>
      <c r="G112" s="27" t="s">
        <v>1461</v>
      </c>
      <c r="H112" s="27" t="s">
        <v>54</v>
      </c>
      <c r="I112" s="27" t="s">
        <v>440</v>
      </c>
      <c r="J112" s="27" t="s">
        <v>443</v>
      </c>
      <c r="K112" s="27" t="s">
        <v>371</v>
      </c>
      <c r="L112" s="27" t="s">
        <v>371</v>
      </c>
      <c r="M112" s="27" t="s">
        <v>371</v>
      </c>
      <c r="N112" s="27" t="s">
        <v>371</v>
      </c>
      <c r="O112" s="27" t="s">
        <v>371</v>
      </c>
      <c r="P112" s="27" t="s">
        <v>371</v>
      </c>
      <c r="Q112" s="27" t="s">
        <v>372</v>
      </c>
      <c r="R112" s="45">
        <v>25407866.239999998</v>
      </c>
      <c r="S112" s="45">
        <v>25407866.239999998</v>
      </c>
      <c r="T112" s="45">
        <v>25407866.239999998</v>
      </c>
      <c r="U112" s="45">
        <v>25407866.239999998</v>
      </c>
      <c r="V112" s="45">
        <v>25407866.239999998</v>
      </c>
      <c r="W112" s="45">
        <v>25407866.239999998</v>
      </c>
      <c r="X112" s="45">
        <v>25407866.239999998</v>
      </c>
      <c r="Y112" s="45">
        <v>25407866.239999998</v>
      </c>
      <c r="Z112" s="45">
        <v>25407866.239999998</v>
      </c>
      <c r="AA112" s="45">
        <v>25407866.239999998</v>
      </c>
      <c r="AB112" s="45">
        <v>25407866.239999998</v>
      </c>
      <c r="AC112" s="45">
        <v>25407866.239999998</v>
      </c>
      <c r="AD112" s="45">
        <v>25407866.239999998</v>
      </c>
      <c r="AE112" s="45">
        <v>25407866.239999998</v>
      </c>
      <c r="AF112" s="45">
        <v>25407866.239999998</v>
      </c>
      <c r="AG112" s="45">
        <v>25407866.239999998</v>
      </c>
      <c r="AH112" s="45"/>
      <c r="AI112" s="45"/>
      <c r="AJ112" s="45"/>
      <c r="AK112" s="45"/>
      <c r="AL112" s="45"/>
      <c r="AM112" s="45"/>
      <c r="AN112" s="45"/>
      <c r="AO112" s="45"/>
    </row>
    <row r="113" spans="2:41" outlineLevel="1" x14ac:dyDescent="0.35">
      <c r="B113" s="27" t="s">
        <v>444</v>
      </c>
      <c r="C113" s="27" t="s">
        <v>51</v>
      </c>
      <c r="D113" s="27" t="s">
        <v>1462</v>
      </c>
      <c r="E113" s="27" t="s">
        <v>51</v>
      </c>
      <c r="F113" s="27" t="s">
        <v>445</v>
      </c>
      <c r="G113" s="27" t="s">
        <v>446</v>
      </c>
      <c r="H113" s="27" t="s">
        <v>447</v>
      </c>
      <c r="I113" s="27" t="s">
        <v>440</v>
      </c>
      <c r="J113" s="27" t="s">
        <v>448</v>
      </c>
      <c r="K113" s="27" t="s">
        <v>449</v>
      </c>
      <c r="L113" s="27" t="s">
        <v>450</v>
      </c>
      <c r="M113" s="27" t="s">
        <v>451</v>
      </c>
      <c r="N113" s="27" t="s">
        <v>452</v>
      </c>
      <c r="O113" s="27" t="s">
        <v>449</v>
      </c>
      <c r="P113" s="27" t="s">
        <v>449</v>
      </c>
      <c r="Q113" s="27" t="s">
        <v>372</v>
      </c>
      <c r="R113" s="45">
        <v>0</v>
      </c>
      <c r="S113" s="45">
        <v>0</v>
      </c>
      <c r="T113" s="45">
        <v>0</v>
      </c>
      <c r="U113" s="45">
        <v>0</v>
      </c>
      <c r="V113" s="45">
        <v>0</v>
      </c>
      <c r="W113" s="45">
        <v>0</v>
      </c>
      <c r="X113" s="45">
        <v>0</v>
      </c>
      <c r="Y113" s="45">
        <v>0</v>
      </c>
      <c r="Z113" s="45">
        <v>0</v>
      </c>
      <c r="AA113" s="45">
        <v>0</v>
      </c>
      <c r="AB113" s="45">
        <v>0</v>
      </c>
      <c r="AC113" s="45">
        <v>0</v>
      </c>
      <c r="AD113" s="45">
        <v>0</v>
      </c>
      <c r="AE113" s="45">
        <v>0</v>
      </c>
      <c r="AF113" s="45">
        <v>0</v>
      </c>
      <c r="AG113" s="45">
        <v>0</v>
      </c>
      <c r="AH113" s="45"/>
      <c r="AI113" s="45"/>
      <c r="AJ113" s="45"/>
      <c r="AK113" s="45"/>
      <c r="AL113" s="45"/>
      <c r="AM113" s="45"/>
      <c r="AN113" s="45"/>
      <c r="AO113" s="45"/>
    </row>
    <row r="114" spans="2:41" outlineLevel="1" x14ac:dyDescent="0.35">
      <c r="B114" s="27" t="s">
        <v>1226</v>
      </c>
      <c r="C114" s="27" t="s">
        <v>51</v>
      </c>
      <c r="D114" s="27" t="s">
        <v>1805</v>
      </c>
      <c r="E114" s="27" t="s">
        <v>51</v>
      </c>
      <c r="F114" s="27" t="s">
        <v>445</v>
      </c>
      <c r="G114" s="27" t="s">
        <v>1463</v>
      </c>
      <c r="H114" s="27" t="s">
        <v>447</v>
      </c>
      <c r="I114" s="27" t="s">
        <v>440</v>
      </c>
      <c r="J114" s="27" t="s">
        <v>448</v>
      </c>
      <c r="K114" s="27" t="s">
        <v>449</v>
      </c>
      <c r="L114" s="27" t="s">
        <v>451</v>
      </c>
      <c r="M114" s="27" t="s">
        <v>451</v>
      </c>
      <c r="N114" s="27" t="s">
        <v>451</v>
      </c>
      <c r="O114" s="27" t="s">
        <v>449</v>
      </c>
      <c r="P114" s="27" t="s">
        <v>449</v>
      </c>
      <c r="Q114" s="27" t="s">
        <v>372</v>
      </c>
      <c r="R114" s="45">
        <v>-1001267.9000000001</v>
      </c>
      <c r="S114" s="45">
        <v>-2002535.8000000003</v>
      </c>
      <c r="T114" s="45">
        <v>-3003803.7</v>
      </c>
      <c r="U114" s="45">
        <v>-4005071.6</v>
      </c>
      <c r="V114" s="45">
        <v>-5006339.5000000009</v>
      </c>
      <c r="W114" s="45">
        <v>-6090566.0099999998</v>
      </c>
      <c r="X114" s="45">
        <v>-7174792.5199999996</v>
      </c>
      <c r="Y114" s="45">
        <v>-8259019.0300000012</v>
      </c>
      <c r="Z114" s="45">
        <v>-9343245.540000001</v>
      </c>
      <c r="AA114" s="45">
        <v>-10427472.050000001</v>
      </c>
      <c r="AB114" s="45">
        <v>-11511698.560000001</v>
      </c>
      <c r="AC114" s="45">
        <v>-12595925.07</v>
      </c>
      <c r="AD114" s="45">
        <v>-1048437.91</v>
      </c>
      <c r="AE114" s="45">
        <v>-2096875.82</v>
      </c>
      <c r="AF114" s="45">
        <v>-3145313.73</v>
      </c>
      <c r="AG114" s="45">
        <v>-4193751.64</v>
      </c>
      <c r="AH114" s="45"/>
      <c r="AI114" s="45"/>
      <c r="AJ114" s="45"/>
      <c r="AK114" s="45"/>
      <c r="AL114" s="45"/>
      <c r="AM114" s="45"/>
      <c r="AN114" s="45"/>
      <c r="AO114" s="45"/>
    </row>
    <row r="115" spans="2:41" outlineLevel="1" x14ac:dyDescent="0.35">
      <c r="B115" s="27" t="s">
        <v>454</v>
      </c>
      <c r="C115" s="27" t="s">
        <v>51</v>
      </c>
      <c r="D115" s="27" t="s">
        <v>1464</v>
      </c>
      <c r="E115" s="27" t="s">
        <v>51</v>
      </c>
      <c r="F115" s="27" t="s">
        <v>445</v>
      </c>
      <c r="G115" s="27" t="s">
        <v>455</v>
      </c>
      <c r="H115" s="27" t="s">
        <v>447</v>
      </c>
      <c r="I115" s="27" t="s">
        <v>440</v>
      </c>
      <c r="J115" s="27" t="s">
        <v>448</v>
      </c>
      <c r="K115" s="27" t="s">
        <v>449</v>
      </c>
      <c r="L115" s="27" t="s">
        <v>450</v>
      </c>
      <c r="M115" s="27" t="s">
        <v>451</v>
      </c>
      <c r="N115" s="27" t="s">
        <v>456</v>
      </c>
      <c r="O115" s="27" t="s">
        <v>449</v>
      </c>
      <c r="P115" s="27" t="s">
        <v>449</v>
      </c>
      <c r="Q115" s="27" t="s">
        <v>372</v>
      </c>
      <c r="R115" s="45">
        <v>0</v>
      </c>
      <c r="S115" s="45">
        <v>0</v>
      </c>
      <c r="T115" s="45">
        <v>0</v>
      </c>
      <c r="U115" s="45">
        <v>0</v>
      </c>
      <c r="V115" s="45">
        <v>0</v>
      </c>
      <c r="W115" s="45">
        <v>0</v>
      </c>
      <c r="X115" s="45">
        <v>0</v>
      </c>
      <c r="Y115" s="45">
        <v>0</v>
      </c>
      <c r="Z115" s="45">
        <v>0</v>
      </c>
      <c r="AA115" s="45">
        <v>0</v>
      </c>
      <c r="AB115" s="45">
        <v>0</v>
      </c>
      <c r="AC115" s="45">
        <v>0</v>
      </c>
      <c r="AD115" s="45">
        <v>0</v>
      </c>
      <c r="AE115" s="45">
        <v>0</v>
      </c>
      <c r="AF115" s="45">
        <v>0</v>
      </c>
      <c r="AG115" s="45">
        <v>0</v>
      </c>
      <c r="AH115" s="45"/>
      <c r="AI115" s="45"/>
      <c r="AJ115" s="45"/>
      <c r="AK115" s="45"/>
      <c r="AL115" s="45"/>
      <c r="AM115" s="45"/>
      <c r="AN115" s="45"/>
      <c r="AO115" s="45"/>
    </row>
    <row r="116" spans="2:41" outlineLevel="1" x14ac:dyDescent="0.35">
      <c r="B116" s="27" t="s">
        <v>1227</v>
      </c>
      <c r="C116" s="27" t="s">
        <v>51</v>
      </c>
      <c r="D116" s="27" t="s">
        <v>1806</v>
      </c>
      <c r="E116" s="27" t="s">
        <v>51</v>
      </c>
      <c r="F116" s="27" t="s">
        <v>457</v>
      </c>
      <c r="G116" s="27" t="s">
        <v>1465</v>
      </c>
      <c r="H116" s="27" t="s">
        <v>447</v>
      </c>
      <c r="I116" s="27" t="s">
        <v>440</v>
      </c>
      <c r="J116" s="27" t="s">
        <v>448</v>
      </c>
      <c r="K116" s="27" t="s">
        <v>449</v>
      </c>
      <c r="L116" s="27" t="s">
        <v>458</v>
      </c>
      <c r="M116" s="27" t="s">
        <v>2029</v>
      </c>
      <c r="N116" s="27" t="s">
        <v>2029</v>
      </c>
      <c r="O116" s="27" t="s">
        <v>449</v>
      </c>
      <c r="P116" s="27" t="s">
        <v>449</v>
      </c>
      <c r="Q116" s="27" t="s">
        <v>372</v>
      </c>
      <c r="R116" s="45">
        <v>-167563</v>
      </c>
      <c r="S116" s="45">
        <v>-335126</v>
      </c>
      <c r="T116" s="45">
        <v>-502689</v>
      </c>
      <c r="U116" s="45">
        <v>-670252</v>
      </c>
      <c r="V116" s="45">
        <v>-840396.17999999993</v>
      </c>
      <c r="W116" s="45">
        <v>-1007472.4200000002</v>
      </c>
      <c r="X116" s="45">
        <v>-1172941.0000000002</v>
      </c>
      <c r="Y116" s="45">
        <v>-1340504.0000000002</v>
      </c>
      <c r="Z116" s="45">
        <v>-1508057</v>
      </c>
      <c r="AA116" s="45">
        <v>-1675620</v>
      </c>
      <c r="AB116" s="45">
        <v>-1843183</v>
      </c>
      <c r="AC116" s="45">
        <v>-2010746</v>
      </c>
      <c r="AD116" s="45">
        <v>-167563</v>
      </c>
      <c r="AE116" s="45">
        <v>-335126</v>
      </c>
      <c r="AF116" s="45">
        <v>-502689</v>
      </c>
      <c r="AG116" s="45">
        <v>-670251.98545194196</v>
      </c>
      <c r="AH116" s="45"/>
      <c r="AI116" s="45"/>
      <c r="AJ116" s="45"/>
      <c r="AK116" s="45"/>
      <c r="AL116" s="45"/>
      <c r="AM116" s="45"/>
      <c r="AN116" s="45"/>
      <c r="AO116" s="45"/>
    </row>
    <row r="117" spans="2:41" outlineLevel="1" x14ac:dyDescent="0.35">
      <c r="B117" s="27" t="s">
        <v>459</v>
      </c>
      <c r="C117" s="27" t="s">
        <v>51</v>
      </c>
      <c r="D117" s="27" t="s">
        <v>1466</v>
      </c>
      <c r="E117" s="27" t="s">
        <v>51</v>
      </c>
      <c r="F117" s="27" t="s">
        <v>457</v>
      </c>
      <c r="G117" s="27" t="s">
        <v>460</v>
      </c>
      <c r="H117" s="27" t="s">
        <v>447</v>
      </c>
      <c r="I117" s="27" t="s">
        <v>440</v>
      </c>
      <c r="J117" s="27" t="s">
        <v>448</v>
      </c>
      <c r="K117" s="27" t="s">
        <v>449</v>
      </c>
      <c r="L117" s="27" t="s">
        <v>458</v>
      </c>
      <c r="M117" s="27" t="s">
        <v>461</v>
      </c>
      <c r="N117" s="27" t="s">
        <v>458</v>
      </c>
      <c r="O117" s="27" t="s">
        <v>449</v>
      </c>
      <c r="P117" s="27" t="s">
        <v>449</v>
      </c>
      <c r="Q117" s="27" t="s">
        <v>372</v>
      </c>
      <c r="R117" s="45">
        <v>0</v>
      </c>
      <c r="S117" s="45">
        <v>0</v>
      </c>
      <c r="T117" s="45">
        <v>0</v>
      </c>
      <c r="U117" s="45">
        <v>0</v>
      </c>
      <c r="V117" s="45">
        <v>0</v>
      </c>
      <c r="W117" s="45">
        <v>0</v>
      </c>
      <c r="X117" s="45">
        <v>0</v>
      </c>
      <c r="Y117" s="45">
        <v>0</v>
      </c>
      <c r="Z117" s="45">
        <v>0</v>
      </c>
      <c r="AA117" s="45">
        <v>0</v>
      </c>
      <c r="AB117" s="45">
        <v>0</v>
      </c>
      <c r="AC117" s="45">
        <v>0</v>
      </c>
      <c r="AD117" s="45">
        <v>0</v>
      </c>
      <c r="AE117" s="45">
        <v>0</v>
      </c>
      <c r="AF117" s="45">
        <v>0</v>
      </c>
      <c r="AG117" s="45">
        <v>0</v>
      </c>
      <c r="AH117" s="45"/>
      <c r="AI117" s="45"/>
      <c r="AJ117" s="45"/>
      <c r="AK117" s="45"/>
      <c r="AL117" s="45"/>
      <c r="AM117" s="45"/>
      <c r="AN117" s="45"/>
      <c r="AO117" s="45"/>
    </row>
    <row r="118" spans="2:41" outlineLevel="1" x14ac:dyDescent="0.35">
      <c r="B118" s="27" t="s">
        <v>1228</v>
      </c>
      <c r="C118" s="27" t="s">
        <v>51</v>
      </c>
      <c r="D118" s="27" t="s">
        <v>1807</v>
      </c>
      <c r="E118" s="27" t="s">
        <v>51</v>
      </c>
      <c r="F118" s="27" t="s">
        <v>445</v>
      </c>
      <c r="G118" s="27" t="s">
        <v>1467</v>
      </c>
      <c r="H118" s="27" t="s">
        <v>447</v>
      </c>
      <c r="I118" s="27" t="s">
        <v>440</v>
      </c>
      <c r="J118" s="27" t="s">
        <v>448</v>
      </c>
      <c r="K118" s="27" t="s">
        <v>449</v>
      </c>
      <c r="L118" s="27" t="s">
        <v>458</v>
      </c>
      <c r="M118" s="27" t="s">
        <v>2030</v>
      </c>
      <c r="N118" s="27" t="s">
        <v>2030</v>
      </c>
      <c r="O118" s="27" t="s">
        <v>449</v>
      </c>
      <c r="P118" s="27" t="s">
        <v>449</v>
      </c>
      <c r="Q118" s="27" t="s">
        <v>372</v>
      </c>
      <c r="R118" s="45">
        <v>-1324549.04</v>
      </c>
      <c r="S118" s="45">
        <v>-2425803.96</v>
      </c>
      <c r="T118" s="45">
        <v>-3539859.88</v>
      </c>
      <c r="U118" s="45">
        <v>-4658495.18</v>
      </c>
      <c r="V118" s="45">
        <v>-5777130.4799999995</v>
      </c>
      <c r="W118" s="45">
        <v>-6895765.7800000003</v>
      </c>
      <c r="X118" s="45">
        <v>-8017851.54</v>
      </c>
      <c r="Y118" s="45">
        <v>-9150942.8300000001</v>
      </c>
      <c r="Z118" s="45">
        <v>-10394208.24</v>
      </c>
      <c r="AA118" s="45">
        <v>-11991167.76</v>
      </c>
      <c r="AB118" s="45">
        <v>-13592152.77</v>
      </c>
      <c r="AC118" s="45">
        <v>-15271404.08</v>
      </c>
      <c r="AD118" s="45">
        <v>-1770939.56</v>
      </c>
      <c r="AE118" s="45">
        <v>-3506182.74</v>
      </c>
      <c r="AF118" s="45">
        <v>-5088444.45</v>
      </c>
      <c r="AG118" s="45">
        <v>-6976920.46</v>
      </c>
      <c r="AH118" s="45"/>
      <c r="AI118" s="45"/>
      <c r="AJ118" s="45"/>
      <c r="AK118" s="45"/>
      <c r="AL118" s="45"/>
      <c r="AM118" s="45"/>
      <c r="AN118" s="45"/>
      <c r="AO118" s="45"/>
    </row>
    <row r="119" spans="2:41" outlineLevel="1" x14ac:dyDescent="0.35">
      <c r="B119" s="27" t="s">
        <v>1229</v>
      </c>
      <c r="C119" s="27" t="s">
        <v>51</v>
      </c>
      <c r="D119" s="27" t="s">
        <v>1808</v>
      </c>
      <c r="E119" s="27" t="s">
        <v>51</v>
      </c>
      <c r="F119" s="27" t="s">
        <v>445</v>
      </c>
      <c r="G119" s="27" t="s">
        <v>1468</v>
      </c>
      <c r="H119" s="27" t="s">
        <v>447</v>
      </c>
      <c r="I119" s="27" t="s">
        <v>440</v>
      </c>
      <c r="J119" s="27" t="s">
        <v>448</v>
      </c>
      <c r="K119" s="27" t="s">
        <v>449</v>
      </c>
      <c r="L119" s="27" t="s">
        <v>463</v>
      </c>
      <c r="M119" s="27" t="s">
        <v>463</v>
      </c>
      <c r="N119" s="27" t="s">
        <v>463</v>
      </c>
      <c r="O119" s="27" t="s">
        <v>449</v>
      </c>
      <c r="P119" s="27" t="s">
        <v>449</v>
      </c>
      <c r="Q119" s="27" t="s">
        <v>372</v>
      </c>
      <c r="R119" s="45">
        <v>-2478649.41</v>
      </c>
      <c r="S119" s="45">
        <v>-5017522.1899999995</v>
      </c>
      <c r="T119" s="45">
        <v>-7555797.5999999996</v>
      </c>
      <c r="U119" s="45">
        <v>-10309843.92</v>
      </c>
      <c r="V119" s="45">
        <v>-12928592.42</v>
      </c>
      <c r="W119" s="45">
        <v>-15586737.139999999</v>
      </c>
      <c r="X119" s="45">
        <v>-18161508.479999997</v>
      </c>
      <c r="Y119" s="45">
        <v>-21007224.419999998</v>
      </c>
      <c r="Z119" s="45">
        <v>-23748153.469999999</v>
      </c>
      <c r="AA119" s="45">
        <v>-26187435.719999999</v>
      </c>
      <c r="AB119" s="45">
        <v>-28881539.819999997</v>
      </c>
      <c r="AC119" s="45">
        <v>-31254960.619999997</v>
      </c>
      <c r="AD119" s="45">
        <v>-2344947.86</v>
      </c>
      <c r="AE119" s="45">
        <v>-4530016.54</v>
      </c>
      <c r="AF119" s="45">
        <v>-6756086.3799999999</v>
      </c>
      <c r="AG119" s="45">
        <v>-8349423.8300000001</v>
      </c>
      <c r="AH119" s="45"/>
      <c r="AI119" s="45"/>
      <c r="AJ119" s="45"/>
      <c r="AK119" s="45"/>
      <c r="AL119" s="45"/>
      <c r="AM119" s="45"/>
      <c r="AN119" s="45"/>
      <c r="AO119" s="45"/>
    </row>
    <row r="120" spans="2:41" outlineLevel="1" x14ac:dyDescent="0.35">
      <c r="B120" s="27" t="s">
        <v>464</v>
      </c>
      <c r="C120" s="27" t="s">
        <v>51</v>
      </c>
      <c r="D120" s="27" t="s">
        <v>1469</v>
      </c>
      <c r="E120" s="27" t="s">
        <v>51</v>
      </c>
      <c r="F120" s="27" t="s">
        <v>445</v>
      </c>
      <c r="G120" s="27" t="s">
        <v>465</v>
      </c>
      <c r="H120" s="27" t="s">
        <v>447</v>
      </c>
      <c r="I120" s="27" t="s">
        <v>440</v>
      </c>
      <c r="J120" s="27" t="s">
        <v>448</v>
      </c>
      <c r="K120" s="27" t="s">
        <v>449</v>
      </c>
      <c r="L120" s="27" t="s">
        <v>458</v>
      </c>
      <c r="M120" s="27" t="s">
        <v>466</v>
      </c>
      <c r="N120" s="27" t="s">
        <v>458</v>
      </c>
      <c r="O120" s="27" t="s">
        <v>449</v>
      </c>
      <c r="P120" s="27" t="s">
        <v>449</v>
      </c>
      <c r="Q120" s="27" t="s">
        <v>372</v>
      </c>
      <c r="R120" s="45">
        <v>-13482.02</v>
      </c>
      <c r="S120" s="45">
        <v>-13482.02</v>
      </c>
      <c r="T120" s="45">
        <v>-13482.02</v>
      </c>
      <c r="U120" s="45">
        <v>-13482.02</v>
      </c>
      <c r="V120" s="45">
        <v>-13482.02</v>
      </c>
      <c r="W120" s="45">
        <v>-13482.02</v>
      </c>
      <c r="X120" s="45">
        <v>-13482.02</v>
      </c>
      <c r="Y120" s="45">
        <v>-13482.02</v>
      </c>
      <c r="Z120" s="45">
        <v>-13482.02</v>
      </c>
      <c r="AA120" s="45">
        <v>-13482.02</v>
      </c>
      <c r="AB120" s="45">
        <v>-13482.02</v>
      </c>
      <c r="AC120" s="45">
        <v>-13482.02</v>
      </c>
      <c r="AD120" s="45">
        <v>0</v>
      </c>
      <c r="AE120" s="45">
        <v>0</v>
      </c>
      <c r="AF120" s="45">
        <v>0</v>
      </c>
      <c r="AG120" s="45">
        <v>0</v>
      </c>
      <c r="AH120" s="45"/>
      <c r="AI120" s="45"/>
      <c r="AJ120" s="45"/>
      <c r="AK120" s="45"/>
      <c r="AL120" s="45"/>
      <c r="AM120" s="45"/>
      <c r="AN120" s="45"/>
      <c r="AO120" s="45"/>
    </row>
    <row r="121" spans="2:41" outlineLevel="1" x14ac:dyDescent="0.35">
      <c r="B121" s="27" t="s">
        <v>467</v>
      </c>
      <c r="C121" s="27" t="s">
        <v>51</v>
      </c>
      <c r="D121" s="27" t="s">
        <v>1470</v>
      </c>
      <c r="E121" s="27" t="s">
        <v>51</v>
      </c>
      <c r="F121" s="27" t="s">
        <v>445</v>
      </c>
      <c r="G121" s="27" t="s">
        <v>468</v>
      </c>
      <c r="H121" s="27" t="s">
        <v>447</v>
      </c>
      <c r="I121" s="27" t="s">
        <v>440</v>
      </c>
      <c r="J121" s="27" t="s">
        <v>448</v>
      </c>
      <c r="K121" s="27" t="s">
        <v>449</v>
      </c>
      <c r="L121" s="27" t="s">
        <v>458</v>
      </c>
      <c r="M121" s="27" t="s">
        <v>469</v>
      </c>
      <c r="N121" s="27" t="s">
        <v>458</v>
      </c>
      <c r="O121" s="27" t="s">
        <v>449</v>
      </c>
      <c r="P121" s="27" t="s">
        <v>449</v>
      </c>
      <c r="Q121" s="27" t="s">
        <v>372</v>
      </c>
      <c r="R121" s="45">
        <v>0</v>
      </c>
      <c r="S121" s="45">
        <v>0</v>
      </c>
      <c r="T121" s="45">
        <v>0</v>
      </c>
      <c r="U121" s="45">
        <v>0</v>
      </c>
      <c r="V121" s="45">
        <v>0</v>
      </c>
      <c r="W121" s="45">
        <v>0</v>
      </c>
      <c r="X121" s="45">
        <v>0</v>
      </c>
      <c r="Y121" s="45">
        <v>0</v>
      </c>
      <c r="Z121" s="45">
        <v>0</v>
      </c>
      <c r="AA121" s="45">
        <v>0</v>
      </c>
      <c r="AB121" s="45">
        <v>0</v>
      </c>
      <c r="AC121" s="45">
        <v>0</v>
      </c>
      <c r="AD121" s="45">
        <v>0</v>
      </c>
      <c r="AE121" s="45">
        <v>0</v>
      </c>
      <c r="AF121" s="45">
        <v>0</v>
      </c>
      <c r="AG121" s="45">
        <v>0</v>
      </c>
      <c r="AH121" s="45"/>
      <c r="AI121" s="45"/>
      <c r="AJ121" s="45"/>
      <c r="AK121" s="45"/>
      <c r="AL121" s="45"/>
      <c r="AM121" s="45"/>
      <c r="AN121" s="45"/>
      <c r="AO121" s="45"/>
    </row>
    <row r="122" spans="2:41" outlineLevel="1" x14ac:dyDescent="0.35">
      <c r="B122" s="27" t="s">
        <v>1230</v>
      </c>
      <c r="C122" s="27" t="s">
        <v>51</v>
      </c>
      <c r="D122" s="27" t="s">
        <v>1809</v>
      </c>
      <c r="E122" s="27" t="s">
        <v>51</v>
      </c>
      <c r="F122" s="27" t="s">
        <v>457</v>
      </c>
      <c r="G122" s="27" t="s">
        <v>1471</v>
      </c>
      <c r="H122" s="27" t="s">
        <v>447</v>
      </c>
      <c r="I122" s="27" t="s">
        <v>440</v>
      </c>
      <c r="J122" s="27" t="s">
        <v>448</v>
      </c>
      <c r="K122" s="27" t="s">
        <v>449</v>
      </c>
      <c r="L122" s="27" t="s">
        <v>472</v>
      </c>
      <c r="M122" s="27" t="s">
        <v>472</v>
      </c>
      <c r="N122" s="27" t="s">
        <v>472</v>
      </c>
      <c r="O122" s="27" t="s">
        <v>449</v>
      </c>
      <c r="P122" s="27" t="s">
        <v>449</v>
      </c>
      <c r="Q122" s="27" t="s">
        <v>372</v>
      </c>
      <c r="R122" s="45">
        <v>-1664129.74</v>
      </c>
      <c r="S122" s="45">
        <v>-3774770.01</v>
      </c>
      <c r="T122" s="45">
        <v>-5694799.8999999994</v>
      </c>
      <c r="U122" s="45">
        <v>-8140926.9999999953</v>
      </c>
      <c r="V122" s="45">
        <v>-10590293.999999996</v>
      </c>
      <c r="W122" s="45">
        <v>-13147399.396551721</v>
      </c>
      <c r="X122" s="45">
        <v>-15816413.482758617</v>
      </c>
      <c r="Y122" s="45">
        <v>-18910259.760000002</v>
      </c>
      <c r="Z122" s="45">
        <v>-22380764.890000001</v>
      </c>
      <c r="AA122" s="45">
        <v>-26014824.32</v>
      </c>
      <c r="AB122" s="45">
        <v>-29415941.329999998</v>
      </c>
      <c r="AC122" s="45">
        <v>-33285167.920000002</v>
      </c>
      <c r="AD122" s="45">
        <v>-4139704.08</v>
      </c>
      <c r="AE122" s="45">
        <v>-8318150.1200000001</v>
      </c>
      <c r="AF122" s="45">
        <v>-13580987.51</v>
      </c>
      <c r="AG122" s="45">
        <v>-19196029.050000001</v>
      </c>
      <c r="AH122" s="45"/>
      <c r="AI122" s="45"/>
      <c r="AJ122" s="45"/>
      <c r="AK122" s="45"/>
      <c r="AL122" s="45"/>
      <c r="AM122" s="45"/>
      <c r="AN122" s="45"/>
      <c r="AO122" s="45"/>
    </row>
    <row r="123" spans="2:41" outlineLevel="1" x14ac:dyDescent="0.35">
      <c r="B123" s="27" t="s">
        <v>473</v>
      </c>
      <c r="C123" s="27" t="s">
        <v>51</v>
      </c>
      <c r="D123" s="27" t="s">
        <v>1472</v>
      </c>
      <c r="E123" s="27" t="s">
        <v>51</v>
      </c>
      <c r="F123" s="27" t="s">
        <v>474</v>
      </c>
      <c r="G123" s="27" t="s">
        <v>475</v>
      </c>
      <c r="H123" s="27" t="s">
        <v>447</v>
      </c>
      <c r="I123" s="27" t="s">
        <v>440</v>
      </c>
      <c r="J123" s="27" t="s">
        <v>448</v>
      </c>
      <c r="K123" s="27" t="s">
        <v>476</v>
      </c>
      <c r="L123" s="27" t="s">
        <v>477</v>
      </c>
      <c r="M123" s="27" t="s">
        <v>477</v>
      </c>
      <c r="N123" s="27" t="s">
        <v>479</v>
      </c>
      <c r="O123" s="27" t="s">
        <v>480</v>
      </c>
      <c r="P123" s="27" t="s">
        <v>480</v>
      </c>
      <c r="Q123" s="27" t="s">
        <v>372</v>
      </c>
      <c r="R123" s="45">
        <v>0</v>
      </c>
      <c r="S123" s="45">
        <v>0</v>
      </c>
      <c r="T123" s="45">
        <v>0</v>
      </c>
      <c r="U123" s="45">
        <v>0</v>
      </c>
      <c r="V123" s="45">
        <v>0</v>
      </c>
      <c r="W123" s="45">
        <v>0</v>
      </c>
      <c r="X123" s="45">
        <v>0</v>
      </c>
      <c r="Y123" s="45">
        <v>0</v>
      </c>
      <c r="Z123" s="45">
        <v>0</v>
      </c>
      <c r="AA123" s="45">
        <v>0</v>
      </c>
      <c r="AB123" s="45">
        <v>0</v>
      </c>
      <c r="AC123" s="45">
        <v>0</v>
      </c>
      <c r="AD123" s="45">
        <v>0</v>
      </c>
      <c r="AE123" s="45">
        <v>0</v>
      </c>
      <c r="AF123" s="45">
        <v>0</v>
      </c>
      <c r="AG123" s="45">
        <v>0</v>
      </c>
      <c r="AH123" s="45"/>
      <c r="AI123" s="45"/>
      <c r="AJ123" s="45"/>
      <c r="AK123" s="45"/>
      <c r="AL123" s="45"/>
      <c r="AM123" s="45"/>
      <c r="AN123" s="45"/>
      <c r="AO123" s="45"/>
    </row>
    <row r="124" spans="2:41" outlineLevel="1" x14ac:dyDescent="0.35">
      <c r="B124" s="27" t="s">
        <v>1231</v>
      </c>
      <c r="C124" s="27" t="s">
        <v>51</v>
      </c>
      <c r="D124" s="27" t="s">
        <v>1810</v>
      </c>
      <c r="E124" s="27" t="s">
        <v>51</v>
      </c>
      <c r="F124" s="27" t="s">
        <v>474</v>
      </c>
      <c r="G124" s="27" t="s">
        <v>1473</v>
      </c>
      <c r="H124" s="27" t="s">
        <v>447</v>
      </c>
      <c r="I124" s="27" t="s">
        <v>440</v>
      </c>
      <c r="J124" s="27" t="s">
        <v>448</v>
      </c>
      <c r="K124" s="27" t="s">
        <v>476</v>
      </c>
      <c r="L124" s="27" t="s">
        <v>482</v>
      </c>
      <c r="M124" s="27" t="s">
        <v>483</v>
      </c>
      <c r="N124" s="27" t="s">
        <v>483</v>
      </c>
      <c r="O124" s="27" t="s">
        <v>480</v>
      </c>
      <c r="P124" s="27" t="s">
        <v>480</v>
      </c>
      <c r="Q124" s="27" t="s">
        <v>372</v>
      </c>
      <c r="R124" s="45">
        <v>3001440</v>
      </c>
      <c r="S124" s="45">
        <v>6233760</v>
      </c>
      <c r="T124" s="45">
        <v>9466080</v>
      </c>
      <c r="U124" s="45">
        <v>12698400</v>
      </c>
      <c r="V124" s="45">
        <v>15930720</v>
      </c>
      <c r="W124" s="45">
        <v>19163040</v>
      </c>
      <c r="X124" s="45">
        <v>23531040</v>
      </c>
      <c r="Y124" s="45">
        <v>27899040</v>
      </c>
      <c r="Z124" s="45">
        <v>32267040</v>
      </c>
      <c r="AA124" s="45">
        <v>36635040</v>
      </c>
      <c r="AB124" s="45">
        <v>41003040</v>
      </c>
      <c r="AC124" s="45">
        <v>45371040</v>
      </c>
      <c r="AD124" s="45">
        <v>4606556.8099999996</v>
      </c>
      <c r="AE124" s="45">
        <v>9479491.3200000003</v>
      </c>
      <c r="AF124" s="45">
        <v>14800496.050000001</v>
      </c>
      <c r="AG124" s="45">
        <v>20148042.510000002</v>
      </c>
      <c r="AH124" s="45"/>
      <c r="AI124" s="45"/>
      <c r="AJ124" s="45"/>
      <c r="AK124" s="45"/>
      <c r="AL124" s="45"/>
      <c r="AM124" s="45"/>
      <c r="AN124" s="45"/>
      <c r="AO124" s="45"/>
    </row>
    <row r="125" spans="2:41" outlineLevel="1" x14ac:dyDescent="0.35">
      <c r="B125" s="27" t="s">
        <v>485</v>
      </c>
      <c r="C125" s="27" t="s">
        <v>51</v>
      </c>
      <c r="D125" s="27" t="s">
        <v>1474</v>
      </c>
      <c r="E125" s="27" t="s">
        <v>51</v>
      </c>
      <c r="F125" s="27" t="s">
        <v>474</v>
      </c>
      <c r="G125" s="27" t="s">
        <v>486</v>
      </c>
      <c r="H125" s="27" t="s">
        <v>447</v>
      </c>
      <c r="I125" s="27" t="s">
        <v>440</v>
      </c>
      <c r="J125" s="27" t="s">
        <v>448</v>
      </c>
      <c r="K125" s="27" t="s">
        <v>476</v>
      </c>
      <c r="L125" s="27" t="s">
        <v>487</v>
      </c>
      <c r="M125" s="27" t="s">
        <v>487</v>
      </c>
      <c r="N125" s="27" t="s">
        <v>488</v>
      </c>
      <c r="O125" s="27" t="s">
        <v>480</v>
      </c>
      <c r="P125" s="27" t="s">
        <v>480</v>
      </c>
      <c r="Q125" s="27" t="s">
        <v>372</v>
      </c>
      <c r="R125" s="45">
        <v>0</v>
      </c>
      <c r="S125" s="45">
        <v>0</v>
      </c>
      <c r="T125" s="45">
        <v>0</v>
      </c>
      <c r="U125" s="45">
        <v>0</v>
      </c>
      <c r="V125" s="45">
        <v>0</v>
      </c>
      <c r="W125" s="45">
        <v>0</v>
      </c>
      <c r="X125" s="45">
        <v>0</v>
      </c>
      <c r="Y125" s="45">
        <v>0</v>
      </c>
      <c r="Z125" s="45">
        <v>0</v>
      </c>
      <c r="AA125" s="45">
        <v>0</v>
      </c>
      <c r="AB125" s="45">
        <v>0</v>
      </c>
      <c r="AC125" s="45">
        <v>0</v>
      </c>
      <c r="AD125" s="45">
        <v>0</v>
      </c>
      <c r="AE125" s="45">
        <v>0</v>
      </c>
      <c r="AF125" s="45">
        <v>0</v>
      </c>
      <c r="AG125" s="45">
        <v>0</v>
      </c>
      <c r="AH125" s="45"/>
      <c r="AI125" s="45"/>
      <c r="AJ125" s="45"/>
      <c r="AK125" s="45"/>
      <c r="AL125" s="45"/>
      <c r="AM125" s="45"/>
      <c r="AN125" s="45"/>
      <c r="AO125" s="45"/>
    </row>
    <row r="126" spans="2:41" outlineLevel="1" x14ac:dyDescent="0.35">
      <c r="B126" s="27" t="s">
        <v>1232</v>
      </c>
      <c r="C126" s="27" t="s">
        <v>51</v>
      </c>
      <c r="D126" s="27" t="s">
        <v>1811</v>
      </c>
      <c r="E126" s="27" t="s">
        <v>51</v>
      </c>
      <c r="F126" s="27" t="s">
        <v>474</v>
      </c>
      <c r="G126" s="27" t="s">
        <v>1475</v>
      </c>
      <c r="H126" s="27" t="s">
        <v>447</v>
      </c>
      <c r="I126" s="27" t="s">
        <v>440</v>
      </c>
      <c r="J126" s="27" t="s">
        <v>448</v>
      </c>
      <c r="K126" s="27" t="s">
        <v>476</v>
      </c>
      <c r="L126" s="27" t="s">
        <v>482</v>
      </c>
      <c r="M126" s="27" t="s">
        <v>483</v>
      </c>
      <c r="N126" s="27" t="s">
        <v>483</v>
      </c>
      <c r="O126" s="27" t="s">
        <v>480</v>
      </c>
      <c r="P126" s="27" t="s">
        <v>480</v>
      </c>
      <c r="Q126" s="27" t="s">
        <v>372</v>
      </c>
      <c r="R126" s="45">
        <v>286713</v>
      </c>
      <c r="S126" s="45">
        <v>573426</v>
      </c>
      <c r="T126" s="45">
        <v>860139</v>
      </c>
      <c r="U126" s="45">
        <v>1146852</v>
      </c>
      <c r="V126" s="45">
        <v>1433565</v>
      </c>
      <c r="W126" s="45">
        <v>1720278</v>
      </c>
      <c r="X126" s="45">
        <v>2107728</v>
      </c>
      <c r="Y126" s="45">
        <v>2495178</v>
      </c>
      <c r="Z126" s="45">
        <v>2882628</v>
      </c>
      <c r="AA126" s="45">
        <v>3270078</v>
      </c>
      <c r="AB126" s="45">
        <v>3657528</v>
      </c>
      <c r="AC126" s="45">
        <v>4044978</v>
      </c>
      <c r="AD126" s="45">
        <v>505765.42</v>
      </c>
      <c r="AE126" s="45">
        <v>1011530.84</v>
      </c>
      <c r="AF126" s="45">
        <v>1517296.26</v>
      </c>
      <c r="AG126" s="45">
        <v>2023061.68</v>
      </c>
      <c r="AH126" s="45"/>
      <c r="AI126" s="45"/>
      <c r="AJ126" s="45"/>
      <c r="AK126" s="45"/>
      <c r="AL126" s="45"/>
      <c r="AM126" s="45"/>
      <c r="AN126" s="45"/>
      <c r="AO126" s="45"/>
    </row>
    <row r="127" spans="2:41" outlineLevel="1" x14ac:dyDescent="0.35">
      <c r="B127" s="27" t="s">
        <v>489</v>
      </c>
      <c r="C127" s="27" t="s">
        <v>51</v>
      </c>
      <c r="D127" s="27" t="s">
        <v>1476</v>
      </c>
      <c r="E127" s="27" t="s">
        <v>51</v>
      </c>
      <c r="F127" s="27" t="s">
        <v>474</v>
      </c>
      <c r="G127" s="27" t="s">
        <v>490</v>
      </c>
      <c r="H127" s="27" t="s">
        <v>447</v>
      </c>
      <c r="I127" s="27" t="s">
        <v>440</v>
      </c>
      <c r="J127" s="27" t="s">
        <v>448</v>
      </c>
      <c r="K127" s="27" t="s">
        <v>491</v>
      </c>
      <c r="L127" s="27" t="s">
        <v>492</v>
      </c>
      <c r="M127" s="27" t="s">
        <v>493</v>
      </c>
      <c r="N127" s="27" t="s">
        <v>494</v>
      </c>
      <c r="O127" s="27" t="s">
        <v>491</v>
      </c>
      <c r="P127" s="27" t="s">
        <v>480</v>
      </c>
      <c r="Q127" s="27" t="s">
        <v>372</v>
      </c>
      <c r="R127" s="45">
        <v>0</v>
      </c>
      <c r="S127" s="45">
        <v>0</v>
      </c>
      <c r="T127" s="45">
        <v>0</v>
      </c>
      <c r="U127" s="45">
        <v>0</v>
      </c>
      <c r="V127" s="45">
        <v>0</v>
      </c>
      <c r="W127" s="45">
        <v>0</v>
      </c>
      <c r="X127" s="45">
        <v>0</v>
      </c>
      <c r="Y127" s="45">
        <v>0</v>
      </c>
      <c r="Z127" s="45">
        <v>0</v>
      </c>
      <c r="AA127" s="45">
        <v>0</v>
      </c>
      <c r="AB127" s="45">
        <v>0</v>
      </c>
      <c r="AC127" s="45">
        <v>0</v>
      </c>
      <c r="AD127" s="45">
        <v>0</v>
      </c>
      <c r="AE127" s="45">
        <v>0</v>
      </c>
      <c r="AF127" s="45">
        <v>0</v>
      </c>
      <c r="AG127" s="45">
        <v>0</v>
      </c>
      <c r="AH127" s="45"/>
      <c r="AI127" s="45"/>
      <c r="AJ127" s="45"/>
      <c r="AK127" s="45"/>
      <c r="AL127" s="45"/>
      <c r="AM127" s="45"/>
      <c r="AN127" s="45"/>
      <c r="AO127" s="45"/>
    </row>
    <row r="128" spans="2:41" outlineLevel="1" x14ac:dyDescent="0.35">
      <c r="B128" s="27" t="s">
        <v>1233</v>
      </c>
      <c r="C128" s="27" t="s">
        <v>51</v>
      </c>
      <c r="D128" s="27" t="s">
        <v>1812</v>
      </c>
      <c r="E128" s="27" t="s">
        <v>51</v>
      </c>
      <c r="F128" s="27" t="s">
        <v>474</v>
      </c>
      <c r="G128" s="27" t="s">
        <v>1477</v>
      </c>
      <c r="H128" s="27" t="s">
        <v>447</v>
      </c>
      <c r="I128" s="27" t="s">
        <v>440</v>
      </c>
      <c r="J128" s="27" t="s">
        <v>448</v>
      </c>
      <c r="K128" s="27" t="s">
        <v>491</v>
      </c>
      <c r="L128" s="27" t="s">
        <v>495</v>
      </c>
      <c r="M128" s="27" t="s">
        <v>495</v>
      </c>
      <c r="N128" s="27" t="s">
        <v>495</v>
      </c>
      <c r="O128" s="27" t="s">
        <v>491</v>
      </c>
      <c r="P128" s="27" t="s">
        <v>480</v>
      </c>
      <c r="Q128" s="27" t="s">
        <v>372</v>
      </c>
      <c r="R128" s="45">
        <v>369184.66</v>
      </c>
      <c r="S128" s="45">
        <v>738369.32</v>
      </c>
      <c r="T128" s="45">
        <v>1431874.66</v>
      </c>
      <c r="U128" s="45">
        <v>1622679.66</v>
      </c>
      <c r="V128" s="45">
        <v>1980961.52</v>
      </c>
      <c r="W128" s="45">
        <v>2385809.7400000002</v>
      </c>
      <c r="X128" s="45">
        <v>2677587.14</v>
      </c>
      <c r="Y128" s="45">
        <v>2623306.79</v>
      </c>
      <c r="Z128" s="45">
        <v>3093557.7800000003</v>
      </c>
      <c r="AA128" s="45">
        <v>3411800.22</v>
      </c>
      <c r="AB128" s="45">
        <v>3755098.62</v>
      </c>
      <c r="AC128" s="45">
        <v>4142355.68</v>
      </c>
      <c r="AD128" s="45">
        <v>387247.08</v>
      </c>
      <c r="AE128" s="45">
        <v>1020456.83</v>
      </c>
      <c r="AF128" s="45">
        <v>1675228.22</v>
      </c>
      <c r="AG128" s="45">
        <v>2208768.71</v>
      </c>
      <c r="AH128" s="45"/>
      <c r="AI128" s="45"/>
      <c r="AJ128" s="45"/>
      <c r="AK128" s="45"/>
      <c r="AL128" s="45"/>
      <c r="AM128" s="45"/>
      <c r="AN128" s="45"/>
      <c r="AO128" s="45"/>
    </row>
    <row r="129" spans="2:41" outlineLevel="1" x14ac:dyDescent="0.35">
      <c r="B129" s="27" t="s">
        <v>496</v>
      </c>
      <c r="C129" s="27" t="s">
        <v>51</v>
      </c>
      <c r="D129" s="27" t="s">
        <v>1478</v>
      </c>
      <c r="E129" s="27" t="s">
        <v>51</v>
      </c>
      <c r="F129" s="27" t="s">
        <v>474</v>
      </c>
      <c r="G129" s="27" t="s">
        <v>497</v>
      </c>
      <c r="H129" s="27" t="s">
        <v>447</v>
      </c>
      <c r="I129" s="27" t="s">
        <v>440</v>
      </c>
      <c r="J129" s="27" t="s">
        <v>448</v>
      </c>
      <c r="K129" s="27" t="s">
        <v>476</v>
      </c>
      <c r="L129" s="27" t="s">
        <v>498</v>
      </c>
      <c r="M129" s="27" t="s">
        <v>498</v>
      </c>
      <c r="N129" s="27" t="s">
        <v>499</v>
      </c>
      <c r="O129" s="27" t="s">
        <v>480</v>
      </c>
      <c r="P129" s="27" t="s">
        <v>480</v>
      </c>
      <c r="Q129" s="27" t="s">
        <v>372</v>
      </c>
      <c r="R129" s="45">
        <v>0</v>
      </c>
      <c r="S129" s="45">
        <v>0</v>
      </c>
      <c r="T129" s="45">
        <v>859.13</v>
      </c>
      <c r="U129" s="45">
        <v>859.13</v>
      </c>
      <c r="V129" s="45">
        <v>859.13</v>
      </c>
      <c r="W129" s="45">
        <v>859.13</v>
      </c>
      <c r="X129" s="45">
        <v>859.13</v>
      </c>
      <c r="Y129" s="45">
        <v>859.13</v>
      </c>
      <c r="Z129" s="45">
        <v>859.13</v>
      </c>
      <c r="AA129" s="45">
        <v>859.13</v>
      </c>
      <c r="AB129" s="45">
        <v>859.13</v>
      </c>
      <c r="AC129" s="45">
        <v>859.13</v>
      </c>
      <c r="AD129" s="45">
        <v>0</v>
      </c>
      <c r="AE129" s="45">
        <v>0</v>
      </c>
      <c r="AF129" s="45">
        <v>0</v>
      </c>
      <c r="AG129" s="45">
        <v>0</v>
      </c>
      <c r="AH129" s="45"/>
      <c r="AI129" s="45"/>
      <c r="AJ129" s="45"/>
      <c r="AK129" s="45"/>
      <c r="AL129" s="45"/>
      <c r="AM129" s="45"/>
      <c r="AN129" s="45"/>
      <c r="AO129" s="45"/>
    </row>
    <row r="130" spans="2:41" outlineLevel="1" x14ac:dyDescent="0.35">
      <c r="B130" s="27" t="s">
        <v>500</v>
      </c>
      <c r="C130" s="27" t="s">
        <v>51</v>
      </c>
      <c r="D130" s="27" t="s">
        <v>1479</v>
      </c>
      <c r="E130" s="27" t="s">
        <v>51</v>
      </c>
      <c r="F130" s="27" t="s">
        <v>501</v>
      </c>
      <c r="G130" s="27" t="s">
        <v>481</v>
      </c>
      <c r="H130" s="27" t="s">
        <v>447</v>
      </c>
      <c r="I130" s="27" t="s">
        <v>440</v>
      </c>
      <c r="J130" s="27" t="s">
        <v>448</v>
      </c>
      <c r="K130" s="27" t="s">
        <v>476</v>
      </c>
      <c r="L130" s="27" t="s">
        <v>502</v>
      </c>
      <c r="M130" s="27" t="s">
        <v>502</v>
      </c>
      <c r="N130" s="27" t="s">
        <v>488</v>
      </c>
      <c r="O130" s="27" t="s">
        <v>480</v>
      </c>
      <c r="P130" s="27" t="s">
        <v>480</v>
      </c>
      <c r="Q130" s="27" t="s">
        <v>372</v>
      </c>
      <c r="R130" s="45">
        <v>0</v>
      </c>
      <c r="S130" s="45">
        <v>0</v>
      </c>
      <c r="T130" s="45">
        <v>0</v>
      </c>
      <c r="U130" s="45">
        <v>0</v>
      </c>
      <c r="V130" s="45">
        <v>0</v>
      </c>
      <c r="W130" s="45">
        <v>0</v>
      </c>
      <c r="X130" s="45">
        <v>0</v>
      </c>
      <c r="Y130" s="45">
        <v>0</v>
      </c>
      <c r="Z130" s="45">
        <v>0</v>
      </c>
      <c r="AA130" s="45">
        <v>0</v>
      </c>
      <c r="AB130" s="45">
        <v>0</v>
      </c>
      <c r="AC130" s="45">
        <v>0</v>
      </c>
      <c r="AD130" s="45">
        <v>0</v>
      </c>
      <c r="AE130" s="45">
        <v>0</v>
      </c>
      <c r="AF130" s="45">
        <v>0</v>
      </c>
      <c r="AG130" s="45">
        <v>0</v>
      </c>
      <c r="AH130" s="45"/>
      <c r="AI130" s="45"/>
      <c r="AJ130" s="45"/>
      <c r="AK130" s="45"/>
      <c r="AL130" s="45"/>
      <c r="AM130" s="45"/>
      <c r="AN130" s="45"/>
      <c r="AO130" s="45"/>
    </row>
    <row r="131" spans="2:41" outlineLevel="1" x14ac:dyDescent="0.35">
      <c r="B131" s="27" t="s">
        <v>1234</v>
      </c>
      <c r="C131" s="27" t="s">
        <v>51</v>
      </c>
      <c r="D131" s="27" t="s">
        <v>1813</v>
      </c>
      <c r="E131" s="27" t="s">
        <v>51</v>
      </c>
      <c r="F131" s="27" t="s">
        <v>501</v>
      </c>
      <c r="G131" s="27" t="s">
        <v>1480</v>
      </c>
      <c r="H131" s="27" t="s">
        <v>447</v>
      </c>
      <c r="I131" s="27" t="s">
        <v>440</v>
      </c>
      <c r="J131" s="27" t="s">
        <v>448</v>
      </c>
      <c r="K131" s="27" t="s">
        <v>476</v>
      </c>
      <c r="L131" s="27" t="s">
        <v>503</v>
      </c>
      <c r="M131" s="27" t="s">
        <v>503</v>
      </c>
      <c r="N131" s="27" t="s">
        <v>503</v>
      </c>
      <c r="O131" s="27" t="s">
        <v>480</v>
      </c>
      <c r="P131" s="27" t="s">
        <v>480</v>
      </c>
      <c r="Q131" s="27" t="s">
        <v>372</v>
      </c>
      <c r="R131" s="45">
        <v>20401.66</v>
      </c>
      <c r="S131" s="45">
        <v>36368.32</v>
      </c>
      <c r="T131" s="45">
        <v>52334.979999999996</v>
      </c>
      <c r="U131" s="45">
        <v>189329.66</v>
      </c>
      <c r="V131" s="45">
        <v>192813.66</v>
      </c>
      <c r="W131" s="45">
        <v>327946.66000000003</v>
      </c>
      <c r="X131" s="45">
        <v>573507.92000000004</v>
      </c>
      <c r="Y131" s="45">
        <v>703856.92</v>
      </c>
      <c r="Z131" s="45">
        <v>828856.92</v>
      </c>
      <c r="AA131" s="45">
        <v>1107273.92</v>
      </c>
      <c r="AB131" s="45">
        <v>1332607.92</v>
      </c>
      <c r="AC131" s="45">
        <v>1357607.92</v>
      </c>
      <c r="AD131" s="45">
        <v>10508</v>
      </c>
      <c r="AE131" s="45">
        <v>289001.93</v>
      </c>
      <c r="AF131" s="45">
        <v>666113.86</v>
      </c>
      <c r="AG131" s="45">
        <v>961107.79</v>
      </c>
      <c r="AH131" s="45"/>
      <c r="AI131" s="45"/>
      <c r="AJ131" s="45"/>
      <c r="AK131" s="45"/>
      <c r="AL131" s="45"/>
      <c r="AM131" s="45"/>
      <c r="AN131" s="45"/>
      <c r="AO131" s="45"/>
    </row>
    <row r="132" spans="2:41" outlineLevel="1" x14ac:dyDescent="0.35">
      <c r="B132" s="27" t="s">
        <v>506</v>
      </c>
      <c r="C132" s="27" t="s">
        <v>51</v>
      </c>
      <c r="D132" s="27" t="s">
        <v>1481</v>
      </c>
      <c r="E132" s="27" t="s">
        <v>51</v>
      </c>
      <c r="F132" s="27" t="s">
        <v>501</v>
      </c>
      <c r="G132" s="27" t="s">
        <v>507</v>
      </c>
      <c r="H132" s="27" t="s">
        <v>447</v>
      </c>
      <c r="I132" s="27" t="s">
        <v>440</v>
      </c>
      <c r="J132" s="27" t="s">
        <v>448</v>
      </c>
      <c r="K132" s="27" t="s">
        <v>491</v>
      </c>
      <c r="L132" s="27" t="s">
        <v>508</v>
      </c>
      <c r="M132" s="27" t="s">
        <v>508</v>
      </c>
      <c r="N132" s="27" t="s">
        <v>494</v>
      </c>
      <c r="O132" s="27" t="s">
        <v>491</v>
      </c>
      <c r="P132" s="27" t="s">
        <v>480</v>
      </c>
      <c r="Q132" s="27" t="s">
        <v>372</v>
      </c>
      <c r="R132" s="45">
        <v>0</v>
      </c>
      <c r="S132" s="45">
        <v>0</v>
      </c>
      <c r="T132" s="45">
        <v>0</v>
      </c>
      <c r="U132" s="45">
        <v>0</v>
      </c>
      <c r="V132" s="45">
        <v>0</v>
      </c>
      <c r="W132" s="45">
        <v>0</v>
      </c>
      <c r="X132" s="45">
        <v>0</v>
      </c>
      <c r="Y132" s="45">
        <v>0</v>
      </c>
      <c r="Z132" s="45">
        <v>0</v>
      </c>
      <c r="AA132" s="45">
        <v>0</v>
      </c>
      <c r="AB132" s="45">
        <v>0</v>
      </c>
      <c r="AC132" s="45">
        <v>0</v>
      </c>
      <c r="AD132" s="45">
        <v>0</v>
      </c>
      <c r="AE132" s="45">
        <v>0</v>
      </c>
      <c r="AF132" s="45">
        <v>0</v>
      </c>
      <c r="AG132" s="45">
        <v>0</v>
      </c>
      <c r="AH132" s="45"/>
      <c r="AI132" s="45"/>
      <c r="AJ132" s="45"/>
      <c r="AK132" s="45"/>
      <c r="AL132" s="45"/>
      <c r="AM132" s="45"/>
      <c r="AN132" s="45"/>
      <c r="AO132" s="45"/>
    </row>
    <row r="133" spans="2:41" outlineLevel="1" x14ac:dyDescent="0.35">
      <c r="B133" s="27" t="s">
        <v>509</v>
      </c>
      <c r="C133" s="27" t="s">
        <v>51</v>
      </c>
      <c r="D133" s="27" t="s">
        <v>1482</v>
      </c>
      <c r="E133" s="27" t="s">
        <v>51</v>
      </c>
      <c r="F133" s="27" t="s">
        <v>501</v>
      </c>
      <c r="G133" s="27" t="s">
        <v>510</v>
      </c>
      <c r="H133" s="27" t="s">
        <v>447</v>
      </c>
      <c r="I133" s="27" t="s">
        <v>440</v>
      </c>
      <c r="J133" s="27" t="s">
        <v>448</v>
      </c>
      <c r="K133" s="27" t="s">
        <v>491</v>
      </c>
      <c r="L133" s="27" t="s">
        <v>492</v>
      </c>
      <c r="M133" s="27" t="s">
        <v>511</v>
      </c>
      <c r="N133" s="27" t="s">
        <v>494</v>
      </c>
      <c r="O133" s="27" t="s">
        <v>491</v>
      </c>
      <c r="P133" s="27" t="s">
        <v>480</v>
      </c>
      <c r="Q133" s="27" t="s">
        <v>372</v>
      </c>
      <c r="R133" s="45">
        <v>0</v>
      </c>
      <c r="S133" s="45">
        <v>0</v>
      </c>
      <c r="T133" s="45">
        <v>0</v>
      </c>
      <c r="U133" s="45">
        <v>0</v>
      </c>
      <c r="V133" s="45">
        <v>0</v>
      </c>
      <c r="W133" s="45">
        <v>0</v>
      </c>
      <c r="X133" s="45">
        <v>0</v>
      </c>
      <c r="Y133" s="45">
        <v>0</v>
      </c>
      <c r="Z133" s="45">
        <v>0</v>
      </c>
      <c r="AA133" s="45">
        <v>0</v>
      </c>
      <c r="AB133" s="45">
        <v>0</v>
      </c>
      <c r="AC133" s="45">
        <v>0</v>
      </c>
      <c r="AD133" s="45">
        <v>0</v>
      </c>
      <c r="AE133" s="45">
        <v>0</v>
      </c>
      <c r="AF133" s="45">
        <v>0</v>
      </c>
      <c r="AG133" s="45">
        <v>0</v>
      </c>
      <c r="AH133" s="45"/>
      <c r="AI133" s="45"/>
      <c r="AJ133" s="45"/>
      <c r="AK133" s="45"/>
      <c r="AL133" s="45"/>
      <c r="AM133" s="45"/>
      <c r="AN133" s="45"/>
      <c r="AO133" s="45"/>
    </row>
    <row r="134" spans="2:41" outlineLevel="1" x14ac:dyDescent="0.35">
      <c r="B134" s="27" t="s">
        <v>1235</v>
      </c>
      <c r="C134" s="27" t="s">
        <v>51</v>
      </c>
      <c r="D134" s="27" t="s">
        <v>1814</v>
      </c>
      <c r="E134" s="27" t="s">
        <v>51</v>
      </c>
      <c r="F134" s="27" t="s">
        <v>501</v>
      </c>
      <c r="G134" s="27" t="s">
        <v>1483</v>
      </c>
      <c r="H134" s="27" t="s">
        <v>447</v>
      </c>
      <c r="I134" s="27" t="s">
        <v>440</v>
      </c>
      <c r="J134" s="27" t="s">
        <v>448</v>
      </c>
      <c r="K134" s="27" t="s">
        <v>491</v>
      </c>
      <c r="L134" s="27" t="s">
        <v>493</v>
      </c>
      <c r="M134" s="27" t="s">
        <v>493</v>
      </c>
      <c r="N134" s="27" t="s">
        <v>493</v>
      </c>
      <c r="O134" s="27" t="s">
        <v>491</v>
      </c>
      <c r="P134" s="27" t="s">
        <v>480</v>
      </c>
      <c r="Q134" s="27" t="s">
        <v>372</v>
      </c>
      <c r="R134" s="45">
        <v>3411.62</v>
      </c>
      <c r="S134" s="45">
        <v>3411.62</v>
      </c>
      <c r="T134" s="45">
        <v>10719.83</v>
      </c>
      <c r="U134" s="45">
        <v>12079.23</v>
      </c>
      <c r="V134" s="45">
        <v>45414.53</v>
      </c>
      <c r="W134" s="45">
        <v>47950.81</v>
      </c>
      <c r="X134" s="45">
        <v>57801.53</v>
      </c>
      <c r="Y134" s="45">
        <v>62079.439999999995</v>
      </c>
      <c r="Z134" s="45">
        <v>71782.359999999986</v>
      </c>
      <c r="AA134" s="45">
        <v>81850.36</v>
      </c>
      <c r="AB134" s="45">
        <v>87400.36</v>
      </c>
      <c r="AC134" s="45">
        <v>99505.799999999988</v>
      </c>
      <c r="AD134" s="45">
        <v>20751.260000000002</v>
      </c>
      <c r="AE134" s="45">
        <v>31340.11</v>
      </c>
      <c r="AF134" s="45">
        <v>50985.83</v>
      </c>
      <c r="AG134" s="45">
        <v>130463.09</v>
      </c>
      <c r="AH134" s="45"/>
      <c r="AI134" s="45"/>
      <c r="AJ134" s="45"/>
      <c r="AK134" s="45"/>
      <c r="AL134" s="45"/>
      <c r="AM134" s="45"/>
      <c r="AN134" s="45"/>
      <c r="AO134" s="45"/>
    </row>
    <row r="135" spans="2:41" outlineLevel="1" x14ac:dyDescent="0.35">
      <c r="B135" s="27" t="s">
        <v>1236</v>
      </c>
      <c r="C135" s="27" t="s">
        <v>51</v>
      </c>
      <c r="D135" s="27" t="s">
        <v>1815</v>
      </c>
      <c r="E135" s="27" t="s">
        <v>51</v>
      </c>
      <c r="F135" s="27" t="s">
        <v>512</v>
      </c>
      <c r="G135" s="27" t="s">
        <v>1484</v>
      </c>
      <c r="H135" s="27" t="s">
        <v>447</v>
      </c>
      <c r="I135" s="27" t="s">
        <v>440</v>
      </c>
      <c r="J135" s="27" t="s">
        <v>448</v>
      </c>
      <c r="K135" s="27" t="s">
        <v>491</v>
      </c>
      <c r="L135" s="27" t="s">
        <v>848</v>
      </c>
      <c r="M135" s="27" t="s">
        <v>848</v>
      </c>
      <c r="N135" s="27" t="s">
        <v>848</v>
      </c>
      <c r="O135" s="27" t="s">
        <v>491</v>
      </c>
      <c r="P135" s="27" t="s">
        <v>491</v>
      </c>
      <c r="Q135" s="27" t="s">
        <v>372</v>
      </c>
      <c r="R135" s="45">
        <v>1962055.0899999999</v>
      </c>
      <c r="S135" s="45">
        <v>4027987.09</v>
      </c>
      <c r="T135" s="45">
        <v>5924932.6299999999</v>
      </c>
      <c r="U135" s="45">
        <v>8504321.5399999991</v>
      </c>
      <c r="V135" s="45">
        <v>11069741.91</v>
      </c>
      <c r="W135" s="45">
        <v>13642703.729999999</v>
      </c>
      <c r="X135" s="45">
        <v>16192268.479999999</v>
      </c>
      <c r="Y135" s="45">
        <v>20545856.140000001</v>
      </c>
      <c r="Z135" s="45">
        <v>23148961.990000002</v>
      </c>
      <c r="AA135" s="45">
        <v>25458893.059999999</v>
      </c>
      <c r="AB135" s="45">
        <v>28023645.050000001</v>
      </c>
      <c r="AC135" s="45">
        <v>30265019.439999998</v>
      </c>
      <c r="AD135" s="45">
        <v>2214223</v>
      </c>
      <c r="AE135" s="45">
        <v>4291291.68</v>
      </c>
      <c r="AF135" s="45">
        <v>6403961.5199999996</v>
      </c>
      <c r="AG135" s="45">
        <v>8349423.8200000003</v>
      </c>
      <c r="AH135" s="45"/>
      <c r="AI135" s="45"/>
      <c r="AJ135" s="45"/>
      <c r="AK135" s="45"/>
      <c r="AL135" s="45"/>
      <c r="AM135" s="45"/>
      <c r="AN135" s="45"/>
      <c r="AO135" s="45"/>
    </row>
    <row r="136" spans="2:41" outlineLevel="1" x14ac:dyDescent="0.35">
      <c r="B136" s="27" t="s">
        <v>514</v>
      </c>
      <c r="C136" s="27" t="s">
        <v>51</v>
      </c>
      <c r="D136" s="27" t="s">
        <v>1485</v>
      </c>
      <c r="E136" s="27" t="s">
        <v>51</v>
      </c>
      <c r="F136" s="27" t="s">
        <v>501</v>
      </c>
      <c r="G136" s="27" t="s">
        <v>515</v>
      </c>
      <c r="H136" s="27" t="s">
        <v>447</v>
      </c>
      <c r="I136" s="27" t="s">
        <v>440</v>
      </c>
      <c r="J136" s="27" t="s">
        <v>448</v>
      </c>
      <c r="K136" s="27" t="s">
        <v>491</v>
      </c>
      <c r="L136" s="27" t="s">
        <v>492</v>
      </c>
      <c r="M136" s="27" t="s">
        <v>516</v>
      </c>
      <c r="N136" s="27" t="s">
        <v>494</v>
      </c>
      <c r="O136" s="27" t="s">
        <v>491</v>
      </c>
      <c r="P136" s="27" t="s">
        <v>480</v>
      </c>
      <c r="Q136" s="27" t="s">
        <v>372</v>
      </c>
      <c r="R136" s="45">
        <v>474937.4</v>
      </c>
      <c r="S136" s="45">
        <v>993961.36</v>
      </c>
      <c r="T136" s="45">
        <v>1450844.3</v>
      </c>
      <c r="U136" s="45">
        <v>2149491.63</v>
      </c>
      <c r="V136" s="45">
        <v>0</v>
      </c>
      <c r="W136" s="45">
        <v>0</v>
      </c>
      <c r="X136" s="45">
        <v>0</v>
      </c>
      <c r="Y136" s="45">
        <v>0</v>
      </c>
      <c r="Z136" s="45">
        <v>0</v>
      </c>
      <c r="AA136" s="45">
        <v>0</v>
      </c>
      <c r="AB136" s="45">
        <v>0</v>
      </c>
      <c r="AC136" s="45">
        <v>0</v>
      </c>
      <c r="AD136" s="45">
        <v>0</v>
      </c>
      <c r="AE136" s="45">
        <v>0</v>
      </c>
      <c r="AF136" s="45">
        <v>0</v>
      </c>
      <c r="AG136" s="45">
        <v>0</v>
      </c>
      <c r="AH136" s="45"/>
      <c r="AI136" s="45"/>
      <c r="AJ136" s="45"/>
      <c r="AK136" s="45"/>
      <c r="AL136" s="45"/>
      <c r="AM136" s="45"/>
      <c r="AN136" s="45"/>
      <c r="AO136" s="45"/>
    </row>
    <row r="137" spans="2:41" outlineLevel="1" x14ac:dyDescent="0.35">
      <c r="B137" s="27" t="s">
        <v>517</v>
      </c>
      <c r="C137" s="27" t="s">
        <v>51</v>
      </c>
      <c r="D137" s="27" t="s">
        <v>1486</v>
      </c>
      <c r="E137" s="27" t="s">
        <v>51</v>
      </c>
      <c r="F137" s="27" t="s">
        <v>501</v>
      </c>
      <c r="G137" s="27" t="s">
        <v>394</v>
      </c>
      <c r="H137" s="27" t="s">
        <v>447</v>
      </c>
      <c r="I137" s="27" t="s">
        <v>440</v>
      </c>
      <c r="J137" s="27" t="s">
        <v>448</v>
      </c>
      <c r="K137" s="27" t="s">
        <v>491</v>
      </c>
      <c r="L137" s="27" t="s">
        <v>492</v>
      </c>
      <c r="M137" s="27" t="s">
        <v>518</v>
      </c>
      <c r="N137" s="27" t="s">
        <v>494</v>
      </c>
      <c r="O137" s="27" t="s">
        <v>491</v>
      </c>
      <c r="P137" s="27" t="s">
        <v>480</v>
      </c>
      <c r="Q137" s="27" t="s">
        <v>372</v>
      </c>
      <c r="R137" s="45">
        <v>0</v>
      </c>
      <c r="S137" s="45">
        <v>0</v>
      </c>
      <c r="T137" s="45">
        <v>0</v>
      </c>
      <c r="U137" s="45">
        <v>0</v>
      </c>
      <c r="V137" s="45">
        <v>0</v>
      </c>
      <c r="W137" s="45">
        <v>0</v>
      </c>
      <c r="X137" s="45">
        <v>0</v>
      </c>
      <c r="Y137" s="45">
        <v>0</v>
      </c>
      <c r="Z137" s="45">
        <v>0</v>
      </c>
      <c r="AA137" s="45">
        <v>0</v>
      </c>
      <c r="AB137" s="45">
        <v>0</v>
      </c>
      <c r="AC137" s="45">
        <v>0</v>
      </c>
      <c r="AD137" s="45">
        <v>0</v>
      </c>
      <c r="AE137" s="45">
        <v>0</v>
      </c>
      <c r="AF137" s="45">
        <v>0</v>
      </c>
      <c r="AG137" s="45">
        <v>0</v>
      </c>
      <c r="AH137" s="45"/>
      <c r="AI137" s="45"/>
      <c r="AJ137" s="45"/>
      <c r="AK137" s="45"/>
      <c r="AL137" s="45"/>
      <c r="AM137" s="45"/>
      <c r="AN137" s="45"/>
      <c r="AO137" s="45"/>
    </row>
    <row r="138" spans="2:41" outlineLevel="1" x14ac:dyDescent="0.35">
      <c r="B138" s="27" t="s">
        <v>519</v>
      </c>
      <c r="C138" s="27" t="s">
        <v>51</v>
      </c>
      <c r="D138" s="27" t="s">
        <v>1487</v>
      </c>
      <c r="E138" s="27" t="s">
        <v>51</v>
      </c>
      <c r="F138" s="27" t="s">
        <v>501</v>
      </c>
      <c r="G138" s="27" t="s">
        <v>520</v>
      </c>
      <c r="H138" s="27" t="s">
        <v>447</v>
      </c>
      <c r="I138" s="27" t="s">
        <v>440</v>
      </c>
      <c r="J138" s="27" t="s">
        <v>448</v>
      </c>
      <c r="K138" s="27" t="s">
        <v>491</v>
      </c>
      <c r="L138" s="27" t="s">
        <v>521</v>
      </c>
      <c r="M138" s="27" t="s">
        <v>521</v>
      </c>
      <c r="N138" s="27" t="s">
        <v>488</v>
      </c>
      <c r="O138" s="27" t="s">
        <v>491</v>
      </c>
      <c r="P138" s="27" t="s">
        <v>480</v>
      </c>
      <c r="Q138" s="27" t="s">
        <v>372</v>
      </c>
      <c r="R138" s="45">
        <v>97358.12</v>
      </c>
      <c r="S138" s="45">
        <v>97358.12</v>
      </c>
      <c r="T138" s="45">
        <v>97358.12</v>
      </c>
      <c r="U138" s="45">
        <v>97358.12</v>
      </c>
      <c r="V138" s="45">
        <v>136392.85</v>
      </c>
      <c r="W138" s="45">
        <v>0</v>
      </c>
      <c r="X138" s="45">
        <v>0</v>
      </c>
      <c r="Y138" s="45">
        <v>0</v>
      </c>
      <c r="Z138" s="45">
        <v>0</v>
      </c>
      <c r="AA138" s="45">
        <v>0</v>
      </c>
      <c r="AB138" s="45">
        <v>0</v>
      </c>
      <c r="AC138" s="45">
        <v>0</v>
      </c>
      <c r="AD138" s="45">
        <v>0</v>
      </c>
      <c r="AE138" s="45">
        <v>0</v>
      </c>
      <c r="AF138" s="45">
        <v>0</v>
      </c>
      <c r="AG138" s="45">
        <v>0</v>
      </c>
      <c r="AH138" s="45"/>
      <c r="AI138" s="45"/>
      <c r="AJ138" s="45"/>
      <c r="AK138" s="45"/>
      <c r="AL138" s="45"/>
      <c r="AM138" s="45"/>
      <c r="AN138" s="45"/>
      <c r="AO138" s="45"/>
    </row>
    <row r="139" spans="2:41" outlineLevel="1" x14ac:dyDescent="0.35">
      <c r="B139" s="27" t="s">
        <v>522</v>
      </c>
      <c r="C139" s="27" t="s">
        <v>51</v>
      </c>
      <c r="D139" s="27" t="s">
        <v>1488</v>
      </c>
      <c r="E139" s="27" t="s">
        <v>51</v>
      </c>
      <c r="F139" s="27" t="s">
        <v>501</v>
      </c>
      <c r="G139" s="27" t="s">
        <v>523</v>
      </c>
      <c r="H139" s="27" t="s">
        <v>447</v>
      </c>
      <c r="I139" s="27" t="s">
        <v>440</v>
      </c>
      <c r="J139" s="27" t="s">
        <v>448</v>
      </c>
      <c r="K139" s="27" t="s">
        <v>491</v>
      </c>
      <c r="L139" s="27" t="s">
        <v>492</v>
      </c>
      <c r="M139" s="27" t="s">
        <v>524</v>
      </c>
      <c r="N139" s="27" t="s">
        <v>494</v>
      </c>
      <c r="O139" s="27" t="s">
        <v>491</v>
      </c>
      <c r="P139" s="27" t="s">
        <v>480</v>
      </c>
      <c r="Q139" s="27" t="s">
        <v>372</v>
      </c>
      <c r="R139" s="45">
        <v>0</v>
      </c>
      <c r="S139" s="45">
        <v>0</v>
      </c>
      <c r="T139" s="45">
        <v>0</v>
      </c>
      <c r="U139" s="45">
        <v>0</v>
      </c>
      <c r="V139" s="45">
        <v>0</v>
      </c>
      <c r="W139" s="45">
        <v>0</v>
      </c>
      <c r="X139" s="45">
        <v>0</v>
      </c>
      <c r="Y139" s="45">
        <v>0</v>
      </c>
      <c r="Z139" s="45">
        <v>0</v>
      </c>
      <c r="AA139" s="45">
        <v>0</v>
      </c>
      <c r="AB139" s="45">
        <v>0</v>
      </c>
      <c r="AC139" s="45">
        <v>0</v>
      </c>
      <c r="AD139" s="45">
        <v>0</v>
      </c>
      <c r="AE139" s="45">
        <v>0</v>
      </c>
      <c r="AF139" s="45">
        <v>0</v>
      </c>
      <c r="AG139" s="45">
        <v>0</v>
      </c>
      <c r="AH139" s="45"/>
      <c r="AI139" s="45"/>
      <c r="AJ139" s="45"/>
      <c r="AK139" s="45"/>
      <c r="AL139" s="45"/>
      <c r="AM139" s="45"/>
      <c r="AN139" s="45"/>
      <c r="AO139" s="45"/>
    </row>
    <row r="140" spans="2:41" outlineLevel="1" x14ac:dyDescent="0.35">
      <c r="B140" s="27" t="s">
        <v>525</v>
      </c>
      <c r="C140" s="27" t="s">
        <v>51</v>
      </c>
      <c r="D140" s="27" t="s">
        <v>1489</v>
      </c>
      <c r="E140" s="27" t="s">
        <v>51</v>
      </c>
      <c r="F140" s="27" t="s">
        <v>501</v>
      </c>
      <c r="G140" s="27" t="s">
        <v>526</v>
      </c>
      <c r="H140" s="27" t="s">
        <v>447</v>
      </c>
      <c r="I140" s="27" t="s">
        <v>440</v>
      </c>
      <c r="J140" s="27" t="s">
        <v>448</v>
      </c>
      <c r="K140" s="27" t="s">
        <v>491</v>
      </c>
      <c r="L140" s="27" t="s">
        <v>492</v>
      </c>
      <c r="M140" s="27" t="s">
        <v>516</v>
      </c>
      <c r="N140" s="27" t="s">
        <v>494</v>
      </c>
      <c r="O140" s="27" t="s">
        <v>491</v>
      </c>
      <c r="P140" s="27" t="s">
        <v>480</v>
      </c>
      <c r="Q140" s="27" t="s">
        <v>372</v>
      </c>
      <c r="R140" s="45">
        <v>0</v>
      </c>
      <c r="S140" s="45">
        <v>0</v>
      </c>
      <c r="T140" s="45">
        <v>0</v>
      </c>
      <c r="U140" s="45">
        <v>0</v>
      </c>
      <c r="V140" s="45">
        <v>0</v>
      </c>
      <c r="W140" s="45">
        <v>0</v>
      </c>
      <c r="X140" s="45">
        <v>0</v>
      </c>
      <c r="Y140" s="45">
        <v>0</v>
      </c>
      <c r="Z140" s="45">
        <v>0</v>
      </c>
      <c r="AA140" s="45">
        <v>0</v>
      </c>
      <c r="AB140" s="45">
        <v>0</v>
      </c>
      <c r="AC140" s="45">
        <v>0</v>
      </c>
      <c r="AD140" s="45">
        <v>0</v>
      </c>
      <c r="AE140" s="45">
        <v>0</v>
      </c>
      <c r="AF140" s="45">
        <v>0</v>
      </c>
      <c r="AG140" s="45">
        <v>0</v>
      </c>
      <c r="AH140" s="45"/>
      <c r="AI140" s="45"/>
      <c r="AJ140" s="45"/>
      <c r="AK140" s="45"/>
      <c r="AL140" s="45"/>
      <c r="AM140" s="45"/>
      <c r="AN140" s="45"/>
      <c r="AO140" s="45"/>
    </row>
    <row r="141" spans="2:41" outlineLevel="1" x14ac:dyDescent="0.35">
      <c r="B141" s="27" t="s">
        <v>527</v>
      </c>
      <c r="C141" s="27" t="s">
        <v>51</v>
      </c>
      <c r="D141" s="27" t="s">
        <v>1490</v>
      </c>
      <c r="E141" s="27" t="s">
        <v>51</v>
      </c>
      <c r="F141" s="27" t="s">
        <v>512</v>
      </c>
      <c r="G141" s="27" t="s">
        <v>406</v>
      </c>
      <c r="H141" s="27" t="s">
        <v>447</v>
      </c>
      <c r="I141" s="27" t="s">
        <v>440</v>
      </c>
      <c r="J141" s="27" t="s">
        <v>448</v>
      </c>
      <c r="K141" s="27" t="s">
        <v>491</v>
      </c>
      <c r="L141" s="27" t="s">
        <v>528</v>
      </c>
      <c r="M141" s="27" t="s">
        <v>528</v>
      </c>
      <c r="N141" s="27" t="s">
        <v>528</v>
      </c>
      <c r="O141" s="27" t="s">
        <v>491</v>
      </c>
      <c r="P141" s="27" t="s">
        <v>491</v>
      </c>
      <c r="Q141" s="27" t="s">
        <v>372</v>
      </c>
      <c r="R141" s="45">
        <v>890942.16</v>
      </c>
      <c r="S141" s="45">
        <v>1865853.37</v>
      </c>
      <c r="T141" s="45">
        <v>2777143.0300000003</v>
      </c>
      <c r="U141" s="45">
        <v>3260684.71</v>
      </c>
      <c r="V141" s="45">
        <v>3572026.39</v>
      </c>
      <c r="W141" s="45">
        <v>3889020.62</v>
      </c>
      <c r="X141" s="45">
        <v>3240850.62</v>
      </c>
      <c r="Y141" s="45">
        <v>0</v>
      </c>
      <c r="Z141" s="45">
        <v>0</v>
      </c>
      <c r="AA141" s="45">
        <v>0</v>
      </c>
      <c r="AB141" s="45">
        <v>0</v>
      </c>
      <c r="AC141" s="45">
        <v>0</v>
      </c>
      <c r="AD141" s="45">
        <v>0</v>
      </c>
      <c r="AE141" s="45">
        <v>0</v>
      </c>
      <c r="AF141" s="45">
        <v>0</v>
      </c>
      <c r="AG141" s="45">
        <v>0</v>
      </c>
      <c r="AH141" s="45"/>
      <c r="AI141" s="45"/>
      <c r="AJ141" s="45"/>
      <c r="AK141" s="45"/>
      <c r="AL141" s="45"/>
      <c r="AM141" s="45"/>
      <c r="AN141" s="45"/>
      <c r="AO141" s="45"/>
    </row>
    <row r="142" spans="2:41" outlineLevel="1" x14ac:dyDescent="0.35">
      <c r="B142" s="27" t="s">
        <v>1237</v>
      </c>
      <c r="C142" s="27" t="s">
        <v>51</v>
      </c>
      <c r="D142" s="27" t="s">
        <v>1816</v>
      </c>
      <c r="E142" s="27" t="s">
        <v>51</v>
      </c>
      <c r="F142" s="27" t="s">
        <v>501</v>
      </c>
      <c r="G142" s="27" t="s">
        <v>1491</v>
      </c>
      <c r="H142" s="27" t="s">
        <v>447</v>
      </c>
      <c r="I142" s="27" t="s">
        <v>440</v>
      </c>
      <c r="J142" s="27" t="s">
        <v>448</v>
      </c>
      <c r="K142" s="27" t="s">
        <v>476</v>
      </c>
      <c r="L142" s="27" t="s">
        <v>492</v>
      </c>
      <c r="M142" s="27" t="s">
        <v>1762</v>
      </c>
      <c r="N142" s="27" t="s">
        <v>1762</v>
      </c>
      <c r="O142" s="27" t="s">
        <v>480</v>
      </c>
      <c r="P142" s="27" t="s">
        <v>491</v>
      </c>
      <c r="Q142" s="27" t="s">
        <v>372</v>
      </c>
      <c r="R142" s="45">
        <v>78119.600000000006</v>
      </c>
      <c r="S142" s="45">
        <v>155047.4</v>
      </c>
      <c r="T142" s="45">
        <v>235831.4</v>
      </c>
      <c r="U142" s="45">
        <v>311565.40000000002</v>
      </c>
      <c r="V142" s="45">
        <v>423904.4</v>
      </c>
      <c r="W142" s="45">
        <v>491435.4</v>
      </c>
      <c r="X142" s="45">
        <v>557931.4</v>
      </c>
      <c r="Y142" s="45">
        <v>774118.40000000002</v>
      </c>
      <c r="Z142" s="45">
        <v>882118.4</v>
      </c>
      <c r="AA142" s="45">
        <v>990118.40000000002</v>
      </c>
      <c r="AB142" s="45">
        <v>1098118.3999999999</v>
      </c>
      <c r="AC142" s="45">
        <v>1206118.3999999999</v>
      </c>
      <c r="AD142" s="45">
        <v>108000</v>
      </c>
      <c r="AE142" s="45">
        <v>216000</v>
      </c>
      <c r="AF142" s="45">
        <v>329400</v>
      </c>
      <c r="AG142" s="45">
        <v>329400</v>
      </c>
      <c r="AH142" s="45"/>
      <c r="AI142" s="45"/>
      <c r="AJ142" s="45"/>
      <c r="AK142" s="45"/>
      <c r="AL142" s="45"/>
      <c r="AM142" s="45"/>
      <c r="AN142" s="45"/>
      <c r="AO142" s="45"/>
    </row>
    <row r="143" spans="2:41" outlineLevel="1" x14ac:dyDescent="0.35">
      <c r="B143" s="27" t="s">
        <v>1238</v>
      </c>
      <c r="C143" s="27" t="s">
        <v>51</v>
      </c>
      <c r="D143" s="27" t="s">
        <v>1817</v>
      </c>
      <c r="E143" s="27" t="s">
        <v>51</v>
      </c>
      <c r="F143" s="27" t="s">
        <v>501</v>
      </c>
      <c r="G143" s="27" t="s">
        <v>1492</v>
      </c>
      <c r="H143" s="27" t="s">
        <v>447</v>
      </c>
      <c r="I143" s="27" t="s">
        <v>440</v>
      </c>
      <c r="J143" s="27" t="s">
        <v>448</v>
      </c>
      <c r="K143" s="27" t="s">
        <v>491</v>
      </c>
      <c r="L143" s="27" t="s">
        <v>668</v>
      </c>
      <c r="M143" s="27" t="s">
        <v>668</v>
      </c>
      <c r="N143" s="27" t="s">
        <v>668</v>
      </c>
      <c r="O143" s="27" t="s">
        <v>491</v>
      </c>
      <c r="P143" s="27" t="s">
        <v>480</v>
      </c>
      <c r="Q143" s="27" t="s">
        <v>372</v>
      </c>
      <c r="R143" s="45">
        <v>200627.8</v>
      </c>
      <c r="S143" s="45">
        <v>400659.7</v>
      </c>
      <c r="T143" s="45">
        <v>643010.69999999995</v>
      </c>
      <c r="U143" s="45">
        <v>870212.7</v>
      </c>
      <c r="V143" s="45">
        <v>1021680.7</v>
      </c>
      <c r="W143" s="45">
        <v>1263420.7</v>
      </c>
      <c r="X143" s="45">
        <v>1490622.7</v>
      </c>
      <c r="Y143" s="45">
        <v>1703160.7</v>
      </c>
      <c r="Z143" s="45">
        <v>1870668.7</v>
      </c>
      <c r="AA143" s="45">
        <v>2122175.7000000002</v>
      </c>
      <c r="AB143" s="45">
        <v>2399554.9</v>
      </c>
      <c r="AC143" s="45">
        <v>2650628.0099999998</v>
      </c>
      <c r="AD143" s="45">
        <v>279195.08999999997</v>
      </c>
      <c r="AE143" s="45">
        <v>574357.17999999993</v>
      </c>
      <c r="AF143" s="45">
        <v>1131491.18</v>
      </c>
      <c r="AG143" s="45">
        <v>1310285.18</v>
      </c>
      <c r="AH143" s="45"/>
      <c r="AI143" s="45"/>
      <c r="AJ143" s="45"/>
      <c r="AK143" s="45"/>
      <c r="AL143" s="45"/>
      <c r="AM143" s="45"/>
      <c r="AN143" s="45"/>
      <c r="AO143" s="45"/>
    </row>
    <row r="144" spans="2:41" outlineLevel="1" x14ac:dyDescent="0.35">
      <c r="B144" s="27" t="s">
        <v>1239</v>
      </c>
      <c r="C144" s="27" t="s">
        <v>51</v>
      </c>
      <c r="D144" s="27" t="s">
        <v>1818</v>
      </c>
      <c r="E144" s="27" t="s">
        <v>51</v>
      </c>
      <c r="F144" s="27" t="s">
        <v>501</v>
      </c>
      <c r="G144" s="27" t="s">
        <v>1493</v>
      </c>
      <c r="H144" s="27" t="s">
        <v>447</v>
      </c>
      <c r="I144" s="27" t="s">
        <v>440</v>
      </c>
      <c r="J144" s="27" t="s">
        <v>448</v>
      </c>
      <c r="K144" s="27" t="s">
        <v>476</v>
      </c>
      <c r="L144" s="27" t="s">
        <v>492</v>
      </c>
      <c r="M144" s="27" t="s">
        <v>2031</v>
      </c>
      <c r="N144" s="27" t="s">
        <v>2031</v>
      </c>
      <c r="O144" s="27" t="s">
        <v>480</v>
      </c>
      <c r="P144" s="27" t="s">
        <v>480</v>
      </c>
      <c r="Q144" s="27" t="s">
        <v>372</v>
      </c>
      <c r="R144" s="45">
        <v>23440.75</v>
      </c>
      <c r="S144" s="45">
        <v>43909.9</v>
      </c>
      <c r="T144" s="45">
        <v>64379.05</v>
      </c>
      <c r="U144" s="45">
        <v>84848.200000000012</v>
      </c>
      <c r="V144" s="45">
        <v>214790.63</v>
      </c>
      <c r="W144" s="45">
        <v>241810.26</v>
      </c>
      <c r="X144" s="45">
        <v>267749.93</v>
      </c>
      <c r="Y144" s="45">
        <v>292230.76</v>
      </c>
      <c r="Z144" s="45">
        <v>313582.13</v>
      </c>
      <c r="AA144" s="45">
        <v>338800.06</v>
      </c>
      <c r="AB144" s="45">
        <v>362979.52999999997</v>
      </c>
      <c r="AC144" s="45">
        <v>469270.86</v>
      </c>
      <c r="AD144" s="45">
        <v>62714.97</v>
      </c>
      <c r="AE144" s="45">
        <v>135072.21</v>
      </c>
      <c r="AF144" s="45">
        <v>201996.61000000002</v>
      </c>
      <c r="AG144" s="45">
        <v>223347.97</v>
      </c>
      <c r="AH144" s="45"/>
      <c r="AI144" s="45"/>
      <c r="AJ144" s="45"/>
      <c r="AK144" s="45"/>
      <c r="AL144" s="45"/>
      <c r="AM144" s="45"/>
      <c r="AN144" s="45"/>
      <c r="AO144" s="45"/>
    </row>
    <row r="145" spans="2:41" outlineLevel="1" x14ac:dyDescent="0.35">
      <c r="B145" s="27" t="s">
        <v>529</v>
      </c>
      <c r="C145" s="27" t="s">
        <v>51</v>
      </c>
      <c r="D145" s="27" t="s">
        <v>1494</v>
      </c>
      <c r="E145" s="27" t="s">
        <v>51</v>
      </c>
      <c r="F145" s="27" t="s">
        <v>501</v>
      </c>
      <c r="G145" s="27" t="s">
        <v>530</v>
      </c>
      <c r="H145" s="27" t="s">
        <v>447</v>
      </c>
      <c r="I145" s="27" t="s">
        <v>440</v>
      </c>
      <c r="J145" s="27" t="s">
        <v>448</v>
      </c>
      <c r="K145" s="27" t="s">
        <v>491</v>
      </c>
      <c r="L145" s="27" t="s">
        <v>492</v>
      </c>
      <c r="M145" s="27" t="s">
        <v>531</v>
      </c>
      <c r="N145" s="27" t="s">
        <v>494</v>
      </c>
      <c r="O145" s="27" t="s">
        <v>491</v>
      </c>
      <c r="P145" s="27" t="s">
        <v>480</v>
      </c>
      <c r="Q145" s="27" t="s">
        <v>372</v>
      </c>
      <c r="R145" s="45">
        <v>0</v>
      </c>
      <c r="S145" s="45">
        <v>0</v>
      </c>
      <c r="T145" s="45">
        <v>0</v>
      </c>
      <c r="U145" s="45">
        <v>0</v>
      </c>
      <c r="V145" s="45">
        <v>0</v>
      </c>
      <c r="W145" s="45">
        <v>0</v>
      </c>
      <c r="X145" s="45">
        <v>0</v>
      </c>
      <c r="Y145" s="45">
        <v>0</v>
      </c>
      <c r="Z145" s="45">
        <v>0</v>
      </c>
      <c r="AA145" s="45">
        <v>0</v>
      </c>
      <c r="AB145" s="45">
        <v>0</v>
      </c>
      <c r="AC145" s="45">
        <v>0</v>
      </c>
      <c r="AD145" s="45">
        <v>0</v>
      </c>
      <c r="AE145" s="45">
        <v>0</v>
      </c>
      <c r="AF145" s="45">
        <v>0</v>
      </c>
      <c r="AG145" s="45">
        <v>0</v>
      </c>
      <c r="AH145" s="45"/>
      <c r="AI145" s="45"/>
      <c r="AJ145" s="45"/>
      <c r="AK145" s="45"/>
      <c r="AL145" s="45"/>
      <c r="AM145" s="45"/>
      <c r="AN145" s="45"/>
      <c r="AO145" s="45"/>
    </row>
    <row r="146" spans="2:41" outlineLevel="1" x14ac:dyDescent="0.35">
      <c r="B146" s="27" t="s">
        <v>1240</v>
      </c>
      <c r="C146" s="27" t="s">
        <v>51</v>
      </c>
      <c r="D146" s="27" t="s">
        <v>1819</v>
      </c>
      <c r="E146" s="27" t="s">
        <v>51</v>
      </c>
      <c r="F146" s="27" t="s">
        <v>501</v>
      </c>
      <c r="G146" s="27" t="s">
        <v>1495</v>
      </c>
      <c r="H146" s="27" t="s">
        <v>447</v>
      </c>
      <c r="I146" s="27" t="s">
        <v>440</v>
      </c>
      <c r="J146" s="27" t="s">
        <v>448</v>
      </c>
      <c r="K146" s="27" t="s">
        <v>491</v>
      </c>
      <c r="L146" s="27" t="s">
        <v>2032</v>
      </c>
      <c r="M146" s="27" t="s">
        <v>2032</v>
      </c>
      <c r="N146" s="27" t="s">
        <v>2032</v>
      </c>
      <c r="O146" s="27" t="s">
        <v>491</v>
      </c>
      <c r="P146" s="27" t="s">
        <v>480</v>
      </c>
      <c r="Q146" s="27" t="s">
        <v>372</v>
      </c>
      <c r="R146" s="45">
        <v>240465.21</v>
      </c>
      <c r="S146" s="45">
        <v>490880.41</v>
      </c>
      <c r="T146" s="45">
        <v>612315.61</v>
      </c>
      <c r="U146" s="45">
        <v>860983.37000000011</v>
      </c>
      <c r="V146" s="45">
        <v>1231643.6399999999</v>
      </c>
      <c r="W146" s="45">
        <v>1400919.54</v>
      </c>
      <c r="X146" s="45">
        <v>1822259.46</v>
      </c>
      <c r="Y146" s="45">
        <v>1992881.56</v>
      </c>
      <c r="Z146" s="45">
        <v>2151993.1399999997</v>
      </c>
      <c r="AA146" s="45">
        <v>2369108.63</v>
      </c>
      <c r="AB146" s="45">
        <v>2498058.0499999998</v>
      </c>
      <c r="AC146" s="45">
        <v>2716428.22</v>
      </c>
      <c r="AD146" s="45">
        <v>143801.75</v>
      </c>
      <c r="AE146" s="45">
        <v>311740.13</v>
      </c>
      <c r="AF146" s="45">
        <v>768015.87000000011</v>
      </c>
      <c r="AG146" s="45">
        <v>881272.85</v>
      </c>
      <c r="AH146" s="45"/>
      <c r="AI146" s="45"/>
      <c r="AJ146" s="45"/>
      <c r="AK146" s="45"/>
      <c r="AL146" s="45"/>
      <c r="AM146" s="45"/>
      <c r="AN146" s="45"/>
      <c r="AO146" s="45"/>
    </row>
    <row r="147" spans="2:41" outlineLevel="1" x14ac:dyDescent="0.35">
      <c r="B147" s="27" t="s">
        <v>533</v>
      </c>
      <c r="C147" s="27" t="s">
        <v>51</v>
      </c>
      <c r="D147" s="27" t="s">
        <v>1496</v>
      </c>
      <c r="E147" s="27" t="s">
        <v>51</v>
      </c>
      <c r="F147" s="27" t="s">
        <v>501</v>
      </c>
      <c r="G147" s="27" t="s">
        <v>534</v>
      </c>
      <c r="H147" s="27" t="s">
        <v>447</v>
      </c>
      <c r="I147" s="27" t="s">
        <v>440</v>
      </c>
      <c r="J147" s="27" t="s">
        <v>448</v>
      </c>
      <c r="K147" s="27" t="s">
        <v>476</v>
      </c>
      <c r="L147" s="27" t="s">
        <v>502</v>
      </c>
      <c r="M147" s="27" t="s">
        <v>535</v>
      </c>
      <c r="N147" s="27" t="s">
        <v>488</v>
      </c>
      <c r="O147" s="27" t="s">
        <v>480</v>
      </c>
      <c r="P147" s="27" t="s">
        <v>480</v>
      </c>
      <c r="Q147" s="27" t="s">
        <v>372</v>
      </c>
      <c r="R147" s="45">
        <v>0</v>
      </c>
      <c r="S147" s="45">
        <v>69500</v>
      </c>
      <c r="T147" s="45">
        <v>69500</v>
      </c>
      <c r="U147" s="45">
        <v>69500</v>
      </c>
      <c r="V147" s="45">
        <v>69500</v>
      </c>
      <c r="W147" s="45">
        <v>69500</v>
      </c>
      <c r="X147" s="45">
        <v>69500</v>
      </c>
      <c r="Y147" s="45">
        <v>69500</v>
      </c>
      <c r="Z147" s="45">
        <v>69500</v>
      </c>
      <c r="AA147" s="45">
        <v>69500</v>
      </c>
      <c r="AB147" s="45">
        <v>69500</v>
      </c>
      <c r="AC147" s="45">
        <v>69500</v>
      </c>
      <c r="AD147" s="45">
        <v>0</v>
      </c>
      <c r="AE147" s="45">
        <v>0</v>
      </c>
      <c r="AF147" s="45">
        <v>0</v>
      </c>
      <c r="AG147" s="45">
        <v>0</v>
      </c>
      <c r="AH147" s="45"/>
      <c r="AI147" s="45"/>
      <c r="AJ147" s="45"/>
      <c r="AK147" s="45"/>
      <c r="AL147" s="45"/>
      <c r="AM147" s="45"/>
      <c r="AN147" s="45"/>
      <c r="AO147" s="45"/>
    </row>
    <row r="148" spans="2:41" outlineLevel="1" x14ac:dyDescent="0.35">
      <c r="B148" s="27" t="s">
        <v>1241</v>
      </c>
      <c r="C148" s="27" t="s">
        <v>51</v>
      </c>
      <c r="D148" s="27" t="s">
        <v>1820</v>
      </c>
      <c r="E148" s="27" t="s">
        <v>51</v>
      </c>
      <c r="F148" s="27" t="s">
        <v>501</v>
      </c>
      <c r="G148" s="27" t="s">
        <v>1497</v>
      </c>
      <c r="H148" s="27" t="s">
        <v>447</v>
      </c>
      <c r="I148" s="27" t="s">
        <v>440</v>
      </c>
      <c r="J148" s="27" t="s">
        <v>448</v>
      </c>
      <c r="K148" s="27" t="s">
        <v>476</v>
      </c>
      <c r="L148" s="27" t="s">
        <v>487</v>
      </c>
      <c r="M148" s="27" t="s">
        <v>487</v>
      </c>
      <c r="N148" s="27" t="s">
        <v>487</v>
      </c>
      <c r="O148" s="27" t="s">
        <v>480</v>
      </c>
      <c r="P148" s="27" t="s">
        <v>480</v>
      </c>
      <c r="Q148" s="27" t="s">
        <v>372</v>
      </c>
      <c r="R148" s="45">
        <v>116999.99</v>
      </c>
      <c r="S148" s="45">
        <v>187999.99</v>
      </c>
      <c r="T148" s="45">
        <v>217999.97999999998</v>
      </c>
      <c r="U148" s="45">
        <v>314999.97000000003</v>
      </c>
      <c r="V148" s="45">
        <v>335129.96999999997</v>
      </c>
      <c r="W148" s="45">
        <v>467129.95999999996</v>
      </c>
      <c r="X148" s="45">
        <v>493129.96</v>
      </c>
      <c r="Y148" s="45">
        <v>684129.96</v>
      </c>
      <c r="Z148" s="45">
        <v>725428.23</v>
      </c>
      <c r="AA148" s="45">
        <v>835773.05</v>
      </c>
      <c r="AB148" s="45">
        <v>835773.05</v>
      </c>
      <c r="AC148" s="45">
        <v>1097898.05</v>
      </c>
      <c r="AD148" s="45">
        <v>90080.89</v>
      </c>
      <c r="AE148" s="45">
        <v>141970.89000000001</v>
      </c>
      <c r="AF148" s="45">
        <v>281502.43</v>
      </c>
      <c r="AG148" s="45">
        <v>1115636.9099999999</v>
      </c>
      <c r="AH148" s="45"/>
      <c r="AI148" s="45"/>
      <c r="AJ148" s="45"/>
      <c r="AK148" s="45"/>
      <c r="AL148" s="45"/>
      <c r="AM148" s="45"/>
      <c r="AN148" s="45"/>
      <c r="AO148" s="45"/>
    </row>
    <row r="149" spans="2:41" outlineLevel="1" x14ac:dyDescent="0.35">
      <c r="B149" s="27" t="s">
        <v>1242</v>
      </c>
      <c r="C149" s="27" t="s">
        <v>51</v>
      </c>
      <c r="D149" s="27" t="s">
        <v>1821</v>
      </c>
      <c r="E149" s="27" t="s">
        <v>51</v>
      </c>
      <c r="F149" s="27" t="s">
        <v>512</v>
      </c>
      <c r="G149" s="27" t="s">
        <v>1498</v>
      </c>
      <c r="H149" s="27" t="s">
        <v>447</v>
      </c>
      <c r="I149" s="27" t="s">
        <v>440</v>
      </c>
      <c r="J149" s="27" t="s">
        <v>448</v>
      </c>
      <c r="K149" s="27" t="s">
        <v>491</v>
      </c>
      <c r="L149" s="27" t="s">
        <v>537</v>
      </c>
      <c r="M149" s="27" t="s">
        <v>537</v>
      </c>
      <c r="N149" s="27" t="s">
        <v>537</v>
      </c>
      <c r="O149" s="27" t="s">
        <v>491</v>
      </c>
      <c r="P149" s="27" t="s">
        <v>491</v>
      </c>
      <c r="Q149" s="27" t="s">
        <v>372</v>
      </c>
      <c r="R149" s="45">
        <v>0</v>
      </c>
      <c r="S149" s="45">
        <v>189392.73</v>
      </c>
      <c r="T149" s="45">
        <v>331686.09999999998</v>
      </c>
      <c r="U149" s="45">
        <v>488916.08999999997</v>
      </c>
      <c r="V149" s="45">
        <v>658156.08000000007</v>
      </c>
      <c r="W149" s="45">
        <v>780906.55999999994</v>
      </c>
      <c r="X149" s="45">
        <v>879374.66</v>
      </c>
      <c r="Y149" s="45">
        <v>987883.36</v>
      </c>
      <c r="Z149" s="45">
        <v>1102319.05</v>
      </c>
      <c r="AA149" s="45">
        <v>1216960.2</v>
      </c>
      <c r="AB149" s="45">
        <v>1323451.99</v>
      </c>
      <c r="AC149" s="45">
        <v>1452090.91</v>
      </c>
      <c r="AD149" s="45">
        <v>114218.14</v>
      </c>
      <c r="AE149" s="45">
        <v>242216.05</v>
      </c>
      <c r="AF149" s="45">
        <v>406736.8</v>
      </c>
      <c r="AG149" s="45">
        <v>567880.13</v>
      </c>
      <c r="AH149" s="45"/>
      <c r="AI149" s="45"/>
      <c r="AJ149" s="45"/>
      <c r="AK149" s="45"/>
      <c r="AL149" s="45"/>
      <c r="AM149" s="45"/>
      <c r="AN149" s="45"/>
      <c r="AO149" s="45"/>
    </row>
    <row r="150" spans="2:41" outlineLevel="1" x14ac:dyDescent="0.35">
      <c r="B150" s="27" t="s">
        <v>1243</v>
      </c>
      <c r="C150" s="27" t="s">
        <v>51</v>
      </c>
      <c r="D150" s="27" t="s">
        <v>1822</v>
      </c>
      <c r="E150" s="27" t="s">
        <v>51</v>
      </c>
      <c r="F150" s="27" t="s">
        <v>501</v>
      </c>
      <c r="G150" s="27" t="s">
        <v>1499</v>
      </c>
      <c r="H150" s="27" t="s">
        <v>447</v>
      </c>
      <c r="I150" s="27" t="s">
        <v>440</v>
      </c>
      <c r="J150" s="27" t="s">
        <v>448</v>
      </c>
      <c r="K150" s="27" t="s">
        <v>476</v>
      </c>
      <c r="L150" s="27" t="s">
        <v>502</v>
      </c>
      <c r="M150" s="27" t="s">
        <v>502</v>
      </c>
      <c r="N150" s="27" t="s">
        <v>502</v>
      </c>
      <c r="O150" s="27" t="s">
        <v>480</v>
      </c>
      <c r="P150" s="27" t="s">
        <v>480</v>
      </c>
      <c r="Q150" s="27" t="s">
        <v>372</v>
      </c>
      <c r="R150" s="45">
        <v>11583.849999999999</v>
      </c>
      <c r="S150" s="45">
        <v>11583.689999999999</v>
      </c>
      <c r="T150" s="45">
        <v>11583.349999999999</v>
      </c>
      <c r="U150" s="45">
        <v>-0.30000000000000004</v>
      </c>
      <c r="V150" s="45">
        <v>10276.02</v>
      </c>
      <c r="W150" s="45">
        <v>62276.95</v>
      </c>
      <c r="X150" s="45">
        <v>62277.41</v>
      </c>
      <c r="Y150" s="45">
        <v>62278.5</v>
      </c>
      <c r="Z150" s="45">
        <v>292089.94</v>
      </c>
      <c r="AA150" s="45">
        <v>292090.87</v>
      </c>
      <c r="AB150" s="45">
        <v>654566.22000000009</v>
      </c>
      <c r="AC150" s="45">
        <v>1515356.3</v>
      </c>
      <c r="AD150" s="45">
        <v>0</v>
      </c>
      <c r="AE150" s="45">
        <v>0</v>
      </c>
      <c r="AF150" s="45">
        <v>443595.67</v>
      </c>
      <c r="AG150" s="45">
        <v>692168</v>
      </c>
      <c r="AH150" s="45"/>
      <c r="AI150" s="45"/>
      <c r="AJ150" s="45"/>
      <c r="AK150" s="45"/>
      <c r="AL150" s="45"/>
      <c r="AM150" s="45"/>
      <c r="AN150" s="45"/>
      <c r="AO150" s="45"/>
    </row>
    <row r="151" spans="2:41" outlineLevel="1" x14ac:dyDescent="0.35">
      <c r="B151" s="27" t="s">
        <v>1244</v>
      </c>
      <c r="C151" s="27" t="s">
        <v>51</v>
      </c>
      <c r="D151" s="27" t="s">
        <v>1823</v>
      </c>
      <c r="E151" s="27" t="s">
        <v>51</v>
      </c>
      <c r="F151" s="27" t="s">
        <v>501</v>
      </c>
      <c r="G151" s="27" t="s">
        <v>1500</v>
      </c>
      <c r="H151" s="27" t="s">
        <v>447</v>
      </c>
      <c r="I151" s="27" t="s">
        <v>440</v>
      </c>
      <c r="J151" s="27" t="s">
        <v>448</v>
      </c>
      <c r="K151" s="27" t="s">
        <v>492</v>
      </c>
      <c r="L151" s="27" t="s">
        <v>492</v>
      </c>
      <c r="M151" s="27" t="s">
        <v>502</v>
      </c>
      <c r="N151" s="27" t="s">
        <v>502</v>
      </c>
      <c r="O151" s="27" t="s">
        <v>480</v>
      </c>
      <c r="P151" s="27" t="s">
        <v>480</v>
      </c>
      <c r="Q151" s="27" t="s">
        <v>372</v>
      </c>
      <c r="R151" s="45">
        <v>0</v>
      </c>
      <c r="S151" s="45">
        <v>0</v>
      </c>
      <c r="T151" s="45">
        <v>517.24</v>
      </c>
      <c r="U151" s="45">
        <v>517.24</v>
      </c>
      <c r="V151" s="45">
        <v>517.24</v>
      </c>
      <c r="W151" s="45">
        <v>517.24</v>
      </c>
      <c r="X151" s="45">
        <v>1086.21</v>
      </c>
      <c r="Y151" s="45">
        <v>2413.8000000000002</v>
      </c>
      <c r="Z151" s="45">
        <v>2413.8000000000002</v>
      </c>
      <c r="AA151" s="45">
        <v>2793.11</v>
      </c>
      <c r="AB151" s="45">
        <v>2793.11</v>
      </c>
      <c r="AC151" s="45">
        <v>3362.08</v>
      </c>
      <c r="AD151" s="45">
        <v>0</v>
      </c>
      <c r="AE151" s="45">
        <v>3793.1</v>
      </c>
      <c r="AF151" s="45">
        <v>9510.3499999999985</v>
      </c>
      <c r="AG151" s="45">
        <v>9510.35</v>
      </c>
      <c r="AH151" s="45"/>
      <c r="AI151" s="45"/>
      <c r="AJ151" s="45"/>
      <c r="AK151" s="45"/>
      <c r="AL151" s="45"/>
      <c r="AM151" s="45"/>
      <c r="AN151" s="45"/>
      <c r="AO151" s="45"/>
    </row>
    <row r="152" spans="2:41" outlineLevel="1" x14ac:dyDescent="0.35">
      <c r="B152" s="27" t="s">
        <v>1245</v>
      </c>
      <c r="C152" s="27" t="s">
        <v>51</v>
      </c>
      <c r="D152" s="27" t="s">
        <v>1824</v>
      </c>
      <c r="E152" s="27" t="s">
        <v>51</v>
      </c>
      <c r="F152" s="27" t="s">
        <v>512</v>
      </c>
      <c r="G152" s="27" t="s">
        <v>1501</v>
      </c>
      <c r="H152" s="27" t="s">
        <v>447</v>
      </c>
      <c r="I152" s="27" t="s">
        <v>440</v>
      </c>
      <c r="J152" s="27" t="s">
        <v>448</v>
      </c>
      <c r="K152" s="27" t="s">
        <v>491</v>
      </c>
      <c r="L152" s="27" t="s">
        <v>538</v>
      </c>
      <c r="M152" s="27" t="s">
        <v>538</v>
      </c>
      <c r="N152" s="27" t="s">
        <v>538</v>
      </c>
      <c r="O152" s="27" t="s">
        <v>491</v>
      </c>
      <c r="P152" s="27" t="s">
        <v>491</v>
      </c>
      <c r="Q152" s="27" t="s">
        <v>372</v>
      </c>
      <c r="R152" s="45">
        <v>85257.15</v>
      </c>
      <c r="S152" s="45">
        <v>404422</v>
      </c>
      <c r="T152" s="45">
        <v>705106.21</v>
      </c>
      <c r="U152" s="45">
        <v>889346.05999999994</v>
      </c>
      <c r="V152" s="45">
        <v>1122039.08</v>
      </c>
      <c r="W152" s="45">
        <v>1436977.4500000002</v>
      </c>
      <c r="X152" s="45">
        <v>1775186.19</v>
      </c>
      <c r="Y152" s="45">
        <v>2140759.16</v>
      </c>
      <c r="Z152" s="45">
        <v>2491136.14</v>
      </c>
      <c r="AA152" s="45">
        <v>2900467.11</v>
      </c>
      <c r="AB152" s="45">
        <v>3306993.42</v>
      </c>
      <c r="AC152" s="45">
        <v>3734065.71</v>
      </c>
      <c r="AD152" s="45">
        <v>411750.78</v>
      </c>
      <c r="AE152" s="45">
        <v>869500.96</v>
      </c>
      <c r="AF152" s="45">
        <v>1712931.39</v>
      </c>
      <c r="AG152" s="45">
        <v>2678745.23</v>
      </c>
      <c r="AH152" s="45"/>
      <c r="AI152" s="45"/>
      <c r="AJ152" s="45"/>
      <c r="AK152" s="45"/>
      <c r="AL152" s="45"/>
      <c r="AM152" s="45"/>
      <c r="AN152" s="45"/>
      <c r="AO152" s="45"/>
    </row>
    <row r="153" spans="2:41" outlineLevel="1" x14ac:dyDescent="0.35">
      <c r="B153" s="27" t="s">
        <v>1246</v>
      </c>
      <c r="C153" s="27" t="s">
        <v>51</v>
      </c>
      <c r="D153" s="27" t="s">
        <v>1825</v>
      </c>
      <c r="E153" s="27" t="s">
        <v>51</v>
      </c>
      <c r="F153" s="27" t="s">
        <v>539</v>
      </c>
      <c r="G153" s="27" t="s">
        <v>1502</v>
      </c>
      <c r="H153" s="27" t="s">
        <v>447</v>
      </c>
      <c r="I153" s="27" t="s">
        <v>440</v>
      </c>
      <c r="J153" s="27" t="s">
        <v>448</v>
      </c>
      <c r="K153" s="27" t="s">
        <v>476</v>
      </c>
      <c r="L153" s="27" t="s">
        <v>540</v>
      </c>
      <c r="M153" s="27" t="s">
        <v>540</v>
      </c>
      <c r="N153" s="27" t="s">
        <v>541</v>
      </c>
      <c r="O153" s="27" t="s">
        <v>480</v>
      </c>
      <c r="P153" s="27" t="s">
        <v>480</v>
      </c>
      <c r="Q153" s="27" t="s">
        <v>372</v>
      </c>
      <c r="R153" s="45">
        <v>746652.92</v>
      </c>
      <c r="S153" s="45">
        <v>1590698.84</v>
      </c>
      <c r="T153" s="45">
        <v>2478322.85</v>
      </c>
      <c r="U153" s="45">
        <v>3402371.89</v>
      </c>
      <c r="V153" s="45">
        <v>4338573.82</v>
      </c>
      <c r="W153" s="45">
        <v>5219079.26</v>
      </c>
      <c r="X153" s="45">
        <v>6109917.2000000002</v>
      </c>
      <c r="Y153" s="45">
        <v>6866736.9699999997</v>
      </c>
      <c r="Z153" s="45">
        <v>7767648.5499999998</v>
      </c>
      <c r="AA153" s="45">
        <v>8750638.1799999997</v>
      </c>
      <c r="AB153" s="45">
        <v>9846517.8900000006</v>
      </c>
      <c r="AC153" s="45">
        <v>11134184.109999999</v>
      </c>
      <c r="AD153" s="45">
        <v>1365560.16</v>
      </c>
      <c r="AE153" s="45">
        <v>2809663.2</v>
      </c>
      <c r="AF153" s="45">
        <v>4222524.71</v>
      </c>
      <c r="AG153" s="45">
        <v>5920250.5199999996</v>
      </c>
      <c r="AH153" s="45"/>
      <c r="AI153" s="45"/>
      <c r="AJ153" s="45"/>
      <c r="AK153" s="45"/>
      <c r="AL153" s="45"/>
      <c r="AM153" s="45"/>
      <c r="AN153" s="45"/>
      <c r="AO153" s="45"/>
    </row>
    <row r="154" spans="2:41" outlineLevel="1" x14ac:dyDescent="0.35">
      <c r="B154" s="27" t="s">
        <v>1247</v>
      </c>
      <c r="C154" s="27" t="s">
        <v>51</v>
      </c>
      <c r="D154" s="27" t="s">
        <v>1826</v>
      </c>
      <c r="E154" s="27" t="s">
        <v>51</v>
      </c>
      <c r="F154" s="27" t="s">
        <v>539</v>
      </c>
      <c r="G154" s="27" t="s">
        <v>1506</v>
      </c>
      <c r="H154" s="27" t="s">
        <v>447</v>
      </c>
      <c r="I154" s="27" t="s">
        <v>440</v>
      </c>
      <c r="J154" s="27" t="s">
        <v>448</v>
      </c>
      <c r="K154" s="27" t="s">
        <v>476</v>
      </c>
      <c r="L154" s="27" t="s">
        <v>542</v>
      </c>
      <c r="M154" s="27" t="s">
        <v>542</v>
      </c>
      <c r="N154" s="27" t="s">
        <v>541</v>
      </c>
      <c r="O154" s="27" t="s">
        <v>480</v>
      </c>
      <c r="P154" s="27" t="s">
        <v>480</v>
      </c>
      <c r="Q154" s="27" t="s">
        <v>372</v>
      </c>
      <c r="R154" s="45">
        <v>50121.83</v>
      </c>
      <c r="S154" s="45">
        <v>107261.74</v>
      </c>
      <c r="T154" s="45">
        <v>201232.45</v>
      </c>
      <c r="U154" s="45">
        <v>261157.83000000002</v>
      </c>
      <c r="V154" s="45">
        <v>382802.94</v>
      </c>
      <c r="W154" s="45">
        <v>452629.51</v>
      </c>
      <c r="X154" s="45">
        <v>515115.07</v>
      </c>
      <c r="Y154" s="45">
        <v>596353.09</v>
      </c>
      <c r="Z154" s="45">
        <v>670072.41</v>
      </c>
      <c r="AA154" s="45">
        <v>743849.06</v>
      </c>
      <c r="AB154" s="45">
        <v>829377.92</v>
      </c>
      <c r="AC154" s="45">
        <v>1013309.3200000001</v>
      </c>
      <c r="AD154" s="45">
        <v>125700.86</v>
      </c>
      <c r="AE154" s="45">
        <v>240671.35999999999</v>
      </c>
      <c r="AF154" s="45">
        <v>363227.72</v>
      </c>
      <c r="AG154" s="45">
        <v>435563.26</v>
      </c>
      <c r="AH154" s="45"/>
      <c r="AI154" s="45"/>
      <c r="AJ154" s="45"/>
      <c r="AK154" s="45"/>
      <c r="AL154" s="45"/>
      <c r="AM154" s="45"/>
      <c r="AN154" s="45"/>
      <c r="AO154" s="45"/>
    </row>
    <row r="155" spans="2:41" outlineLevel="1" x14ac:dyDescent="0.35">
      <c r="B155" s="27" t="s">
        <v>1248</v>
      </c>
      <c r="C155" s="27" t="s">
        <v>51</v>
      </c>
      <c r="D155" s="27" t="s">
        <v>1827</v>
      </c>
      <c r="E155" s="27" t="s">
        <v>51</v>
      </c>
      <c r="F155" s="27" t="s">
        <v>539</v>
      </c>
      <c r="G155" s="27" t="s">
        <v>1504</v>
      </c>
      <c r="H155" s="27" t="s">
        <v>447</v>
      </c>
      <c r="I155" s="27" t="s">
        <v>440</v>
      </c>
      <c r="J155" s="27" t="s">
        <v>448</v>
      </c>
      <c r="K155" s="27" t="s">
        <v>476</v>
      </c>
      <c r="L155" s="27" t="s">
        <v>542</v>
      </c>
      <c r="M155" s="27" t="s">
        <v>542</v>
      </c>
      <c r="N155" s="27" t="s">
        <v>541</v>
      </c>
      <c r="O155" s="27" t="s">
        <v>480</v>
      </c>
      <c r="P155" s="27" t="s">
        <v>480</v>
      </c>
      <c r="Q155" s="27" t="s">
        <v>372</v>
      </c>
      <c r="R155" s="45">
        <v>39565.21</v>
      </c>
      <c r="S155" s="45">
        <v>47565.57</v>
      </c>
      <c r="T155" s="45">
        <v>24358.18</v>
      </c>
      <c r="U155" s="45">
        <v>33316.65</v>
      </c>
      <c r="V155" s="45">
        <v>64707.270000000004</v>
      </c>
      <c r="W155" s="45">
        <v>75072.289999999994</v>
      </c>
      <c r="X155" s="45">
        <v>84140.14</v>
      </c>
      <c r="Y155" s="45">
        <v>91919.86</v>
      </c>
      <c r="Z155" s="45">
        <v>104268.81</v>
      </c>
      <c r="AA155" s="45">
        <v>89880.44</v>
      </c>
      <c r="AB155" s="45">
        <v>101131.75</v>
      </c>
      <c r="AC155" s="45">
        <v>112429</v>
      </c>
      <c r="AD155" s="45">
        <v>14128.41</v>
      </c>
      <c r="AE155" s="45">
        <v>28442.59</v>
      </c>
      <c r="AF155" s="45">
        <v>43918.54</v>
      </c>
      <c r="AG155" s="45">
        <v>60346.3</v>
      </c>
      <c r="AH155" s="45"/>
      <c r="AI155" s="45"/>
      <c r="AJ155" s="45"/>
      <c r="AK155" s="45"/>
      <c r="AL155" s="45"/>
      <c r="AM155" s="45"/>
      <c r="AN155" s="45"/>
      <c r="AO155" s="45"/>
    </row>
    <row r="156" spans="2:41" outlineLevel="1" x14ac:dyDescent="0.35">
      <c r="B156" s="27" t="s">
        <v>1249</v>
      </c>
      <c r="C156" s="27" t="s">
        <v>51</v>
      </c>
      <c r="D156" s="27" t="s">
        <v>1828</v>
      </c>
      <c r="E156" s="27" t="s">
        <v>51</v>
      </c>
      <c r="F156" s="27" t="s">
        <v>539</v>
      </c>
      <c r="G156" s="27" t="s">
        <v>1505</v>
      </c>
      <c r="H156" s="27" t="s">
        <v>447</v>
      </c>
      <c r="I156" s="27" t="s">
        <v>440</v>
      </c>
      <c r="J156" s="27" t="s">
        <v>448</v>
      </c>
      <c r="K156" s="27" t="s">
        <v>476</v>
      </c>
      <c r="L156" s="27" t="s">
        <v>542</v>
      </c>
      <c r="M156" s="27" t="s">
        <v>542</v>
      </c>
      <c r="N156" s="27" t="s">
        <v>541</v>
      </c>
      <c r="O156" s="27" t="s">
        <v>480</v>
      </c>
      <c r="P156" s="27" t="s">
        <v>480</v>
      </c>
      <c r="Q156" s="27" t="s">
        <v>372</v>
      </c>
      <c r="R156" s="45">
        <v>673</v>
      </c>
      <c r="S156" s="45">
        <v>2031.66</v>
      </c>
      <c r="T156" s="45">
        <v>3047.4900000000002</v>
      </c>
      <c r="U156" s="45">
        <v>4063.3199999999997</v>
      </c>
      <c r="V156" s="45">
        <v>5079.1500000000005</v>
      </c>
      <c r="W156" s="45">
        <v>7110.8099999999995</v>
      </c>
      <c r="X156" s="45">
        <v>9142.4699999999993</v>
      </c>
      <c r="Y156" s="45">
        <v>11174.13</v>
      </c>
      <c r="Z156" s="45">
        <v>13205.789999999999</v>
      </c>
      <c r="AA156" s="45">
        <v>13205.79</v>
      </c>
      <c r="AB156" s="45">
        <v>15237.45</v>
      </c>
      <c r="AC156" s="45">
        <v>72276.33</v>
      </c>
      <c r="AD156" s="45">
        <v>4884.58</v>
      </c>
      <c r="AE156" s="45">
        <v>9769.16</v>
      </c>
      <c r="AF156" s="45">
        <v>16476.689999999999</v>
      </c>
      <c r="AG156" s="45">
        <v>21361.27</v>
      </c>
      <c r="AH156" s="45"/>
      <c r="AI156" s="45"/>
      <c r="AJ156" s="45"/>
      <c r="AK156" s="45"/>
      <c r="AL156" s="45"/>
      <c r="AM156" s="45"/>
      <c r="AN156" s="45"/>
      <c r="AO156" s="45"/>
    </row>
    <row r="157" spans="2:41" outlineLevel="1" x14ac:dyDescent="0.35">
      <c r="B157" s="27" t="s">
        <v>1250</v>
      </c>
      <c r="C157" s="27" t="s">
        <v>51</v>
      </c>
      <c r="D157" s="27" t="s">
        <v>1829</v>
      </c>
      <c r="E157" s="27" t="s">
        <v>51</v>
      </c>
      <c r="F157" s="27" t="s">
        <v>539</v>
      </c>
      <c r="G157" s="27" t="s">
        <v>1507</v>
      </c>
      <c r="H157" s="27" t="s">
        <v>447</v>
      </c>
      <c r="I157" s="27" t="s">
        <v>440</v>
      </c>
      <c r="J157" s="27" t="s">
        <v>448</v>
      </c>
      <c r="K157" s="27" t="s">
        <v>476</v>
      </c>
      <c r="L157" s="27" t="s">
        <v>543</v>
      </c>
      <c r="M157" s="27" t="s">
        <v>543</v>
      </c>
      <c r="N157" s="27" t="s">
        <v>478</v>
      </c>
      <c r="O157" s="27" t="s">
        <v>480</v>
      </c>
      <c r="P157" s="27" t="s">
        <v>480</v>
      </c>
      <c r="Q157" s="27" t="s">
        <v>372</v>
      </c>
      <c r="R157" s="45">
        <v>3029</v>
      </c>
      <c r="S157" s="45">
        <v>10654</v>
      </c>
      <c r="T157" s="45">
        <v>15981</v>
      </c>
      <c r="U157" s="45">
        <v>21308</v>
      </c>
      <c r="V157" s="45">
        <v>258114.1</v>
      </c>
      <c r="W157" s="45">
        <v>268768.09999999998</v>
      </c>
      <c r="X157" s="45">
        <v>279422.09999999998</v>
      </c>
      <c r="Y157" s="45">
        <v>290076.09999999998</v>
      </c>
      <c r="Z157" s="45">
        <v>300730.09999999998</v>
      </c>
      <c r="AA157" s="45">
        <v>261023</v>
      </c>
      <c r="AB157" s="45">
        <v>271677</v>
      </c>
      <c r="AC157" s="45">
        <v>855453.1</v>
      </c>
      <c r="AD157" s="45">
        <v>16539.419999999998</v>
      </c>
      <c r="AE157" s="45">
        <v>33078.839999999997</v>
      </c>
      <c r="AF157" s="45">
        <v>49618.26</v>
      </c>
      <c r="AG157" s="45">
        <v>66157.679999999993</v>
      </c>
      <c r="AH157" s="45"/>
      <c r="AI157" s="45"/>
      <c r="AJ157" s="45"/>
      <c r="AK157" s="45"/>
      <c r="AL157" s="45"/>
      <c r="AM157" s="45"/>
      <c r="AN157" s="45"/>
      <c r="AO157" s="45"/>
    </row>
    <row r="158" spans="2:41" outlineLevel="1" x14ac:dyDescent="0.35">
      <c r="B158" s="27" t="s">
        <v>1251</v>
      </c>
      <c r="C158" s="27" t="s">
        <v>51</v>
      </c>
      <c r="D158" s="27" t="s">
        <v>1830</v>
      </c>
      <c r="E158" s="27" t="s">
        <v>51</v>
      </c>
      <c r="F158" s="27" t="s">
        <v>539</v>
      </c>
      <c r="G158" s="27" t="s">
        <v>1508</v>
      </c>
      <c r="H158" s="27" t="s">
        <v>447</v>
      </c>
      <c r="I158" s="27" t="s">
        <v>440</v>
      </c>
      <c r="J158" s="27" t="s">
        <v>448</v>
      </c>
      <c r="K158" s="27" t="s">
        <v>476</v>
      </c>
      <c r="L158" s="27" t="s">
        <v>477</v>
      </c>
      <c r="M158" s="27" t="s">
        <v>477</v>
      </c>
      <c r="N158" s="27" t="s">
        <v>478</v>
      </c>
      <c r="O158" s="27" t="s">
        <v>480</v>
      </c>
      <c r="P158" s="27" t="s">
        <v>480</v>
      </c>
      <c r="Q158" s="27" t="s">
        <v>372</v>
      </c>
      <c r="R158" s="45">
        <v>73278</v>
      </c>
      <c r="S158" s="45">
        <v>146556</v>
      </c>
      <c r="T158" s="45">
        <v>219834</v>
      </c>
      <c r="U158" s="45">
        <v>293112</v>
      </c>
      <c r="V158" s="45">
        <v>366390</v>
      </c>
      <c r="W158" s="45">
        <v>439668</v>
      </c>
      <c r="X158" s="45">
        <v>512945.95635965798</v>
      </c>
      <c r="Y158" s="45">
        <v>586224</v>
      </c>
      <c r="Z158" s="45">
        <v>659502</v>
      </c>
      <c r="AA158" s="45">
        <v>732779.90544741298</v>
      </c>
      <c r="AB158" s="45">
        <v>806058</v>
      </c>
      <c r="AC158" s="45">
        <v>879335.871505577</v>
      </c>
      <c r="AD158" s="45">
        <v>203268.63666666701</v>
      </c>
      <c r="AE158" s="45">
        <v>406537.27333333303</v>
      </c>
      <c r="AF158" s="45">
        <v>609805.91</v>
      </c>
      <c r="AG158" s="45">
        <v>813074.54666666698</v>
      </c>
      <c r="AH158" s="45"/>
      <c r="AI158" s="45"/>
      <c r="AJ158" s="45"/>
      <c r="AK158" s="45"/>
      <c r="AL158" s="45"/>
      <c r="AM158" s="45"/>
      <c r="AN158" s="45"/>
      <c r="AO158" s="45"/>
    </row>
    <row r="159" spans="2:41" outlineLevel="1" x14ac:dyDescent="0.35">
      <c r="B159" s="27" t="s">
        <v>1252</v>
      </c>
      <c r="C159" s="27" t="s">
        <v>51</v>
      </c>
      <c r="D159" s="27" t="s">
        <v>1831</v>
      </c>
      <c r="E159" s="27" t="s">
        <v>51</v>
      </c>
      <c r="F159" s="27" t="s">
        <v>539</v>
      </c>
      <c r="G159" s="27" t="s">
        <v>1509</v>
      </c>
      <c r="H159" s="27" t="s">
        <v>447</v>
      </c>
      <c r="I159" s="27" t="s">
        <v>440</v>
      </c>
      <c r="J159" s="27" t="s">
        <v>448</v>
      </c>
      <c r="K159" s="27" t="s">
        <v>476</v>
      </c>
      <c r="L159" s="27" t="s">
        <v>542</v>
      </c>
      <c r="M159" s="27" t="s">
        <v>542</v>
      </c>
      <c r="N159" s="27" t="s">
        <v>478</v>
      </c>
      <c r="O159" s="27" t="s">
        <v>480</v>
      </c>
      <c r="P159" s="27" t="s">
        <v>480</v>
      </c>
      <c r="Q159" s="27" t="s">
        <v>372</v>
      </c>
      <c r="R159" s="45">
        <v>59095.98</v>
      </c>
      <c r="S159" s="45">
        <v>118628.82</v>
      </c>
      <c r="T159" s="45">
        <v>185515.51</v>
      </c>
      <c r="U159" s="45">
        <v>253030.94</v>
      </c>
      <c r="V159" s="45">
        <v>321778.76</v>
      </c>
      <c r="W159" s="45">
        <v>386197.86</v>
      </c>
      <c r="X159" s="45">
        <v>455599.98</v>
      </c>
      <c r="Y159" s="45">
        <v>501569.17</v>
      </c>
      <c r="Z159" s="45">
        <v>557174.94999999995</v>
      </c>
      <c r="AA159" s="45">
        <v>615990.77</v>
      </c>
      <c r="AB159" s="45">
        <v>682052.77</v>
      </c>
      <c r="AC159" s="45">
        <v>745102.59</v>
      </c>
      <c r="AD159" s="45">
        <v>87710.49</v>
      </c>
      <c r="AE159" s="45">
        <v>175421.03</v>
      </c>
      <c r="AF159" s="45">
        <v>240207.92</v>
      </c>
      <c r="AG159" s="45">
        <v>339047.24</v>
      </c>
      <c r="AH159" s="45"/>
      <c r="AI159" s="45"/>
      <c r="AJ159" s="45"/>
      <c r="AK159" s="45"/>
      <c r="AL159" s="45"/>
      <c r="AM159" s="45"/>
      <c r="AN159" s="45"/>
      <c r="AO159" s="45"/>
    </row>
    <row r="160" spans="2:41" outlineLevel="1" x14ac:dyDescent="0.35">
      <c r="B160" s="27" t="s">
        <v>1253</v>
      </c>
      <c r="C160" s="27" t="s">
        <v>51</v>
      </c>
      <c r="D160" s="27" t="s">
        <v>1832</v>
      </c>
      <c r="E160" s="27" t="s">
        <v>51</v>
      </c>
      <c r="F160" s="27" t="s">
        <v>539</v>
      </c>
      <c r="G160" s="27" t="s">
        <v>1510</v>
      </c>
      <c r="H160" s="27" t="s">
        <v>447</v>
      </c>
      <c r="I160" s="27" t="s">
        <v>440</v>
      </c>
      <c r="J160" s="27" t="s">
        <v>448</v>
      </c>
      <c r="K160" s="27" t="s">
        <v>476</v>
      </c>
      <c r="L160" s="27" t="s">
        <v>542</v>
      </c>
      <c r="M160" s="27" t="s">
        <v>542</v>
      </c>
      <c r="N160" s="27" t="s">
        <v>478</v>
      </c>
      <c r="O160" s="27" t="s">
        <v>480</v>
      </c>
      <c r="P160" s="27" t="s">
        <v>480</v>
      </c>
      <c r="Q160" s="27" t="s">
        <v>372</v>
      </c>
      <c r="R160" s="45">
        <v>31156.52</v>
      </c>
      <c r="S160" s="45">
        <v>62382.15</v>
      </c>
      <c r="T160" s="45">
        <v>100634.87</v>
      </c>
      <c r="U160" s="45">
        <v>138854.29999999999</v>
      </c>
      <c r="V160" s="45">
        <v>177763.27</v>
      </c>
      <c r="W160" s="45">
        <v>212861.4</v>
      </c>
      <c r="X160" s="45">
        <v>250767.14</v>
      </c>
      <c r="Y160" s="45">
        <v>276829.42</v>
      </c>
      <c r="Z160" s="45">
        <v>307177.86</v>
      </c>
      <c r="AA160" s="45">
        <v>339378.73</v>
      </c>
      <c r="AB160" s="45">
        <v>376348.34</v>
      </c>
      <c r="AC160" s="45">
        <v>429665.57</v>
      </c>
      <c r="AD160" s="45">
        <v>54314.68</v>
      </c>
      <c r="AE160" s="45">
        <v>108292.03</v>
      </c>
      <c r="AF160" s="45">
        <v>87872.82</v>
      </c>
      <c r="AG160" s="45">
        <v>154669.24</v>
      </c>
      <c r="AH160" s="45"/>
      <c r="AI160" s="45"/>
      <c r="AJ160" s="45"/>
      <c r="AK160" s="45"/>
      <c r="AL160" s="45"/>
      <c r="AM160" s="45"/>
      <c r="AN160" s="45"/>
      <c r="AO160" s="45"/>
    </row>
    <row r="161" spans="2:41" outlineLevel="1" x14ac:dyDescent="0.35">
      <c r="B161" s="27" t="s">
        <v>1254</v>
      </c>
      <c r="C161" s="27" t="s">
        <v>51</v>
      </c>
      <c r="D161" s="27" t="s">
        <v>1833</v>
      </c>
      <c r="E161" s="27" t="s">
        <v>51</v>
      </c>
      <c r="F161" s="27" t="s">
        <v>539</v>
      </c>
      <c r="G161" s="27" t="s">
        <v>1511</v>
      </c>
      <c r="H161" s="27" t="s">
        <v>447</v>
      </c>
      <c r="I161" s="27" t="s">
        <v>440</v>
      </c>
      <c r="J161" s="27" t="s">
        <v>448</v>
      </c>
      <c r="K161" s="27" t="s">
        <v>476</v>
      </c>
      <c r="L161" s="27" t="s">
        <v>542</v>
      </c>
      <c r="M161" s="27" t="s">
        <v>542</v>
      </c>
      <c r="N161" s="27" t="s">
        <v>541</v>
      </c>
      <c r="O161" s="27" t="s">
        <v>480</v>
      </c>
      <c r="P161" s="27" t="s">
        <v>480</v>
      </c>
      <c r="Q161" s="27" t="s">
        <v>372</v>
      </c>
      <c r="R161" s="45">
        <v>55104.869999999995</v>
      </c>
      <c r="S161" s="45">
        <v>107409.39000000001</v>
      </c>
      <c r="T161" s="45">
        <v>171421.46</v>
      </c>
      <c r="U161" s="45">
        <v>235244.34999999998</v>
      </c>
      <c r="V161" s="45">
        <v>300178.18000000005</v>
      </c>
      <c r="W161" s="45">
        <v>358283.45999999996</v>
      </c>
      <c r="X161" s="45">
        <v>418095.71</v>
      </c>
      <c r="Y161" s="45">
        <v>466282.83999999997</v>
      </c>
      <c r="Z161" s="45">
        <v>517401.59999999998</v>
      </c>
      <c r="AA161" s="45">
        <v>576423.32000000007</v>
      </c>
      <c r="AB161" s="45">
        <v>638694.74</v>
      </c>
      <c r="AC161" s="45">
        <v>719392.54999999993</v>
      </c>
      <c r="AD161" s="45">
        <v>103339.01</v>
      </c>
      <c r="AE161" s="45">
        <v>206036.37</v>
      </c>
      <c r="AF161" s="45">
        <v>455111.89</v>
      </c>
      <c r="AG161" s="45">
        <v>592855.41</v>
      </c>
      <c r="AH161" s="45"/>
      <c r="AI161" s="45"/>
      <c r="AJ161" s="45"/>
      <c r="AK161" s="45"/>
      <c r="AL161" s="45"/>
      <c r="AM161" s="45"/>
      <c r="AN161" s="45"/>
      <c r="AO161" s="45"/>
    </row>
    <row r="162" spans="2:41" outlineLevel="1" x14ac:dyDescent="0.35">
      <c r="B162" s="27" t="s">
        <v>1255</v>
      </c>
      <c r="C162" s="27" t="s">
        <v>51</v>
      </c>
      <c r="D162" s="27" t="s">
        <v>1834</v>
      </c>
      <c r="E162" s="27" t="s">
        <v>51</v>
      </c>
      <c r="F162" s="27" t="s">
        <v>539</v>
      </c>
      <c r="G162" s="27" t="s">
        <v>1512</v>
      </c>
      <c r="H162" s="27" t="s">
        <v>447</v>
      </c>
      <c r="I162" s="27" t="s">
        <v>440</v>
      </c>
      <c r="J162" s="27" t="s">
        <v>448</v>
      </c>
      <c r="K162" s="27" t="s">
        <v>476</v>
      </c>
      <c r="L162" s="27" t="s">
        <v>540</v>
      </c>
      <c r="M162" s="27" t="s">
        <v>540</v>
      </c>
      <c r="N162" s="27" t="s">
        <v>541</v>
      </c>
      <c r="O162" s="27" t="s">
        <v>480</v>
      </c>
      <c r="P162" s="27" t="s">
        <v>480</v>
      </c>
      <c r="Q162" s="27" t="s">
        <v>372</v>
      </c>
      <c r="R162" s="45">
        <v>32497.27</v>
      </c>
      <c r="S162" s="45">
        <v>66909.55</v>
      </c>
      <c r="T162" s="45">
        <v>103952.04000000001</v>
      </c>
      <c r="U162" s="45">
        <v>141592.76</v>
      </c>
      <c r="V162" s="45">
        <v>200928.57</v>
      </c>
      <c r="W162" s="45">
        <v>237570.24</v>
      </c>
      <c r="X162" s="45">
        <v>236645.68</v>
      </c>
      <c r="Y162" s="45">
        <v>302604.58</v>
      </c>
      <c r="Z162" s="45">
        <v>339230.67000000004</v>
      </c>
      <c r="AA162" s="45">
        <v>382828.58</v>
      </c>
      <c r="AB162" s="45">
        <v>426903.8</v>
      </c>
      <c r="AC162" s="45">
        <v>431620.7</v>
      </c>
      <c r="AD162" s="45">
        <v>56032.67</v>
      </c>
      <c r="AE162" s="45">
        <v>130061.05</v>
      </c>
      <c r="AF162" s="45">
        <v>161845.51</v>
      </c>
      <c r="AG162" s="45">
        <v>232106.98</v>
      </c>
      <c r="AH162" s="45"/>
      <c r="AI162" s="45"/>
      <c r="AJ162" s="45"/>
      <c r="AK162" s="45"/>
      <c r="AL162" s="45"/>
      <c r="AM162" s="45"/>
      <c r="AN162" s="45"/>
      <c r="AO162" s="45"/>
    </row>
    <row r="163" spans="2:41" outlineLevel="1" x14ac:dyDescent="0.35">
      <c r="B163" s="27" t="s">
        <v>544</v>
      </c>
      <c r="C163" s="27" t="s">
        <v>51</v>
      </c>
      <c r="D163" s="27" t="s">
        <v>1513</v>
      </c>
      <c r="E163" s="27" t="s">
        <v>51</v>
      </c>
      <c r="F163" s="27" t="s">
        <v>501</v>
      </c>
      <c r="G163" s="27" t="s">
        <v>481</v>
      </c>
      <c r="H163" s="27" t="s">
        <v>447</v>
      </c>
      <c r="I163" s="27" t="s">
        <v>440</v>
      </c>
      <c r="J163" s="27" t="s">
        <v>448</v>
      </c>
      <c r="K163" s="27" t="s">
        <v>491</v>
      </c>
      <c r="L163" s="27" t="s">
        <v>492</v>
      </c>
      <c r="M163" s="27" t="s">
        <v>545</v>
      </c>
      <c r="N163" s="27" t="s">
        <v>494</v>
      </c>
      <c r="O163" s="27" t="s">
        <v>491</v>
      </c>
      <c r="P163" s="27" t="s">
        <v>480</v>
      </c>
      <c r="Q163" s="27" t="s">
        <v>372</v>
      </c>
      <c r="R163" s="45">
        <v>0</v>
      </c>
      <c r="S163" s="45">
        <v>0</v>
      </c>
      <c r="T163" s="45">
        <v>0</v>
      </c>
      <c r="U163" s="45">
        <v>0</v>
      </c>
      <c r="V163" s="45">
        <v>0</v>
      </c>
      <c r="W163" s="45">
        <v>0</v>
      </c>
      <c r="X163" s="45">
        <v>0</v>
      </c>
      <c r="Y163" s="45">
        <v>0</v>
      </c>
      <c r="Z163" s="45">
        <v>0</v>
      </c>
      <c r="AA163" s="45">
        <v>0</v>
      </c>
      <c r="AB163" s="45">
        <v>0</v>
      </c>
      <c r="AC163" s="45">
        <v>0</v>
      </c>
      <c r="AD163" s="45">
        <v>0</v>
      </c>
      <c r="AE163" s="45">
        <v>0</v>
      </c>
      <c r="AF163" s="45">
        <v>0</v>
      </c>
      <c r="AG163" s="45">
        <v>0</v>
      </c>
      <c r="AH163" s="45"/>
      <c r="AI163" s="45"/>
      <c r="AJ163" s="45"/>
      <c r="AK163" s="45"/>
      <c r="AL163" s="45"/>
      <c r="AM163" s="45"/>
      <c r="AN163" s="45"/>
      <c r="AO163" s="45"/>
    </row>
    <row r="164" spans="2:41" outlineLevel="1" x14ac:dyDescent="0.35">
      <c r="B164" s="27" t="s">
        <v>546</v>
      </c>
      <c r="C164" s="27" t="s">
        <v>51</v>
      </c>
      <c r="D164" s="27" t="s">
        <v>1514</v>
      </c>
      <c r="E164" s="27" t="s">
        <v>51</v>
      </c>
      <c r="F164" s="27" t="s">
        <v>501</v>
      </c>
      <c r="G164" s="27" t="s">
        <v>547</v>
      </c>
      <c r="H164" s="27" t="s">
        <v>447</v>
      </c>
      <c r="I164" s="27" t="s">
        <v>440</v>
      </c>
      <c r="J164" s="27" t="s">
        <v>448</v>
      </c>
      <c r="K164" s="27" t="s">
        <v>476</v>
      </c>
      <c r="L164" s="27" t="s">
        <v>503</v>
      </c>
      <c r="M164" s="27" t="s">
        <v>504</v>
      </c>
      <c r="N164" s="27" t="s">
        <v>505</v>
      </c>
      <c r="O164" s="27" t="s">
        <v>480</v>
      </c>
      <c r="P164" s="27" t="s">
        <v>480</v>
      </c>
      <c r="Q164" s="27" t="s">
        <v>372</v>
      </c>
      <c r="R164" s="45">
        <v>0</v>
      </c>
      <c r="S164" s="45">
        <v>0</v>
      </c>
      <c r="T164" s="45">
        <v>0</v>
      </c>
      <c r="U164" s="45">
        <v>0</v>
      </c>
      <c r="V164" s="45">
        <v>0</v>
      </c>
      <c r="W164" s="45">
        <v>0</v>
      </c>
      <c r="X164" s="45">
        <v>0</v>
      </c>
      <c r="Y164" s="45">
        <v>0</v>
      </c>
      <c r="Z164" s="45">
        <v>0</v>
      </c>
      <c r="AA164" s="45">
        <v>0</v>
      </c>
      <c r="AB164" s="45">
        <v>0</v>
      </c>
      <c r="AC164" s="45">
        <v>0</v>
      </c>
      <c r="AD164" s="45">
        <v>0</v>
      </c>
      <c r="AE164" s="45">
        <v>0</v>
      </c>
      <c r="AF164" s="45">
        <v>0</v>
      </c>
      <c r="AG164" s="45">
        <v>0</v>
      </c>
      <c r="AH164" s="45"/>
      <c r="AI164" s="45"/>
      <c r="AJ164" s="45"/>
      <c r="AK164" s="45"/>
      <c r="AL164" s="45"/>
      <c r="AM164" s="45"/>
      <c r="AN164" s="45"/>
      <c r="AO164" s="45"/>
    </row>
    <row r="165" spans="2:41" outlineLevel="1" x14ac:dyDescent="0.35">
      <c r="B165" s="27" t="s">
        <v>1256</v>
      </c>
      <c r="C165" s="27" t="s">
        <v>51</v>
      </c>
      <c r="D165" s="27" t="s">
        <v>1835</v>
      </c>
      <c r="E165" s="27" t="s">
        <v>51</v>
      </c>
      <c r="F165" s="27" t="s">
        <v>501</v>
      </c>
      <c r="G165" s="27" t="s">
        <v>1515</v>
      </c>
      <c r="H165" s="27" t="s">
        <v>447</v>
      </c>
      <c r="I165" s="27" t="s">
        <v>440</v>
      </c>
      <c r="J165" s="27" t="s">
        <v>448</v>
      </c>
      <c r="K165" s="27" t="s">
        <v>476</v>
      </c>
      <c r="L165" s="27" t="s">
        <v>1016</v>
      </c>
      <c r="M165" s="27" t="s">
        <v>1016</v>
      </c>
      <c r="N165" s="27" t="s">
        <v>1016</v>
      </c>
      <c r="O165" s="27" t="s">
        <v>480</v>
      </c>
      <c r="P165" s="27" t="s">
        <v>480</v>
      </c>
      <c r="Q165" s="27" t="s">
        <v>372</v>
      </c>
      <c r="R165" s="45">
        <v>-0.75</v>
      </c>
      <c r="S165" s="45">
        <v>15486.5</v>
      </c>
      <c r="T165" s="45">
        <v>23128.76</v>
      </c>
      <c r="U165" s="45">
        <v>104892.54000000001</v>
      </c>
      <c r="V165" s="45">
        <v>121159.81999999998</v>
      </c>
      <c r="W165" s="45">
        <v>127714.6</v>
      </c>
      <c r="X165" s="45">
        <v>157662.14000000001</v>
      </c>
      <c r="Y165" s="45">
        <v>222047.59</v>
      </c>
      <c r="Z165" s="45">
        <v>252863.34999999998</v>
      </c>
      <c r="AA165" s="45">
        <v>284157.41000000003</v>
      </c>
      <c r="AB165" s="45">
        <v>350140.99</v>
      </c>
      <c r="AC165" s="45">
        <v>431023.93</v>
      </c>
      <c r="AD165" s="45">
        <v>118062.27</v>
      </c>
      <c r="AE165" s="45">
        <v>194172.83000000002</v>
      </c>
      <c r="AF165" s="45">
        <v>255771.22000000003</v>
      </c>
      <c r="AG165" s="45">
        <v>514012.13</v>
      </c>
      <c r="AH165" s="45"/>
      <c r="AI165" s="45"/>
      <c r="AJ165" s="45"/>
      <c r="AK165" s="45"/>
      <c r="AL165" s="45"/>
      <c r="AM165" s="45"/>
      <c r="AN165" s="45"/>
      <c r="AO165" s="45"/>
    </row>
    <row r="166" spans="2:41" outlineLevel="1" x14ac:dyDescent="0.35">
      <c r="B166" s="27" t="s">
        <v>1257</v>
      </c>
      <c r="C166" s="27" t="s">
        <v>51</v>
      </c>
      <c r="D166" s="27" t="s">
        <v>1836</v>
      </c>
      <c r="E166" s="27" t="s">
        <v>51</v>
      </c>
      <c r="F166" s="27" t="s">
        <v>501</v>
      </c>
      <c r="G166" s="27" t="s">
        <v>1516</v>
      </c>
      <c r="H166" s="27" t="s">
        <v>447</v>
      </c>
      <c r="I166" s="27" t="s">
        <v>440</v>
      </c>
      <c r="J166" s="27" t="s">
        <v>448</v>
      </c>
      <c r="K166" s="27" t="s">
        <v>476</v>
      </c>
      <c r="L166" s="27" t="s">
        <v>548</v>
      </c>
      <c r="M166" s="27" t="s">
        <v>548</v>
      </c>
      <c r="N166" s="27" t="s">
        <v>548</v>
      </c>
      <c r="O166" s="27" t="s">
        <v>480</v>
      </c>
      <c r="P166" s="27" t="s">
        <v>480</v>
      </c>
      <c r="Q166" s="27" t="s">
        <v>372</v>
      </c>
      <c r="R166" s="45">
        <v>10340.570000000002</v>
      </c>
      <c r="S166" s="45">
        <v>57590.03</v>
      </c>
      <c r="T166" s="45">
        <v>119836.13</v>
      </c>
      <c r="U166" s="45">
        <v>144330.25</v>
      </c>
      <c r="V166" s="45">
        <v>194296.26</v>
      </c>
      <c r="W166" s="45">
        <v>233218.66999999998</v>
      </c>
      <c r="X166" s="45">
        <v>285240.25</v>
      </c>
      <c r="Y166" s="45">
        <v>329932.09999999998</v>
      </c>
      <c r="Z166" s="45">
        <v>367827.75</v>
      </c>
      <c r="AA166" s="45">
        <v>397201.62</v>
      </c>
      <c r="AB166" s="45">
        <v>463796.23</v>
      </c>
      <c r="AC166" s="45">
        <v>537732.12</v>
      </c>
      <c r="AD166" s="45">
        <v>20097.080000000002</v>
      </c>
      <c r="AE166" s="45">
        <v>103349.32999999999</v>
      </c>
      <c r="AF166" s="45">
        <v>188832.75999999998</v>
      </c>
      <c r="AG166" s="45">
        <v>230616</v>
      </c>
      <c r="AH166" s="45"/>
      <c r="AI166" s="45"/>
      <c r="AJ166" s="45"/>
      <c r="AK166" s="45"/>
      <c r="AL166" s="45"/>
      <c r="AM166" s="45"/>
      <c r="AN166" s="45"/>
      <c r="AO166" s="45"/>
    </row>
    <row r="167" spans="2:41" outlineLevel="1" x14ac:dyDescent="0.35">
      <c r="B167" s="27" t="s">
        <v>549</v>
      </c>
      <c r="C167" s="27" t="s">
        <v>51</v>
      </c>
      <c r="D167" s="27" t="s">
        <v>1517</v>
      </c>
      <c r="E167" s="27" t="s">
        <v>51</v>
      </c>
      <c r="F167" s="27" t="s">
        <v>512</v>
      </c>
      <c r="G167" s="27" t="s">
        <v>550</v>
      </c>
      <c r="H167" s="27" t="s">
        <v>447</v>
      </c>
      <c r="I167" s="27" t="s">
        <v>440</v>
      </c>
      <c r="J167" s="27" t="s">
        <v>448</v>
      </c>
      <c r="K167" s="27" t="s">
        <v>491</v>
      </c>
      <c r="L167" s="27" t="s">
        <v>521</v>
      </c>
      <c r="M167" s="27" t="s">
        <v>521</v>
      </c>
      <c r="N167" s="27" t="s">
        <v>488</v>
      </c>
      <c r="O167" s="27" t="s">
        <v>491</v>
      </c>
      <c r="P167" s="27" t="s">
        <v>491</v>
      </c>
      <c r="Q167" s="27" t="s">
        <v>372</v>
      </c>
      <c r="R167" s="45">
        <v>1278308.8799999999</v>
      </c>
      <c r="S167" s="45">
        <v>2556617.7599999998</v>
      </c>
      <c r="T167" s="45">
        <v>3601898.04</v>
      </c>
      <c r="U167" s="45">
        <v>4647178.32</v>
      </c>
      <c r="V167" s="45">
        <v>6384217.4500000002</v>
      </c>
      <c r="W167" s="45">
        <v>8723250.370000001</v>
      </c>
      <c r="X167" s="45">
        <v>8748388.2200000007</v>
      </c>
      <c r="Y167" s="45">
        <v>9983166.2200000007</v>
      </c>
      <c r="Z167" s="45">
        <v>10808318.220000001</v>
      </c>
      <c r="AA167" s="45">
        <v>10575989.970000001</v>
      </c>
      <c r="AB167" s="45">
        <v>10813322.09</v>
      </c>
      <c r="AC167" s="45">
        <v>11707601.220000001</v>
      </c>
      <c r="AD167" s="45">
        <v>0</v>
      </c>
      <c r="AE167" s="45">
        <v>0</v>
      </c>
      <c r="AF167" s="45">
        <v>0</v>
      </c>
      <c r="AG167" s="45">
        <v>0</v>
      </c>
      <c r="AH167" s="45"/>
      <c r="AI167" s="45"/>
      <c r="AJ167" s="45"/>
      <c r="AK167" s="45"/>
      <c r="AL167" s="45"/>
      <c r="AM167" s="45"/>
      <c r="AN167" s="45"/>
      <c r="AO167" s="45"/>
    </row>
    <row r="168" spans="2:41" outlineLevel="1" x14ac:dyDescent="0.35">
      <c r="B168" s="27" t="s">
        <v>551</v>
      </c>
      <c r="C168" s="27" t="s">
        <v>51</v>
      </c>
      <c r="D168" s="27" t="s">
        <v>1518</v>
      </c>
      <c r="E168" s="27" t="s">
        <v>51</v>
      </c>
      <c r="F168" s="27" t="s">
        <v>501</v>
      </c>
      <c r="G168" s="27" t="s">
        <v>552</v>
      </c>
      <c r="H168" s="27" t="s">
        <v>447</v>
      </c>
      <c r="I168" s="27" t="s">
        <v>440</v>
      </c>
      <c r="J168" s="27" t="s">
        <v>448</v>
      </c>
      <c r="K168" s="27" t="s">
        <v>491</v>
      </c>
      <c r="L168" s="27" t="s">
        <v>492</v>
      </c>
      <c r="M168" s="27" t="s">
        <v>553</v>
      </c>
      <c r="N168" s="27" t="s">
        <v>484</v>
      </c>
      <c r="O168" s="27" t="s">
        <v>491</v>
      </c>
      <c r="P168" s="27" t="s">
        <v>480</v>
      </c>
      <c r="Q168" s="27" t="s">
        <v>372</v>
      </c>
      <c r="R168" s="45">
        <v>0</v>
      </c>
      <c r="S168" s="45">
        <v>0</v>
      </c>
      <c r="T168" s="45">
        <v>0</v>
      </c>
      <c r="U168" s="45">
        <v>0</v>
      </c>
      <c r="V168" s="45">
        <v>0</v>
      </c>
      <c r="W168" s="45">
        <v>0</v>
      </c>
      <c r="X168" s="45">
        <v>0</v>
      </c>
      <c r="Y168" s="45">
        <v>0</v>
      </c>
      <c r="Z168" s="45">
        <v>0</v>
      </c>
      <c r="AA168" s="45">
        <v>0</v>
      </c>
      <c r="AB168" s="45">
        <v>0</v>
      </c>
      <c r="AC168" s="45">
        <v>0</v>
      </c>
      <c r="AD168" s="45">
        <v>0</v>
      </c>
      <c r="AE168" s="45">
        <v>0</v>
      </c>
      <c r="AF168" s="45">
        <v>0</v>
      </c>
      <c r="AG168" s="45">
        <v>0</v>
      </c>
      <c r="AH168" s="45"/>
      <c r="AI168" s="45"/>
      <c r="AJ168" s="45"/>
      <c r="AK168" s="45"/>
      <c r="AL168" s="45"/>
      <c r="AM168" s="45"/>
      <c r="AN168" s="45"/>
      <c r="AO168" s="45"/>
    </row>
    <row r="169" spans="2:41" outlineLevel="1" x14ac:dyDescent="0.35">
      <c r="B169" s="27" t="s">
        <v>1258</v>
      </c>
      <c r="C169" s="27" t="s">
        <v>51</v>
      </c>
      <c r="D169" s="27" t="s">
        <v>1837</v>
      </c>
      <c r="E169" s="27" t="s">
        <v>51</v>
      </c>
      <c r="F169" s="27" t="s">
        <v>501</v>
      </c>
      <c r="G169" s="27" t="s">
        <v>1519</v>
      </c>
      <c r="H169" s="27" t="s">
        <v>447</v>
      </c>
      <c r="I169" s="27" t="s">
        <v>440</v>
      </c>
      <c r="J169" s="27" t="s">
        <v>448</v>
      </c>
      <c r="K169" s="27" t="s">
        <v>476</v>
      </c>
      <c r="L169" s="27" t="s">
        <v>498</v>
      </c>
      <c r="M169" s="27" t="s">
        <v>498</v>
      </c>
      <c r="N169" s="27" t="s">
        <v>498</v>
      </c>
      <c r="O169" s="27" t="s">
        <v>480</v>
      </c>
      <c r="P169" s="27" t="s">
        <v>480</v>
      </c>
      <c r="Q169" s="27" t="s">
        <v>372</v>
      </c>
      <c r="R169" s="45">
        <v>24455.62</v>
      </c>
      <c r="S169" s="45">
        <v>48911.24</v>
      </c>
      <c r="T169" s="45">
        <v>73366.86</v>
      </c>
      <c r="U169" s="45">
        <v>98122.48</v>
      </c>
      <c r="V169" s="45">
        <v>122578.09999999999</v>
      </c>
      <c r="W169" s="45">
        <v>147643.43</v>
      </c>
      <c r="X169" s="45">
        <v>172099.05</v>
      </c>
      <c r="Y169" s="45">
        <v>196554.67</v>
      </c>
      <c r="Z169" s="45">
        <v>241145.44</v>
      </c>
      <c r="AA169" s="45">
        <v>260494.83</v>
      </c>
      <c r="AB169" s="45">
        <v>262808.18</v>
      </c>
      <c r="AC169" s="45">
        <v>283657.67</v>
      </c>
      <c r="AD169" s="45">
        <v>123289.52</v>
      </c>
      <c r="AE169" s="45">
        <v>203291.65</v>
      </c>
      <c r="AF169" s="45">
        <v>230740.2</v>
      </c>
      <c r="AG169" s="45">
        <v>481377.24</v>
      </c>
      <c r="AH169" s="45"/>
      <c r="AI169" s="45"/>
      <c r="AJ169" s="45"/>
      <c r="AK169" s="45"/>
      <c r="AL169" s="45"/>
      <c r="AM169" s="45"/>
      <c r="AN169" s="45"/>
      <c r="AO169" s="45"/>
    </row>
    <row r="170" spans="2:41" outlineLevel="1" x14ac:dyDescent="0.35">
      <c r="B170" s="27" t="s">
        <v>1259</v>
      </c>
      <c r="C170" s="27" t="s">
        <v>51</v>
      </c>
      <c r="D170" s="27" t="s">
        <v>1838</v>
      </c>
      <c r="E170" s="27" t="s">
        <v>51</v>
      </c>
      <c r="F170" s="27" t="s">
        <v>501</v>
      </c>
      <c r="G170" s="27" t="s">
        <v>1520</v>
      </c>
      <c r="H170" s="27" t="s">
        <v>447</v>
      </c>
      <c r="I170" s="27" t="s">
        <v>440</v>
      </c>
      <c r="J170" s="27" t="s">
        <v>448</v>
      </c>
      <c r="K170" s="27" t="s">
        <v>476</v>
      </c>
      <c r="L170" s="27" t="s">
        <v>502</v>
      </c>
      <c r="M170" s="27" t="s">
        <v>502</v>
      </c>
      <c r="N170" s="27" t="s">
        <v>502</v>
      </c>
      <c r="O170" s="27" t="s">
        <v>480</v>
      </c>
      <c r="P170" s="27" t="s">
        <v>480</v>
      </c>
      <c r="Q170" s="27" t="s">
        <v>372</v>
      </c>
      <c r="R170" s="45">
        <v>0</v>
      </c>
      <c r="S170" s="45">
        <v>0</v>
      </c>
      <c r="T170" s="45">
        <v>0</v>
      </c>
      <c r="U170" s="45">
        <v>0</v>
      </c>
      <c r="V170" s="45">
        <v>14961</v>
      </c>
      <c r="W170" s="45">
        <v>23113</v>
      </c>
      <c r="X170" s="45">
        <v>23113</v>
      </c>
      <c r="Y170" s="45">
        <v>23113</v>
      </c>
      <c r="Z170" s="45">
        <v>23113</v>
      </c>
      <c r="AA170" s="45">
        <v>23113</v>
      </c>
      <c r="AB170" s="45">
        <v>23113</v>
      </c>
      <c r="AC170" s="45">
        <v>23113</v>
      </c>
      <c r="AD170" s="45">
        <v>0</v>
      </c>
      <c r="AE170" s="45">
        <v>0</v>
      </c>
      <c r="AF170" s="45">
        <v>175</v>
      </c>
      <c r="AG170" s="45">
        <v>175</v>
      </c>
      <c r="AH170" s="45"/>
      <c r="AI170" s="45"/>
      <c r="AJ170" s="45"/>
      <c r="AK170" s="45"/>
      <c r="AL170" s="45"/>
      <c r="AM170" s="45"/>
      <c r="AN170" s="45"/>
      <c r="AO170" s="45"/>
    </row>
    <row r="171" spans="2:41" outlineLevel="1" x14ac:dyDescent="0.35">
      <c r="B171" s="27" t="s">
        <v>1260</v>
      </c>
      <c r="C171" s="27" t="s">
        <v>51</v>
      </c>
      <c r="D171" s="27" t="s">
        <v>1839</v>
      </c>
      <c r="E171" s="27" t="s">
        <v>51</v>
      </c>
      <c r="F171" s="27" t="s">
        <v>501</v>
      </c>
      <c r="G171" s="27" t="s">
        <v>1521</v>
      </c>
      <c r="H171" s="27" t="s">
        <v>447</v>
      </c>
      <c r="I171" s="27" t="s">
        <v>440</v>
      </c>
      <c r="J171" s="27" t="s">
        <v>448</v>
      </c>
      <c r="K171" s="27" t="s">
        <v>476</v>
      </c>
      <c r="L171" s="27" t="s">
        <v>535</v>
      </c>
      <c r="M171" s="27" t="s">
        <v>535</v>
      </c>
      <c r="N171" s="27" t="s">
        <v>535</v>
      </c>
      <c r="O171" s="27" t="s">
        <v>480</v>
      </c>
      <c r="P171" s="27" t="s">
        <v>480</v>
      </c>
      <c r="Q171" s="27" t="s">
        <v>372</v>
      </c>
      <c r="R171" s="45">
        <v>45480.12</v>
      </c>
      <c r="S171" s="45">
        <v>109040.84</v>
      </c>
      <c r="T171" s="45">
        <v>144693.22999999998</v>
      </c>
      <c r="U171" s="45">
        <v>171164.28</v>
      </c>
      <c r="V171" s="45">
        <v>194625.82</v>
      </c>
      <c r="W171" s="45">
        <v>224850.96000000002</v>
      </c>
      <c r="X171" s="45">
        <v>261933.52</v>
      </c>
      <c r="Y171" s="45">
        <v>299454.36</v>
      </c>
      <c r="Z171" s="45">
        <v>344430.07999999996</v>
      </c>
      <c r="AA171" s="45">
        <v>380087.09</v>
      </c>
      <c r="AB171" s="45">
        <v>415956.67</v>
      </c>
      <c r="AC171" s="45">
        <v>463398.76</v>
      </c>
      <c r="AD171" s="45">
        <v>47442.09</v>
      </c>
      <c r="AE171" s="45">
        <v>164011.43</v>
      </c>
      <c r="AF171" s="45">
        <v>251628.23</v>
      </c>
      <c r="AG171" s="45">
        <v>251628.23</v>
      </c>
      <c r="AH171" s="45"/>
      <c r="AI171" s="45"/>
      <c r="AJ171" s="45"/>
      <c r="AK171" s="45"/>
      <c r="AL171" s="45"/>
      <c r="AM171" s="45"/>
      <c r="AN171" s="45"/>
      <c r="AO171" s="45"/>
    </row>
    <row r="172" spans="2:41" outlineLevel="1" x14ac:dyDescent="0.35">
      <c r="B172" s="27" t="s">
        <v>1261</v>
      </c>
      <c r="C172" s="27" t="s">
        <v>51</v>
      </c>
      <c r="D172" s="27" t="s">
        <v>1840</v>
      </c>
      <c r="E172" s="27" t="s">
        <v>51</v>
      </c>
      <c r="F172" s="27" t="s">
        <v>556</v>
      </c>
      <c r="G172" s="27" t="s">
        <v>1413</v>
      </c>
      <c r="H172" s="27" t="s">
        <v>447</v>
      </c>
      <c r="I172" s="27" t="s">
        <v>440</v>
      </c>
      <c r="J172" s="27" t="s">
        <v>448</v>
      </c>
      <c r="K172" s="27" t="s">
        <v>557</v>
      </c>
      <c r="L172" s="27" t="s">
        <v>557</v>
      </c>
      <c r="M172" s="27" t="s">
        <v>558</v>
      </c>
      <c r="N172" s="27" t="s">
        <v>558</v>
      </c>
      <c r="O172" s="27" t="s">
        <v>557</v>
      </c>
      <c r="P172" s="27" t="s">
        <v>557</v>
      </c>
      <c r="Q172" s="27" t="s">
        <v>372</v>
      </c>
      <c r="R172" s="45">
        <v>44255.38</v>
      </c>
      <c r="S172" s="45">
        <v>88510.76</v>
      </c>
      <c r="T172" s="45">
        <v>132766.13999999998</v>
      </c>
      <c r="U172" s="45">
        <v>177021.52000000002</v>
      </c>
      <c r="V172" s="45">
        <v>221276.9</v>
      </c>
      <c r="W172" s="45">
        <v>265532.27999999997</v>
      </c>
      <c r="X172" s="45">
        <v>309787.65999999997</v>
      </c>
      <c r="Y172" s="45">
        <v>354043.04</v>
      </c>
      <c r="Z172" s="45">
        <v>398651.13</v>
      </c>
      <c r="AA172" s="45">
        <v>444064.54</v>
      </c>
      <c r="AB172" s="45">
        <v>490201.84</v>
      </c>
      <c r="AC172" s="45">
        <v>536542.30000000005</v>
      </c>
      <c r="AD172" s="45">
        <v>47723.8</v>
      </c>
      <c r="AE172" s="45">
        <v>95761.7</v>
      </c>
      <c r="AF172" s="45">
        <v>153579.07</v>
      </c>
      <c r="AG172" s="45">
        <v>207725.07</v>
      </c>
      <c r="AH172" s="45"/>
      <c r="AI172" s="45"/>
      <c r="AJ172" s="45"/>
      <c r="AK172" s="45"/>
      <c r="AL172" s="45"/>
      <c r="AM172" s="45"/>
      <c r="AN172" s="45"/>
      <c r="AO172" s="45"/>
    </row>
    <row r="173" spans="2:41" outlineLevel="1" x14ac:dyDescent="0.35">
      <c r="B173" s="27" t="s">
        <v>1262</v>
      </c>
      <c r="C173" s="27" t="s">
        <v>51</v>
      </c>
      <c r="D173" s="27" t="s">
        <v>1841</v>
      </c>
      <c r="E173" s="27" t="s">
        <v>51</v>
      </c>
      <c r="F173" s="27" t="s">
        <v>559</v>
      </c>
      <c r="G173" s="27" t="s">
        <v>1522</v>
      </c>
      <c r="H173" s="27" t="s">
        <v>447</v>
      </c>
      <c r="I173" s="27" t="s">
        <v>440</v>
      </c>
      <c r="J173" s="27" t="s">
        <v>448</v>
      </c>
      <c r="K173" s="27" t="s">
        <v>557</v>
      </c>
      <c r="L173" s="27" t="s">
        <v>557</v>
      </c>
      <c r="M173" s="27" t="s">
        <v>923</v>
      </c>
      <c r="N173" s="27" t="s">
        <v>923</v>
      </c>
      <c r="O173" s="27" t="s">
        <v>557</v>
      </c>
      <c r="P173" s="27" t="s">
        <v>557</v>
      </c>
      <c r="Q173" s="27" t="s">
        <v>372</v>
      </c>
      <c r="R173" s="45">
        <v>712474.45</v>
      </c>
      <c r="S173" s="45">
        <v>1498616.32</v>
      </c>
      <c r="T173" s="45">
        <v>2247924.48</v>
      </c>
      <c r="U173" s="45">
        <v>3382023.81</v>
      </c>
      <c r="V173" s="45">
        <v>4449428.8600000003</v>
      </c>
      <c r="W173" s="45">
        <v>5516834.4500000002</v>
      </c>
      <c r="X173" s="45">
        <v>6632996.6200000001</v>
      </c>
      <c r="Y173" s="45">
        <v>7772134.2599999998</v>
      </c>
      <c r="Z173" s="45">
        <v>8911271.9000000004</v>
      </c>
      <c r="AA173" s="45">
        <v>10091805</v>
      </c>
      <c r="AB173" s="45">
        <v>11453082.189999999</v>
      </c>
      <c r="AC173" s="45">
        <v>19664847.870000001</v>
      </c>
      <c r="AD173" s="45">
        <v>2514847.69</v>
      </c>
      <c r="AE173" s="45">
        <v>5029695.0599999996</v>
      </c>
      <c r="AF173" s="45">
        <v>7848078.2699999996</v>
      </c>
      <c r="AG173" s="45">
        <v>10627500</v>
      </c>
      <c r="AH173" s="45"/>
      <c r="AI173" s="45"/>
      <c r="AJ173" s="45"/>
      <c r="AK173" s="45"/>
      <c r="AL173" s="45"/>
      <c r="AM173" s="45"/>
      <c r="AN173" s="45"/>
      <c r="AO173" s="45"/>
    </row>
    <row r="174" spans="2:41" outlineLevel="1" x14ac:dyDescent="0.35">
      <c r="B174" s="27" t="s">
        <v>1263</v>
      </c>
      <c r="C174" s="27" t="s">
        <v>51</v>
      </c>
      <c r="D174" s="27" t="s">
        <v>1842</v>
      </c>
      <c r="E174" s="27" t="s">
        <v>51</v>
      </c>
      <c r="F174" s="27" t="s">
        <v>556</v>
      </c>
      <c r="G174" s="27" t="s">
        <v>2017</v>
      </c>
      <c r="H174" s="27" t="s">
        <v>447</v>
      </c>
      <c r="I174" s="27" t="s">
        <v>440</v>
      </c>
      <c r="J174" s="27" t="s">
        <v>448</v>
      </c>
      <c r="K174" s="27" t="s">
        <v>557</v>
      </c>
      <c r="L174" s="27" t="s">
        <v>557</v>
      </c>
      <c r="M174" s="27" t="s">
        <v>560</v>
      </c>
      <c r="N174" s="27" t="s">
        <v>560</v>
      </c>
      <c r="O174" s="27" t="s">
        <v>557</v>
      </c>
      <c r="P174" s="27" t="s">
        <v>557</v>
      </c>
      <c r="Q174" s="27" t="s">
        <v>372</v>
      </c>
      <c r="R174" s="45">
        <v>365211.32</v>
      </c>
      <c r="S174" s="45">
        <v>775787.37</v>
      </c>
      <c r="T174" s="45">
        <v>1151544.82</v>
      </c>
      <c r="U174" s="45">
        <v>1575874.4000000001</v>
      </c>
      <c r="V174" s="45">
        <v>2000203.98</v>
      </c>
      <c r="W174" s="45">
        <v>2424954.98</v>
      </c>
      <c r="X174" s="45">
        <v>2959066.06</v>
      </c>
      <c r="Y174" s="45">
        <v>3407910.01</v>
      </c>
      <c r="Z174" s="45">
        <v>3857326.3299999996</v>
      </c>
      <c r="AA174" s="45">
        <v>4306808.09</v>
      </c>
      <c r="AB174" s="45">
        <v>4804054.95</v>
      </c>
      <c r="AC174" s="45">
        <v>5310392.0599999996</v>
      </c>
      <c r="AD174" s="45">
        <v>648260.36</v>
      </c>
      <c r="AE174" s="45">
        <v>1234003.7</v>
      </c>
      <c r="AF174" s="45">
        <v>1993887.99</v>
      </c>
      <c r="AG174" s="45">
        <v>1758146.33</v>
      </c>
      <c r="AH174" s="45"/>
      <c r="AI174" s="45"/>
      <c r="AJ174" s="45"/>
      <c r="AK174" s="45"/>
      <c r="AL174" s="45"/>
      <c r="AM174" s="45"/>
      <c r="AN174" s="45"/>
      <c r="AO174" s="45"/>
    </row>
    <row r="175" spans="2:41" outlineLevel="1" x14ac:dyDescent="0.35">
      <c r="B175" s="27" t="s">
        <v>1264</v>
      </c>
      <c r="C175" s="27" t="s">
        <v>51</v>
      </c>
      <c r="D175" s="27" t="s">
        <v>1843</v>
      </c>
      <c r="E175" s="27" t="s">
        <v>51</v>
      </c>
      <c r="F175" s="27" t="s">
        <v>556</v>
      </c>
      <c r="G175" s="27" t="s">
        <v>2018</v>
      </c>
      <c r="H175" s="27" t="s">
        <v>447</v>
      </c>
      <c r="I175" s="27" t="s">
        <v>440</v>
      </c>
      <c r="J175" s="27" t="s">
        <v>448</v>
      </c>
      <c r="K175" s="27" t="s">
        <v>557</v>
      </c>
      <c r="L175" s="27" t="s">
        <v>557</v>
      </c>
      <c r="M175" s="27" t="s">
        <v>560</v>
      </c>
      <c r="N175" s="27" t="s">
        <v>560</v>
      </c>
      <c r="O175" s="27" t="s">
        <v>557</v>
      </c>
      <c r="P175" s="27" t="s">
        <v>557</v>
      </c>
      <c r="Q175" s="27" t="s">
        <v>372</v>
      </c>
      <c r="R175" s="45">
        <v>577039.49</v>
      </c>
      <c r="S175" s="45">
        <v>1160039.04</v>
      </c>
      <c r="T175" s="45">
        <v>1805011.83</v>
      </c>
      <c r="U175" s="45">
        <v>2592675.48</v>
      </c>
      <c r="V175" s="45">
        <v>3388316.45</v>
      </c>
      <c r="W175" s="45">
        <v>4200744.78</v>
      </c>
      <c r="X175" s="45">
        <v>5474532.1799999997</v>
      </c>
      <c r="Y175" s="45">
        <v>6347274.4199999999</v>
      </c>
      <c r="Z175" s="45">
        <v>7222259.8200000003</v>
      </c>
      <c r="AA175" s="45">
        <v>8101119.7000000002</v>
      </c>
      <c r="AB175" s="45">
        <v>9157041.6099999994</v>
      </c>
      <c r="AC175" s="45">
        <v>10265834.119999999</v>
      </c>
      <c r="AD175" s="45">
        <v>1774103.19</v>
      </c>
      <c r="AE175" s="45">
        <v>3516551.06</v>
      </c>
      <c r="AF175" s="45">
        <v>5423911.4199999999</v>
      </c>
      <c r="AG175" s="45">
        <v>5477415.7699999996</v>
      </c>
      <c r="AH175" s="45"/>
      <c r="AI175" s="45"/>
      <c r="AJ175" s="45"/>
      <c r="AK175" s="45"/>
      <c r="AL175" s="45"/>
      <c r="AM175" s="45"/>
      <c r="AN175" s="45"/>
      <c r="AO175" s="45"/>
    </row>
    <row r="176" spans="2:41" outlineLevel="1" x14ac:dyDescent="0.35">
      <c r="B176" s="27" t="s">
        <v>1265</v>
      </c>
      <c r="C176" s="27" t="s">
        <v>51</v>
      </c>
      <c r="D176" s="27" t="s">
        <v>1844</v>
      </c>
      <c r="E176" s="27" t="s">
        <v>51</v>
      </c>
      <c r="F176" s="27" t="s">
        <v>561</v>
      </c>
      <c r="G176" s="27" t="s">
        <v>1523</v>
      </c>
      <c r="H176" s="27" t="s">
        <v>447</v>
      </c>
      <c r="I176" s="27" t="s">
        <v>440</v>
      </c>
      <c r="J176" s="27" t="s">
        <v>448</v>
      </c>
      <c r="K176" s="27" t="s">
        <v>562</v>
      </c>
      <c r="L176" s="27" t="s">
        <v>562</v>
      </c>
      <c r="M176" s="27" t="s">
        <v>562</v>
      </c>
      <c r="N176" s="27" t="s">
        <v>371</v>
      </c>
      <c r="O176" s="27" t="s">
        <v>562</v>
      </c>
      <c r="P176" s="27" t="s">
        <v>562</v>
      </c>
      <c r="Q176" s="27" t="s">
        <v>372</v>
      </c>
      <c r="R176" s="45">
        <v>324.66000000000003</v>
      </c>
      <c r="S176" s="45">
        <v>4039.39</v>
      </c>
      <c r="T176" s="45">
        <v>27401.919999999998</v>
      </c>
      <c r="U176" s="45">
        <v>306355.75</v>
      </c>
      <c r="V176" s="45">
        <v>1355990.9</v>
      </c>
      <c r="W176" s="45">
        <v>1956733.67</v>
      </c>
      <c r="X176" s="45">
        <v>2050173.14</v>
      </c>
      <c r="Y176" s="45">
        <v>2108029.89</v>
      </c>
      <c r="Z176" s="45">
        <v>2348868.69</v>
      </c>
      <c r="AA176" s="45">
        <v>2390717.59</v>
      </c>
      <c r="AB176" s="45">
        <v>3001141</v>
      </c>
      <c r="AC176" s="45">
        <v>3026276</v>
      </c>
      <c r="AD176" s="45">
        <v>61032.41</v>
      </c>
      <c r="AE176" s="45">
        <v>96924.28</v>
      </c>
      <c r="AF176" s="45">
        <v>323800.31</v>
      </c>
      <c r="AG176" s="45">
        <v>323800.31</v>
      </c>
      <c r="AH176" s="45"/>
      <c r="AI176" s="45"/>
      <c r="AJ176" s="45"/>
      <c r="AK176" s="45"/>
      <c r="AL176" s="45"/>
      <c r="AM176" s="45"/>
      <c r="AN176" s="45"/>
      <c r="AO176" s="45"/>
    </row>
    <row r="177" spans="2:41" outlineLevel="1" x14ac:dyDescent="0.35">
      <c r="B177" s="27" t="s">
        <v>1266</v>
      </c>
      <c r="C177" s="27" t="s">
        <v>51</v>
      </c>
      <c r="D177" s="27" t="s">
        <v>1845</v>
      </c>
      <c r="E177" s="27" t="s">
        <v>51</v>
      </c>
      <c r="F177" s="27" t="s">
        <v>501</v>
      </c>
      <c r="G177" s="27" t="s">
        <v>1524</v>
      </c>
      <c r="H177" s="27" t="s">
        <v>447</v>
      </c>
      <c r="I177" s="27" t="s">
        <v>440</v>
      </c>
      <c r="J177" s="27" t="s">
        <v>448</v>
      </c>
      <c r="K177" s="27" t="s">
        <v>491</v>
      </c>
      <c r="L177" s="27" t="s">
        <v>537</v>
      </c>
      <c r="M177" s="27" t="s">
        <v>537</v>
      </c>
      <c r="N177" s="27" t="s">
        <v>488</v>
      </c>
      <c r="O177" s="27" t="s">
        <v>491</v>
      </c>
      <c r="P177" s="27" t="s">
        <v>480</v>
      </c>
      <c r="Q177" s="27" t="s">
        <v>372</v>
      </c>
      <c r="R177" s="45">
        <v>0</v>
      </c>
      <c r="S177" s="45">
        <v>75.86</v>
      </c>
      <c r="T177" s="45">
        <v>7055.1399999999994</v>
      </c>
      <c r="U177" s="45">
        <v>12199.6</v>
      </c>
      <c r="V177" s="45">
        <v>12229.6</v>
      </c>
      <c r="W177" s="45">
        <v>12229.6</v>
      </c>
      <c r="X177" s="45">
        <v>12289.6</v>
      </c>
      <c r="Y177" s="45">
        <v>12379.6</v>
      </c>
      <c r="Z177" s="45">
        <v>12379.6</v>
      </c>
      <c r="AA177" s="45">
        <v>15175.47</v>
      </c>
      <c r="AB177" s="45">
        <v>15314.08</v>
      </c>
      <c r="AC177" s="45">
        <v>15314.08</v>
      </c>
      <c r="AD177" s="45">
        <v>29.43</v>
      </c>
      <c r="AE177" s="45">
        <v>75.39</v>
      </c>
      <c r="AF177" s="45">
        <v>87.89</v>
      </c>
      <c r="AG177" s="45">
        <v>210.43</v>
      </c>
      <c r="AH177" s="45"/>
      <c r="AI177" s="45"/>
      <c r="AJ177" s="45"/>
      <c r="AK177" s="45"/>
      <c r="AL177" s="45"/>
      <c r="AM177" s="45"/>
      <c r="AN177" s="45"/>
      <c r="AO177" s="45"/>
    </row>
    <row r="178" spans="2:41" outlineLevel="1" x14ac:dyDescent="0.35">
      <c r="B178" s="27" t="s">
        <v>1267</v>
      </c>
      <c r="C178" s="27" t="s">
        <v>51</v>
      </c>
      <c r="D178" s="27" t="s">
        <v>1846</v>
      </c>
      <c r="E178" s="27" t="s">
        <v>51</v>
      </c>
      <c r="F178" s="27" t="s">
        <v>563</v>
      </c>
      <c r="G178" s="27" t="s">
        <v>1525</v>
      </c>
      <c r="H178" s="27" t="s">
        <v>447</v>
      </c>
      <c r="I178" s="27" t="s">
        <v>440</v>
      </c>
      <c r="J178" s="27" t="s">
        <v>448</v>
      </c>
      <c r="K178" s="27" t="s">
        <v>491</v>
      </c>
      <c r="L178" s="27" t="s">
        <v>462</v>
      </c>
      <c r="M178" s="27" t="s">
        <v>462</v>
      </c>
      <c r="N178" s="27" t="s">
        <v>462</v>
      </c>
      <c r="O178" s="27" t="s">
        <v>491</v>
      </c>
      <c r="P178" s="27" t="s">
        <v>564</v>
      </c>
      <c r="Q178" s="27" t="s">
        <v>372</v>
      </c>
      <c r="R178" s="45">
        <v>698383.65</v>
      </c>
      <c r="S178" s="45">
        <v>1527288.9700000002</v>
      </c>
      <c r="T178" s="45">
        <v>2283292.09</v>
      </c>
      <c r="U178" s="45">
        <v>3886998.7900000005</v>
      </c>
      <c r="V178" s="45">
        <v>5344801.59</v>
      </c>
      <c r="W178" s="45">
        <v>6796210.6499999994</v>
      </c>
      <c r="X178" s="45">
        <v>8372049.540000001</v>
      </c>
      <c r="Y178" s="45">
        <v>9975988.209999999</v>
      </c>
      <c r="Z178" s="45">
        <v>11573090.01</v>
      </c>
      <c r="AA178" s="45">
        <v>13191646.810000001</v>
      </c>
      <c r="AB178" s="45">
        <v>15021439.139999999</v>
      </c>
      <c r="AC178" s="45">
        <v>20563242.559999999</v>
      </c>
      <c r="AD178" s="45">
        <v>2417817.4699999997</v>
      </c>
      <c r="AE178" s="45">
        <v>4828488.0799999991</v>
      </c>
      <c r="AF178" s="45">
        <v>7723247.1700000009</v>
      </c>
      <c r="AG178" s="45">
        <v>10587395.699999999</v>
      </c>
      <c r="AH178" s="45"/>
      <c r="AI178" s="45"/>
      <c r="AJ178" s="45"/>
      <c r="AK178" s="45"/>
      <c r="AL178" s="45"/>
      <c r="AM178" s="45"/>
      <c r="AN178" s="45"/>
      <c r="AO178" s="45"/>
    </row>
    <row r="179" spans="2:41" outlineLevel="1" x14ac:dyDescent="0.35">
      <c r="B179" s="27" t="s">
        <v>565</v>
      </c>
      <c r="C179" s="27" t="s">
        <v>51</v>
      </c>
      <c r="D179" s="27" t="s">
        <v>1526</v>
      </c>
      <c r="E179" s="27" t="s">
        <v>51</v>
      </c>
      <c r="F179" s="27" t="s">
        <v>563</v>
      </c>
      <c r="G179" s="27" t="s">
        <v>566</v>
      </c>
      <c r="H179" s="27" t="s">
        <v>447</v>
      </c>
      <c r="I179" s="27" t="s">
        <v>440</v>
      </c>
      <c r="J179" s="27" t="s">
        <v>448</v>
      </c>
      <c r="K179" s="27" t="s">
        <v>491</v>
      </c>
      <c r="L179" s="27" t="s">
        <v>492</v>
      </c>
      <c r="M179" s="27" t="s">
        <v>567</v>
      </c>
      <c r="N179" s="27" t="s">
        <v>488</v>
      </c>
      <c r="O179" s="27" t="s">
        <v>491</v>
      </c>
      <c r="P179" s="27" t="s">
        <v>564</v>
      </c>
      <c r="Q179" s="27" t="s">
        <v>372</v>
      </c>
      <c r="R179" s="45">
        <v>0</v>
      </c>
      <c r="S179" s="45">
        <v>0</v>
      </c>
      <c r="T179" s="45">
        <v>0</v>
      </c>
      <c r="U179" s="45">
        <v>0</v>
      </c>
      <c r="V179" s="45">
        <v>0</v>
      </c>
      <c r="W179" s="45">
        <v>0</v>
      </c>
      <c r="X179" s="45">
        <v>0</v>
      </c>
      <c r="Y179" s="45">
        <v>0</v>
      </c>
      <c r="Z179" s="45">
        <v>0</v>
      </c>
      <c r="AA179" s="45">
        <v>0</v>
      </c>
      <c r="AB179" s="45">
        <v>0</v>
      </c>
      <c r="AC179" s="45">
        <v>0</v>
      </c>
      <c r="AD179" s="45">
        <v>0</v>
      </c>
      <c r="AE179" s="45">
        <v>0</v>
      </c>
      <c r="AF179" s="45">
        <v>0</v>
      </c>
      <c r="AG179" s="45">
        <v>0</v>
      </c>
      <c r="AH179" s="45"/>
      <c r="AI179" s="45"/>
      <c r="AJ179" s="45"/>
      <c r="AK179" s="45"/>
      <c r="AL179" s="45"/>
      <c r="AM179" s="45"/>
      <c r="AN179" s="45"/>
      <c r="AO179" s="45"/>
    </row>
    <row r="180" spans="2:41" outlineLevel="1" x14ac:dyDescent="0.35">
      <c r="B180" s="27" t="s">
        <v>1268</v>
      </c>
      <c r="C180" s="27" t="s">
        <v>51</v>
      </c>
      <c r="D180" s="27" t="s">
        <v>1847</v>
      </c>
      <c r="E180" s="27" t="s">
        <v>51</v>
      </c>
      <c r="F180" s="27" t="s">
        <v>568</v>
      </c>
      <c r="G180" s="27" t="s">
        <v>1527</v>
      </c>
      <c r="H180" s="27" t="s">
        <v>447</v>
      </c>
      <c r="I180" s="27" t="s">
        <v>440</v>
      </c>
      <c r="J180" s="27" t="s">
        <v>448</v>
      </c>
      <c r="K180" s="27" t="s">
        <v>562</v>
      </c>
      <c r="L180" s="27" t="s">
        <v>562</v>
      </c>
      <c r="M180" s="27" t="s">
        <v>562</v>
      </c>
      <c r="N180" s="27" t="s">
        <v>562</v>
      </c>
      <c r="O180" s="27" t="s">
        <v>562</v>
      </c>
      <c r="P180" s="27" t="s">
        <v>562</v>
      </c>
      <c r="Q180" s="27" t="s">
        <v>372</v>
      </c>
      <c r="R180" s="45">
        <v>0</v>
      </c>
      <c r="S180" s="45">
        <v>0</v>
      </c>
      <c r="T180" s="45">
        <v>-358255.99</v>
      </c>
      <c r="U180" s="45">
        <v>-358255.99</v>
      </c>
      <c r="V180" s="45">
        <v>-382001.99</v>
      </c>
      <c r="W180" s="45">
        <v>-382001.99</v>
      </c>
      <c r="X180" s="45">
        <v>-382001.99</v>
      </c>
      <c r="Y180" s="45">
        <v>-382008.21</v>
      </c>
      <c r="Z180" s="45">
        <v>-382008.21</v>
      </c>
      <c r="AA180" s="45">
        <v>-382010.68</v>
      </c>
      <c r="AB180" s="45">
        <v>-965309.29</v>
      </c>
      <c r="AC180" s="45">
        <v>-1030713.09</v>
      </c>
      <c r="AD180" s="45">
        <v>0</v>
      </c>
      <c r="AE180" s="45">
        <v>0</v>
      </c>
      <c r="AF180" s="45">
        <v>-129543.12</v>
      </c>
      <c r="AG180" s="45">
        <v>-134191.17000000001</v>
      </c>
      <c r="AH180" s="45"/>
      <c r="AI180" s="45"/>
      <c r="AJ180" s="45"/>
      <c r="AK180" s="45"/>
      <c r="AL180" s="45"/>
      <c r="AM180" s="45"/>
      <c r="AN180" s="45"/>
      <c r="AO180" s="45"/>
    </row>
    <row r="181" spans="2:41" outlineLevel="1" x14ac:dyDescent="0.35">
      <c r="B181" s="27" t="s">
        <v>1269</v>
      </c>
      <c r="C181" s="27" t="s">
        <v>51</v>
      </c>
      <c r="D181" s="27" t="s">
        <v>1848</v>
      </c>
      <c r="E181" s="27" t="s">
        <v>51</v>
      </c>
      <c r="F181" s="27" t="s">
        <v>569</v>
      </c>
      <c r="G181" s="27" t="s">
        <v>1528</v>
      </c>
      <c r="H181" s="27" t="s">
        <v>447</v>
      </c>
      <c r="I181" s="27" t="s">
        <v>440</v>
      </c>
      <c r="J181" s="27" t="s">
        <v>448</v>
      </c>
      <c r="K181" s="27" t="s">
        <v>564</v>
      </c>
      <c r="L181" s="27" t="s">
        <v>564</v>
      </c>
      <c r="M181" s="27" t="s">
        <v>564</v>
      </c>
      <c r="N181" s="27" t="s">
        <v>564</v>
      </c>
      <c r="O181" s="27" t="s">
        <v>564</v>
      </c>
      <c r="P181" s="27" t="s">
        <v>564</v>
      </c>
      <c r="Q181" s="27" t="s">
        <v>372</v>
      </c>
      <c r="R181" s="45">
        <v>-2310.44</v>
      </c>
      <c r="S181" s="45">
        <v>-4588.58</v>
      </c>
      <c r="T181" s="45">
        <v>-28196.559999999998</v>
      </c>
      <c r="U181" s="45">
        <v>-62499.86</v>
      </c>
      <c r="V181" s="45">
        <v>-174101.77000000002</v>
      </c>
      <c r="W181" s="45">
        <v>-244098.11</v>
      </c>
      <c r="X181" s="45">
        <v>-751744.79</v>
      </c>
      <c r="Y181" s="45">
        <v>-802502.6</v>
      </c>
      <c r="Z181" s="45">
        <v>-825402.2</v>
      </c>
      <c r="AA181" s="45">
        <v>-844578.06</v>
      </c>
      <c r="AB181" s="45">
        <v>-871048.33</v>
      </c>
      <c r="AC181" s="45">
        <v>-1141002.96</v>
      </c>
      <c r="AD181" s="45">
        <v>-29813.51</v>
      </c>
      <c r="AE181" s="45">
        <v>-34134.21</v>
      </c>
      <c r="AF181" s="45">
        <v>-156759.01999999999</v>
      </c>
      <c r="AG181" s="45">
        <v>-224010.23999999999</v>
      </c>
      <c r="AH181" s="45"/>
      <c r="AI181" s="45"/>
      <c r="AJ181" s="45"/>
      <c r="AK181" s="45"/>
      <c r="AL181" s="45"/>
      <c r="AM181" s="45"/>
      <c r="AN181" s="45"/>
      <c r="AO181" s="45"/>
    </row>
    <row r="182" spans="2:41" outlineLevel="1" x14ac:dyDescent="0.35">
      <c r="B182" s="27" t="s">
        <v>570</v>
      </c>
      <c r="C182" s="27" t="s">
        <v>51</v>
      </c>
      <c r="D182" s="27" t="s">
        <v>1529</v>
      </c>
      <c r="E182" s="27" t="s">
        <v>51</v>
      </c>
      <c r="F182" s="27" t="s">
        <v>569</v>
      </c>
      <c r="G182" s="27" t="s">
        <v>571</v>
      </c>
      <c r="H182" s="27" t="s">
        <v>447</v>
      </c>
      <c r="I182" s="27" t="s">
        <v>440</v>
      </c>
      <c r="J182" s="27" t="s">
        <v>448</v>
      </c>
      <c r="K182" s="27" t="s">
        <v>562</v>
      </c>
      <c r="L182" s="27" t="s">
        <v>502</v>
      </c>
      <c r="M182" s="27" t="s">
        <v>554</v>
      </c>
      <c r="N182" s="27" t="s">
        <v>371</v>
      </c>
      <c r="O182" s="27" t="s">
        <v>562</v>
      </c>
      <c r="P182" s="27" t="s">
        <v>564</v>
      </c>
      <c r="Q182" s="27" t="s">
        <v>372</v>
      </c>
      <c r="R182" s="45">
        <v>-0.11</v>
      </c>
      <c r="S182" s="45">
        <v>-0.15</v>
      </c>
      <c r="T182" s="45">
        <v>-0.18</v>
      </c>
      <c r="U182" s="45">
        <v>-0.37</v>
      </c>
      <c r="V182" s="45">
        <v>-2.44</v>
      </c>
      <c r="W182" s="45">
        <v>-2.98</v>
      </c>
      <c r="X182" s="45">
        <v>-23.92</v>
      </c>
      <c r="Y182" s="45">
        <v>-25.18</v>
      </c>
      <c r="Z182" s="45">
        <v>-30.87</v>
      </c>
      <c r="AA182" s="45">
        <v>-45.49</v>
      </c>
      <c r="AB182" s="45">
        <v>-52.83</v>
      </c>
      <c r="AC182" s="45">
        <v>-53.17</v>
      </c>
      <c r="AD182" s="45">
        <v>0</v>
      </c>
      <c r="AE182" s="45">
        <v>0</v>
      </c>
      <c r="AF182" s="45">
        <v>0</v>
      </c>
      <c r="AG182" s="45">
        <v>0</v>
      </c>
      <c r="AH182" s="45"/>
      <c r="AI182" s="45"/>
      <c r="AJ182" s="45"/>
      <c r="AK182" s="45"/>
      <c r="AL182" s="45"/>
      <c r="AM182" s="45"/>
      <c r="AN182" s="45"/>
      <c r="AO182" s="45"/>
    </row>
    <row r="183" spans="2:41" ht="16.75" customHeight="1" outlineLevel="1" x14ac:dyDescent="0.35">
      <c r="B183" s="27" t="s">
        <v>301</v>
      </c>
      <c r="C183" s="27" t="s">
        <v>51</v>
      </c>
      <c r="D183" s="27" t="s">
        <v>1530</v>
      </c>
      <c r="E183" s="27" t="s">
        <v>51</v>
      </c>
      <c r="F183" s="27" t="s">
        <v>195</v>
      </c>
      <c r="G183" s="27" t="s">
        <v>303</v>
      </c>
      <c r="H183" s="27" t="s">
        <v>54</v>
      </c>
      <c r="I183" s="27" t="s">
        <v>142</v>
      </c>
      <c r="J183" s="27" t="s">
        <v>197</v>
      </c>
      <c r="K183" s="27" t="s">
        <v>371</v>
      </c>
      <c r="L183" s="27" t="s">
        <v>371</v>
      </c>
      <c r="M183" s="27" t="s">
        <v>371</v>
      </c>
      <c r="N183" s="27" t="s">
        <v>371</v>
      </c>
      <c r="O183" s="27" t="s">
        <v>371</v>
      </c>
      <c r="P183" s="27" t="s">
        <v>371</v>
      </c>
      <c r="Q183" s="27" t="s">
        <v>372</v>
      </c>
      <c r="R183" s="45">
        <v>0</v>
      </c>
      <c r="S183" s="45">
        <v>0</v>
      </c>
      <c r="T183" s="45">
        <v>0</v>
      </c>
      <c r="U183" s="45">
        <v>0</v>
      </c>
      <c r="V183" s="45">
        <v>0</v>
      </c>
      <c r="W183" s="45">
        <v>0</v>
      </c>
      <c r="X183" s="45">
        <v>0</v>
      </c>
      <c r="Y183" s="45">
        <v>0</v>
      </c>
      <c r="Z183" s="45">
        <v>0</v>
      </c>
      <c r="AA183" s="45">
        <v>0</v>
      </c>
      <c r="AB183" s="45">
        <v>0</v>
      </c>
      <c r="AC183" s="45">
        <v>0</v>
      </c>
      <c r="AD183" s="45">
        <v>0</v>
      </c>
      <c r="AE183" s="45">
        <v>0</v>
      </c>
      <c r="AF183" s="45">
        <v>0</v>
      </c>
      <c r="AG183" s="45">
        <v>0</v>
      </c>
      <c r="AH183" s="45"/>
      <c r="AI183" s="45"/>
      <c r="AJ183" s="45"/>
      <c r="AK183" s="45"/>
      <c r="AL183" s="45"/>
      <c r="AM183" s="45"/>
      <c r="AN183" s="45"/>
      <c r="AO183" s="45"/>
    </row>
    <row r="184" spans="2:41" outlineLevel="1" x14ac:dyDescent="0.35">
      <c r="B184" s="27" t="s">
        <v>1270</v>
      </c>
      <c r="C184" s="27" t="s">
        <v>51</v>
      </c>
      <c r="D184" s="27" t="s">
        <v>1849</v>
      </c>
      <c r="E184" s="27" t="s">
        <v>51</v>
      </c>
      <c r="F184" s="27" t="s">
        <v>442</v>
      </c>
      <c r="G184" s="27" t="s">
        <v>1531</v>
      </c>
      <c r="H184" s="27" t="s">
        <v>54</v>
      </c>
      <c r="I184" s="27" t="s">
        <v>440</v>
      </c>
      <c r="J184" s="27" t="s">
        <v>443</v>
      </c>
      <c r="K184" s="27" t="s">
        <v>371</v>
      </c>
      <c r="L184" s="27" t="s">
        <v>371</v>
      </c>
      <c r="M184" s="27" t="s">
        <v>371</v>
      </c>
      <c r="N184" s="27" t="s">
        <v>371</v>
      </c>
      <c r="O184" s="27" t="s">
        <v>371</v>
      </c>
      <c r="P184" s="27" t="s">
        <v>371</v>
      </c>
      <c r="Q184" s="27" t="s">
        <v>372</v>
      </c>
      <c r="R184" s="45">
        <v>38097477.770000003</v>
      </c>
      <c r="S184" s="45">
        <v>38097477.770000003</v>
      </c>
      <c r="T184" s="45">
        <v>38097477.770000003</v>
      </c>
      <c r="U184" s="45">
        <v>38097477.770000003</v>
      </c>
      <c r="V184" s="45">
        <v>38097477.770000003</v>
      </c>
      <c r="W184" s="45">
        <v>38097477.770000003</v>
      </c>
      <c r="X184" s="45">
        <v>38097477.770000003</v>
      </c>
      <c r="Y184" s="45">
        <v>38097477.770000003</v>
      </c>
      <c r="Z184" s="45">
        <v>38097477.770000003</v>
      </c>
      <c r="AA184" s="45">
        <v>38097477.770000003</v>
      </c>
      <c r="AB184" s="45">
        <v>38097477.770000003</v>
      </c>
      <c r="AC184" s="45">
        <v>38097477.770000003</v>
      </c>
      <c r="AD184" s="45">
        <v>38097477.770000003</v>
      </c>
      <c r="AE184" s="45">
        <v>38097477.770000003</v>
      </c>
      <c r="AF184" s="45">
        <v>38097477.770000003</v>
      </c>
      <c r="AG184" s="45">
        <v>38097477.770000003</v>
      </c>
      <c r="AH184" s="45"/>
      <c r="AI184" s="45"/>
      <c r="AJ184" s="45"/>
      <c r="AK184" s="45"/>
      <c r="AL184" s="45"/>
      <c r="AM184" s="45"/>
      <c r="AN184" s="45"/>
      <c r="AO184" s="45"/>
    </row>
    <row r="185" spans="2:41" outlineLevel="1" x14ac:dyDescent="0.35">
      <c r="B185" s="27" t="s">
        <v>572</v>
      </c>
      <c r="C185" s="27" t="s">
        <v>51</v>
      </c>
      <c r="D185" s="27" t="s">
        <v>1532</v>
      </c>
      <c r="E185" s="27" t="s">
        <v>51</v>
      </c>
      <c r="F185" s="27" t="s">
        <v>501</v>
      </c>
      <c r="G185" s="27" t="s">
        <v>453</v>
      </c>
      <c r="H185" s="27" t="s">
        <v>447</v>
      </c>
      <c r="I185" s="27" t="s">
        <v>440</v>
      </c>
      <c r="J185" s="27" t="s">
        <v>448</v>
      </c>
      <c r="K185" s="27" t="s">
        <v>491</v>
      </c>
      <c r="L185" s="27" t="s">
        <v>492</v>
      </c>
      <c r="M185" s="27" t="s">
        <v>493</v>
      </c>
      <c r="N185" s="27" t="s">
        <v>494</v>
      </c>
      <c r="O185" s="27" t="s">
        <v>491</v>
      </c>
      <c r="P185" s="27" t="s">
        <v>480</v>
      </c>
      <c r="Q185" s="27" t="s">
        <v>372</v>
      </c>
      <c r="R185" s="45">
        <v>572.41</v>
      </c>
      <c r="S185" s="45">
        <v>2289.64</v>
      </c>
      <c r="T185" s="45">
        <v>2289.64</v>
      </c>
      <c r="U185" s="45">
        <v>2289.64</v>
      </c>
      <c r="V185" s="45">
        <v>2289.64</v>
      </c>
      <c r="W185" s="45">
        <v>2289.64</v>
      </c>
      <c r="X185" s="45">
        <v>2289.64</v>
      </c>
      <c r="Y185" s="45">
        <v>2289.64</v>
      </c>
      <c r="Z185" s="45">
        <v>2289.64</v>
      </c>
      <c r="AA185" s="45">
        <v>2289.64</v>
      </c>
      <c r="AB185" s="45">
        <v>2289.64</v>
      </c>
      <c r="AC185" s="45">
        <v>2289.64</v>
      </c>
      <c r="AD185" s="45">
        <v>0</v>
      </c>
      <c r="AE185" s="45">
        <v>0</v>
      </c>
      <c r="AF185" s="45">
        <v>0</v>
      </c>
      <c r="AG185" s="45">
        <v>0</v>
      </c>
      <c r="AH185" s="45"/>
      <c r="AI185" s="45"/>
      <c r="AJ185" s="45"/>
      <c r="AK185" s="45"/>
      <c r="AL185" s="45"/>
      <c r="AM185" s="45"/>
      <c r="AN185" s="45"/>
      <c r="AO185" s="45"/>
    </row>
    <row r="186" spans="2:41" outlineLevel="1" x14ac:dyDescent="0.35">
      <c r="B186" s="27" t="s">
        <v>573</v>
      </c>
      <c r="C186" s="27" t="s">
        <v>51</v>
      </c>
      <c r="D186" s="27" t="s">
        <v>1533</v>
      </c>
      <c r="E186" s="27" t="s">
        <v>51</v>
      </c>
      <c r="F186" s="27" t="s">
        <v>501</v>
      </c>
      <c r="G186" s="27" t="s">
        <v>574</v>
      </c>
      <c r="H186" s="27" t="s">
        <v>447</v>
      </c>
      <c r="I186" s="27" t="s">
        <v>440</v>
      </c>
      <c r="J186" s="27" t="s">
        <v>448</v>
      </c>
      <c r="K186" s="27" t="s">
        <v>491</v>
      </c>
      <c r="L186" s="27" t="s">
        <v>492</v>
      </c>
      <c r="M186" s="27" t="s">
        <v>524</v>
      </c>
      <c r="N186" s="27" t="s">
        <v>494</v>
      </c>
      <c r="O186" s="27" t="s">
        <v>491</v>
      </c>
      <c r="P186" s="27" t="s">
        <v>480</v>
      </c>
      <c r="Q186" s="27" t="s">
        <v>372</v>
      </c>
      <c r="R186" s="45">
        <v>0</v>
      </c>
      <c r="S186" s="45">
        <v>0</v>
      </c>
      <c r="T186" s="45">
        <v>0</v>
      </c>
      <c r="U186" s="45">
        <v>0</v>
      </c>
      <c r="V186" s="45">
        <v>0</v>
      </c>
      <c r="W186" s="45">
        <v>0</v>
      </c>
      <c r="X186" s="45">
        <v>0</v>
      </c>
      <c r="Y186" s="45">
        <v>0</v>
      </c>
      <c r="Z186" s="45">
        <v>0</v>
      </c>
      <c r="AA186" s="45">
        <v>0</v>
      </c>
      <c r="AB186" s="45">
        <v>0</v>
      </c>
      <c r="AC186" s="45">
        <v>0</v>
      </c>
      <c r="AD186" s="45">
        <v>0</v>
      </c>
      <c r="AE186" s="45">
        <v>0</v>
      </c>
      <c r="AF186" s="45">
        <v>0</v>
      </c>
      <c r="AG186" s="45">
        <v>0</v>
      </c>
      <c r="AH186" s="45"/>
      <c r="AI186" s="45"/>
      <c r="AJ186" s="45"/>
      <c r="AK186" s="45"/>
      <c r="AL186" s="45"/>
      <c r="AM186" s="45"/>
      <c r="AN186" s="45"/>
      <c r="AO186" s="45"/>
    </row>
    <row r="187" spans="2:41" outlineLevel="1" x14ac:dyDescent="0.35">
      <c r="B187" s="27" t="s">
        <v>575</v>
      </c>
      <c r="C187" s="27" t="s">
        <v>51</v>
      </c>
      <c r="D187" s="27" t="s">
        <v>1534</v>
      </c>
      <c r="E187" s="27" t="s">
        <v>51</v>
      </c>
      <c r="F187" s="27" t="s">
        <v>501</v>
      </c>
      <c r="G187" s="27" t="s">
        <v>576</v>
      </c>
      <c r="H187" s="27" t="s">
        <v>447</v>
      </c>
      <c r="I187" s="27" t="s">
        <v>440</v>
      </c>
      <c r="J187" s="27" t="s">
        <v>448</v>
      </c>
      <c r="K187" s="27" t="s">
        <v>491</v>
      </c>
      <c r="L187" s="27" t="s">
        <v>492</v>
      </c>
      <c r="M187" s="27" t="s">
        <v>493</v>
      </c>
      <c r="N187" s="27" t="s">
        <v>494</v>
      </c>
      <c r="O187" s="27" t="s">
        <v>491</v>
      </c>
      <c r="P187" s="27" t="s">
        <v>480</v>
      </c>
      <c r="Q187" s="27" t="s">
        <v>372</v>
      </c>
      <c r="R187" s="45">
        <v>486.21</v>
      </c>
      <c r="S187" s="45">
        <v>486.21</v>
      </c>
      <c r="T187" s="45">
        <v>1520.69</v>
      </c>
      <c r="U187" s="45">
        <v>1520.69</v>
      </c>
      <c r="V187" s="45">
        <v>1520.69</v>
      </c>
      <c r="W187" s="45">
        <v>1520.69</v>
      </c>
      <c r="X187" s="45">
        <v>1520.69</v>
      </c>
      <c r="Y187" s="45">
        <v>1520.69</v>
      </c>
      <c r="Z187" s="45">
        <v>1520.69</v>
      </c>
      <c r="AA187" s="45">
        <v>1520.69</v>
      </c>
      <c r="AB187" s="45">
        <v>1520.69</v>
      </c>
      <c r="AC187" s="45">
        <v>1520.69</v>
      </c>
      <c r="AD187" s="45">
        <v>0</v>
      </c>
      <c r="AE187" s="45">
        <v>0</v>
      </c>
      <c r="AF187" s="45">
        <v>0</v>
      </c>
      <c r="AG187" s="45">
        <v>0</v>
      </c>
      <c r="AH187" s="45"/>
      <c r="AI187" s="45"/>
      <c r="AJ187" s="45"/>
      <c r="AK187" s="45"/>
      <c r="AL187" s="45"/>
      <c r="AM187" s="45"/>
      <c r="AN187" s="45"/>
      <c r="AO187" s="45"/>
    </row>
    <row r="188" spans="2:41" outlineLevel="1" x14ac:dyDescent="0.35">
      <c r="B188" s="27" t="s">
        <v>577</v>
      </c>
      <c r="C188" s="27" t="s">
        <v>51</v>
      </c>
      <c r="D188" s="27" t="s">
        <v>1535</v>
      </c>
      <c r="E188" s="27" t="s">
        <v>51</v>
      </c>
      <c r="F188" s="27" t="s">
        <v>501</v>
      </c>
      <c r="G188" s="27" t="s">
        <v>555</v>
      </c>
      <c r="H188" s="27" t="s">
        <v>447</v>
      </c>
      <c r="I188" s="27" t="s">
        <v>440</v>
      </c>
      <c r="J188" s="27" t="s">
        <v>448</v>
      </c>
      <c r="K188" s="27" t="s">
        <v>476</v>
      </c>
      <c r="L188" s="27" t="s">
        <v>502</v>
      </c>
      <c r="M188" s="27" t="s">
        <v>502</v>
      </c>
      <c r="N188" s="27" t="s">
        <v>488</v>
      </c>
      <c r="O188" s="27" t="s">
        <v>480</v>
      </c>
      <c r="P188" s="27" t="s">
        <v>480</v>
      </c>
      <c r="Q188" s="27" t="s">
        <v>372</v>
      </c>
      <c r="R188" s="45">
        <v>0</v>
      </c>
      <c r="S188" s="45">
        <v>0</v>
      </c>
      <c r="T188" s="45">
        <v>0</v>
      </c>
      <c r="U188" s="45">
        <v>0</v>
      </c>
      <c r="V188" s="45">
        <v>0</v>
      </c>
      <c r="W188" s="45">
        <v>0</v>
      </c>
      <c r="X188" s="45">
        <v>0</v>
      </c>
      <c r="Y188" s="45">
        <v>0</v>
      </c>
      <c r="Z188" s="45">
        <v>0</v>
      </c>
      <c r="AA188" s="45">
        <v>0</v>
      </c>
      <c r="AB188" s="45">
        <v>0</v>
      </c>
      <c r="AC188" s="45">
        <v>0</v>
      </c>
      <c r="AD188" s="45">
        <v>0</v>
      </c>
      <c r="AE188" s="45">
        <v>0</v>
      </c>
      <c r="AF188" s="45">
        <v>0</v>
      </c>
      <c r="AG188" s="45">
        <v>0</v>
      </c>
      <c r="AH188" s="45"/>
      <c r="AI188" s="45"/>
      <c r="AJ188" s="45"/>
      <c r="AK188" s="45"/>
      <c r="AL188" s="45"/>
      <c r="AM188" s="45"/>
      <c r="AN188" s="45"/>
      <c r="AO188" s="45"/>
    </row>
    <row r="189" spans="2:41" outlineLevel="1" x14ac:dyDescent="0.35">
      <c r="B189" s="27" t="s">
        <v>331</v>
      </c>
      <c r="C189" s="27" t="s">
        <v>51</v>
      </c>
      <c r="D189" s="27" t="s">
        <v>1536</v>
      </c>
      <c r="E189" s="27" t="s">
        <v>51</v>
      </c>
      <c r="F189" s="27" t="s">
        <v>195</v>
      </c>
      <c r="G189" s="27" t="s">
        <v>333</v>
      </c>
      <c r="H189" s="27" t="s">
        <v>54</v>
      </c>
      <c r="I189" s="27" t="s">
        <v>142</v>
      </c>
      <c r="J189" s="27" t="s">
        <v>197</v>
      </c>
      <c r="K189" s="27" t="s">
        <v>371</v>
      </c>
      <c r="L189" s="27" t="s">
        <v>371</v>
      </c>
      <c r="M189" s="27" t="s">
        <v>371</v>
      </c>
      <c r="N189" s="27" t="s">
        <v>371</v>
      </c>
      <c r="O189" s="27" t="s">
        <v>371</v>
      </c>
      <c r="P189" s="27" t="s">
        <v>371</v>
      </c>
      <c r="Q189" s="27" t="s">
        <v>372</v>
      </c>
      <c r="R189" s="45">
        <v>0</v>
      </c>
      <c r="S189" s="45">
        <v>0</v>
      </c>
      <c r="T189" s="45">
        <v>0</v>
      </c>
      <c r="U189" s="45">
        <v>0</v>
      </c>
      <c r="V189" s="45">
        <v>0</v>
      </c>
      <c r="W189" s="45">
        <v>0</v>
      </c>
      <c r="X189" s="45">
        <v>0</v>
      </c>
      <c r="Y189" s="45">
        <v>0</v>
      </c>
      <c r="Z189" s="45">
        <v>0</v>
      </c>
      <c r="AA189" s="45">
        <v>0</v>
      </c>
      <c r="AB189" s="45">
        <v>0</v>
      </c>
      <c r="AC189" s="45">
        <v>0</v>
      </c>
      <c r="AD189" s="45">
        <v>0</v>
      </c>
      <c r="AE189" s="45">
        <v>0</v>
      </c>
      <c r="AF189" s="45">
        <v>0</v>
      </c>
      <c r="AG189" s="45">
        <v>0</v>
      </c>
      <c r="AH189" s="45"/>
      <c r="AI189" s="45"/>
      <c r="AJ189" s="45"/>
      <c r="AK189" s="45"/>
      <c r="AL189" s="45"/>
      <c r="AM189" s="45"/>
      <c r="AN189" s="45"/>
      <c r="AO189" s="45"/>
    </row>
    <row r="190" spans="2:41" outlineLevel="1" x14ac:dyDescent="0.35">
      <c r="B190" s="27" t="s">
        <v>578</v>
      </c>
      <c r="C190" s="27" t="s">
        <v>51</v>
      </c>
      <c r="D190" s="27" t="s">
        <v>1537</v>
      </c>
      <c r="E190" s="27" t="s">
        <v>51</v>
      </c>
      <c r="F190" s="27" t="s">
        <v>579</v>
      </c>
      <c r="G190" s="27" t="s">
        <v>580</v>
      </c>
      <c r="H190" s="27" t="s">
        <v>54</v>
      </c>
      <c r="I190" s="27" t="s">
        <v>55</v>
      </c>
      <c r="J190" s="27" t="s">
        <v>581</v>
      </c>
      <c r="K190" s="27" t="s">
        <v>371</v>
      </c>
      <c r="L190" s="27" t="s">
        <v>371</v>
      </c>
      <c r="M190" s="27" t="s">
        <v>371</v>
      </c>
      <c r="N190" s="27" t="s">
        <v>371</v>
      </c>
      <c r="O190" s="27" t="s">
        <v>371</v>
      </c>
      <c r="P190" s="27" t="s">
        <v>371</v>
      </c>
      <c r="Q190" s="27" t="s">
        <v>372</v>
      </c>
      <c r="R190" s="45">
        <v>0</v>
      </c>
      <c r="S190" s="45">
        <v>0</v>
      </c>
      <c r="T190" s="45">
        <v>0</v>
      </c>
      <c r="U190" s="45">
        <v>0</v>
      </c>
      <c r="V190" s="45">
        <v>0</v>
      </c>
      <c r="W190" s="45">
        <v>0</v>
      </c>
      <c r="X190" s="45">
        <v>0</v>
      </c>
      <c r="Y190" s="45">
        <v>0</v>
      </c>
      <c r="Z190" s="45">
        <v>0</v>
      </c>
      <c r="AA190" s="45">
        <v>0</v>
      </c>
      <c r="AB190" s="45">
        <v>0</v>
      </c>
      <c r="AC190" s="45">
        <v>0</v>
      </c>
      <c r="AD190" s="45">
        <v>0</v>
      </c>
      <c r="AE190" s="45">
        <v>0</v>
      </c>
      <c r="AF190" s="45">
        <v>0</v>
      </c>
      <c r="AG190" s="45">
        <v>0</v>
      </c>
      <c r="AH190" s="45"/>
      <c r="AI190" s="45"/>
      <c r="AJ190" s="45"/>
      <c r="AK190" s="45"/>
      <c r="AL190" s="45"/>
      <c r="AM190" s="45"/>
      <c r="AN190" s="45"/>
      <c r="AO190" s="45"/>
    </row>
    <row r="191" spans="2:41" outlineLevel="1" x14ac:dyDescent="0.35">
      <c r="B191" s="27" t="s">
        <v>1271</v>
      </c>
      <c r="C191" s="27" t="s">
        <v>51</v>
      </c>
      <c r="D191" s="27" t="s">
        <v>1850</v>
      </c>
      <c r="E191" s="27" t="s">
        <v>51</v>
      </c>
      <c r="F191" s="27" t="s">
        <v>501</v>
      </c>
      <c r="G191" s="27" t="s">
        <v>1538</v>
      </c>
      <c r="H191" s="27" t="s">
        <v>447</v>
      </c>
      <c r="I191" s="27" t="s">
        <v>440</v>
      </c>
      <c r="J191" s="27" t="s">
        <v>448</v>
      </c>
      <c r="K191" s="27" t="s">
        <v>476</v>
      </c>
      <c r="L191" s="27" t="s">
        <v>535</v>
      </c>
      <c r="M191" s="27" t="s">
        <v>535</v>
      </c>
      <c r="N191" s="27" t="s">
        <v>535</v>
      </c>
      <c r="O191" s="27" t="s">
        <v>480</v>
      </c>
      <c r="P191" s="27" t="s">
        <v>480</v>
      </c>
      <c r="Q191" s="27" t="s">
        <v>372</v>
      </c>
      <c r="R191" s="45">
        <v>0</v>
      </c>
      <c r="S191" s="45">
        <v>0</v>
      </c>
      <c r="T191" s="45">
        <v>0</v>
      </c>
      <c r="U191" s="45">
        <v>0</v>
      </c>
      <c r="V191" s="45">
        <v>0</v>
      </c>
      <c r="W191" s="45">
        <v>0</v>
      </c>
      <c r="X191" s="45">
        <v>8910</v>
      </c>
      <c r="Y191" s="45">
        <v>8910</v>
      </c>
      <c r="Z191" s="45">
        <v>21359.25</v>
      </c>
      <c r="AA191" s="45">
        <v>21359.25</v>
      </c>
      <c r="AB191" s="45">
        <v>21359.25</v>
      </c>
      <c r="AC191" s="45">
        <v>21359.25</v>
      </c>
      <c r="AD191" s="45">
        <v>0</v>
      </c>
      <c r="AE191" s="45">
        <v>0</v>
      </c>
      <c r="AF191" s="45">
        <v>35847.21</v>
      </c>
      <c r="AG191" s="45">
        <v>53389.46</v>
      </c>
      <c r="AH191" s="45"/>
      <c r="AI191" s="45"/>
      <c r="AJ191" s="45"/>
      <c r="AK191" s="45"/>
      <c r="AL191" s="45"/>
      <c r="AM191" s="45"/>
      <c r="AN191" s="45"/>
      <c r="AO191" s="45"/>
    </row>
    <row r="192" spans="2:41" outlineLevel="1" x14ac:dyDescent="0.35">
      <c r="B192" s="27" t="s">
        <v>175</v>
      </c>
      <c r="C192" s="27" t="s">
        <v>51</v>
      </c>
      <c r="D192" s="27" t="s">
        <v>1539</v>
      </c>
      <c r="E192" s="27" t="s">
        <v>51</v>
      </c>
      <c r="F192" s="27" t="s">
        <v>85</v>
      </c>
      <c r="G192" s="27" t="s">
        <v>177</v>
      </c>
      <c r="H192" s="27" t="s">
        <v>54</v>
      </c>
      <c r="I192" s="27" t="s">
        <v>55</v>
      </c>
      <c r="J192" s="27" t="s">
        <v>101</v>
      </c>
      <c r="K192" s="27" t="s">
        <v>371</v>
      </c>
      <c r="L192" s="27" t="s">
        <v>371</v>
      </c>
      <c r="M192" s="27" t="s">
        <v>371</v>
      </c>
      <c r="N192" s="27" t="s">
        <v>371</v>
      </c>
      <c r="O192" s="27" t="s">
        <v>371</v>
      </c>
      <c r="P192" s="27" t="s">
        <v>371</v>
      </c>
      <c r="Q192" s="27" t="s">
        <v>372</v>
      </c>
      <c r="R192" s="45">
        <v>0</v>
      </c>
      <c r="S192" s="45">
        <v>0</v>
      </c>
      <c r="T192" s="45">
        <v>0</v>
      </c>
      <c r="U192" s="45">
        <v>0</v>
      </c>
      <c r="V192" s="45">
        <v>0</v>
      </c>
      <c r="W192" s="45">
        <v>0</v>
      </c>
      <c r="X192" s="45">
        <v>0</v>
      </c>
      <c r="Y192" s="45">
        <v>0</v>
      </c>
      <c r="Z192" s="45">
        <v>0</v>
      </c>
      <c r="AA192" s="45">
        <v>0</v>
      </c>
      <c r="AB192" s="45">
        <v>0</v>
      </c>
      <c r="AC192" s="45">
        <v>0</v>
      </c>
      <c r="AD192" s="45">
        <v>0</v>
      </c>
      <c r="AE192" s="45">
        <v>0</v>
      </c>
      <c r="AF192" s="45">
        <v>0</v>
      </c>
      <c r="AG192" s="45">
        <v>0</v>
      </c>
      <c r="AH192" s="45"/>
      <c r="AI192" s="45"/>
      <c r="AJ192" s="45"/>
      <c r="AK192" s="45"/>
      <c r="AL192" s="45"/>
      <c r="AM192" s="45"/>
      <c r="AN192" s="45"/>
      <c r="AO192" s="45"/>
    </row>
    <row r="193" spans="2:41" outlineLevel="1" x14ac:dyDescent="0.35">
      <c r="B193" s="27" t="s">
        <v>583</v>
      </c>
      <c r="C193" s="27" t="s">
        <v>51</v>
      </c>
      <c r="D193" s="27" t="s">
        <v>1540</v>
      </c>
      <c r="E193" s="27" t="s">
        <v>51</v>
      </c>
      <c r="F193" s="27" t="s">
        <v>474</v>
      </c>
      <c r="G193" s="27" t="s">
        <v>584</v>
      </c>
      <c r="H193" s="27" t="s">
        <v>447</v>
      </c>
      <c r="I193" s="27" t="s">
        <v>440</v>
      </c>
      <c r="J193" s="27" t="s">
        <v>448</v>
      </c>
      <c r="K193" s="27" t="s">
        <v>476</v>
      </c>
      <c r="L193" s="27" t="s">
        <v>503</v>
      </c>
      <c r="M193" s="27" t="s">
        <v>503</v>
      </c>
      <c r="N193" s="27" t="s">
        <v>503</v>
      </c>
      <c r="O193" s="27" t="s">
        <v>480</v>
      </c>
      <c r="P193" s="27" t="s">
        <v>480</v>
      </c>
      <c r="Q193" s="27" t="s">
        <v>372</v>
      </c>
      <c r="R193" s="45">
        <v>0</v>
      </c>
      <c r="S193" s="45">
        <v>0</v>
      </c>
      <c r="T193" s="45">
        <v>0</v>
      </c>
      <c r="U193" s="45">
        <v>0</v>
      </c>
      <c r="V193" s="45">
        <v>0</v>
      </c>
      <c r="W193" s="45">
        <v>0</v>
      </c>
      <c r="X193" s="45">
        <v>0</v>
      </c>
      <c r="Y193" s="45">
        <v>0</v>
      </c>
      <c r="Z193" s="45">
        <v>0</v>
      </c>
      <c r="AA193" s="45">
        <v>0</v>
      </c>
      <c r="AB193" s="45">
        <v>0</v>
      </c>
      <c r="AC193" s="45">
        <v>0</v>
      </c>
      <c r="AD193" s="45">
        <v>0</v>
      </c>
      <c r="AE193" s="45">
        <v>0</v>
      </c>
      <c r="AF193" s="45">
        <v>0</v>
      </c>
      <c r="AG193" s="45">
        <v>0</v>
      </c>
      <c r="AH193" s="45"/>
      <c r="AI193" s="45"/>
      <c r="AJ193" s="45"/>
      <c r="AK193" s="45"/>
      <c r="AL193" s="45"/>
      <c r="AM193" s="45"/>
      <c r="AN193" s="45"/>
      <c r="AO193" s="45"/>
    </row>
    <row r="194" spans="2:41" outlineLevel="1" x14ac:dyDescent="0.35">
      <c r="B194" s="27" t="s">
        <v>337</v>
      </c>
      <c r="C194" s="27" t="s">
        <v>51</v>
      </c>
      <c r="D194" s="27" t="s">
        <v>1541</v>
      </c>
      <c r="E194" s="27" t="s">
        <v>51</v>
      </c>
      <c r="F194" s="27" t="s">
        <v>195</v>
      </c>
      <c r="G194" s="27" t="s">
        <v>177</v>
      </c>
      <c r="H194" s="27" t="s">
        <v>54</v>
      </c>
      <c r="I194" s="27" t="s">
        <v>142</v>
      </c>
      <c r="J194" s="27" t="s">
        <v>197</v>
      </c>
      <c r="K194" s="27" t="s">
        <v>371</v>
      </c>
      <c r="L194" s="27" t="s">
        <v>371</v>
      </c>
      <c r="M194" s="27" t="s">
        <v>371</v>
      </c>
      <c r="N194" s="27" t="s">
        <v>371</v>
      </c>
      <c r="O194" s="27" t="s">
        <v>371</v>
      </c>
      <c r="P194" s="27" t="s">
        <v>371</v>
      </c>
      <c r="Q194" s="27" t="s">
        <v>372</v>
      </c>
      <c r="R194" s="45">
        <v>-76250.009999999995</v>
      </c>
      <c r="S194" s="45">
        <v>-76250.009999999995</v>
      </c>
      <c r="T194" s="45">
        <v>-76250.009999999995</v>
      </c>
      <c r="U194" s="45">
        <v>-76250.009999999995</v>
      </c>
      <c r="V194" s="45">
        <v>-76250.009999999995</v>
      </c>
      <c r="W194" s="45">
        <v>-76250.009999999995</v>
      </c>
      <c r="X194" s="45">
        <v>0</v>
      </c>
      <c r="Y194" s="45">
        <v>0</v>
      </c>
      <c r="Z194" s="45">
        <v>0</v>
      </c>
      <c r="AA194" s="45">
        <v>0</v>
      </c>
      <c r="AB194" s="45">
        <v>0</v>
      </c>
      <c r="AC194" s="45">
        <v>0</v>
      </c>
      <c r="AD194" s="45">
        <v>0</v>
      </c>
      <c r="AE194" s="45">
        <v>0</v>
      </c>
      <c r="AF194" s="45">
        <v>0</v>
      </c>
      <c r="AG194" s="45">
        <v>0</v>
      </c>
      <c r="AH194" s="45"/>
      <c r="AI194" s="45"/>
      <c r="AJ194" s="45"/>
      <c r="AK194" s="45"/>
      <c r="AL194" s="45"/>
      <c r="AM194" s="45"/>
      <c r="AN194" s="45"/>
      <c r="AO194" s="45"/>
    </row>
    <row r="195" spans="2:41" outlineLevel="1" x14ac:dyDescent="0.35">
      <c r="B195" s="27" t="s">
        <v>585</v>
      </c>
      <c r="C195" s="27" t="s">
        <v>51</v>
      </c>
      <c r="D195" s="27" t="s">
        <v>1542</v>
      </c>
      <c r="E195" s="27" t="s">
        <v>51</v>
      </c>
      <c r="F195" s="27" t="s">
        <v>385</v>
      </c>
      <c r="G195" s="27" t="s">
        <v>1092</v>
      </c>
      <c r="H195" s="27" t="s">
        <v>54</v>
      </c>
      <c r="I195" s="27" t="s">
        <v>55</v>
      </c>
      <c r="J195" s="27" t="s">
        <v>393</v>
      </c>
      <c r="K195" s="27" t="s">
        <v>371</v>
      </c>
      <c r="L195" s="27" t="s">
        <v>371</v>
      </c>
      <c r="M195" s="27" t="s">
        <v>371</v>
      </c>
      <c r="N195" s="27" t="s">
        <v>371</v>
      </c>
      <c r="O195" s="27" t="s">
        <v>371</v>
      </c>
      <c r="P195" s="27" t="s">
        <v>371</v>
      </c>
      <c r="Q195" s="27" t="s">
        <v>372</v>
      </c>
      <c r="R195" s="45">
        <v>17877225.91</v>
      </c>
      <c r="S195" s="45">
        <v>18014238.859999999</v>
      </c>
      <c r="T195" s="45">
        <v>18559672.530000001</v>
      </c>
      <c r="U195" s="45">
        <v>18698955.75</v>
      </c>
      <c r="V195" s="45">
        <v>19417666.859999999</v>
      </c>
      <c r="W195" s="45">
        <v>19632927.18</v>
      </c>
      <c r="X195" s="45">
        <v>19632927.18</v>
      </c>
      <c r="Y195" s="45">
        <v>19632927.18</v>
      </c>
      <c r="Z195" s="45">
        <v>19479213.960000001</v>
      </c>
      <c r="AA195" s="45">
        <v>19479213.960000001</v>
      </c>
      <c r="AB195" s="45">
        <v>19479213.960000001</v>
      </c>
      <c r="AC195" s="45">
        <v>19479213.960000001</v>
      </c>
      <c r="AD195" s="45">
        <v>19827265.739999998</v>
      </c>
      <c r="AE195" s="45">
        <v>19841827.309999999</v>
      </c>
      <c r="AF195" s="45">
        <v>22071793.449999999</v>
      </c>
      <c r="AG195" s="45">
        <v>0</v>
      </c>
      <c r="AH195" s="45"/>
      <c r="AI195" s="45"/>
      <c r="AJ195" s="45"/>
      <c r="AK195" s="45"/>
      <c r="AL195" s="45"/>
      <c r="AM195" s="45"/>
      <c r="AN195" s="45"/>
      <c r="AO195" s="45"/>
    </row>
    <row r="196" spans="2:41" outlineLevel="1" x14ac:dyDescent="0.35">
      <c r="B196" s="27" t="s">
        <v>586</v>
      </c>
      <c r="C196" s="27" t="s">
        <v>51</v>
      </c>
      <c r="D196" s="27" t="s">
        <v>1543</v>
      </c>
      <c r="E196" s="27" t="s">
        <v>51</v>
      </c>
      <c r="F196" s="27" t="s">
        <v>587</v>
      </c>
      <c r="G196" s="27" t="s">
        <v>84</v>
      </c>
      <c r="H196" s="27" t="s">
        <v>54</v>
      </c>
      <c r="I196" s="27" t="s">
        <v>142</v>
      </c>
      <c r="J196" s="27" t="s">
        <v>197</v>
      </c>
      <c r="K196" s="27" t="s">
        <v>371</v>
      </c>
      <c r="L196" s="27" t="s">
        <v>371</v>
      </c>
      <c r="M196" s="27" t="s">
        <v>371</v>
      </c>
      <c r="N196" s="27" t="s">
        <v>371</v>
      </c>
      <c r="O196" s="27" t="s">
        <v>371</v>
      </c>
      <c r="P196" s="27" t="s">
        <v>371</v>
      </c>
      <c r="Q196" s="27" t="s">
        <v>372</v>
      </c>
      <c r="R196" s="45">
        <v>-596920</v>
      </c>
      <c r="S196" s="45">
        <v>-596920</v>
      </c>
      <c r="T196" s="45">
        <v>-596920</v>
      </c>
      <c r="U196" s="45">
        <v>-596920</v>
      </c>
      <c r="V196" s="45">
        <v>0</v>
      </c>
      <c r="W196" s="45">
        <v>0</v>
      </c>
      <c r="X196" s="45">
        <v>0</v>
      </c>
      <c r="Y196" s="45">
        <v>0</v>
      </c>
      <c r="Z196" s="45">
        <v>0</v>
      </c>
      <c r="AA196" s="45">
        <v>0</v>
      </c>
      <c r="AB196" s="45">
        <v>0</v>
      </c>
      <c r="AC196" s="45">
        <v>0</v>
      </c>
      <c r="AD196" s="45">
        <v>0</v>
      </c>
      <c r="AE196" s="45">
        <v>0</v>
      </c>
      <c r="AF196" s="45">
        <v>0</v>
      </c>
      <c r="AG196" s="45">
        <v>0</v>
      </c>
      <c r="AH196" s="45"/>
      <c r="AI196" s="45"/>
      <c r="AJ196" s="45"/>
      <c r="AK196" s="45"/>
      <c r="AL196" s="45"/>
      <c r="AM196" s="45"/>
      <c r="AN196" s="45"/>
      <c r="AO196" s="45"/>
    </row>
    <row r="197" spans="2:41" outlineLevel="1" x14ac:dyDescent="0.35">
      <c r="B197" s="27" t="s">
        <v>588</v>
      </c>
      <c r="C197" s="27" t="s">
        <v>51</v>
      </c>
      <c r="D197" s="27" t="s">
        <v>1544</v>
      </c>
      <c r="E197" s="27" t="s">
        <v>51</v>
      </c>
      <c r="F197" s="27" t="s">
        <v>432</v>
      </c>
      <c r="G197" s="27" t="s">
        <v>589</v>
      </c>
      <c r="H197" s="27" t="s">
        <v>54</v>
      </c>
      <c r="I197" s="27" t="s">
        <v>142</v>
      </c>
      <c r="J197" s="27" t="s">
        <v>143</v>
      </c>
      <c r="K197" s="27" t="s">
        <v>371</v>
      </c>
      <c r="L197" s="27" t="s">
        <v>371</v>
      </c>
      <c r="M197" s="27" t="s">
        <v>371</v>
      </c>
      <c r="N197" s="27" t="s">
        <v>371</v>
      </c>
      <c r="O197" s="27" t="s">
        <v>371</v>
      </c>
      <c r="P197" s="27" t="s">
        <v>371</v>
      </c>
      <c r="Q197" s="27" t="s">
        <v>372</v>
      </c>
      <c r="R197" s="45">
        <v>27.57</v>
      </c>
      <c r="S197" s="45">
        <v>0</v>
      </c>
      <c r="T197" s="45">
        <v>143.25</v>
      </c>
      <c r="U197" s="45">
        <v>159.26000000000204</v>
      </c>
      <c r="V197" s="45">
        <v>117.0199999999968</v>
      </c>
      <c r="W197" s="45">
        <v>148.52999999999884</v>
      </c>
      <c r="X197" s="45">
        <v>145.72999999999999</v>
      </c>
      <c r="Y197" s="45">
        <v>145.72999999999999</v>
      </c>
      <c r="Z197" s="45">
        <v>0</v>
      </c>
      <c r="AA197" s="45">
        <v>0</v>
      </c>
      <c r="AB197" s="45">
        <v>0</v>
      </c>
      <c r="AC197" s="45">
        <v>0</v>
      </c>
      <c r="AD197" s="45">
        <v>0</v>
      </c>
      <c r="AE197" s="45">
        <v>0</v>
      </c>
      <c r="AF197" s="45">
        <v>0</v>
      </c>
      <c r="AG197" s="45">
        <v>0</v>
      </c>
      <c r="AH197" s="45"/>
      <c r="AI197" s="45"/>
      <c r="AJ197" s="45"/>
      <c r="AK197" s="45"/>
      <c r="AL197" s="45"/>
      <c r="AM197" s="45"/>
      <c r="AN197" s="45"/>
      <c r="AO197" s="45"/>
    </row>
    <row r="198" spans="2:41" outlineLevel="1" x14ac:dyDescent="0.35">
      <c r="B198" s="27" t="s">
        <v>590</v>
      </c>
      <c r="C198" s="27" t="s">
        <v>51</v>
      </c>
      <c r="D198" s="27" t="s">
        <v>1545</v>
      </c>
      <c r="E198" s="27" t="s">
        <v>51</v>
      </c>
      <c r="F198" s="27" t="s">
        <v>474</v>
      </c>
      <c r="G198" s="27" t="s">
        <v>591</v>
      </c>
      <c r="H198" s="27" t="s">
        <v>447</v>
      </c>
      <c r="I198" s="27" t="s">
        <v>440</v>
      </c>
      <c r="J198" s="27" t="s">
        <v>448</v>
      </c>
      <c r="K198" s="27" t="s">
        <v>476</v>
      </c>
      <c r="L198" s="27" t="s">
        <v>487</v>
      </c>
      <c r="M198" s="27" t="s">
        <v>532</v>
      </c>
      <c r="N198" s="27" t="s">
        <v>494</v>
      </c>
      <c r="O198" s="27" t="s">
        <v>480</v>
      </c>
      <c r="P198" s="27" t="s">
        <v>480</v>
      </c>
      <c r="Q198" s="27" t="s">
        <v>372</v>
      </c>
      <c r="R198" s="45">
        <v>0</v>
      </c>
      <c r="S198" s="45">
        <v>0</v>
      </c>
      <c r="T198" s="45">
        <v>0</v>
      </c>
      <c r="U198" s="45">
        <v>0</v>
      </c>
      <c r="V198" s="45">
        <v>0</v>
      </c>
      <c r="W198" s="45">
        <v>0</v>
      </c>
      <c r="X198" s="45">
        <v>0</v>
      </c>
      <c r="Y198" s="45">
        <v>0</v>
      </c>
      <c r="Z198" s="45">
        <v>0</v>
      </c>
      <c r="AA198" s="45">
        <v>0</v>
      </c>
      <c r="AB198" s="45">
        <v>0</v>
      </c>
      <c r="AC198" s="45">
        <v>0</v>
      </c>
      <c r="AD198" s="45">
        <v>0</v>
      </c>
      <c r="AE198" s="45">
        <v>0</v>
      </c>
      <c r="AF198" s="45">
        <v>0</v>
      </c>
      <c r="AG198" s="45">
        <v>0</v>
      </c>
      <c r="AH198" s="45"/>
      <c r="AI198" s="45"/>
      <c r="AJ198" s="45"/>
      <c r="AK198" s="45"/>
      <c r="AL198" s="45"/>
      <c r="AM198" s="45"/>
      <c r="AN198" s="45"/>
      <c r="AO198" s="45"/>
    </row>
    <row r="199" spans="2:41" outlineLevel="1" x14ac:dyDescent="0.35">
      <c r="B199" s="27" t="s">
        <v>1272</v>
      </c>
      <c r="C199" s="27" t="s">
        <v>51</v>
      </c>
      <c r="D199" s="27" t="s">
        <v>1851</v>
      </c>
      <c r="E199" s="27" t="s">
        <v>51</v>
      </c>
      <c r="F199" s="27" t="s">
        <v>501</v>
      </c>
      <c r="G199" s="27" t="s">
        <v>1761</v>
      </c>
      <c r="H199" s="27" t="s">
        <v>447</v>
      </c>
      <c r="I199" s="27" t="s">
        <v>440</v>
      </c>
      <c r="J199" s="27" t="s">
        <v>448</v>
      </c>
      <c r="K199" s="27" t="s">
        <v>476</v>
      </c>
      <c r="L199" s="27" t="s">
        <v>904</v>
      </c>
      <c r="M199" s="27" t="s">
        <v>904</v>
      </c>
      <c r="N199" s="27" t="s">
        <v>904</v>
      </c>
      <c r="O199" s="27" t="s">
        <v>480</v>
      </c>
      <c r="P199" s="27" t="s">
        <v>480</v>
      </c>
      <c r="Q199" s="27" t="s">
        <v>372</v>
      </c>
      <c r="R199" s="45">
        <v>0</v>
      </c>
      <c r="S199" s="45">
        <v>0</v>
      </c>
      <c r="T199" s="45">
        <v>11122</v>
      </c>
      <c r="U199" s="45">
        <v>11122</v>
      </c>
      <c r="V199" s="45">
        <v>19459.34</v>
      </c>
      <c r="W199" s="45">
        <v>45204.7</v>
      </c>
      <c r="X199" s="45">
        <v>50987.5</v>
      </c>
      <c r="Y199" s="45">
        <v>87930.21</v>
      </c>
      <c r="Z199" s="45">
        <v>112678.42000000001</v>
      </c>
      <c r="AA199" s="45">
        <v>148416.15</v>
      </c>
      <c r="AB199" s="45">
        <v>175351.43</v>
      </c>
      <c r="AC199" s="45">
        <v>204490.06</v>
      </c>
      <c r="AD199" s="45">
        <v>54941.599999999999</v>
      </c>
      <c r="AE199" s="45">
        <v>102877.58</v>
      </c>
      <c r="AF199" s="45">
        <v>199709.62</v>
      </c>
      <c r="AG199" s="45">
        <v>199709.62</v>
      </c>
      <c r="AH199" s="45"/>
      <c r="AI199" s="45"/>
      <c r="AJ199" s="45"/>
      <c r="AK199" s="45"/>
      <c r="AL199" s="45"/>
      <c r="AM199" s="45"/>
      <c r="AN199" s="45"/>
      <c r="AO199" s="45"/>
    </row>
    <row r="200" spans="2:41" outlineLevel="1" x14ac:dyDescent="0.35">
      <c r="B200" s="27" t="s">
        <v>592</v>
      </c>
      <c r="C200" s="27" t="s">
        <v>51</v>
      </c>
      <c r="D200" s="27" t="s">
        <v>1546</v>
      </c>
      <c r="E200" s="27" t="s">
        <v>51</v>
      </c>
      <c r="F200" s="27" t="s">
        <v>501</v>
      </c>
      <c r="G200" s="27" t="s">
        <v>593</v>
      </c>
      <c r="H200" s="27" t="s">
        <v>447</v>
      </c>
      <c r="I200" s="27" t="s">
        <v>440</v>
      </c>
      <c r="J200" s="27" t="s">
        <v>448</v>
      </c>
      <c r="K200" s="27" t="s">
        <v>476</v>
      </c>
      <c r="L200" s="27" t="s">
        <v>502</v>
      </c>
      <c r="M200" s="27" t="s">
        <v>502</v>
      </c>
      <c r="N200" s="27" t="s">
        <v>488</v>
      </c>
      <c r="O200" s="27" t="s">
        <v>480</v>
      </c>
      <c r="P200" s="27" t="s">
        <v>480</v>
      </c>
      <c r="Q200" s="27" t="s">
        <v>372</v>
      </c>
      <c r="R200" s="45">
        <v>0</v>
      </c>
      <c r="S200" s="45">
        <v>0</v>
      </c>
      <c r="T200" s="45">
        <v>0</v>
      </c>
      <c r="U200" s="45">
        <v>0</v>
      </c>
      <c r="V200" s="45">
        <v>0</v>
      </c>
      <c r="W200" s="45">
        <v>0</v>
      </c>
      <c r="X200" s="45">
        <v>0</v>
      </c>
      <c r="Y200" s="45">
        <v>0</v>
      </c>
      <c r="Z200" s="45">
        <v>0</v>
      </c>
      <c r="AA200" s="45">
        <v>0</v>
      </c>
      <c r="AB200" s="45">
        <v>0</v>
      </c>
      <c r="AC200" s="45">
        <v>0</v>
      </c>
      <c r="AD200" s="45">
        <v>0</v>
      </c>
      <c r="AE200" s="45">
        <v>0</v>
      </c>
      <c r="AF200" s="45">
        <v>0</v>
      </c>
      <c r="AG200" s="45">
        <v>0</v>
      </c>
      <c r="AH200" s="45"/>
      <c r="AI200" s="45"/>
      <c r="AJ200" s="45"/>
      <c r="AK200" s="45"/>
      <c r="AL200" s="45"/>
      <c r="AM200" s="45"/>
      <c r="AN200" s="45"/>
      <c r="AO200" s="45"/>
    </row>
    <row r="201" spans="2:41" outlineLevel="1" x14ac:dyDescent="0.35">
      <c r="B201" s="27" t="s">
        <v>1273</v>
      </c>
      <c r="C201" s="27" t="s">
        <v>51</v>
      </c>
      <c r="D201" s="27" t="s">
        <v>1852</v>
      </c>
      <c r="E201" s="27" t="s">
        <v>51</v>
      </c>
      <c r="F201" s="27" t="s">
        <v>539</v>
      </c>
      <c r="G201" s="27" t="s">
        <v>1547</v>
      </c>
      <c r="H201" s="27" t="s">
        <v>447</v>
      </c>
      <c r="I201" s="27" t="s">
        <v>440</v>
      </c>
      <c r="J201" s="27" t="s">
        <v>448</v>
      </c>
      <c r="K201" s="27" t="s">
        <v>476</v>
      </c>
      <c r="L201" s="27" t="s">
        <v>542</v>
      </c>
      <c r="M201" s="27" t="s">
        <v>542</v>
      </c>
      <c r="N201" s="27" t="s">
        <v>478</v>
      </c>
      <c r="O201" s="27" t="s">
        <v>480</v>
      </c>
      <c r="P201" s="27" t="s">
        <v>480</v>
      </c>
      <c r="Q201" s="27" t="s">
        <v>372</v>
      </c>
      <c r="R201" s="45">
        <v>21202.720000000001</v>
      </c>
      <c r="S201" s="45">
        <v>45180.21</v>
      </c>
      <c r="T201" s="45">
        <v>81474.880000000005</v>
      </c>
      <c r="U201" s="45">
        <v>119272.98000000001</v>
      </c>
      <c r="V201" s="45">
        <v>153443.44</v>
      </c>
      <c r="W201" s="45">
        <v>190568.88</v>
      </c>
      <c r="X201" s="45">
        <v>227205</v>
      </c>
      <c r="Y201" s="45">
        <v>246843.83</v>
      </c>
      <c r="Z201" s="45">
        <v>269219.82</v>
      </c>
      <c r="AA201" s="45">
        <v>290302.32</v>
      </c>
      <c r="AB201" s="45">
        <v>318924.71000000002</v>
      </c>
      <c r="AC201" s="45">
        <v>359224.7</v>
      </c>
      <c r="AD201" s="45">
        <v>42015.98</v>
      </c>
      <c r="AE201" s="45">
        <v>90935.95</v>
      </c>
      <c r="AF201" s="45">
        <v>178383.28</v>
      </c>
      <c r="AG201" s="45">
        <v>243384.59</v>
      </c>
      <c r="AH201" s="45"/>
      <c r="AI201" s="45"/>
      <c r="AJ201" s="45"/>
      <c r="AK201" s="45"/>
      <c r="AL201" s="45"/>
      <c r="AM201" s="45"/>
      <c r="AN201" s="45"/>
      <c r="AO201" s="45"/>
    </row>
    <row r="202" spans="2:41" outlineLevel="1" x14ac:dyDescent="0.35">
      <c r="B202" s="27" t="s">
        <v>1274</v>
      </c>
      <c r="C202" s="27" t="s">
        <v>51</v>
      </c>
      <c r="D202" s="27" t="s">
        <v>1853</v>
      </c>
      <c r="E202" s="27" t="s">
        <v>51</v>
      </c>
      <c r="F202" s="27" t="s">
        <v>501</v>
      </c>
      <c r="G202" s="27" t="s">
        <v>1548</v>
      </c>
      <c r="H202" s="27" t="s">
        <v>447</v>
      </c>
      <c r="I202" s="27" t="s">
        <v>440</v>
      </c>
      <c r="J202" s="27" t="s">
        <v>448</v>
      </c>
      <c r="K202" s="27" t="s">
        <v>476</v>
      </c>
      <c r="L202" s="27" t="s">
        <v>502</v>
      </c>
      <c r="M202" s="27" t="s">
        <v>502</v>
      </c>
      <c r="N202" s="27" t="s">
        <v>502</v>
      </c>
      <c r="O202" s="27" t="s">
        <v>480</v>
      </c>
      <c r="P202" s="27" t="s">
        <v>480</v>
      </c>
      <c r="Q202" s="27" t="s">
        <v>372</v>
      </c>
      <c r="R202" s="45">
        <v>0</v>
      </c>
      <c r="S202" s="45">
        <v>0</v>
      </c>
      <c r="T202" s="45">
        <v>0</v>
      </c>
      <c r="U202" s="45">
        <v>0</v>
      </c>
      <c r="V202" s="45">
        <v>0</v>
      </c>
      <c r="W202" s="45">
        <v>0</v>
      </c>
      <c r="X202" s="45">
        <v>0</v>
      </c>
      <c r="Y202" s="45">
        <v>0</v>
      </c>
      <c r="Z202" s="45">
        <v>552.17999999999995</v>
      </c>
      <c r="AA202" s="45">
        <v>3760.55</v>
      </c>
      <c r="AB202" s="45">
        <v>4256.72</v>
      </c>
      <c r="AC202" s="45">
        <v>12244.36</v>
      </c>
      <c r="AD202" s="45">
        <v>684.12</v>
      </c>
      <c r="AE202" s="45">
        <v>1474.89</v>
      </c>
      <c r="AF202" s="45">
        <v>2308.4699999999998</v>
      </c>
      <c r="AG202" s="45">
        <v>5980.15</v>
      </c>
      <c r="AH202" s="45"/>
      <c r="AI202" s="45"/>
      <c r="AJ202" s="45"/>
      <c r="AK202" s="45"/>
      <c r="AL202" s="45"/>
      <c r="AM202" s="45"/>
      <c r="AN202" s="45"/>
      <c r="AO202" s="45"/>
    </row>
    <row r="203" spans="2:41" outlineLevel="1" x14ac:dyDescent="0.35">
      <c r="B203" s="27" t="s">
        <v>1275</v>
      </c>
      <c r="C203" s="27" t="s">
        <v>51</v>
      </c>
      <c r="D203" s="27" t="s">
        <v>1854</v>
      </c>
      <c r="E203" s="27" t="s">
        <v>51</v>
      </c>
      <c r="F203" s="27" t="s">
        <v>445</v>
      </c>
      <c r="G203" s="27" t="s">
        <v>1549</v>
      </c>
      <c r="H203" s="27" t="s">
        <v>447</v>
      </c>
      <c r="I203" s="27" t="s">
        <v>440</v>
      </c>
      <c r="J203" s="27" t="s">
        <v>448</v>
      </c>
      <c r="K203" s="27" t="s">
        <v>449</v>
      </c>
      <c r="L203" s="27" t="s">
        <v>595</v>
      </c>
      <c r="M203" s="27" t="s">
        <v>595</v>
      </c>
      <c r="N203" s="27" t="s">
        <v>595</v>
      </c>
      <c r="O203" s="27" t="s">
        <v>449</v>
      </c>
      <c r="P203" s="27" t="s">
        <v>449</v>
      </c>
      <c r="Q203" s="27" t="s">
        <v>372</v>
      </c>
      <c r="R203" s="45">
        <v>-2081191.38</v>
      </c>
      <c r="S203" s="45">
        <v>-3504043.46</v>
      </c>
      <c r="T203" s="45">
        <v>-5646926</v>
      </c>
      <c r="U203" s="45">
        <v>-8266822</v>
      </c>
      <c r="V203" s="45">
        <v>-11254427</v>
      </c>
      <c r="W203" s="45">
        <v>-14456810</v>
      </c>
      <c r="X203" s="45">
        <v>-18077282</v>
      </c>
      <c r="Y203" s="45">
        <v>-22114466.699999999</v>
      </c>
      <c r="Z203" s="45">
        <v>-25189328.18</v>
      </c>
      <c r="AA203" s="45">
        <v>-29044181.629999999</v>
      </c>
      <c r="AB203" s="45">
        <v>-33079552.32</v>
      </c>
      <c r="AC203" s="45">
        <v>-37286574.729999997</v>
      </c>
      <c r="AD203" s="45">
        <v>-5415172.4100000001</v>
      </c>
      <c r="AE203" s="45">
        <v>-10459038.92</v>
      </c>
      <c r="AF203" s="45">
        <v>-15439070.27</v>
      </c>
      <c r="AG203" s="45">
        <v>-20666703.59</v>
      </c>
      <c r="AH203" s="45"/>
      <c r="AI203" s="45"/>
      <c r="AJ203" s="45"/>
      <c r="AK203" s="45"/>
      <c r="AL203" s="45"/>
      <c r="AM203" s="45"/>
      <c r="AN203" s="45"/>
      <c r="AO203" s="45"/>
    </row>
    <row r="204" spans="2:41" outlineLevel="1" x14ac:dyDescent="0.35">
      <c r="B204" s="27" t="s">
        <v>596</v>
      </c>
      <c r="C204" s="27" t="s">
        <v>51</v>
      </c>
      <c r="D204" s="27" t="s">
        <v>1550</v>
      </c>
      <c r="E204" s="27" t="s">
        <v>51</v>
      </c>
      <c r="F204" s="27" t="s">
        <v>106</v>
      </c>
      <c r="G204" s="27" t="s">
        <v>597</v>
      </c>
      <c r="H204" s="27" t="s">
        <v>54</v>
      </c>
      <c r="I204" s="27" t="s">
        <v>142</v>
      </c>
      <c r="J204" s="27" t="s">
        <v>180</v>
      </c>
      <c r="K204" s="27" t="s">
        <v>371</v>
      </c>
      <c r="L204" s="27" t="s">
        <v>371</v>
      </c>
      <c r="M204" s="27" t="s">
        <v>371</v>
      </c>
      <c r="N204" s="27" t="s">
        <v>371</v>
      </c>
      <c r="O204" s="27" t="s">
        <v>371</v>
      </c>
      <c r="P204" s="27" t="s">
        <v>371</v>
      </c>
      <c r="Q204" s="27" t="s">
        <v>372</v>
      </c>
      <c r="R204" s="45">
        <v>-195737.45</v>
      </c>
      <c r="S204" s="45">
        <v>-156737.45000000001</v>
      </c>
      <c r="T204" s="45">
        <v>-805867.01</v>
      </c>
      <c r="U204" s="45">
        <v>0</v>
      </c>
      <c r="V204" s="45">
        <v>-1274946.8400000001</v>
      </c>
      <c r="W204" s="45">
        <v>-1274946.8400000001</v>
      </c>
      <c r="X204" s="45">
        <v>0</v>
      </c>
      <c r="Y204" s="45">
        <v>0</v>
      </c>
      <c r="Z204" s="45">
        <v>0</v>
      </c>
      <c r="AA204" s="45">
        <v>0</v>
      </c>
      <c r="AB204" s="45">
        <v>0</v>
      </c>
      <c r="AC204" s="45">
        <v>0</v>
      </c>
      <c r="AD204" s="45">
        <v>0</v>
      </c>
      <c r="AE204" s="45">
        <v>0</v>
      </c>
      <c r="AF204" s="45">
        <v>0</v>
      </c>
      <c r="AG204" s="45">
        <v>0</v>
      </c>
      <c r="AH204" s="45"/>
      <c r="AI204" s="45"/>
      <c r="AJ204" s="45"/>
      <c r="AK204" s="45"/>
      <c r="AL204" s="45"/>
      <c r="AM204" s="45"/>
      <c r="AN204" s="45"/>
      <c r="AO204" s="45"/>
    </row>
    <row r="205" spans="2:41" outlineLevel="1" x14ac:dyDescent="0.35">
      <c r="B205" s="27" t="s">
        <v>598</v>
      </c>
      <c r="C205" s="27" t="s">
        <v>51</v>
      </c>
      <c r="D205" s="27" t="s">
        <v>1551</v>
      </c>
      <c r="E205" s="27" t="s">
        <v>51</v>
      </c>
      <c r="F205" s="27" t="s">
        <v>474</v>
      </c>
      <c r="G205" s="27" t="s">
        <v>507</v>
      </c>
      <c r="H205" s="27" t="s">
        <v>447</v>
      </c>
      <c r="I205" s="27" t="s">
        <v>440</v>
      </c>
      <c r="J205" s="27" t="s">
        <v>448</v>
      </c>
      <c r="K205" s="27" t="s">
        <v>476</v>
      </c>
      <c r="L205" s="27" t="s">
        <v>487</v>
      </c>
      <c r="M205" s="27" t="s">
        <v>532</v>
      </c>
      <c r="N205" s="27" t="s">
        <v>494</v>
      </c>
      <c r="O205" s="27" t="s">
        <v>480</v>
      </c>
      <c r="P205" s="27" t="s">
        <v>480</v>
      </c>
      <c r="Q205" s="27" t="s">
        <v>372</v>
      </c>
      <c r="R205" s="45">
        <v>10489.46</v>
      </c>
      <c r="S205" s="45">
        <v>10489.46</v>
      </c>
      <c r="T205" s="45">
        <v>0</v>
      </c>
      <c r="U205" s="45">
        <v>0</v>
      </c>
      <c r="V205" s="45">
        <v>0</v>
      </c>
      <c r="W205" s="45">
        <v>0</v>
      </c>
      <c r="X205" s="45">
        <v>0</v>
      </c>
      <c r="Y205" s="45">
        <v>0</v>
      </c>
      <c r="Z205" s="45">
        <v>0</v>
      </c>
      <c r="AA205" s="45">
        <v>0</v>
      </c>
      <c r="AB205" s="45">
        <v>0</v>
      </c>
      <c r="AC205" s="45">
        <v>0</v>
      </c>
      <c r="AD205" s="45">
        <v>0</v>
      </c>
      <c r="AE205" s="45">
        <v>0</v>
      </c>
      <c r="AF205" s="45">
        <v>0</v>
      </c>
      <c r="AG205" s="45">
        <v>0</v>
      </c>
      <c r="AH205" s="45"/>
      <c r="AI205" s="45"/>
      <c r="AJ205" s="45"/>
      <c r="AK205" s="45"/>
      <c r="AL205" s="45"/>
      <c r="AM205" s="45"/>
      <c r="AN205" s="45"/>
      <c r="AO205" s="45"/>
    </row>
    <row r="206" spans="2:41" outlineLevel="1" x14ac:dyDescent="0.35">
      <c r="B206" s="27" t="s">
        <v>599</v>
      </c>
      <c r="C206" s="27" t="s">
        <v>51</v>
      </c>
      <c r="D206" s="27" t="s">
        <v>1552</v>
      </c>
      <c r="E206" s="27" t="s">
        <v>51</v>
      </c>
      <c r="F206" s="27" t="s">
        <v>385</v>
      </c>
      <c r="G206" s="27" t="s">
        <v>1093</v>
      </c>
      <c r="H206" s="27" t="s">
        <v>54</v>
      </c>
      <c r="I206" s="27" t="s">
        <v>55</v>
      </c>
      <c r="J206" s="27" t="s">
        <v>393</v>
      </c>
      <c r="K206" s="27" t="s">
        <v>371</v>
      </c>
      <c r="L206" s="27" t="s">
        <v>371</v>
      </c>
      <c r="M206" s="27" t="s">
        <v>371</v>
      </c>
      <c r="N206" s="27" t="s">
        <v>371</v>
      </c>
      <c r="O206" s="27" t="s">
        <v>371</v>
      </c>
      <c r="P206" s="27" t="s">
        <v>371</v>
      </c>
      <c r="Q206" s="27" t="s">
        <v>372</v>
      </c>
      <c r="R206" s="45">
        <v>493360.24</v>
      </c>
      <c r="S206" s="45">
        <v>493360.24</v>
      </c>
      <c r="T206" s="45">
        <v>493360.24</v>
      </c>
      <c r="U206" s="45">
        <v>493360.24</v>
      </c>
      <c r="V206" s="45">
        <v>493360.24</v>
      </c>
      <c r="W206" s="45">
        <v>493360.24</v>
      </c>
      <c r="X206" s="45">
        <v>493360.24</v>
      </c>
      <c r="Y206" s="45">
        <v>493360.24</v>
      </c>
      <c r="Z206" s="45">
        <v>493360.24</v>
      </c>
      <c r="AA206" s="45">
        <v>493360.24</v>
      </c>
      <c r="AB206" s="45">
        <v>493360.24</v>
      </c>
      <c r="AC206" s="45">
        <v>493360.24</v>
      </c>
      <c r="AD206" s="45">
        <v>493360.24</v>
      </c>
      <c r="AE206" s="45">
        <v>493360.24</v>
      </c>
      <c r="AF206" s="45">
        <v>493360.24</v>
      </c>
      <c r="AG206" s="45">
        <v>0</v>
      </c>
      <c r="AH206" s="45"/>
      <c r="AI206" s="45"/>
      <c r="AJ206" s="45"/>
      <c r="AK206" s="45"/>
      <c r="AL206" s="45"/>
      <c r="AM206" s="45"/>
      <c r="AN206" s="45"/>
      <c r="AO206" s="45"/>
    </row>
    <row r="207" spans="2:41" outlineLevel="1" x14ac:dyDescent="0.35">
      <c r="B207" s="27" t="s">
        <v>600</v>
      </c>
      <c r="C207" s="27" t="s">
        <v>51</v>
      </c>
      <c r="D207" s="27" t="s">
        <v>1553</v>
      </c>
      <c r="E207" s="27" t="s">
        <v>51</v>
      </c>
      <c r="F207" s="27" t="s">
        <v>432</v>
      </c>
      <c r="G207" s="27" t="s">
        <v>601</v>
      </c>
      <c r="H207" s="27" t="s">
        <v>54</v>
      </c>
      <c r="I207" s="27" t="s">
        <v>142</v>
      </c>
      <c r="J207" s="27" t="s">
        <v>143</v>
      </c>
      <c r="K207" s="27" t="s">
        <v>371</v>
      </c>
      <c r="L207" s="27" t="s">
        <v>371</v>
      </c>
      <c r="M207" s="27" t="s">
        <v>371</v>
      </c>
      <c r="N207" s="27" t="s">
        <v>371</v>
      </c>
      <c r="O207" s="27" t="s">
        <v>371</v>
      </c>
      <c r="P207" s="27" t="s">
        <v>371</v>
      </c>
      <c r="Q207" s="27" t="s">
        <v>372</v>
      </c>
      <c r="R207" s="45">
        <v>0</v>
      </c>
      <c r="S207" s="45">
        <v>0</v>
      </c>
      <c r="T207" s="45">
        <v>0</v>
      </c>
      <c r="U207" s="45">
        <v>0</v>
      </c>
      <c r="V207" s="45">
        <v>0</v>
      </c>
      <c r="W207" s="45">
        <v>0</v>
      </c>
      <c r="X207" s="45">
        <v>0</v>
      </c>
      <c r="Y207" s="45">
        <v>0</v>
      </c>
      <c r="Z207" s="45">
        <v>0</v>
      </c>
      <c r="AA207" s="45">
        <v>0</v>
      </c>
      <c r="AB207" s="45">
        <v>0</v>
      </c>
      <c r="AC207" s="45">
        <v>0</v>
      </c>
      <c r="AD207" s="45">
        <v>0</v>
      </c>
      <c r="AE207" s="45">
        <v>0</v>
      </c>
      <c r="AF207" s="45">
        <v>0</v>
      </c>
      <c r="AG207" s="45">
        <v>0</v>
      </c>
      <c r="AH207" s="45"/>
      <c r="AI207" s="45"/>
      <c r="AJ207" s="45"/>
      <c r="AK207" s="45"/>
      <c r="AL207" s="45"/>
      <c r="AM207" s="45"/>
      <c r="AN207" s="45"/>
      <c r="AO207" s="45"/>
    </row>
    <row r="208" spans="2:41" outlineLevel="1" x14ac:dyDescent="0.35">
      <c r="B208" s="27" t="s">
        <v>602</v>
      </c>
      <c r="C208" s="27" t="s">
        <v>51</v>
      </c>
      <c r="D208" s="27" t="s">
        <v>1554</v>
      </c>
      <c r="E208" s="27" t="s">
        <v>51</v>
      </c>
      <c r="F208" s="27" t="s">
        <v>501</v>
      </c>
      <c r="G208" s="27" t="s">
        <v>603</v>
      </c>
      <c r="H208" s="27" t="s">
        <v>447</v>
      </c>
      <c r="I208" s="27" t="s">
        <v>440</v>
      </c>
      <c r="J208" s="27" t="s">
        <v>448</v>
      </c>
      <c r="K208" s="27" t="s">
        <v>476</v>
      </c>
      <c r="L208" s="27" t="s">
        <v>502</v>
      </c>
      <c r="M208" s="27" t="s">
        <v>502</v>
      </c>
      <c r="N208" s="27" t="s">
        <v>488</v>
      </c>
      <c r="O208" s="27" t="s">
        <v>480</v>
      </c>
      <c r="P208" s="27" t="s">
        <v>480</v>
      </c>
      <c r="Q208" s="27" t="s">
        <v>372</v>
      </c>
      <c r="R208" s="45">
        <v>0</v>
      </c>
      <c r="S208" s="45">
        <v>0</v>
      </c>
      <c r="T208" s="45">
        <v>0</v>
      </c>
      <c r="U208" s="45">
        <v>0</v>
      </c>
      <c r="V208" s="45">
        <v>0</v>
      </c>
      <c r="W208" s="45">
        <v>0</v>
      </c>
      <c r="X208" s="45">
        <v>0</v>
      </c>
      <c r="Y208" s="45">
        <v>0</v>
      </c>
      <c r="Z208" s="45">
        <v>0</v>
      </c>
      <c r="AA208" s="45">
        <v>0</v>
      </c>
      <c r="AB208" s="45">
        <v>0</v>
      </c>
      <c r="AC208" s="45">
        <v>0</v>
      </c>
      <c r="AD208" s="45">
        <v>0</v>
      </c>
      <c r="AE208" s="45">
        <v>0</v>
      </c>
      <c r="AF208" s="45">
        <v>0</v>
      </c>
      <c r="AG208" s="45">
        <v>0</v>
      </c>
      <c r="AH208" s="45"/>
      <c r="AI208" s="45"/>
      <c r="AJ208" s="45"/>
      <c r="AK208" s="45"/>
      <c r="AL208" s="45"/>
      <c r="AM208" s="45"/>
      <c r="AN208" s="45"/>
      <c r="AO208" s="45"/>
    </row>
    <row r="209" spans="2:41" outlineLevel="1" x14ac:dyDescent="0.35">
      <c r="B209" s="27" t="s">
        <v>604</v>
      </c>
      <c r="C209" s="27" t="s">
        <v>51</v>
      </c>
      <c r="D209" s="27" t="s">
        <v>1555</v>
      </c>
      <c r="E209" s="27" t="s">
        <v>51</v>
      </c>
      <c r="F209" s="27" t="s">
        <v>369</v>
      </c>
      <c r="G209" s="27" t="s">
        <v>605</v>
      </c>
      <c r="H209" s="27" t="s">
        <v>54</v>
      </c>
      <c r="I209" s="27" t="s">
        <v>55</v>
      </c>
      <c r="J209" s="27" t="s">
        <v>370</v>
      </c>
      <c r="K209" s="27" t="s">
        <v>371</v>
      </c>
      <c r="L209" s="27" t="s">
        <v>371</v>
      </c>
      <c r="M209" s="27" t="s">
        <v>371</v>
      </c>
      <c r="N209" s="27" t="s">
        <v>371</v>
      </c>
      <c r="O209" s="27" t="s">
        <v>371</v>
      </c>
      <c r="P209" s="27" t="s">
        <v>371</v>
      </c>
      <c r="Q209" s="27" t="s">
        <v>372</v>
      </c>
      <c r="R209" s="45">
        <v>0</v>
      </c>
      <c r="S209" s="45">
        <v>0</v>
      </c>
      <c r="T209" s="45">
        <v>0</v>
      </c>
      <c r="U209" s="45">
        <v>0</v>
      </c>
      <c r="V209" s="45">
        <v>0</v>
      </c>
      <c r="W209" s="45">
        <v>0</v>
      </c>
      <c r="X209" s="45">
        <v>0</v>
      </c>
      <c r="Y209" s="45">
        <v>0</v>
      </c>
      <c r="Z209" s="45">
        <v>0</v>
      </c>
      <c r="AA209" s="45">
        <v>0</v>
      </c>
      <c r="AB209" s="45">
        <v>0</v>
      </c>
      <c r="AC209" s="45">
        <v>0</v>
      </c>
      <c r="AD209" s="45">
        <v>0</v>
      </c>
      <c r="AE209" s="45">
        <v>0</v>
      </c>
      <c r="AF209" s="45">
        <v>0</v>
      </c>
      <c r="AG209" s="45">
        <v>0</v>
      </c>
      <c r="AH209" s="45"/>
      <c r="AI209" s="45"/>
      <c r="AJ209" s="45"/>
      <c r="AK209" s="45"/>
      <c r="AL209" s="45"/>
      <c r="AM209" s="45"/>
      <c r="AN209" s="45"/>
      <c r="AO209" s="45"/>
    </row>
    <row r="210" spans="2:41" outlineLevel="1" x14ac:dyDescent="0.35">
      <c r="B210" s="27" t="s">
        <v>606</v>
      </c>
      <c r="C210" s="27" t="s">
        <v>51</v>
      </c>
      <c r="D210" s="27" t="s">
        <v>1556</v>
      </c>
      <c r="E210" s="27" t="s">
        <v>51</v>
      </c>
      <c r="F210" s="27" t="s">
        <v>369</v>
      </c>
      <c r="G210" s="27" t="s">
        <v>607</v>
      </c>
      <c r="H210" s="27" t="s">
        <v>54</v>
      </c>
      <c r="I210" s="27" t="s">
        <v>55</v>
      </c>
      <c r="J210" s="27" t="s">
        <v>370</v>
      </c>
      <c r="K210" s="27" t="s">
        <v>371</v>
      </c>
      <c r="L210" s="27" t="s">
        <v>371</v>
      </c>
      <c r="M210" s="27" t="s">
        <v>371</v>
      </c>
      <c r="N210" s="27" t="s">
        <v>371</v>
      </c>
      <c r="O210" s="27" t="s">
        <v>371</v>
      </c>
      <c r="P210" s="27" t="s">
        <v>371</v>
      </c>
      <c r="Q210" s="27" t="s">
        <v>372</v>
      </c>
      <c r="R210" s="45">
        <v>0</v>
      </c>
      <c r="S210" s="45">
        <v>0</v>
      </c>
      <c r="T210" s="45">
        <v>0</v>
      </c>
      <c r="U210" s="45">
        <v>0</v>
      </c>
      <c r="V210" s="45">
        <v>0</v>
      </c>
      <c r="W210" s="45">
        <v>0</v>
      </c>
      <c r="X210" s="45">
        <v>0</v>
      </c>
      <c r="Y210" s="45">
        <v>0</v>
      </c>
      <c r="Z210" s="45">
        <v>0</v>
      </c>
      <c r="AA210" s="45">
        <v>0</v>
      </c>
      <c r="AB210" s="45">
        <v>0</v>
      </c>
      <c r="AC210" s="45">
        <v>0</v>
      </c>
      <c r="AD210" s="45">
        <v>0</v>
      </c>
      <c r="AE210" s="45">
        <v>0</v>
      </c>
      <c r="AF210" s="45">
        <v>0</v>
      </c>
      <c r="AG210" s="45">
        <v>0</v>
      </c>
      <c r="AH210" s="45"/>
      <c r="AI210" s="45"/>
      <c r="AJ210" s="45"/>
      <c r="AK210" s="45"/>
      <c r="AL210" s="45"/>
      <c r="AM210" s="45"/>
      <c r="AN210" s="45"/>
      <c r="AO210" s="45"/>
    </row>
    <row r="211" spans="2:41" outlineLevel="1" x14ac:dyDescent="0.35">
      <c r="B211" s="27" t="s">
        <v>1276</v>
      </c>
      <c r="C211" s="27" t="s">
        <v>51</v>
      </c>
      <c r="D211" s="27" t="s">
        <v>1855</v>
      </c>
      <c r="E211" s="27" t="s">
        <v>51</v>
      </c>
      <c r="F211" s="27" t="s">
        <v>608</v>
      </c>
      <c r="G211" s="27" t="s">
        <v>1557</v>
      </c>
      <c r="H211" s="27" t="s">
        <v>54</v>
      </c>
      <c r="I211" s="27" t="s">
        <v>55</v>
      </c>
      <c r="J211" s="27" t="s">
        <v>379</v>
      </c>
      <c r="K211" s="27" t="s">
        <v>371</v>
      </c>
      <c r="L211" s="27" t="s">
        <v>371</v>
      </c>
      <c r="M211" s="27" t="s">
        <v>371</v>
      </c>
      <c r="N211" s="27" t="s">
        <v>371</v>
      </c>
      <c r="O211" s="27" t="s">
        <v>371</v>
      </c>
      <c r="P211" s="27" t="s">
        <v>371</v>
      </c>
      <c r="Q211" s="27" t="s">
        <v>372</v>
      </c>
      <c r="R211" s="45">
        <v>1790052.45</v>
      </c>
      <c r="S211" s="45">
        <v>1790052.45</v>
      </c>
      <c r="T211" s="45">
        <v>1790052.45</v>
      </c>
      <c r="U211" s="45">
        <v>1790052.45</v>
      </c>
      <c r="V211" s="45">
        <v>4509484.67</v>
      </c>
      <c r="W211" s="45">
        <v>4509484.67</v>
      </c>
      <c r="X211" s="45">
        <v>4509484.67</v>
      </c>
      <c r="Y211" s="45">
        <v>4509484.67</v>
      </c>
      <c r="Z211" s="45">
        <v>4509484.67</v>
      </c>
      <c r="AA211" s="45">
        <v>4509484.67</v>
      </c>
      <c r="AB211" s="45">
        <v>4509484.67</v>
      </c>
      <c r="AC211" s="45">
        <v>12535064.07</v>
      </c>
      <c r="AD211" s="45">
        <v>4509484.67</v>
      </c>
      <c r="AE211" s="45">
        <v>4509484.67</v>
      </c>
      <c r="AF211" s="45">
        <v>12535064.07</v>
      </c>
      <c r="AG211" s="45">
        <v>12535064.07</v>
      </c>
      <c r="AH211" s="45"/>
      <c r="AI211" s="45"/>
      <c r="AJ211" s="45"/>
      <c r="AK211" s="45"/>
      <c r="AL211" s="45"/>
      <c r="AM211" s="45"/>
      <c r="AN211" s="45"/>
      <c r="AO211" s="45"/>
    </row>
    <row r="212" spans="2:41" outlineLevel="1" x14ac:dyDescent="0.35">
      <c r="B212" s="27" t="s">
        <v>1277</v>
      </c>
      <c r="C212" s="27" t="s">
        <v>51</v>
      </c>
      <c r="D212" s="27" t="s">
        <v>1856</v>
      </c>
      <c r="E212" s="27" t="s">
        <v>51</v>
      </c>
      <c r="F212" s="27" t="s">
        <v>609</v>
      </c>
      <c r="G212" s="27" t="s">
        <v>1558</v>
      </c>
      <c r="H212" s="27" t="s">
        <v>54</v>
      </c>
      <c r="I212" s="27" t="s">
        <v>55</v>
      </c>
      <c r="J212" s="27" t="s">
        <v>379</v>
      </c>
      <c r="K212" s="27" t="s">
        <v>371</v>
      </c>
      <c r="L212" s="27" t="s">
        <v>371</v>
      </c>
      <c r="M212" s="27" t="s">
        <v>371</v>
      </c>
      <c r="N212" s="27" t="s">
        <v>371</v>
      </c>
      <c r="O212" s="27" t="s">
        <v>371</v>
      </c>
      <c r="P212" s="27" t="s">
        <v>371</v>
      </c>
      <c r="Q212" s="27" t="s">
        <v>372</v>
      </c>
      <c r="R212" s="45">
        <v>662982.39</v>
      </c>
      <c r="S212" s="45">
        <v>662982.39</v>
      </c>
      <c r="T212" s="45">
        <v>662982.39</v>
      </c>
      <c r="U212" s="45">
        <v>662982.39</v>
      </c>
      <c r="V212" s="45">
        <v>1670179.73</v>
      </c>
      <c r="W212" s="45">
        <v>1670179.73</v>
      </c>
      <c r="X212" s="45">
        <v>1670179.73</v>
      </c>
      <c r="Y212" s="45">
        <v>1670179.73</v>
      </c>
      <c r="Z212" s="45">
        <v>1670179.73</v>
      </c>
      <c r="AA212" s="45">
        <v>1670179.73</v>
      </c>
      <c r="AB212" s="45">
        <v>1670179.73</v>
      </c>
      <c r="AC212" s="45">
        <v>4642616.32</v>
      </c>
      <c r="AD212" s="45">
        <v>1670179.73</v>
      </c>
      <c r="AE212" s="45">
        <v>1670179.73</v>
      </c>
      <c r="AF212" s="45">
        <v>4642616.32</v>
      </c>
      <c r="AG212" s="45">
        <v>4642616.32</v>
      </c>
      <c r="AH212" s="45"/>
      <c r="AI212" s="45"/>
      <c r="AJ212" s="45"/>
      <c r="AK212" s="45"/>
      <c r="AL212" s="45"/>
      <c r="AM212" s="45"/>
      <c r="AN212" s="45"/>
      <c r="AO212" s="45"/>
    </row>
    <row r="213" spans="2:41" outlineLevel="1" x14ac:dyDescent="0.35">
      <c r="B213" s="27" t="s">
        <v>1278</v>
      </c>
      <c r="C213" s="27" t="s">
        <v>51</v>
      </c>
      <c r="D213" s="27" t="s">
        <v>1857</v>
      </c>
      <c r="E213" s="27" t="s">
        <v>51</v>
      </c>
      <c r="F213" s="27" t="s">
        <v>539</v>
      </c>
      <c r="G213" s="27" t="s">
        <v>1559</v>
      </c>
      <c r="H213" s="27" t="s">
        <v>447</v>
      </c>
      <c r="I213" s="27" t="s">
        <v>440</v>
      </c>
      <c r="J213" s="27" t="s">
        <v>448</v>
      </c>
      <c r="K213" s="27" t="s">
        <v>476</v>
      </c>
      <c r="L213" s="27" t="s">
        <v>542</v>
      </c>
      <c r="M213" s="27" t="s">
        <v>542</v>
      </c>
      <c r="N213" s="27" t="s">
        <v>541</v>
      </c>
      <c r="O213" s="27" t="s">
        <v>480</v>
      </c>
      <c r="P213" s="27" t="s">
        <v>480</v>
      </c>
      <c r="Q213" s="27" t="s">
        <v>372</v>
      </c>
      <c r="R213" s="45">
        <v>0</v>
      </c>
      <c r="S213" s="45">
        <v>0</v>
      </c>
      <c r="T213" s="45">
        <v>37500</v>
      </c>
      <c r="U213" s="45">
        <v>50000</v>
      </c>
      <c r="V213" s="45">
        <v>61900</v>
      </c>
      <c r="W213" s="45">
        <v>72400</v>
      </c>
      <c r="X213" s="45">
        <v>82900</v>
      </c>
      <c r="Y213" s="45">
        <v>113960.01</v>
      </c>
      <c r="Z213" s="45">
        <v>118226.51</v>
      </c>
      <c r="AA213" s="45">
        <v>223226.51</v>
      </c>
      <c r="AB213" s="45">
        <v>223226.51</v>
      </c>
      <c r="AC213" s="45">
        <v>223226.51</v>
      </c>
      <c r="AD213" s="45">
        <v>0</v>
      </c>
      <c r="AE213" s="45">
        <v>383000</v>
      </c>
      <c r="AF213" s="45">
        <v>383000</v>
      </c>
      <c r="AG213" s="45">
        <v>399875</v>
      </c>
      <c r="AH213" s="45"/>
      <c r="AI213" s="45"/>
      <c r="AJ213" s="45"/>
      <c r="AK213" s="45"/>
      <c r="AL213" s="45"/>
      <c r="AM213" s="45"/>
      <c r="AN213" s="45"/>
      <c r="AO213" s="45"/>
    </row>
    <row r="214" spans="2:41" outlineLevel="1" x14ac:dyDescent="0.35">
      <c r="B214" s="27" t="s">
        <v>610</v>
      </c>
      <c r="C214" s="27" t="s">
        <v>51</v>
      </c>
      <c r="D214" s="27" t="s">
        <v>1560</v>
      </c>
      <c r="E214" s="27" t="s">
        <v>51</v>
      </c>
      <c r="F214" s="27" t="s">
        <v>377</v>
      </c>
      <c r="G214" s="27" t="s">
        <v>611</v>
      </c>
      <c r="H214" s="27" t="s">
        <v>54</v>
      </c>
      <c r="I214" s="27" t="s">
        <v>55</v>
      </c>
      <c r="J214" s="27" t="s">
        <v>56</v>
      </c>
      <c r="K214" s="27" t="s">
        <v>371</v>
      </c>
      <c r="L214" s="27" t="s">
        <v>371</v>
      </c>
      <c r="M214" s="27" t="s">
        <v>371</v>
      </c>
      <c r="N214" s="27" t="s">
        <v>371</v>
      </c>
      <c r="O214" s="27" t="s">
        <v>371</v>
      </c>
      <c r="P214" s="27" t="s">
        <v>371</v>
      </c>
      <c r="Q214" s="27" t="s">
        <v>372</v>
      </c>
      <c r="R214" s="45">
        <v>0</v>
      </c>
      <c r="S214" s="45">
        <v>0</v>
      </c>
      <c r="T214" s="45">
        <v>963.09000000000015</v>
      </c>
      <c r="U214" s="45">
        <v>963.08999999999651</v>
      </c>
      <c r="V214" s="45">
        <v>963.09000000000015</v>
      </c>
      <c r="W214" s="45">
        <v>963.09000000000015</v>
      </c>
      <c r="X214" s="45">
        <v>963.09</v>
      </c>
      <c r="Y214" s="45">
        <v>963.09</v>
      </c>
      <c r="Z214" s="45">
        <v>963.08999999999651</v>
      </c>
      <c r="AA214" s="45">
        <v>0</v>
      </c>
      <c r="AB214" s="45">
        <v>0</v>
      </c>
      <c r="AC214" s="45">
        <v>0</v>
      </c>
      <c r="AD214" s="45">
        <v>0</v>
      </c>
      <c r="AE214" s="45">
        <v>0</v>
      </c>
      <c r="AF214" s="45">
        <v>0</v>
      </c>
      <c r="AG214" s="45">
        <v>0</v>
      </c>
      <c r="AH214" s="45"/>
      <c r="AI214" s="45"/>
      <c r="AJ214" s="45"/>
      <c r="AK214" s="45"/>
      <c r="AL214" s="45"/>
      <c r="AM214" s="45"/>
      <c r="AN214" s="45"/>
      <c r="AO214" s="45"/>
    </row>
    <row r="215" spans="2:41" outlineLevel="1" x14ac:dyDescent="0.35">
      <c r="B215" s="27" t="s">
        <v>1279</v>
      </c>
      <c r="C215" s="27" t="s">
        <v>51</v>
      </c>
      <c r="D215" s="27" t="s">
        <v>1858</v>
      </c>
      <c r="E215" s="27" t="s">
        <v>51</v>
      </c>
      <c r="F215" s="27" t="s">
        <v>501</v>
      </c>
      <c r="G215" s="27" t="s">
        <v>1561</v>
      </c>
      <c r="H215" s="27" t="s">
        <v>447</v>
      </c>
      <c r="I215" s="27" t="s">
        <v>440</v>
      </c>
      <c r="J215" s="27" t="s">
        <v>448</v>
      </c>
      <c r="K215" s="27" t="s">
        <v>476</v>
      </c>
      <c r="L215" s="27" t="s">
        <v>492</v>
      </c>
      <c r="M215" s="27" t="s">
        <v>1763</v>
      </c>
      <c r="N215" s="27" t="s">
        <v>1763</v>
      </c>
      <c r="O215" s="27" t="s">
        <v>480</v>
      </c>
      <c r="P215" s="27" t="s">
        <v>480</v>
      </c>
      <c r="Q215" s="27" t="s">
        <v>372</v>
      </c>
      <c r="R215" s="45">
        <v>187866.2</v>
      </c>
      <c r="S215" s="45">
        <v>378916.2</v>
      </c>
      <c r="T215" s="45">
        <v>605726.71</v>
      </c>
      <c r="U215" s="45">
        <v>776944.11</v>
      </c>
      <c r="V215" s="45">
        <v>948161.51</v>
      </c>
      <c r="W215" s="45">
        <v>1119378.9100000001</v>
      </c>
      <c r="X215" s="45">
        <v>1290596.31</v>
      </c>
      <c r="Y215" s="45">
        <v>1461813.71</v>
      </c>
      <c r="Z215" s="45">
        <v>1639031.1099999999</v>
      </c>
      <c r="AA215" s="45">
        <v>1810248.51</v>
      </c>
      <c r="AB215" s="45">
        <v>1981465.9100000001</v>
      </c>
      <c r="AC215" s="45">
        <v>2152683.31</v>
      </c>
      <c r="AD215" s="45">
        <v>173687.4</v>
      </c>
      <c r="AE215" s="45">
        <v>347374.8</v>
      </c>
      <c r="AF215" s="45">
        <v>536812.19999999995</v>
      </c>
      <c r="AG215" s="45">
        <v>647499.6</v>
      </c>
      <c r="AH215" s="45"/>
      <c r="AI215" s="45"/>
      <c r="AJ215" s="45"/>
      <c r="AK215" s="45"/>
      <c r="AL215" s="45"/>
      <c r="AM215" s="45"/>
      <c r="AN215" s="45"/>
      <c r="AO215" s="45"/>
    </row>
    <row r="216" spans="2:41" outlineLevel="1" x14ac:dyDescent="0.35">
      <c r="B216" s="27" t="s">
        <v>1280</v>
      </c>
      <c r="C216" s="27" t="s">
        <v>51</v>
      </c>
      <c r="D216" s="27" t="s">
        <v>1859</v>
      </c>
      <c r="E216" s="27" t="s">
        <v>51</v>
      </c>
      <c r="F216" s="27" t="s">
        <v>512</v>
      </c>
      <c r="G216" s="27" t="s">
        <v>1562</v>
      </c>
      <c r="H216" s="27" t="s">
        <v>447</v>
      </c>
      <c r="I216" s="27" t="s">
        <v>440</v>
      </c>
      <c r="J216" s="27" t="s">
        <v>448</v>
      </c>
      <c r="K216" s="27" t="s">
        <v>491</v>
      </c>
      <c r="L216" s="27" t="s">
        <v>521</v>
      </c>
      <c r="M216" s="27" t="s">
        <v>521</v>
      </c>
      <c r="N216" s="27" t="s">
        <v>521</v>
      </c>
      <c r="O216" s="27" t="s">
        <v>491</v>
      </c>
      <c r="P216" s="27" t="s">
        <v>491</v>
      </c>
      <c r="Q216" s="27" t="s">
        <v>372</v>
      </c>
      <c r="R216" s="45">
        <v>343325.26</v>
      </c>
      <c r="S216" s="45">
        <v>814932.38</v>
      </c>
      <c r="T216" s="45">
        <v>1641528.05</v>
      </c>
      <c r="U216" s="45">
        <v>2564389.31</v>
      </c>
      <c r="V216" s="45">
        <v>3352518.6100000003</v>
      </c>
      <c r="W216" s="45">
        <v>3818903.1999999997</v>
      </c>
      <c r="X216" s="45">
        <v>6644129.6100000003</v>
      </c>
      <c r="Y216" s="45">
        <v>8358006.4400000004</v>
      </c>
      <c r="Z216" s="45">
        <v>11684808.18</v>
      </c>
      <c r="AA216" s="45">
        <v>15249031.630000001</v>
      </c>
      <c r="AB216" s="45">
        <v>18870539.5</v>
      </c>
      <c r="AC216" s="45">
        <v>21289339.18</v>
      </c>
      <c r="AD216" s="45">
        <v>3752882.27</v>
      </c>
      <c r="AE216" s="45">
        <v>8510755.4000000004</v>
      </c>
      <c r="AF216" s="45">
        <v>15570009.619999999</v>
      </c>
      <c r="AG216" s="45">
        <v>20353417.620000001</v>
      </c>
      <c r="AH216" s="45"/>
      <c r="AI216" s="45"/>
      <c r="AJ216" s="45"/>
      <c r="AK216" s="45"/>
      <c r="AL216" s="45"/>
      <c r="AM216" s="45"/>
      <c r="AN216" s="45"/>
      <c r="AO216" s="45"/>
    </row>
    <row r="217" spans="2:41" outlineLevel="1" x14ac:dyDescent="0.35">
      <c r="B217" s="27" t="s">
        <v>1281</v>
      </c>
      <c r="C217" s="27" t="s">
        <v>51</v>
      </c>
      <c r="D217" s="27" t="s">
        <v>1860</v>
      </c>
      <c r="E217" s="27" t="s">
        <v>51</v>
      </c>
      <c r="F217" s="27" t="s">
        <v>501</v>
      </c>
      <c r="G217" s="27" t="s">
        <v>1563</v>
      </c>
      <c r="H217" s="27" t="s">
        <v>447</v>
      </c>
      <c r="I217" s="27" t="s">
        <v>440</v>
      </c>
      <c r="J217" s="27" t="s">
        <v>448</v>
      </c>
      <c r="K217" s="27" t="s">
        <v>476</v>
      </c>
      <c r="L217" s="27" t="s">
        <v>502</v>
      </c>
      <c r="M217" s="27" t="s">
        <v>502</v>
      </c>
      <c r="N217" s="27" t="s">
        <v>502</v>
      </c>
      <c r="O217" s="27" t="s">
        <v>480</v>
      </c>
      <c r="P217" s="27" t="s">
        <v>480</v>
      </c>
      <c r="Q217" s="27" t="s">
        <v>372</v>
      </c>
      <c r="R217" s="45">
        <v>196.16</v>
      </c>
      <c r="S217" s="45">
        <v>392.32</v>
      </c>
      <c r="T217" s="45">
        <v>392.32</v>
      </c>
      <c r="U217" s="45">
        <v>392.32</v>
      </c>
      <c r="V217" s="45">
        <v>392.32</v>
      </c>
      <c r="W217" s="45">
        <v>1178.03</v>
      </c>
      <c r="X217" s="45">
        <v>1178.03</v>
      </c>
      <c r="Y217" s="45">
        <v>1178.03</v>
      </c>
      <c r="Z217" s="45">
        <v>7525.8099999999995</v>
      </c>
      <c r="AA217" s="45">
        <v>7525.81</v>
      </c>
      <c r="AB217" s="45">
        <v>7525.81</v>
      </c>
      <c r="AC217" s="45">
        <v>7525.81</v>
      </c>
      <c r="AD217" s="45">
        <v>0</v>
      </c>
      <c r="AE217" s="45">
        <v>215.42</v>
      </c>
      <c r="AF217" s="45">
        <v>532.5</v>
      </c>
      <c r="AG217" s="45">
        <v>532.5</v>
      </c>
      <c r="AH217" s="45"/>
      <c r="AI217" s="45"/>
      <c r="AJ217" s="45"/>
      <c r="AK217" s="45"/>
      <c r="AL217" s="45"/>
      <c r="AM217" s="45"/>
      <c r="AN217" s="45"/>
      <c r="AO217" s="45"/>
    </row>
    <row r="218" spans="2:41" outlineLevel="1" x14ac:dyDescent="0.35">
      <c r="B218" s="27" t="s">
        <v>1282</v>
      </c>
      <c r="C218" s="27" t="s">
        <v>51</v>
      </c>
      <c r="D218" s="27" t="s">
        <v>1861</v>
      </c>
      <c r="E218" s="27" t="s">
        <v>51</v>
      </c>
      <c r="F218" s="27" t="s">
        <v>474</v>
      </c>
      <c r="G218" s="27" t="s">
        <v>1564</v>
      </c>
      <c r="H218" s="27" t="s">
        <v>447</v>
      </c>
      <c r="I218" s="27" t="s">
        <v>440</v>
      </c>
      <c r="J218" s="27" t="s">
        <v>448</v>
      </c>
      <c r="K218" s="27" t="s">
        <v>476</v>
      </c>
      <c r="L218" s="27" t="s">
        <v>492</v>
      </c>
      <c r="M218" s="27" t="s">
        <v>612</v>
      </c>
      <c r="N218" s="27" t="s">
        <v>612</v>
      </c>
      <c r="O218" s="27" t="s">
        <v>480</v>
      </c>
      <c r="P218" s="27" t="s">
        <v>480</v>
      </c>
      <c r="Q218" s="27" t="s">
        <v>372</v>
      </c>
      <c r="R218" s="45">
        <v>24834</v>
      </c>
      <c r="S218" s="45">
        <v>49668</v>
      </c>
      <c r="T218" s="45">
        <v>74502</v>
      </c>
      <c r="U218" s="45">
        <v>99336</v>
      </c>
      <c r="V218" s="45">
        <v>124170</v>
      </c>
      <c r="W218" s="45">
        <v>149004</v>
      </c>
      <c r="X218" s="45">
        <v>173838</v>
      </c>
      <c r="Y218" s="45">
        <v>198672</v>
      </c>
      <c r="Z218" s="45">
        <v>223506</v>
      </c>
      <c r="AA218" s="45">
        <v>248340</v>
      </c>
      <c r="AB218" s="45">
        <v>273174</v>
      </c>
      <c r="AC218" s="45">
        <v>298008</v>
      </c>
      <c r="AD218" s="45">
        <v>24834</v>
      </c>
      <c r="AE218" s="45">
        <v>49668</v>
      </c>
      <c r="AF218" s="45">
        <v>74502</v>
      </c>
      <c r="AG218" s="45">
        <v>99336</v>
      </c>
      <c r="AH218" s="45"/>
      <c r="AI218" s="45"/>
      <c r="AJ218" s="45"/>
      <c r="AK218" s="45"/>
      <c r="AL218" s="45"/>
      <c r="AM218" s="45"/>
      <c r="AN218" s="45"/>
      <c r="AO218" s="45"/>
    </row>
    <row r="219" spans="2:41" outlineLevel="1" x14ac:dyDescent="0.35">
      <c r="B219" s="27" t="s">
        <v>614</v>
      </c>
      <c r="C219" s="27" t="s">
        <v>51</v>
      </c>
      <c r="D219" s="27" t="s">
        <v>1565</v>
      </c>
      <c r="E219" s="27" t="s">
        <v>51</v>
      </c>
      <c r="F219" s="27" t="s">
        <v>369</v>
      </c>
      <c r="G219" s="27" t="s">
        <v>615</v>
      </c>
      <c r="H219" s="27" t="s">
        <v>54</v>
      </c>
      <c r="I219" s="27" t="s">
        <v>55</v>
      </c>
      <c r="J219" s="27" t="s">
        <v>370</v>
      </c>
      <c r="K219" s="27" t="s">
        <v>371</v>
      </c>
      <c r="L219" s="27" t="s">
        <v>371</v>
      </c>
      <c r="M219" s="27" t="s">
        <v>371</v>
      </c>
      <c r="N219" s="27" t="s">
        <v>371</v>
      </c>
      <c r="O219" s="27" t="s">
        <v>371</v>
      </c>
      <c r="P219" s="27" t="s">
        <v>371</v>
      </c>
      <c r="Q219" s="27" t="s">
        <v>372</v>
      </c>
      <c r="R219" s="45">
        <v>0</v>
      </c>
      <c r="S219" s="45">
        <v>0</v>
      </c>
      <c r="T219" s="45">
        <v>0</v>
      </c>
      <c r="U219" s="45">
        <v>0</v>
      </c>
      <c r="V219" s="45">
        <v>0</v>
      </c>
      <c r="W219" s="45">
        <v>0</v>
      </c>
      <c r="X219" s="45">
        <v>0</v>
      </c>
      <c r="Y219" s="45">
        <v>0</v>
      </c>
      <c r="Z219" s="45">
        <v>0</v>
      </c>
      <c r="AA219" s="45">
        <v>0</v>
      </c>
      <c r="AB219" s="45">
        <v>0</v>
      </c>
      <c r="AC219" s="45">
        <v>0</v>
      </c>
      <c r="AD219" s="45">
        <v>0</v>
      </c>
      <c r="AE219" s="45">
        <v>0</v>
      </c>
      <c r="AF219" s="45">
        <v>0</v>
      </c>
      <c r="AG219" s="45">
        <v>0</v>
      </c>
      <c r="AH219" s="45"/>
      <c r="AI219" s="45"/>
      <c r="AJ219" s="45"/>
      <c r="AK219" s="45"/>
      <c r="AL219" s="45"/>
      <c r="AM219" s="45"/>
      <c r="AN219" s="45"/>
      <c r="AO219" s="45"/>
    </row>
    <row r="220" spans="2:41" outlineLevel="1" x14ac:dyDescent="0.35">
      <c r="B220" s="27" t="s">
        <v>616</v>
      </c>
      <c r="C220" s="27" t="s">
        <v>51</v>
      </c>
      <c r="D220" s="27" t="s">
        <v>1566</v>
      </c>
      <c r="E220" s="27" t="s">
        <v>51</v>
      </c>
      <c r="F220" s="27" t="s">
        <v>109</v>
      </c>
      <c r="G220" s="27" t="s">
        <v>617</v>
      </c>
      <c r="H220" s="27" t="s">
        <v>54</v>
      </c>
      <c r="I220" s="27" t="s">
        <v>55</v>
      </c>
      <c r="J220" s="27" t="s">
        <v>101</v>
      </c>
      <c r="K220" s="27" t="s">
        <v>371</v>
      </c>
      <c r="L220" s="27" t="s">
        <v>371</v>
      </c>
      <c r="M220" s="27" t="s">
        <v>371</v>
      </c>
      <c r="N220" s="27" t="s">
        <v>371</v>
      </c>
      <c r="O220" s="27" t="s">
        <v>371</v>
      </c>
      <c r="P220" s="27" t="s">
        <v>371</v>
      </c>
      <c r="Q220" s="27" t="s">
        <v>372</v>
      </c>
      <c r="R220" s="45">
        <v>0</v>
      </c>
      <c r="S220" s="45">
        <v>0</v>
      </c>
      <c r="T220" s="45">
        <v>0</v>
      </c>
      <c r="U220" s="45">
        <v>0</v>
      </c>
      <c r="V220" s="45">
        <v>0</v>
      </c>
      <c r="W220" s="45">
        <v>0</v>
      </c>
      <c r="X220" s="45">
        <v>0</v>
      </c>
      <c r="Y220" s="45">
        <v>0</v>
      </c>
      <c r="Z220" s="45">
        <v>0</v>
      </c>
      <c r="AA220" s="45">
        <v>1694.73</v>
      </c>
      <c r="AB220" s="45">
        <v>1694.73</v>
      </c>
      <c r="AC220" s="45">
        <v>1694.73</v>
      </c>
      <c r="AD220" s="45">
        <v>1694.73</v>
      </c>
      <c r="AE220" s="45">
        <v>1694.73</v>
      </c>
      <c r="AF220" s="45">
        <v>0</v>
      </c>
      <c r="AG220" s="45">
        <v>0</v>
      </c>
      <c r="AH220" s="45"/>
      <c r="AI220" s="45"/>
      <c r="AJ220" s="45"/>
      <c r="AK220" s="45"/>
      <c r="AL220" s="45"/>
      <c r="AM220" s="45"/>
      <c r="AN220" s="45"/>
      <c r="AO220" s="45"/>
    </row>
    <row r="221" spans="2:41" outlineLevel="1" x14ac:dyDescent="0.35">
      <c r="B221" s="27" t="s">
        <v>618</v>
      </c>
      <c r="C221" s="27" t="s">
        <v>51</v>
      </c>
      <c r="D221" s="27" t="s">
        <v>1567</v>
      </c>
      <c r="E221" s="27" t="s">
        <v>51</v>
      </c>
      <c r="F221" s="27" t="s">
        <v>195</v>
      </c>
      <c r="G221" s="27" t="s">
        <v>619</v>
      </c>
      <c r="H221" s="27" t="s">
        <v>54</v>
      </c>
      <c r="I221" s="27" t="s">
        <v>142</v>
      </c>
      <c r="J221" s="27" t="s">
        <v>197</v>
      </c>
      <c r="K221" s="27" t="s">
        <v>371</v>
      </c>
      <c r="L221" s="27" t="s">
        <v>371</v>
      </c>
      <c r="M221" s="27" t="s">
        <v>371</v>
      </c>
      <c r="N221" s="27" t="s">
        <v>371</v>
      </c>
      <c r="O221" s="27" t="s">
        <v>371</v>
      </c>
      <c r="P221" s="27" t="s">
        <v>371</v>
      </c>
      <c r="Q221" s="27" t="s">
        <v>372</v>
      </c>
      <c r="R221" s="45">
        <v>-23172.41</v>
      </c>
      <c r="S221" s="45">
        <v>-23172.41</v>
      </c>
      <c r="T221" s="45">
        <v>-23172.41</v>
      </c>
      <c r="U221" s="45">
        <v>-23172.41</v>
      </c>
      <c r="V221" s="45">
        <v>-23172.41</v>
      </c>
      <c r="W221" s="45">
        <v>-47341.25</v>
      </c>
      <c r="X221" s="45">
        <v>0</v>
      </c>
      <c r="Y221" s="45">
        <v>0</v>
      </c>
      <c r="Z221" s="45">
        <v>0</v>
      </c>
      <c r="AA221" s="45">
        <v>0</v>
      </c>
      <c r="AB221" s="45">
        <v>0</v>
      </c>
      <c r="AC221" s="45">
        <v>0</v>
      </c>
      <c r="AD221" s="45">
        <v>0</v>
      </c>
      <c r="AE221" s="45">
        <v>0</v>
      </c>
      <c r="AF221" s="45">
        <v>0</v>
      </c>
      <c r="AG221" s="45">
        <v>0</v>
      </c>
      <c r="AH221" s="45"/>
      <c r="AI221" s="45"/>
      <c r="AJ221" s="45"/>
      <c r="AK221" s="45"/>
      <c r="AL221" s="45"/>
      <c r="AM221" s="45"/>
      <c r="AN221" s="45"/>
      <c r="AO221" s="45"/>
    </row>
    <row r="222" spans="2:41" outlineLevel="1" x14ac:dyDescent="0.35">
      <c r="B222" s="27" t="s">
        <v>1283</v>
      </c>
      <c r="C222" s="27" t="s">
        <v>51</v>
      </c>
      <c r="D222" s="27" t="s">
        <v>1862</v>
      </c>
      <c r="E222" s="27" t="s">
        <v>51</v>
      </c>
      <c r="F222" s="27" t="s">
        <v>587</v>
      </c>
      <c r="G222" s="27" t="s">
        <v>1568</v>
      </c>
      <c r="H222" s="27" t="s">
        <v>54</v>
      </c>
      <c r="I222" s="27" t="s">
        <v>142</v>
      </c>
      <c r="J222" s="27" t="s">
        <v>197</v>
      </c>
      <c r="K222" s="27" t="s">
        <v>371</v>
      </c>
      <c r="L222" s="27" t="s">
        <v>371</v>
      </c>
      <c r="M222" s="27" t="s">
        <v>371</v>
      </c>
      <c r="N222" s="27" t="s">
        <v>371</v>
      </c>
      <c r="O222" s="27" t="s">
        <v>371</v>
      </c>
      <c r="P222" s="27" t="s">
        <v>371</v>
      </c>
      <c r="Q222" s="27" t="s">
        <v>372</v>
      </c>
      <c r="R222" s="45">
        <v>-1676882</v>
      </c>
      <c r="S222" s="45">
        <v>-895632</v>
      </c>
      <c r="T222" s="45">
        <v>-880007</v>
      </c>
      <c r="U222" s="45">
        <v>-864382</v>
      </c>
      <c r="V222" s="45">
        <v>-801882</v>
      </c>
      <c r="W222" s="45">
        <v>-786257</v>
      </c>
      <c r="X222" s="45">
        <v>-719289</v>
      </c>
      <c r="Y222" s="45">
        <v>-703664</v>
      </c>
      <c r="Z222" s="45">
        <v>-5044400</v>
      </c>
      <c r="AA222" s="45">
        <v>-5013150</v>
      </c>
      <c r="AB222" s="45">
        <v>-5127525</v>
      </c>
      <c r="AC222" s="45">
        <v>-5377749.2000000002</v>
      </c>
      <c r="AD222" s="45">
        <v>-5101600</v>
      </c>
      <c r="AE222" s="45">
        <v>-7424907</v>
      </c>
      <c r="AF222" s="45">
        <v>-7047554</v>
      </c>
      <c r="AG222" s="45">
        <v>-6878877.4000000004</v>
      </c>
      <c r="AH222" s="45"/>
      <c r="AI222" s="45"/>
      <c r="AJ222" s="45"/>
      <c r="AK222" s="45"/>
      <c r="AL222" s="45"/>
      <c r="AM222" s="45"/>
      <c r="AN222" s="45"/>
      <c r="AO222" s="45"/>
    </row>
    <row r="223" spans="2:41" outlineLevel="1" x14ac:dyDescent="0.35">
      <c r="B223" s="27" t="s">
        <v>620</v>
      </c>
      <c r="C223" s="27" t="s">
        <v>51</v>
      </c>
      <c r="D223" s="27" t="s">
        <v>1569</v>
      </c>
      <c r="E223" s="27" t="s">
        <v>51</v>
      </c>
      <c r="F223" s="27" t="s">
        <v>501</v>
      </c>
      <c r="G223" s="27" t="s">
        <v>613</v>
      </c>
      <c r="H223" s="27" t="s">
        <v>447</v>
      </c>
      <c r="I223" s="27" t="s">
        <v>440</v>
      </c>
      <c r="J223" s="27" t="s">
        <v>448</v>
      </c>
      <c r="K223" s="27" t="s">
        <v>476</v>
      </c>
      <c r="L223" s="27" t="s">
        <v>621</v>
      </c>
      <c r="M223" s="27" t="s">
        <v>621</v>
      </c>
      <c r="N223" s="27" t="s">
        <v>494</v>
      </c>
      <c r="O223" s="27" t="s">
        <v>480</v>
      </c>
      <c r="P223" s="27" t="s">
        <v>480</v>
      </c>
      <c r="Q223" s="27" t="s">
        <v>372</v>
      </c>
      <c r="R223" s="45">
        <v>0</v>
      </c>
      <c r="S223" s="45">
        <v>0</v>
      </c>
      <c r="T223" s="45">
        <v>0</v>
      </c>
      <c r="U223" s="45">
        <v>0</v>
      </c>
      <c r="V223" s="45">
        <v>0</v>
      </c>
      <c r="W223" s="45">
        <v>0</v>
      </c>
      <c r="X223" s="45">
        <v>0</v>
      </c>
      <c r="Y223" s="45">
        <v>0</v>
      </c>
      <c r="Z223" s="45">
        <v>0</v>
      </c>
      <c r="AA223" s="45">
        <v>0</v>
      </c>
      <c r="AB223" s="45">
        <v>0</v>
      </c>
      <c r="AC223" s="45">
        <v>0</v>
      </c>
      <c r="AD223" s="45">
        <v>0</v>
      </c>
      <c r="AE223" s="45">
        <v>0</v>
      </c>
      <c r="AF223" s="45">
        <v>0</v>
      </c>
      <c r="AG223" s="45">
        <v>0</v>
      </c>
      <c r="AH223" s="45"/>
      <c r="AI223" s="45"/>
      <c r="AJ223" s="45"/>
      <c r="AK223" s="45"/>
      <c r="AL223" s="45"/>
      <c r="AM223" s="45"/>
      <c r="AN223" s="45"/>
      <c r="AO223" s="45"/>
    </row>
    <row r="224" spans="2:41" outlineLevel="1" x14ac:dyDescent="0.35">
      <c r="B224" s="27" t="s">
        <v>622</v>
      </c>
      <c r="C224" s="27" t="s">
        <v>51</v>
      </c>
      <c r="D224" s="27" t="s">
        <v>1570</v>
      </c>
      <c r="E224" s="27" t="s">
        <v>51</v>
      </c>
      <c r="F224" s="27" t="s">
        <v>377</v>
      </c>
      <c r="G224" s="27" t="s">
        <v>623</v>
      </c>
      <c r="H224" s="27" t="s">
        <v>54</v>
      </c>
      <c r="I224" s="27" t="s">
        <v>55</v>
      </c>
      <c r="J224" s="27" t="s">
        <v>56</v>
      </c>
      <c r="K224" s="27" t="s">
        <v>371</v>
      </c>
      <c r="L224" s="27" t="s">
        <v>371</v>
      </c>
      <c r="M224" s="27" t="s">
        <v>371</v>
      </c>
      <c r="N224" s="27" t="s">
        <v>371</v>
      </c>
      <c r="O224" s="27" t="s">
        <v>371</v>
      </c>
      <c r="P224" s="27" t="s">
        <v>371</v>
      </c>
      <c r="Q224" s="27" t="s">
        <v>372</v>
      </c>
      <c r="R224" s="45">
        <v>870000</v>
      </c>
      <c r="S224" s="45">
        <v>0</v>
      </c>
      <c r="T224" s="45">
        <v>0</v>
      </c>
      <c r="U224" s="45">
        <v>0</v>
      </c>
      <c r="V224" s="45">
        <v>0</v>
      </c>
      <c r="W224" s="45">
        <v>0</v>
      </c>
      <c r="X224" s="45">
        <v>0</v>
      </c>
      <c r="Y224" s="45">
        <v>0</v>
      </c>
      <c r="Z224" s="45">
        <v>0</v>
      </c>
      <c r="AA224" s="45">
        <v>0</v>
      </c>
      <c r="AB224" s="45">
        <v>0</v>
      </c>
      <c r="AC224" s="45">
        <v>0</v>
      </c>
      <c r="AD224" s="45">
        <v>0</v>
      </c>
      <c r="AE224" s="45">
        <v>0</v>
      </c>
      <c r="AF224" s="45">
        <v>0</v>
      </c>
      <c r="AG224" s="45">
        <v>0</v>
      </c>
      <c r="AH224" s="45"/>
      <c r="AI224" s="45"/>
      <c r="AJ224" s="45"/>
      <c r="AK224" s="45"/>
      <c r="AL224" s="45"/>
      <c r="AM224" s="45"/>
      <c r="AN224" s="45"/>
      <c r="AO224" s="45"/>
    </row>
    <row r="225" spans="2:41" outlineLevel="1" x14ac:dyDescent="0.35">
      <c r="B225" s="27" t="s">
        <v>624</v>
      </c>
      <c r="C225" s="27" t="s">
        <v>51</v>
      </c>
      <c r="D225" s="27" t="s">
        <v>1571</v>
      </c>
      <c r="E225" s="27" t="s">
        <v>51</v>
      </c>
      <c r="F225" s="27" t="s">
        <v>109</v>
      </c>
      <c r="G225" s="27" t="s">
        <v>135</v>
      </c>
      <c r="H225" s="27" t="s">
        <v>54</v>
      </c>
      <c r="I225" s="27" t="s">
        <v>55</v>
      </c>
      <c r="J225" s="27" t="s">
        <v>101</v>
      </c>
      <c r="K225" s="27" t="s">
        <v>371</v>
      </c>
      <c r="L225" s="27" t="s">
        <v>371</v>
      </c>
      <c r="M225" s="27" t="s">
        <v>371</v>
      </c>
      <c r="N225" s="27" t="s">
        <v>371</v>
      </c>
      <c r="O225" s="27" t="s">
        <v>371</v>
      </c>
      <c r="P225" s="27" t="s">
        <v>371</v>
      </c>
      <c r="Q225" s="27" t="s">
        <v>372</v>
      </c>
      <c r="R225" s="45">
        <v>0</v>
      </c>
      <c r="S225" s="45">
        <v>0</v>
      </c>
      <c r="T225" s="45">
        <v>0</v>
      </c>
      <c r="U225" s="45">
        <v>0</v>
      </c>
      <c r="V225" s="45">
        <v>0</v>
      </c>
      <c r="W225" s="45">
        <v>0</v>
      </c>
      <c r="X225" s="45">
        <v>0</v>
      </c>
      <c r="Y225" s="45">
        <v>0</v>
      </c>
      <c r="Z225" s="45">
        <v>0</v>
      </c>
      <c r="AA225" s="45">
        <v>0</v>
      </c>
      <c r="AB225" s="45">
        <v>0</v>
      </c>
      <c r="AC225" s="45">
        <v>0</v>
      </c>
      <c r="AD225" s="45">
        <v>0</v>
      </c>
      <c r="AE225" s="45">
        <v>0</v>
      </c>
      <c r="AF225" s="45">
        <v>0</v>
      </c>
      <c r="AG225" s="45">
        <v>0</v>
      </c>
      <c r="AH225" s="45"/>
      <c r="AI225" s="45"/>
      <c r="AJ225" s="45"/>
      <c r="AK225" s="45"/>
      <c r="AL225" s="45"/>
      <c r="AM225" s="45"/>
      <c r="AN225" s="45"/>
      <c r="AO225" s="45"/>
    </row>
    <row r="226" spans="2:41" outlineLevel="1" x14ac:dyDescent="0.35">
      <c r="B226" s="27" t="s">
        <v>625</v>
      </c>
      <c r="C226" s="27" t="s">
        <v>51</v>
      </c>
      <c r="D226" s="27" t="s">
        <v>1572</v>
      </c>
      <c r="E226" s="27" t="s">
        <v>51</v>
      </c>
      <c r="F226" s="27" t="s">
        <v>587</v>
      </c>
      <c r="G226" s="27" t="s">
        <v>626</v>
      </c>
      <c r="H226" s="27" t="s">
        <v>54</v>
      </c>
      <c r="I226" s="27" t="s">
        <v>142</v>
      </c>
      <c r="J226" s="27" t="s">
        <v>197</v>
      </c>
      <c r="K226" s="27" t="s">
        <v>371</v>
      </c>
      <c r="L226" s="27" t="s">
        <v>371</v>
      </c>
      <c r="M226" s="27" t="s">
        <v>371</v>
      </c>
      <c r="N226" s="27" t="s">
        <v>371</v>
      </c>
      <c r="O226" s="27" t="s">
        <v>371</v>
      </c>
      <c r="P226" s="27" t="s">
        <v>371</v>
      </c>
      <c r="Q226" s="27" t="s">
        <v>372</v>
      </c>
      <c r="R226" s="45">
        <v>-69600</v>
      </c>
      <c r="S226" s="45">
        <v>-69600</v>
      </c>
      <c r="T226" s="45">
        <v>-69600</v>
      </c>
      <c r="U226" s="45">
        <v>-69600</v>
      </c>
      <c r="V226" s="45">
        <v>-69600</v>
      </c>
      <c r="W226" s="45">
        <v>-69600</v>
      </c>
      <c r="X226" s="45">
        <v>-69600</v>
      </c>
      <c r="Y226" s="45">
        <v>0</v>
      </c>
      <c r="Z226" s="45">
        <v>0</v>
      </c>
      <c r="AA226" s="45">
        <v>0</v>
      </c>
      <c r="AB226" s="45">
        <v>0</v>
      </c>
      <c r="AC226" s="45">
        <v>0</v>
      </c>
      <c r="AD226" s="45">
        <v>0</v>
      </c>
      <c r="AE226" s="45">
        <v>0</v>
      </c>
      <c r="AF226" s="45">
        <v>0</v>
      </c>
      <c r="AG226" s="45">
        <v>0</v>
      </c>
      <c r="AH226" s="45"/>
      <c r="AI226" s="45"/>
      <c r="AJ226" s="45"/>
      <c r="AK226" s="45"/>
      <c r="AL226" s="45"/>
      <c r="AM226" s="45"/>
      <c r="AN226" s="45"/>
      <c r="AO226" s="45"/>
    </row>
    <row r="227" spans="2:41" outlineLevel="1" x14ac:dyDescent="0.35">
      <c r="B227" s="27" t="s">
        <v>1284</v>
      </c>
      <c r="C227" s="27" t="s">
        <v>51</v>
      </c>
      <c r="D227" s="27" t="s">
        <v>1863</v>
      </c>
      <c r="E227" s="27" t="s">
        <v>51</v>
      </c>
      <c r="F227" s="27" t="s">
        <v>457</v>
      </c>
      <c r="G227" s="27" t="s">
        <v>1573</v>
      </c>
      <c r="H227" s="27" t="s">
        <v>447</v>
      </c>
      <c r="I227" s="27" t="s">
        <v>440</v>
      </c>
      <c r="J227" s="27" t="s">
        <v>448</v>
      </c>
      <c r="K227" s="27" t="s">
        <v>449</v>
      </c>
      <c r="L227" s="27" t="s">
        <v>1028</v>
      </c>
      <c r="M227" s="27" t="s">
        <v>1028</v>
      </c>
      <c r="N227" s="27" t="s">
        <v>1028</v>
      </c>
      <c r="O227" s="27" t="s">
        <v>449</v>
      </c>
      <c r="P227" s="27" t="s">
        <v>449</v>
      </c>
      <c r="Q227" s="27" t="s">
        <v>372</v>
      </c>
      <c r="R227" s="45">
        <v>0</v>
      </c>
      <c r="S227" s="45">
        <v>-31250</v>
      </c>
      <c r="T227" s="45">
        <v>-46875</v>
      </c>
      <c r="U227" s="45">
        <v>-62500</v>
      </c>
      <c r="V227" s="45">
        <v>-78125</v>
      </c>
      <c r="W227" s="45">
        <v>-93750</v>
      </c>
      <c r="X227" s="45">
        <v>-109375</v>
      </c>
      <c r="Y227" s="45">
        <v>-125000</v>
      </c>
      <c r="Z227" s="45">
        <v>-125000</v>
      </c>
      <c r="AA227" s="45">
        <v>-156250</v>
      </c>
      <c r="AB227" s="45">
        <v>-171875</v>
      </c>
      <c r="AC227" s="45">
        <v>-187500</v>
      </c>
      <c r="AD227" s="45">
        <v>-35625</v>
      </c>
      <c r="AE227" s="45">
        <v>-71250</v>
      </c>
      <c r="AF227" s="45">
        <v>-106875</v>
      </c>
      <c r="AG227" s="45">
        <v>-142500</v>
      </c>
      <c r="AH227" s="45"/>
      <c r="AI227" s="45"/>
      <c r="AJ227" s="45"/>
      <c r="AK227" s="45"/>
      <c r="AL227" s="45"/>
      <c r="AM227" s="45"/>
      <c r="AN227" s="45"/>
      <c r="AO227" s="45"/>
    </row>
    <row r="228" spans="2:41" outlineLevel="1" x14ac:dyDescent="0.35">
      <c r="B228" s="27" t="s">
        <v>1285</v>
      </c>
      <c r="C228" s="27" t="s">
        <v>51</v>
      </c>
      <c r="D228" s="27" t="s">
        <v>1864</v>
      </c>
      <c r="E228" s="27" t="s">
        <v>51</v>
      </c>
      <c r="F228" s="27" t="s">
        <v>501</v>
      </c>
      <c r="G228" s="27" t="s">
        <v>1574</v>
      </c>
      <c r="H228" s="27" t="s">
        <v>447</v>
      </c>
      <c r="I228" s="27" t="s">
        <v>440</v>
      </c>
      <c r="J228" s="27" t="s">
        <v>448</v>
      </c>
      <c r="K228" s="27" t="s">
        <v>476</v>
      </c>
      <c r="L228" s="27" t="s">
        <v>1016</v>
      </c>
      <c r="M228" s="27" t="s">
        <v>1016</v>
      </c>
      <c r="N228" s="27" t="s">
        <v>1016</v>
      </c>
      <c r="O228" s="27" t="s">
        <v>480</v>
      </c>
      <c r="P228" s="27" t="s">
        <v>480</v>
      </c>
      <c r="Q228" s="27" t="s">
        <v>372</v>
      </c>
      <c r="R228" s="45">
        <v>0</v>
      </c>
      <c r="S228" s="45">
        <v>0</v>
      </c>
      <c r="T228" s="45">
        <v>0</v>
      </c>
      <c r="U228" s="45">
        <v>6000</v>
      </c>
      <c r="V228" s="45">
        <v>41000</v>
      </c>
      <c r="W228" s="45">
        <v>41000</v>
      </c>
      <c r="X228" s="45">
        <v>41000</v>
      </c>
      <c r="Y228" s="45">
        <v>41000</v>
      </c>
      <c r="Z228" s="45">
        <v>41000</v>
      </c>
      <c r="AA228" s="45">
        <v>41000</v>
      </c>
      <c r="AB228" s="45">
        <v>41000</v>
      </c>
      <c r="AC228" s="45">
        <v>41000</v>
      </c>
      <c r="AD228" s="45">
        <v>0</v>
      </c>
      <c r="AE228" s="45">
        <v>0</v>
      </c>
      <c r="AF228" s="45">
        <v>45615.93</v>
      </c>
      <c r="AG228" s="45">
        <v>53017.919999999998</v>
      </c>
      <c r="AH228" s="45"/>
      <c r="AI228" s="45"/>
      <c r="AJ228" s="45"/>
      <c r="AK228" s="45"/>
      <c r="AL228" s="45"/>
      <c r="AM228" s="45"/>
      <c r="AN228" s="45"/>
      <c r="AO228" s="45"/>
    </row>
    <row r="229" spans="2:41" outlineLevel="1" x14ac:dyDescent="0.35">
      <c r="B229" s="27" t="s">
        <v>627</v>
      </c>
      <c r="C229" s="27" t="s">
        <v>51</v>
      </c>
      <c r="D229" s="27" t="s">
        <v>1575</v>
      </c>
      <c r="E229" s="27" t="s">
        <v>51</v>
      </c>
      <c r="F229" s="27" t="s">
        <v>501</v>
      </c>
      <c r="G229" s="27" t="s">
        <v>628</v>
      </c>
      <c r="H229" s="27" t="s">
        <v>447</v>
      </c>
      <c r="I229" s="27" t="s">
        <v>440</v>
      </c>
      <c r="J229" s="27" t="s">
        <v>448</v>
      </c>
      <c r="K229" s="27" t="s">
        <v>491</v>
      </c>
      <c r="L229" s="27" t="s">
        <v>492</v>
      </c>
      <c r="M229" s="27" t="s">
        <v>502</v>
      </c>
      <c r="N229" s="27" t="s">
        <v>502</v>
      </c>
      <c r="O229" s="27" t="s">
        <v>491</v>
      </c>
      <c r="P229" s="27" t="s">
        <v>480</v>
      </c>
      <c r="Q229" s="27" t="s">
        <v>372</v>
      </c>
      <c r="R229" s="45">
        <v>0</v>
      </c>
      <c r="S229" s="45">
        <v>0</v>
      </c>
      <c r="T229" s="45">
        <v>0</v>
      </c>
      <c r="U229" s="45">
        <v>0</v>
      </c>
      <c r="V229" s="45">
        <v>0</v>
      </c>
      <c r="W229" s="45">
        <v>0</v>
      </c>
      <c r="X229" s="45">
        <v>0</v>
      </c>
      <c r="Y229" s="45">
        <v>0</v>
      </c>
      <c r="Z229" s="45">
        <v>0</v>
      </c>
      <c r="AA229" s="45">
        <v>0</v>
      </c>
      <c r="AB229" s="45">
        <v>0</v>
      </c>
      <c r="AC229" s="45">
        <v>0</v>
      </c>
      <c r="AD229" s="45">
        <v>0</v>
      </c>
      <c r="AE229" s="45">
        <v>0</v>
      </c>
      <c r="AF229" s="45">
        <v>0</v>
      </c>
      <c r="AG229" s="45">
        <v>0</v>
      </c>
      <c r="AH229" s="45"/>
      <c r="AI229" s="45"/>
      <c r="AJ229" s="45"/>
      <c r="AK229" s="45"/>
      <c r="AL229" s="45"/>
      <c r="AM229" s="45"/>
      <c r="AN229" s="45"/>
      <c r="AO229" s="45"/>
    </row>
    <row r="230" spans="2:41" outlineLevel="1" x14ac:dyDescent="0.35">
      <c r="B230" s="27" t="s">
        <v>1286</v>
      </c>
      <c r="C230" s="27" t="s">
        <v>51</v>
      </c>
      <c r="D230" s="27" t="s">
        <v>1865</v>
      </c>
      <c r="E230" s="27" t="s">
        <v>51</v>
      </c>
      <c r="F230" s="27" t="s">
        <v>385</v>
      </c>
      <c r="G230" s="27" t="s">
        <v>1576</v>
      </c>
      <c r="H230" s="27" t="s">
        <v>54</v>
      </c>
      <c r="I230" s="27" t="s">
        <v>55</v>
      </c>
      <c r="J230" s="27" t="s">
        <v>393</v>
      </c>
      <c r="K230" s="27" t="s">
        <v>371</v>
      </c>
      <c r="L230" s="27" t="s">
        <v>371</v>
      </c>
      <c r="M230" s="27" t="s">
        <v>371</v>
      </c>
      <c r="N230" s="27" t="s">
        <v>371</v>
      </c>
      <c r="O230" s="27" t="s">
        <v>371</v>
      </c>
      <c r="P230" s="27" t="s">
        <v>371</v>
      </c>
      <c r="Q230" s="27" t="s">
        <v>372</v>
      </c>
      <c r="R230" s="45">
        <v>653497</v>
      </c>
      <c r="S230" s="45">
        <v>653497</v>
      </c>
      <c r="T230" s="45">
        <v>677945.86</v>
      </c>
      <c r="U230" s="45">
        <v>720156.15</v>
      </c>
      <c r="V230" s="45">
        <v>749254.15</v>
      </c>
      <c r="W230" s="45">
        <v>749254.15</v>
      </c>
      <c r="X230" s="45">
        <v>821335.47</v>
      </c>
      <c r="Y230" s="45">
        <v>821335.47</v>
      </c>
      <c r="Z230" s="45">
        <v>839924.47</v>
      </c>
      <c r="AA230" s="45">
        <v>839924.47</v>
      </c>
      <c r="AB230" s="45">
        <v>940059.47</v>
      </c>
      <c r="AC230" s="45">
        <v>1017107.33</v>
      </c>
      <c r="AD230" s="45">
        <v>1103979.19</v>
      </c>
      <c r="AE230" s="45">
        <v>1340606.33</v>
      </c>
      <c r="AF230" s="45">
        <v>2176341.92</v>
      </c>
      <c r="AG230" s="45">
        <v>2289178.92</v>
      </c>
      <c r="AH230" s="45"/>
      <c r="AI230" s="45"/>
      <c r="AJ230" s="45"/>
      <c r="AK230" s="45"/>
      <c r="AL230" s="45"/>
      <c r="AM230" s="45"/>
      <c r="AN230" s="45"/>
      <c r="AO230" s="45"/>
    </row>
    <row r="231" spans="2:41" outlineLevel="1" x14ac:dyDescent="0.35">
      <c r="B231" s="27" t="s">
        <v>629</v>
      </c>
      <c r="C231" s="27" t="s">
        <v>51</v>
      </c>
      <c r="D231" s="27" t="s">
        <v>1577</v>
      </c>
      <c r="E231" s="27" t="s">
        <v>51</v>
      </c>
      <c r="F231" s="27" t="s">
        <v>385</v>
      </c>
      <c r="G231" s="27" t="s">
        <v>630</v>
      </c>
      <c r="H231" s="27" t="s">
        <v>54</v>
      </c>
      <c r="I231" s="27" t="s">
        <v>55</v>
      </c>
      <c r="J231" s="27" t="s">
        <v>393</v>
      </c>
      <c r="K231" s="27" t="s">
        <v>371</v>
      </c>
      <c r="L231" s="27" t="s">
        <v>371</v>
      </c>
      <c r="M231" s="27" t="s">
        <v>371</v>
      </c>
      <c r="N231" s="27" t="s">
        <v>371</v>
      </c>
      <c r="O231" s="27" t="s">
        <v>371</v>
      </c>
      <c r="P231" s="27" t="s">
        <v>371</v>
      </c>
      <c r="Q231" s="27" t="s">
        <v>372</v>
      </c>
      <c r="R231" s="45">
        <v>4624518.8099999996</v>
      </c>
      <c r="S231" s="45">
        <v>4624518.8099999996</v>
      </c>
      <c r="T231" s="45">
        <v>4624518.8099999996</v>
      </c>
      <c r="U231" s="45">
        <v>4624518.8099999996</v>
      </c>
      <c r="V231" s="45">
        <v>4624518.8099999996</v>
      </c>
      <c r="W231" s="45">
        <v>4624518.8099999996</v>
      </c>
      <c r="X231" s="45">
        <v>4624518.8099999996</v>
      </c>
      <c r="Y231" s="45">
        <v>4624518.8099999996</v>
      </c>
      <c r="Z231" s="45">
        <v>4624518.8099999996</v>
      </c>
      <c r="AA231" s="45">
        <v>4624518.8099999996</v>
      </c>
      <c r="AB231" s="45">
        <v>4624518.8099999996</v>
      </c>
      <c r="AC231" s="45">
        <v>4624518.8099999996</v>
      </c>
      <c r="AD231" s="45">
        <v>4624518.8099999996</v>
      </c>
      <c r="AE231" s="45">
        <v>4624518.8099999996</v>
      </c>
      <c r="AF231" s="45">
        <v>4624518.8099999996</v>
      </c>
      <c r="AG231" s="45">
        <v>0</v>
      </c>
      <c r="AH231" s="45"/>
      <c r="AI231" s="45"/>
      <c r="AJ231" s="45"/>
      <c r="AK231" s="45"/>
      <c r="AL231" s="45"/>
      <c r="AM231" s="45"/>
      <c r="AN231" s="45"/>
      <c r="AO231" s="45"/>
    </row>
    <row r="232" spans="2:41" outlineLevel="1" x14ac:dyDescent="0.35">
      <c r="B232" s="27" t="s">
        <v>1287</v>
      </c>
      <c r="C232" s="27" t="s">
        <v>51</v>
      </c>
      <c r="D232" s="27" t="s">
        <v>1866</v>
      </c>
      <c r="E232" s="27" t="s">
        <v>51</v>
      </c>
      <c r="F232" s="27" t="s">
        <v>385</v>
      </c>
      <c r="G232" s="27" t="s">
        <v>1963</v>
      </c>
      <c r="H232" s="27" t="s">
        <v>54</v>
      </c>
      <c r="I232" s="27" t="s">
        <v>55</v>
      </c>
      <c r="J232" s="27" t="s">
        <v>393</v>
      </c>
      <c r="K232" s="27" t="s">
        <v>371</v>
      </c>
      <c r="L232" s="27" t="s">
        <v>371</v>
      </c>
      <c r="M232" s="27" t="s">
        <v>371</v>
      </c>
      <c r="N232" s="27" t="s">
        <v>371</v>
      </c>
      <c r="O232" s="27" t="s">
        <v>371</v>
      </c>
      <c r="P232" s="27" t="s">
        <v>371</v>
      </c>
      <c r="Q232" s="27" t="s">
        <v>372</v>
      </c>
      <c r="R232" s="45">
        <v>-183724.95</v>
      </c>
      <c r="S232" s="45">
        <v>-200062.38</v>
      </c>
      <c r="T232" s="45">
        <v>-216399.81</v>
      </c>
      <c r="U232" s="45">
        <v>-233144.72</v>
      </c>
      <c r="V232" s="45">
        <v>-250593.13</v>
      </c>
      <c r="W232" s="45">
        <v>-268526.51</v>
      </c>
      <c r="X232" s="45">
        <v>-288815.05</v>
      </c>
      <c r="Y232" s="45">
        <v>-309348.44</v>
      </c>
      <c r="Z232" s="45">
        <v>-329881.83</v>
      </c>
      <c r="AA232" s="45">
        <v>-350879.94</v>
      </c>
      <c r="AB232" s="45">
        <v>-371878.05</v>
      </c>
      <c r="AC232" s="45">
        <v>-395379.54</v>
      </c>
      <c r="AD232" s="45">
        <v>-420807.22</v>
      </c>
      <c r="AE232" s="45">
        <v>-452505.33</v>
      </c>
      <c r="AF232" s="45">
        <v>-486020.49</v>
      </c>
      <c r="AG232" s="45">
        <v>-540429.49</v>
      </c>
      <c r="AH232" s="45"/>
      <c r="AI232" s="45"/>
      <c r="AJ232" s="45"/>
      <c r="AK232" s="45"/>
      <c r="AL232" s="45"/>
      <c r="AM232" s="45"/>
      <c r="AN232" s="45"/>
      <c r="AO232" s="45"/>
    </row>
    <row r="233" spans="2:41" outlineLevel="1" x14ac:dyDescent="0.35">
      <c r="B233" s="27" t="s">
        <v>631</v>
      </c>
      <c r="C233" s="27" t="s">
        <v>51</v>
      </c>
      <c r="D233" s="27" t="s">
        <v>1578</v>
      </c>
      <c r="E233" s="27" t="s">
        <v>51</v>
      </c>
      <c r="F233" s="27" t="s">
        <v>195</v>
      </c>
      <c r="G233" s="27" t="s">
        <v>632</v>
      </c>
      <c r="H233" s="27" t="s">
        <v>54</v>
      </c>
      <c r="I233" s="27" t="s">
        <v>142</v>
      </c>
      <c r="J233" s="27" t="s">
        <v>197</v>
      </c>
      <c r="K233" s="27" t="s">
        <v>371</v>
      </c>
      <c r="L233" s="27" t="s">
        <v>371</v>
      </c>
      <c r="M233" s="27" t="s">
        <v>371</v>
      </c>
      <c r="N233" s="27" t="s">
        <v>371</v>
      </c>
      <c r="O233" s="27" t="s">
        <v>371</v>
      </c>
      <c r="P233" s="27" t="s">
        <v>371</v>
      </c>
      <c r="Q233" s="27" t="s">
        <v>372</v>
      </c>
      <c r="R233" s="45">
        <v>0</v>
      </c>
      <c r="S233" s="45">
        <v>0</v>
      </c>
      <c r="T233" s="45">
        <v>0</v>
      </c>
      <c r="U233" s="45">
        <v>0</v>
      </c>
      <c r="V233" s="45">
        <v>0</v>
      </c>
      <c r="W233" s="45">
        <v>0</v>
      </c>
      <c r="X233" s="45">
        <v>0</v>
      </c>
      <c r="Y233" s="45">
        <v>0</v>
      </c>
      <c r="Z233" s="45">
        <v>0</v>
      </c>
      <c r="AA233" s="45">
        <v>0</v>
      </c>
      <c r="AB233" s="45">
        <v>0</v>
      </c>
      <c r="AC233" s="45">
        <v>0</v>
      </c>
      <c r="AD233" s="45">
        <v>0</v>
      </c>
      <c r="AE233" s="45">
        <v>0</v>
      </c>
      <c r="AF233" s="45">
        <v>0</v>
      </c>
      <c r="AG233" s="45">
        <v>0</v>
      </c>
      <c r="AH233" s="45"/>
      <c r="AI233" s="45"/>
      <c r="AJ233" s="45"/>
      <c r="AK233" s="45"/>
      <c r="AL233" s="45"/>
      <c r="AM233" s="45"/>
      <c r="AN233" s="45"/>
      <c r="AO233" s="45"/>
    </row>
    <row r="234" spans="2:41" outlineLevel="1" x14ac:dyDescent="0.35">
      <c r="B234" s="27" t="s">
        <v>633</v>
      </c>
      <c r="C234" s="27" t="s">
        <v>51</v>
      </c>
      <c r="D234" s="27" t="s">
        <v>1579</v>
      </c>
      <c r="E234" s="27" t="s">
        <v>51</v>
      </c>
      <c r="F234" s="27" t="s">
        <v>501</v>
      </c>
      <c r="G234" s="27" t="s">
        <v>634</v>
      </c>
      <c r="H234" s="27" t="s">
        <v>447</v>
      </c>
      <c r="I234" s="27" t="s">
        <v>440</v>
      </c>
      <c r="J234" s="27" t="s">
        <v>448</v>
      </c>
      <c r="K234" s="27" t="s">
        <v>476</v>
      </c>
      <c r="L234" s="27" t="s">
        <v>502</v>
      </c>
      <c r="M234" s="27" t="s">
        <v>502</v>
      </c>
      <c r="N234" s="27" t="s">
        <v>488</v>
      </c>
      <c r="O234" s="27" t="s">
        <v>480</v>
      </c>
      <c r="P234" s="27" t="s">
        <v>480</v>
      </c>
      <c r="Q234" s="27" t="s">
        <v>372</v>
      </c>
      <c r="R234" s="45">
        <v>0</v>
      </c>
      <c r="S234" s="45">
        <v>0</v>
      </c>
      <c r="T234" s="45">
        <v>0</v>
      </c>
      <c r="U234" s="45">
        <v>0</v>
      </c>
      <c r="V234" s="45">
        <v>0</v>
      </c>
      <c r="W234" s="45">
        <v>0</v>
      </c>
      <c r="X234" s="45">
        <v>0</v>
      </c>
      <c r="Y234" s="45">
        <v>0</v>
      </c>
      <c r="Z234" s="45">
        <v>0</v>
      </c>
      <c r="AA234" s="45">
        <v>0</v>
      </c>
      <c r="AB234" s="45">
        <v>0</v>
      </c>
      <c r="AC234" s="45">
        <v>0</v>
      </c>
      <c r="AD234" s="45">
        <v>0</v>
      </c>
      <c r="AE234" s="45">
        <v>0</v>
      </c>
      <c r="AF234" s="45">
        <v>0</v>
      </c>
      <c r="AG234" s="45">
        <v>0</v>
      </c>
      <c r="AH234" s="45"/>
      <c r="AI234" s="45"/>
      <c r="AJ234" s="45"/>
      <c r="AK234" s="45"/>
      <c r="AL234" s="45"/>
      <c r="AM234" s="45"/>
      <c r="AN234" s="45"/>
      <c r="AO234" s="45"/>
    </row>
    <row r="235" spans="2:41" outlineLevel="1" x14ac:dyDescent="0.35">
      <c r="B235" s="27" t="s">
        <v>1288</v>
      </c>
      <c r="C235" s="27" t="s">
        <v>51</v>
      </c>
      <c r="D235" s="27" t="s">
        <v>1867</v>
      </c>
      <c r="E235" s="27" t="s">
        <v>51</v>
      </c>
      <c r="F235" s="27" t="s">
        <v>556</v>
      </c>
      <c r="G235" s="27" t="s">
        <v>1580</v>
      </c>
      <c r="H235" s="27" t="s">
        <v>447</v>
      </c>
      <c r="I235" s="27" t="s">
        <v>440</v>
      </c>
      <c r="J235" s="27" t="s">
        <v>448</v>
      </c>
      <c r="K235" s="27" t="s">
        <v>557</v>
      </c>
      <c r="L235" s="27" t="s">
        <v>557</v>
      </c>
      <c r="M235" s="27" t="s">
        <v>806</v>
      </c>
      <c r="N235" s="27" t="s">
        <v>806</v>
      </c>
      <c r="O235" s="27" t="s">
        <v>557</v>
      </c>
      <c r="P235" s="27" t="s">
        <v>557</v>
      </c>
      <c r="Q235" s="27" t="s">
        <v>372</v>
      </c>
      <c r="R235" s="45">
        <v>15974.95</v>
      </c>
      <c r="S235" s="45">
        <v>32312.38</v>
      </c>
      <c r="T235" s="45">
        <v>48649.81</v>
      </c>
      <c r="U235" s="45">
        <v>65394.720000000001</v>
      </c>
      <c r="V235" s="45">
        <v>82843.13</v>
      </c>
      <c r="W235" s="45">
        <v>100776.51000000001</v>
      </c>
      <c r="X235" s="45">
        <v>121065.05</v>
      </c>
      <c r="Y235" s="45">
        <v>141598.44</v>
      </c>
      <c r="Z235" s="45">
        <v>162131.83000000002</v>
      </c>
      <c r="AA235" s="45">
        <v>183129.94</v>
      </c>
      <c r="AB235" s="45">
        <v>204128.05</v>
      </c>
      <c r="AC235" s="45">
        <v>227629.54</v>
      </c>
      <c r="AD235" s="45">
        <v>25427.68</v>
      </c>
      <c r="AE235" s="45">
        <v>57125.79</v>
      </c>
      <c r="AF235" s="45">
        <v>90640.95</v>
      </c>
      <c r="AG235" s="45">
        <v>145049.95000000001</v>
      </c>
      <c r="AH235" s="45"/>
      <c r="AI235" s="45"/>
      <c r="AJ235" s="45"/>
      <c r="AK235" s="45"/>
      <c r="AL235" s="45"/>
      <c r="AM235" s="45"/>
      <c r="AN235" s="45"/>
      <c r="AO235" s="45"/>
    </row>
    <row r="236" spans="2:41" outlineLevel="1" x14ac:dyDescent="0.35">
      <c r="B236" s="27" t="s">
        <v>1289</v>
      </c>
      <c r="C236" s="27" t="s">
        <v>51</v>
      </c>
      <c r="D236" s="27" t="s">
        <v>1868</v>
      </c>
      <c r="E236" s="27" t="s">
        <v>51</v>
      </c>
      <c r="F236" s="27" t="s">
        <v>635</v>
      </c>
      <c r="G236" s="27" t="s">
        <v>1581</v>
      </c>
      <c r="H236" s="27" t="s">
        <v>447</v>
      </c>
      <c r="I236" s="27" t="s">
        <v>440</v>
      </c>
      <c r="J236" s="27" t="s">
        <v>448</v>
      </c>
      <c r="K236" s="27" t="s">
        <v>449</v>
      </c>
      <c r="L236" s="27" t="s">
        <v>458</v>
      </c>
      <c r="M236" s="27" t="s">
        <v>502</v>
      </c>
      <c r="N236" s="27" t="s">
        <v>502</v>
      </c>
      <c r="O236" s="27" t="s">
        <v>449</v>
      </c>
      <c r="P236" s="27" t="s">
        <v>449</v>
      </c>
      <c r="Q236" s="27" t="s">
        <v>372</v>
      </c>
      <c r="R236" s="45">
        <v>0</v>
      </c>
      <c r="S236" s="45">
        <v>-85.47</v>
      </c>
      <c r="T236" s="45">
        <v>-85.47</v>
      </c>
      <c r="U236" s="45">
        <v>0</v>
      </c>
      <c r="V236" s="45">
        <v>0</v>
      </c>
      <c r="W236" s="45">
        <v>-52000</v>
      </c>
      <c r="X236" s="45">
        <v>-1629.19</v>
      </c>
      <c r="Y236" s="45">
        <v>-1629.19</v>
      </c>
      <c r="Z236" s="45">
        <v>-1629.43</v>
      </c>
      <c r="AA236" s="45">
        <v>-1731.16</v>
      </c>
      <c r="AB236" s="45">
        <v>-2036.26</v>
      </c>
      <c r="AC236" s="45">
        <v>-29997.35</v>
      </c>
      <c r="AD236" s="45">
        <v>-0.36</v>
      </c>
      <c r="AE236" s="45">
        <v>-0.78</v>
      </c>
      <c r="AF236" s="45">
        <v>-8397.36</v>
      </c>
      <c r="AG236" s="45">
        <v>-11184.62</v>
      </c>
      <c r="AH236" s="45"/>
      <c r="AI236" s="45"/>
      <c r="AJ236" s="45"/>
      <c r="AK236" s="45"/>
      <c r="AL236" s="45"/>
      <c r="AM236" s="45"/>
      <c r="AN236" s="45"/>
      <c r="AO236" s="45"/>
    </row>
    <row r="237" spans="2:41" outlineLevel="1" x14ac:dyDescent="0.35">
      <c r="B237" s="27" t="s">
        <v>636</v>
      </c>
      <c r="C237" s="27" t="s">
        <v>51</v>
      </c>
      <c r="D237" s="27" t="s">
        <v>1582</v>
      </c>
      <c r="E237" s="27" t="s">
        <v>51</v>
      </c>
      <c r="F237" s="27" t="s">
        <v>195</v>
      </c>
      <c r="G237" s="27" t="s">
        <v>637</v>
      </c>
      <c r="H237" s="27" t="s">
        <v>54</v>
      </c>
      <c r="I237" s="27" t="s">
        <v>142</v>
      </c>
      <c r="J237" s="27" t="s">
        <v>197</v>
      </c>
      <c r="K237" s="27" t="s">
        <v>371</v>
      </c>
      <c r="L237" s="27" t="s">
        <v>371</v>
      </c>
      <c r="M237" s="27" t="s">
        <v>371</v>
      </c>
      <c r="N237" s="27" t="s">
        <v>371</v>
      </c>
      <c r="O237" s="27" t="s">
        <v>371</v>
      </c>
      <c r="P237" s="27" t="s">
        <v>371</v>
      </c>
      <c r="Q237" s="27" t="s">
        <v>372</v>
      </c>
      <c r="R237" s="45">
        <v>-8542.73</v>
      </c>
      <c r="S237" s="45">
        <v>-8542.73</v>
      </c>
      <c r="T237" s="45">
        <v>-8542.73</v>
      </c>
      <c r="U237" s="45">
        <v>-8542.73</v>
      </c>
      <c r="V237" s="45">
        <v>-8542.73</v>
      </c>
      <c r="W237" s="45">
        <v>-8542.73</v>
      </c>
      <c r="X237" s="45">
        <v>0</v>
      </c>
      <c r="Y237" s="45">
        <v>0</v>
      </c>
      <c r="Z237" s="45">
        <v>0</v>
      </c>
      <c r="AA237" s="45">
        <v>0</v>
      </c>
      <c r="AB237" s="45">
        <v>0</v>
      </c>
      <c r="AC237" s="45">
        <v>0</v>
      </c>
      <c r="AD237" s="45">
        <v>0</v>
      </c>
      <c r="AE237" s="45">
        <v>0</v>
      </c>
      <c r="AF237" s="45">
        <v>0</v>
      </c>
      <c r="AG237" s="45">
        <v>0</v>
      </c>
      <c r="AH237" s="45"/>
      <c r="AI237" s="45"/>
      <c r="AJ237" s="45"/>
      <c r="AK237" s="45"/>
      <c r="AL237" s="45"/>
      <c r="AM237" s="45"/>
      <c r="AN237" s="45"/>
      <c r="AO237" s="45"/>
    </row>
    <row r="238" spans="2:41" outlineLevel="1" x14ac:dyDescent="0.35">
      <c r="B238" s="27" t="s">
        <v>639</v>
      </c>
      <c r="C238" s="27" t="s">
        <v>51</v>
      </c>
      <c r="D238" s="27" t="s">
        <v>1583</v>
      </c>
      <c r="E238" s="27" t="s">
        <v>51</v>
      </c>
      <c r="F238" s="27" t="s">
        <v>381</v>
      </c>
      <c r="G238" s="27" t="s">
        <v>640</v>
      </c>
      <c r="H238" s="27" t="s">
        <v>54</v>
      </c>
      <c r="I238" s="27" t="s">
        <v>55</v>
      </c>
      <c r="J238" s="27" t="s">
        <v>383</v>
      </c>
      <c r="K238" s="27" t="s">
        <v>371</v>
      </c>
      <c r="L238" s="27" t="s">
        <v>371</v>
      </c>
      <c r="M238" s="27" t="s">
        <v>371</v>
      </c>
      <c r="N238" s="27" t="s">
        <v>371</v>
      </c>
      <c r="O238" s="27" t="s">
        <v>371</v>
      </c>
      <c r="P238" s="27" t="s">
        <v>371</v>
      </c>
      <c r="Q238" s="27" t="s">
        <v>372</v>
      </c>
      <c r="R238" s="45">
        <v>1679795.76</v>
      </c>
      <c r="S238" s="45">
        <v>1679795.76</v>
      </c>
      <c r="T238" s="45">
        <v>0</v>
      </c>
      <c r="U238" s="45">
        <v>0</v>
      </c>
      <c r="V238" s="45">
        <v>0</v>
      </c>
      <c r="W238" s="45">
        <v>0</v>
      </c>
      <c r="X238" s="45">
        <v>0</v>
      </c>
      <c r="Y238" s="45">
        <v>0</v>
      </c>
      <c r="Z238" s="45">
        <v>0</v>
      </c>
      <c r="AA238" s="45">
        <v>0</v>
      </c>
      <c r="AB238" s="45">
        <v>0</v>
      </c>
      <c r="AC238" s="45">
        <v>0</v>
      </c>
      <c r="AD238" s="45">
        <v>0</v>
      </c>
      <c r="AE238" s="45">
        <v>0</v>
      </c>
      <c r="AF238" s="45">
        <v>0</v>
      </c>
      <c r="AG238" s="45">
        <v>0</v>
      </c>
      <c r="AH238" s="45"/>
      <c r="AI238" s="45"/>
      <c r="AJ238" s="45"/>
      <c r="AK238" s="45"/>
      <c r="AL238" s="45"/>
      <c r="AM238" s="45"/>
      <c r="AN238" s="45"/>
      <c r="AO238" s="45"/>
    </row>
    <row r="239" spans="2:41" outlineLevel="1" x14ac:dyDescent="0.35">
      <c r="B239" s="27" t="s">
        <v>641</v>
      </c>
      <c r="C239" s="27" t="s">
        <v>51</v>
      </c>
      <c r="D239" s="27" t="s">
        <v>1584</v>
      </c>
      <c r="E239" s="27" t="s">
        <v>51</v>
      </c>
      <c r="F239" s="27" t="s">
        <v>381</v>
      </c>
      <c r="G239" s="27" t="s">
        <v>642</v>
      </c>
      <c r="H239" s="27" t="s">
        <v>54</v>
      </c>
      <c r="I239" s="27" t="s">
        <v>55</v>
      </c>
      <c r="J239" s="27" t="s">
        <v>383</v>
      </c>
      <c r="K239" s="27" t="s">
        <v>371</v>
      </c>
      <c r="L239" s="27" t="s">
        <v>371</v>
      </c>
      <c r="M239" s="27" t="s">
        <v>371</v>
      </c>
      <c r="N239" s="27" t="s">
        <v>371</v>
      </c>
      <c r="O239" s="27" t="s">
        <v>371</v>
      </c>
      <c r="P239" s="27" t="s">
        <v>371</v>
      </c>
      <c r="Q239" s="27" t="s">
        <v>372</v>
      </c>
      <c r="R239" s="45">
        <v>52000</v>
      </c>
      <c r="S239" s="45">
        <v>52000</v>
      </c>
      <c r="T239" s="45">
        <v>52000</v>
      </c>
      <c r="U239" s="45">
        <v>52000</v>
      </c>
      <c r="V239" s="45">
        <v>52000</v>
      </c>
      <c r="W239" s="45">
        <v>0</v>
      </c>
      <c r="X239" s="45">
        <v>0</v>
      </c>
      <c r="Y239" s="45">
        <v>0</v>
      </c>
      <c r="Z239" s="45">
        <v>0</v>
      </c>
      <c r="AA239" s="45">
        <v>0</v>
      </c>
      <c r="AB239" s="45">
        <v>0</v>
      </c>
      <c r="AC239" s="45">
        <v>0</v>
      </c>
      <c r="AD239" s="45">
        <v>0</v>
      </c>
      <c r="AE239" s="45">
        <v>0</v>
      </c>
      <c r="AF239" s="45">
        <v>0</v>
      </c>
      <c r="AG239" s="45">
        <v>0</v>
      </c>
      <c r="AH239" s="45"/>
      <c r="AI239" s="45"/>
      <c r="AJ239" s="45"/>
      <c r="AK239" s="45"/>
      <c r="AL239" s="45"/>
      <c r="AM239" s="45"/>
      <c r="AN239" s="45"/>
      <c r="AO239" s="45"/>
    </row>
    <row r="240" spans="2:41" outlineLevel="1" x14ac:dyDescent="0.35">
      <c r="B240" s="27" t="s">
        <v>643</v>
      </c>
      <c r="C240" s="27" t="s">
        <v>51</v>
      </c>
      <c r="D240" s="27" t="s">
        <v>1585</v>
      </c>
      <c r="E240" s="27" t="s">
        <v>51</v>
      </c>
      <c r="F240" s="27" t="s">
        <v>381</v>
      </c>
      <c r="G240" s="27" t="s">
        <v>644</v>
      </c>
      <c r="H240" s="27" t="s">
        <v>54</v>
      </c>
      <c r="I240" s="27" t="s">
        <v>55</v>
      </c>
      <c r="J240" s="27" t="s">
        <v>383</v>
      </c>
      <c r="K240" s="27" t="s">
        <v>371</v>
      </c>
      <c r="L240" s="27" t="s">
        <v>371</v>
      </c>
      <c r="M240" s="27" t="s">
        <v>371</v>
      </c>
      <c r="N240" s="27" t="s">
        <v>371</v>
      </c>
      <c r="O240" s="27" t="s">
        <v>371</v>
      </c>
      <c r="P240" s="27" t="s">
        <v>371</v>
      </c>
      <c r="Q240" s="27" t="s">
        <v>372</v>
      </c>
      <c r="R240" s="45">
        <v>10629025.810000001</v>
      </c>
      <c r="S240" s="45">
        <v>13161163.449999999</v>
      </c>
      <c r="T240" s="45">
        <v>0</v>
      </c>
      <c r="U240" s="45">
        <v>0</v>
      </c>
      <c r="V240" s="45">
        <v>0</v>
      </c>
      <c r="W240" s="45">
        <v>0</v>
      </c>
      <c r="X240" s="45">
        <v>0</v>
      </c>
      <c r="Y240" s="45">
        <v>0</v>
      </c>
      <c r="Z240" s="45">
        <v>0</v>
      </c>
      <c r="AA240" s="45">
        <v>0</v>
      </c>
      <c r="AB240" s="45">
        <v>0</v>
      </c>
      <c r="AC240" s="45">
        <v>0</v>
      </c>
      <c r="AD240" s="45">
        <v>0</v>
      </c>
      <c r="AE240" s="45">
        <v>0</v>
      </c>
      <c r="AF240" s="45">
        <v>0</v>
      </c>
      <c r="AG240" s="45">
        <v>0</v>
      </c>
      <c r="AH240" s="45"/>
      <c r="AI240" s="45"/>
      <c r="AJ240" s="45"/>
      <c r="AK240" s="45"/>
      <c r="AL240" s="45"/>
      <c r="AM240" s="45"/>
      <c r="AN240" s="45"/>
      <c r="AO240" s="45"/>
    </row>
    <row r="241" spans="2:41" outlineLevel="1" x14ac:dyDescent="0.35">
      <c r="B241" s="27" t="s">
        <v>645</v>
      </c>
      <c r="C241" s="27" t="s">
        <v>51</v>
      </c>
      <c r="D241" s="27" t="s">
        <v>1586</v>
      </c>
      <c r="E241" s="27" t="s">
        <v>51</v>
      </c>
      <c r="F241" s="27" t="s">
        <v>1053</v>
      </c>
      <c r="G241" s="27" t="s">
        <v>646</v>
      </c>
      <c r="H241" s="27" t="s">
        <v>54</v>
      </c>
      <c r="I241" s="27" t="s">
        <v>55</v>
      </c>
      <c r="J241" s="27" t="s">
        <v>383</v>
      </c>
      <c r="K241" s="27" t="s">
        <v>371</v>
      </c>
      <c r="L241" s="27" t="s">
        <v>371</v>
      </c>
      <c r="M241" s="27" t="s">
        <v>371</v>
      </c>
      <c r="N241" s="27" t="s">
        <v>371</v>
      </c>
      <c r="O241" s="27" t="s">
        <v>371</v>
      </c>
      <c r="P241" s="27" t="s">
        <v>371</v>
      </c>
      <c r="Q241" s="27" t="s">
        <v>372</v>
      </c>
      <c r="R241" s="45">
        <v>577861.4</v>
      </c>
      <c r="S241" s="45">
        <v>637123.31000000006</v>
      </c>
      <c r="T241" s="45">
        <v>527982.10000000009</v>
      </c>
      <c r="U241" s="45">
        <v>1425686.9100000001</v>
      </c>
      <c r="V241" s="45">
        <v>11730278.52</v>
      </c>
      <c r="W241" s="45">
        <v>17965132.789999999</v>
      </c>
      <c r="X241" s="45">
        <v>17847239.140000001</v>
      </c>
      <c r="Y241" s="45">
        <v>20577406.260000002</v>
      </c>
      <c r="Z241" s="45">
        <v>22576062.57</v>
      </c>
      <c r="AA241" s="45">
        <v>0.08</v>
      </c>
      <c r="AB241" s="45">
        <v>0</v>
      </c>
      <c r="AC241" s="45">
        <v>0</v>
      </c>
      <c r="AD241" s="45">
        <v>0</v>
      </c>
      <c r="AE241" s="45">
        <v>63940.44</v>
      </c>
      <c r="AF241" s="45">
        <v>0</v>
      </c>
      <c r="AG241" s="45">
        <v>0</v>
      </c>
      <c r="AH241" s="45"/>
      <c r="AI241" s="45"/>
      <c r="AJ241" s="45"/>
      <c r="AK241" s="45"/>
      <c r="AL241" s="45"/>
      <c r="AM241" s="45"/>
      <c r="AN241" s="45"/>
      <c r="AO241" s="45"/>
    </row>
    <row r="242" spans="2:41" outlineLevel="1" x14ac:dyDescent="0.35">
      <c r="B242" s="27" t="s">
        <v>647</v>
      </c>
      <c r="C242" s="27" t="s">
        <v>51</v>
      </c>
      <c r="D242" s="27" t="s">
        <v>1587</v>
      </c>
      <c r="E242" s="27" t="s">
        <v>51</v>
      </c>
      <c r="F242" s="27" t="s">
        <v>381</v>
      </c>
      <c r="G242" s="27" t="s">
        <v>648</v>
      </c>
      <c r="H242" s="27" t="s">
        <v>54</v>
      </c>
      <c r="I242" s="27" t="s">
        <v>55</v>
      </c>
      <c r="J242" s="27" t="s">
        <v>383</v>
      </c>
      <c r="K242" s="27" t="s">
        <v>371</v>
      </c>
      <c r="L242" s="27" t="s">
        <v>371</v>
      </c>
      <c r="M242" s="27" t="s">
        <v>371</v>
      </c>
      <c r="N242" s="27" t="s">
        <v>371</v>
      </c>
      <c r="O242" s="27" t="s">
        <v>371</v>
      </c>
      <c r="P242" s="27" t="s">
        <v>371</v>
      </c>
      <c r="Q242" s="27" t="s">
        <v>372</v>
      </c>
      <c r="R242" s="45">
        <v>0</v>
      </c>
      <c r="S242" s="45">
        <v>0</v>
      </c>
      <c r="T242" s="45">
        <v>0</v>
      </c>
      <c r="U242" s="45">
        <v>0</v>
      </c>
      <c r="V242" s="45">
        <v>0</v>
      </c>
      <c r="W242" s="45">
        <v>0</v>
      </c>
      <c r="X242" s="45">
        <v>0</v>
      </c>
      <c r="Y242" s="45">
        <v>0</v>
      </c>
      <c r="Z242" s="45">
        <v>0</v>
      </c>
      <c r="AA242" s="45">
        <v>0</v>
      </c>
      <c r="AB242" s="45">
        <v>0</v>
      </c>
      <c r="AC242" s="45">
        <v>0</v>
      </c>
      <c r="AD242" s="45">
        <v>0</v>
      </c>
      <c r="AE242" s="45">
        <v>0</v>
      </c>
      <c r="AF242" s="45">
        <v>0</v>
      </c>
      <c r="AG242" s="45">
        <v>0</v>
      </c>
      <c r="AH242" s="45"/>
      <c r="AI242" s="45"/>
      <c r="AJ242" s="45"/>
      <c r="AK242" s="45"/>
      <c r="AL242" s="45"/>
      <c r="AM242" s="45"/>
      <c r="AN242" s="45"/>
      <c r="AO242" s="45"/>
    </row>
    <row r="243" spans="2:41" ht="15" outlineLevel="1" x14ac:dyDescent="0.35">
      <c r="B243" s="27" t="s">
        <v>1290</v>
      </c>
      <c r="C243" s="27" t="s">
        <v>51</v>
      </c>
      <c r="D243" s="27" t="s">
        <v>1869</v>
      </c>
      <c r="E243" s="27" t="s">
        <v>51</v>
      </c>
      <c r="F243" s="27" t="s">
        <v>90</v>
      </c>
      <c r="G243" s="27" t="s">
        <v>1588</v>
      </c>
      <c r="H243" s="27" t="s">
        <v>54</v>
      </c>
      <c r="I243" s="27" t="s">
        <v>55</v>
      </c>
      <c r="J243" s="72" t="s">
        <v>383</v>
      </c>
      <c r="K243" s="27" t="s">
        <v>371</v>
      </c>
      <c r="L243" s="27" t="s">
        <v>371</v>
      </c>
      <c r="M243" s="27" t="s">
        <v>371</v>
      </c>
      <c r="N243" s="27" t="s">
        <v>371</v>
      </c>
      <c r="O243" s="27" t="s">
        <v>371</v>
      </c>
      <c r="P243" s="27" t="s">
        <v>371</v>
      </c>
      <c r="Q243" s="27" t="s">
        <v>372</v>
      </c>
      <c r="R243" s="45">
        <v>11722891.67</v>
      </c>
      <c r="S243" s="45">
        <v>17544952.189999998</v>
      </c>
      <c r="T243" s="45">
        <v>17565952.189999998</v>
      </c>
      <c r="U243" s="45">
        <v>18776066.719999999</v>
      </c>
      <c r="V243" s="45">
        <v>47817813.289999999</v>
      </c>
      <c r="W243" s="45">
        <v>50133107.93</v>
      </c>
      <c r="X243" s="45">
        <v>55694949.039999999</v>
      </c>
      <c r="Y243" s="45">
        <v>60505800</v>
      </c>
      <c r="Z243" s="45">
        <v>86976753.969999999</v>
      </c>
      <c r="AA243" s="45">
        <v>99687474.279999986</v>
      </c>
      <c r="AB243" s="45">
        <v>121152070.87000002</v>
      </c>
      <c r="AC243" s="45">
        <v>73393477.310000002</v>
      </c>
      <c r="AD243" s="45">
        <v>82751737.070000008</v>
      </c>
      <c r="AE243" s="45">
        <v>97568909.959999993</v>
      </c>
      <c r="AF243" s="45">
        <v>76100935.160000011</v>
      </c>
      <c r="AG243" s="45">
        <v>34787588.990000002</v>
      </c>
      <c r="AH243" s="45"/>
      <c r="AI243" s="45"/>
      <c r="AJ243" s="45"/>
      <c r="AK243" s="45"/>
      <c r="AL243" s="45"/>
      <c r="AM243" s="45"/>
      <c r="AN243" s="45"/>
      <c r="AO243" s="45"/>
    </row>
    <row r="244" spans="2:41" outlineLevel="1" x14ac:dyDescent="0.35">
      <c r="B244" s="27" t="s">
        <v>649</v>
      </c>
      <c r="C244" s="27" t="s">
        <v>51</v>
      </c>
      <c r="D244" s="27" t="s">
        <v>1589</v>
      </c>
      <c r="E244" s="27" t="s">
        <v>51</v>
      </c>
      <c r="F244" s="27" t="s">
        <v>381</v>
      </c>
      <c r="G244" s="27" t="s">
        <v>650</v>
      </c>
      <c r="H244" s="27" t="s">
        <v>54</v>
      </c>
      <c r="I244" s="27" t="s">
        <v>55</v>
      </c>
      <c r="J244" s="27" t="s">
        <v>383</v>
      </c>
      <c r="K244" s="27" t="s">
        <v>371</v>
      </c>
      <c r="L244" s="27" t="s">
        <v>371</v>
      </c>
      <c r="M244" s="27" t="s">
        <v>371</v>
      </c>
      <c r="N244" s="27" t="s">
        <v>371</v>
      </c>
      <c r="O244" s="27" t="s">
        <v>371</v>
      </c>
      <c r="P244" s="27" t="s">
        <v>371</v>
      </c>
      <c r="Q244" s="27" t="s">
        <v>372</v>
      </c>
      <c r="R244" s="45">
        <v>5822060.5199999996</v>
      </c>
      <c r="S244" s="45">
        <v>0</v>
      </c>
      <c r="T244" s="45">
        <v>0</v>
      </c>
      <c r="U244" s="45">
        <v>0</v>
      </c>
      <c r="V244" s="45">
        <v>0</v>
      </c>
      <c r="W244" s="45">
        <v>0</v>
      </c>
      <c r="X244" s="45">
        <v>0</v>
      </c>
      <c r="Y244" s="45">
        <v>0</v>
      </c>
      <c r="Z244" s="45">
        <v>0</v>
      </c>
      <c r="AA244" s="45">
        <v>0</v>
      </c>
      <c r="AB244" s="45">
        <v>0</v>
      </c>
      <c r="AC244" s="45">
        <v>0</v>
      </c>
      <c r="AD244" s="45">
        <v>0</v>
      </c>
      <c r="AE244" s="45">
        <v>0</v>
      </c>
      <c r="AF244" s="45">
        <v>0</v>
      </c>
      <c r="AG244" s="45">
        <v>0</v>
      </c>
      <c r="AH244" s="45"/>
      <c r="AI244" s="45"/>
      <c r="AJ244" s="45"/>
      <c r="AK244" s="45"/>
      <c r="AL244" s="45"/>
      <c r="AM244" s="45"/>
      <c r="AN244" s="45"/>
      <c r="AO244" s="45"/>
    </row>
    <row r="245" spans="2:41" outlineLevel="1" x14ac:dyDescent="0.35">
      <c r="B245" s="27" t="s">
        <v>651</v>
      </c>
      <c r="C245" s="27" t="s">
        <v>51</v>
      </c>
      <c r="D245" s="27" t="s">
        <v>1590</v>
      </c>
      <c r="E245" s="27" t="s">
        <v>51</v>
      </c>
      <c r="F245" s="27" t="s">
        <v>109</v>
      </c>
      <c r="G245" s="27" t="s">
        <v>652</v>
      </c>
      <c r="H245" s="27" t="s">
        <v>54</v>
      </c>
      <c r="I245" s="27" t="s">
        <v>55</v>
      </c>
      <c r="J245" s="27" t="s">
        <v>101</v>
      </c>
      <c r="K245" s="27" t="s">
        <v>371</v>
      </c>
      <c r="L245" s="27" t="s">
        <v>371</v>
      </c>
      <c r="M245" s="27" t="s">
        <v>371</v>
      </c>
      <c r="N245" s="27" t="s">
        <v>371</v>
      </c>
      <c r="O245" s="27" t="s">
        <v>371</v>
      </c>
      <c r="P245" s="27" t="s">
        <v>371</v>
      </c>
      <c r="Q245" s="27" t="s">
        <v>372</v>
      </c>
      <c r="R245" s="45">
        <v>178254.5</v>
      </c>
      <c r="S245" s="45">
        <v>178254.5</v>
      </c>
      <c r="T245" s="45">
        <v>282853.53999999998</v>
      </c>
      <c r="U245" s="45">
        <v>104599.03999999998</v>
      </c>
      <c r="V245" s="45">
        <v>104599.03999999999</v>
      </c>
      <c r="W245" s="45">
        <v>104599.03999999999</v>
      </c>
      <c r="X245" s="45">
        <v>0</v>
      </c>
      <c r="Y245" s="45">
        <v>0</v>
      </c>
      <c r="Z245" s="45">
        <v>154034.5</v>
      </c>
      <c r="AA245" s="45">
        <v>154034.5</v>
      </c>
      <c r="AB245" s="45">
        <v>0</v>
      </c>
      <c r="AC245" s="45">
        <v>0</v>
      </c>
      <c r="AD245" s="45">
        <v>0</v>
      </c>
      <c r="AE245" s="45">
        <v>0</v>
      </c>
      <c r="AF245" s="45">
        <v>0</v>
      </c>
      <c r="AG245" s="45">
        <v>0</v>
      </c>
      <c r="AH245" s="45"/>
      <c r="AI245" s="45"/>
      <c r="AJ245" s="45"/>
      <c r="AK245" s="45"/>
      <c r="AL245" s="45"/>
      <c r="AM245" s="45"/>
      <c r="AN245" s="45"/>
      <c r="AO245" s="45"/>
    </row>
    <row r="246" spans="2:41" outlineLevel="1" x14ac:dyDescent="0.35">
      <c r="B246" s="27" t="s">
        <v>653</v>
      </c>
      <c r="C246" s="27" t="s">
        <v>51</v>
      </c>
      <c r="D246" s="27" t="s">
        <v>1591</v>
      </c>
      <c r="E246" s="27" t="s">
        <v>51</v>
      </c>
      <c r="F246" s="27" t="s">
        <v>109</v>
      </c>
      <c r="G246" s="27" t="s">
        <v>654</v>
      </c>
      <c r="H246" s="27" t="s">
        <v>54</v>
      </c>
      <c r="I246" s="27" t="s">
        <v>55</v>
      </c>
      <c r="J246" s="27" t="s">
        <v>101</v>
      </c>
      <c r="K246" s="27" t="s">
        <v>371</v>
      </c>
      <c r="L246" s="27" t="s">
        <v>371</v>
      </c>
      <c r="M246" s="27" t="s">
        <v>371</v>
      </c>
      <c r="N246" s="27" t="s">
        <v>371</v>
      </c>
      <c r="O246" s="27" t="s">
        <v>371</v>
      </c>
      <c r="P246" s="27" t="s">
        <v>371</v>
      </c>
      <c r="Q246" s="27" t="s">
        <v>372</v>
      </c>
      <c r="R246" s="45">
        <v>458192.27</v>
      </c>
      <c r="S246" s="45">
        <v>665832.27</v>
      </c>
      <c r="T246" s="45">
        <v>665832.27</v>
      </c>
      <c r="U246" s="45">
        <v>873472.27</v>
      </c>
      <c r="V246" s="45">
        <v>873472.27</v>
      </c>
      <c r="W246" s="45">
        <v>1081112.27</v>
      </c>
      <c r="X246" s="45">
        <v>42912.27</v>
      </c>
      <c r="Y246" s="45">
        <v>0</v>
      </c>
      <c r="Z246" s="45">
        <v>0</v>
      </c>
      <c r="AA246" s="45">
        <v>0</v>
      </c>
      <c r="AB246" s="45">
        <v>0</v>
      </c>
      <c r="AC246" s="45">
        <v>0</v>
      </c>
      <c r="AD246" s="45">
        <v>0</v>
      </c>
      <c r="AE246" s="45">
        <v>0</v>
      </c>
      <c r="AF246" s="45">
        <v>0</v>
      </c>
      <c r="AG246" s="45">
        <v>0</v>
      </c>
      <c r="AH246" s="45"/>
      <c r="AI246" s="45"/>
      <c r="AJ246" s="45"/>
      <c r="AK246" s="45"/>
      <c r="AL246" s="45"/>
      <c r="AM246" s="45"/>
      <c r="AN246" s="45"/>
      <c r="AO246" s="45"/>
    </row>
    <row r="247" spans="2:41" outlineLevel="1" x14ac:dyDescent="0.35">
      <c r="B247" s="27" t="s">
        <v>655</v>
      </c>
      <c r="C247" s="27" t="s">
        <v>51</v>
      </c>
      <c r="D247" s="27" t="s">
        <v>1592</v>
      </c>
      <c r="E247" s="27" t="s">
        <v>51</v>
      </c>
      <c r="F247" s="27" t="s">
        <v>385</v>
      </c>
      <c r="G247" s="27" t="s">
        <v>656</v>
      </c>
      <c r="H247" s="27" t="s">
        <v>54</v>
      </c>
      <c r="I247" s="27" t="s">
        <v>55</v>
      </c>
      <c r="J247" s="27" t="s">
        <v>393</v>
      </c>
      <c r="K247" s="27" t="s">
        <v>371</v>
      </c>
      <c r="L247" s="27" t="s">
        <v>371</v>
      </c>
      <c r="M247" s="27" t="s">
        <v>371</v>
      </c>
      <c r="N247" s="27" t="s">
        <v>371</v>
      </c>
      <c r="O247" s="27" t="s">
        <v>371</v>
      </c>
      <c r="P247" s="27" t="s">
        <v>371</v>
      </c>
      <c r="Q247" s="27" t="s">
        <v>372</v>
      </c>
      <c r="R247" s="45">
        <v>3963581.89</v>
      </c>
      <c r="S247" s="45">
        <v>3963581.89</v>
      </c>
      <c r="T247" s="45">
        <v>3963581.89</v>
      </c>
      <c r="U247" s="45">
        <v>3963581.89</v>
      </c>
      <c r="V247" s="45">
        <v>3963581.89</v>
      </c>
      <c r="W247" s="45">
        <v>3963581.89</v>
      </c>
      <c r="X247" s="45">
        <v>3963581.89</v>
      </c>
      <c r="Y247" s="45">
        <v>3963581.89</v>
      </c>
      <c r="Z247" s="45">
        <v>3963581.89</v>
      </c>
      <c r="AA247" s="45">
        <v>3963581.89</v>
      </c>
      <c r="AB247" s="45">
        <v>3963581.89</v>
      </c>
      <c r="AC247" s="45">
        <v>4099596.46</v>
      </c>
      <c r="AD247" s="45">
        <v>4099596.46</v>
      </c>
      <c r="AE247" s="45">
        <v>4099596.46</v>
      </c>
      <c r="AF247" s="45">
        <v>4099596.46</v>
      </c>
      <c r="AG247" s="45">
        <v>0</v>
      </c>
      <c r="AH247" s="45"/>
      <c r="AI247" s="45"/>
      <c r="AJ247" s="45"/>
      <c r="AK247" s="45"/>
      <c r="AL247" s="45"/>
      <c r="AM247" s="45"/>
      <c r="AN247" s="45"/>
      <c r="AO247" s="45"/>
    </row>
    <row r="248" spans="2:41" outlineLevel="1" x14ac:dyDescent="0.35">
      <c r="B248" s="27" t="s">
        <v>657</v>
      </c>
      <c r="C248" s="27" t="s">
        <v>51</v>
      </c>
      <c r="D248" s="27" t="s">
        <v>1593</v>
      </c>
      <c r="E248" s="27" t="s">
        <v>51</v>
      </c>
      <c r="F248" s="27" t="s">
        <v>195</v>
      </c>
      <c r="G248" s="27" t="s">
        <v>658</v>
      </c>
      <c r="H248" s="27" t="s">
        <v>54</v>
      </c>
      <c r="I248" s="27" t="s">
        <v>142</v>
      </c>
      <c r="J248" s="27" t="s">
        <v>197</v>
      </c>
      <c r="K248" s="27" t="s">
        <v>371</v>
      </c>
      <c r="L248" s="27" t="s">
        <v>371</v>
      </c>
      <c r="M248" s="27" t="s">
        <v>371</v>
      </c>
      <c r="N248" s="27" t="s">
        <v>371</v>
      </c>
      <c r="O248" s="27" t="s">
        <v>371</v>
      </c>
      <c r="P248" s="27" t="s">
        <v>371</v>
      </c>
      <c r="Q248" s="27" t="s">
        <v>372</v>
      </c>
      <c r="R248" s="45">
        <v>0</v>
      </c>
      <c r="S248" s="45">
        <v>0</v>
      </c>
      <c r="T248" s="45">
        <v>0</v>
      </c>
      <c r="U248" s="45">
        <v>0</v>
      </c>
      <c r="V248" s="45">
        <v>0</v>
      </c>
      <c r="W248" s="45">
        <v>0</v>
      </c>
      <c r="X248" s="45">
        <v>0</v>
      </c>
      <c r="Y248" s="45">
        <v>0</v>
      </c>
      <c r="Z248" s="45">
        <v>0</v>
      </c>
      <c r="AA248" s="45">
        <v>0</v>
      </c>
      <c r="AB248" s="45">
        <v>0</v>
      </c>
      <c r="AC248" s="45">
        <v>0</v>
      </c>
      <c r="AD248" s="45">
        <v>0</v>
      </c>
      <c r="AE248" s="45">
        <v>0</v>
      </c>
      <c r="AF248" s="45">
        <v>0</v>
      </c>
      <c r="AG248" s="45">
        <v>0</v>
      </c>
      <c r="AH248" s="45"/>
      <c r="AI248" s="45"/>
      <c r="AJ248" s="45"/>
      <c r="AK248" s="45"/>
      <c r="AL248" s="45"/>
      <c r="AM248" s="45"/>
      <c r="AN248" s="45"/>
      <c r="AO248" s="45"/>
    </row>
    <row r="249" spans="2:41" outlineLevel="1" x14ac:dyDescent="0.35">
      <c r="B249" s="27" t="s">
        <v>659</v>
      </c>
      <c r="C249" s="27" t="s">
        <v>51</v>
      </c>
      <c r="D249" s="27" t="s">
        <v>1594</v>
      </c>
      <c r="E249" s="27" t="s">
        <v>51</v>
      </c>
      <c r="F249" s="27" t="s">
        <v>106</v>
      </c>
      <c r="G249" s="27" t="s">
        <v>660</v>
      </c>
      <c r="H249" s="27" t="s">
        <v>54</v>
      </c>
      <c r="I249" s="27" t="s">
        <v>142</v>
      </c>
      <c r="J249" s="27" t="s">
        <v>180</v>
      </c>
      <c r="K249" s="27" t="s">
        <v>371</v>
      </c>
      <c r="L249" s="27" t="s">
        <v>371</v>
      </c>
      <c r="M249" s="27" t="s">
        <v>371</v>
      </c>
      <c r="N249" s="27" t="s">
        <v>371</v>
      </c>
      <c r="O249" s="27" t="s">
        <v>371</v>
      </c>
      <c r="P249" s="27" t="s">
        <v>371</v>
      </c>
      <c r="Q249" s="27" t="s">
        <v>372</v>
      </c>
      <c r="R249" s="45">
        <v>0</v>
      </c>
      <c r="S249" s="45">
        <v>0</v>
      </c>
      <c r="T249" s="45">
        <v>0</v>
      </c>
      <c r="U249" s="45">
        <v>0</v>
      </c>
      <c r="V249" s="45">
        <v>0</v>
      </c>
      <c r="W249" s="45">
        <v>0</v>
      </c>
      <c r="X249" s="45">
        <v>0</v>
      </c>
      <c r="Y249" s="45">
        <v>0</v>
      </c>
      <c r="Z249" s="45">
        <v>0</v>
      </c>
      <c r="AA249" s="45">
        <v>0</v>
      </c>
      <c r="AB249" s="45">
        <v>0</v>
      </c>
      <c r="AC249" s="45">
        <v>0</v>
      </c>
      <c r="AD249" s="45">
        <v>0</v>
      </c>
      <c r="AE249" s="45">
        <v>0</v>
      </c>
      <c r="AF249" s="45">
        <v>0</v>
      </c>
      <c r="AG249" s="45">
        <v>0</v>
      </c>
      <c r="AH249" s="45"/>
      <c r="AI249" s="45"/>
      <c r="AJ249" s="45"/>
      <c r="AK249" s="45"/>
      <c r="AL249" s="45"/>
      <c r="AM249" s="45"/>
      <c r="AN249" s="45"/>
      <c r="AO249" s="45"/>
    </row>
    <row r="250" spans="2:41" outlineLevel="1" x14ac:dyDescent="0.35">
      <c r="B250" s="27" t="s">
        <v>662</v>
      </c>
      <c r="C250" s="27" t="s">
        <v>51</v>
      </c>
      <c r="D250" s="27" t="s">
        <v>1595</v>
      </c>
      <c r="E250" s="27" t="s">
        <v>51</v>
      </c>
      <c r="F250" s="27" t="s">
        <v>109</v>
      </c>
      <c r="G250" s="27" t="s">
        <v>663</v>
      </c>
      <c r="H250" s="27" t="s">
        <v>54</v>
      </c>
      <c r="I250" s="27" t="s">
        <v>55</v>
      </c>
      <c r="J250" s="27" t="s">
        <v>101</v>
      </c>
      <c r="K250" s="27" t="s">
        <v>371</v>
      </c>
      <c r="L250" s="27" t="s">
        <v>371</v>
      </c>
      <c r="M250" s="27" t="s">
        <v>371</v>
      </c>
      <c r="N250" s="27" t="s">
        <v>371</v>
      </c>
      <c r="O250" s="27" t="s">
        <v>371</v>
      </c>
      <c r="P250" s="27" t="s">
        <v>371</v>
      </c>
      <c r="Q250" s="27" t="s">
        <v>372</v>
      </c>
      <c r="R250" s="45">
        <v>0</v>
      </c>
      <c r="S250" s="45">
        <v>0</v>
      </c>
      <c r="T250" s="45">
        <v>0</v>
      </c>
      <c r="U250" s="45">
        <v>0</v>
      </c>
      <c r="V250" s="45">
        <v>0</v>
      </c>
      <c r="W250" s="45">
        <v>0</v>
      </c>
      <c r="X250" s="45">
        <v>0</v>
      </c>
      <c r="Y250" s="45">
        <v>0</v>
      </c>
      <c r="Z250" s="45">
        <v>0</v>
      </c>
      <c r="AA250" s="45">
        <v>0</v>
      </c>
      <c r="AB250" s="45">
        <v>0</v>
      </c>
      <c r="AC250" s="45">
        <v>0</v>
      </c>
      <c r="AD250" s="45">
        <v>0</v>
      </c>
      <c r="AE250" s="45">
        <v>0</v>
      </c>
      <c r="AF250" s="45">
        <v>0</v>
      </c>
      <c r="AG250" s="45">
        <v>0</v>
      </c>
      <c r="AH250" s="45"/>
      <c r="AI250" s="45"/>
      <c r="AJ250" s="45"/>
      <c r="AK250" s="45"/>
      <c r="AL250" s="45"/>
      <c r="AM250" s="45"/>
      <c r="AN250" s="45"/>
      <c r="AO250" s="45"/>
    </row>
    <row r="251" spans="2:41" outlineLevel="1" x14ac:dyDescent="0.35">
      <c r="B251" s="27" t="s">
        <v>664</v>
      </c>
      <c r="C251" s="27" t="s">
        <v>51</v>
      </c>
      <c r="D251" s="27" t="s">
        <v>1596</v>
      </c>
      <c r="E251" s="27" t="s">
        <v>51</v>
      </c>
      <c r="F251" s="27" t="s">
        <v>474</v>
      </c>
      <c r="G251" s="27" t="s">
        <v>665</v>
      </c>
      <c r="H251" s="27" t="s">
        <v>447</v>
      </c>
      <c r="I251" s="27" t="s">
        <v>440</v>
      </c>
      <c r="J251" s="27" t="s">
        <v>448</v>
      </c>
      <c r="K251" s="27" t="s">
        <v>476</v>
      </c>
      <c r="L251" s="27" t="s">
        <v>495</v>
      </c>
      <c r="M251" s="27" t="s">
        <v>495</v>
      </c>
      <c r="N251" s="27" t="s">
        <v>495</v>
      </c>
      <c r="O251" s="27" t="s">
        <v>480</v>
      </c>
      <c r="P251" s="27" t="s">
        <v>480</v>
      </c>
      <c r="Q251" s="27" t="s">
        <v>372</v>
      </c>
      <c r="R251" s="45">
        <v>158249.72</v>
      </c>
      <c r="S251" s="45">
        <v>158249.72</v>
      </c>
      <c r="T251" s="45">
        <v>0</v>
      </c>
      <c r="U251" s="45">
        <v>0</v>
      </c>
      <c r="V251" s="45">
        <v>0</v>
      </c>
      <c r="W251" s="45">
        <v>0</v>
      </c>
      <c r="X251" s="45">
        <v>0</v>
      </c>
      <c r="Y251" s="45">
        <v>0</v>
      </c>
      <c r="Z251" s="45">
        <v>0</v>
      </c>
      <c r="AA251" s="45">
        <v>0</v>
      </c>
      <c r="AB251" s="45">
        <v>0</v>
      </c>
      <c r="AC251" s="45">
        <v>0</v>
      </c>
      <c r="AD251" s="45">
        <v>0</v>
      </c>
      <c r="AE251" s="45">
        <v>0</v>
      </c>
      <c r="AF251" s="45">
        <v>0</v>
      </c>
      <c r="AG251" s="45">
        <v>0</v>
      </c>
      <c r="AH251" s="45"/>
      <c r="AI251" s="45"/>
      <c r="AJ251" s="45"/>
      <c r="AK251" s="45"/>
      <c r="AL251" s="45"/>
      <c r="AM251" s="45"/>
      <c r="AN251" s="45"/>
      <c r="AO251" s="45"/>
    </row>
    <row r="252" spans="2:41" outlineLevel="1" x14ac:dyDescent="0.35">
      <c r="B252" s="27" t="s">
        <v>666</v>
      </c>
      <c r="C252" s="27" t="s">
        <v>51</v>
      </c>
      <c r="D252" s="27" t="s">
        <v>1597</v>
      </c>
      <c r="E252" s="27" t="s">
        <v>51</v>
      </c>
      <c r="F252" s="27" t="s">
        <v>501</v>
      </c>
      <c r="G252" s="27" t="s">
        <v>667</v>
      </c>
      <c r="H252" s="27" t="s">
        <v>447</v>
      </c>
      <c r="I252" s="27" t="s">
        <v>440</v>
      </c>
      <c r="J252" s="27" t="s">
        <v>448</v>
      </c>
      <c r="K252" s="27" t="s">
        <v>476</v>
      </c>
      <c r="L252" s="27" t="s">
        <v>495</v>
      </c>
      <c r="M252" s="27" t="s">
        <v>495</v>
      </c>
      <c r="N252" s="27" t="s">
        <v>495</v>
      </c>
      <c r="O252" s="27" t="s">
        <v>480</v>
      </c>
      <c r="P252" s="27" t="s">
        <v>480</v>
      </c>
      <c r="Q252" s="27" t="s">
        <v>372</v>
      </c>
      <c r="R252" s="45">
        <v>0</v>
      </c>
      <c r="S252" s="45">
        <v>0</v>
      </c>
      <c r="T252" s="45">
        <v>0</v>
      </c>
      <c r="U252" s="45">
        <v>0</v>
      </c>
      <c r="V252" s="45">
        <v>0</v>
      </c>
      <c r="W252" s="45">
        <v>0</v>
      </c>
      <c r="X252" s="45">
        <v>0</v>
      </c>
      <c r="Y252" s="45">
        <v>0</v>
      </c>
      <c r="Z252" s="45">
        <v>0</v>
      </c>
      <c r="AA252" s="45">
        <v>0</v>
      </c>
      <c r="AB252" s="45">
        <v>0</v>
      </c>
      <c r="AC252" s="45">
        <v>0</v>
      </c>
      <c r="AD252" s="45">
        <v>0</v>
      </c>
      <c r="AE252" s="45">
        <v>0</v>
      </c>
      <c r="AF252" s="45">
        <v>0</v>
      </c>
      <c r="AG252" s="45">
        <v>0</v>
      </c>
      <c r="AH252" s="45"/>
      <c r="AI252" s="45"/>
      <c r="AJ252" s="45"/>
      <c r="AK252" s="45"/>
      <c r="AL252" s="45"/>
      <c r="AM252" s="45"/>
      <c r="AN252" s="45"/>
      <c r="AO252" s="45"/>
    </row>
    <row r="253" spans="2:41" outlineLevel="1" x14ac:dyDescent="0.35">
      <c r="B253" s="27" t="s">
        <v>1291</v>
      </c>
      <c r="C253" s="27" t="s">
        <v>51</v>
      </c>
      <c r="D253" s="27" t="s">
        <v>1870</v>
      </c>
      <c r="E253" s="27" t="s">
        <v>51</v>
      </c>
      <c r="F253" s="27" t="s">
        <v>501</v>
      </c>
      <c r="G253" s="27" t="s">
        <v>1598</v>
      </c>
      <c r="H253" s="27" t="s">
        <v>447</v>
      </c>
      <c r="I253" s="27" t="s">
        <v>440</v>
      </c>
      <c r="J253" s="27" t="s">
        <v>448</v>
      </c>
      <c r="K253" s="27" t="s">
        <v>476</v>
      </c>
      <c r="L253" s="27" t="s">
        <v>503</v>
      </c>
      <c r="M253" s="27" t="s">
        <v>503</v>
      </c>
      <c r="N253" s="27" t="s">
        <v>503</v>
      </c>
      <c r="O253" s="27" t="s">
        <v>480</v>
      </c>
      <c r="P253" s="27" t="s">
        <v>480</v>
      </c>
      <c r="Q253" s="27" t="s">
        <v>372</v>
      </c>
      <c r="R253" s="45">
        <v>15966.66</v>
      </c>
      <c r="S253" s="45">
        <v>15966.66</v>
      </c>
      <c r="T253" s="45">
        <v>15966.66</v>
      </c>
      <c r="U253" s="45">
        <v>63866.64</v>
      </c>
      <c r="V253" s="45">
        <v>79833.3</v>
      </c>
      <c r="W253" s="45">
        <v>95799.96</v>
      </c>
      <c r="X253" s="45">
        <v>111766.62</v>
      </c>
      <c r="Y253" s="45">
        <v>127733.28</v>
      </c>
      <c r="Z253" s="45">
        <v>143699.94</v>
      </c>
      <c r="AA253" s="45">
        <v>227999.94</v>
      </c>
      <c r="AB253" s="45">
        <v>312299.94</v>
      </c>
      <c r="AC253" s="45">
        <v>631024.46</v>
      </c>
      <c r="AD253" s="45">
        <v>41289</v>
      </c>
      <c r="AE253" s="45">
        <v>82578</v>
      </c>
      <c r="AF253" s="45">
        <v>123867</v>
      </c>
      <c r="AG253" s="45">
        <v>167074</v>
      </c>
      <c r="AH253" s="45"/>
      <c r="AI253" s="45"/>
      <c r="AJ253" s="45"/>
      <c r="AK253" s="45"/>
      <c r="AL253" s="45"/>
      <c r="AM253" s="45"/>
      <c r="AN253" s="45"/>
      <c r="AO253" s="45"/>
    </row>
    <row r="254" spans="2:41" outlineLevel="1" x14ac:dyDescent="0.35">
      <c r="B254" s="27" t="s">
        <v>669</v>
      </c>
      <c r="C254" s="27" t="s">
        <v>51</v>
      </c>
      <c r="D254" s="27" t="s">
        <v>1599</v>
      </c>
      <c r="E254" s="27" t="s">
        <v>51</v>
      </c>
      <c r="F254" s="27" t="s">
        <v>63</v>
      </c>
      <c r="G254" s="27" t="s">
        <v>670</v>
      </c>
      <c r="H254" s="27" t="s">
        <v>54</v>
      </c>
      <c r="I254" s="27" t="s">
        <v>55</v>
      </c>
      <c r="J254" s="27" t="s">
        <v>89</v>
      </c>
      <c r="K254" s="27" t="s">
        <v>371</v>
      </c>
      <c r="L254" s="27" t="s">
        <v>371</v>
      </c>
      <c r="M254" s="27" t="s">
        <v>371</v>
      </c>
      <c r="N254" s="27" t="s">
        <v>371</v>
      </c>
      <c r="O254" s="27" t="s">
        <v>371</v>
      </c>
      <c r="P254" s="27" t="s">
        <v>371</v>
      </c>
      <c r="Q254" s="27" t="s">
        <v>372</v>
      </c>
      <c r="R254" s="45">
        <v>43934.99</v>
      </c>
      <c r="S254" s="45">
        <v>43934.99</v>
      </c>
      <c r="T254" s="45">
        <v>0</v>
      </c>
      <c r="U254" s="45">
        <v>0</v>
      </c>
      <c r="V254" s="45">
        <v>0</v>
      </c>
      <c r="W254" s="45">
        <v>0</v>
      </c>
      <c r="X254" s="45">
        <v>0</v>
      </c>
      <c r="Y254" s="45">
        <v>0</v>
      </c>
      <c r="Z254" s="45">
        <v>0</v>
      </c>
      <c r="AA254" s="45">
        <v>0</v>
      </c>
      <c r="AB254" s="45">
        <v>0</v>
      </c>
      <c r="AC254" s="45">
        <v>0</v>
      </c>
      <c r="AD254" s="45">
        <v>0</v>
      </c>
      <c r="AE254" s="45">
        <v>0</v>
      </c>
      <c r="AF254" s="45">
        <v>0</v>
      </c>
      <c r="AG254" s="45">
        <v>0</v>
      </c>
      <c r="AH254" s="45"/>
      <c r="AI254" s="45"/>
      <c r="AJ254" s="45"/>
      <c r="AK254" s="45"/>
      <c r="AL254" s="45"/>
      <c r="AM254" s="45"/>
      <c r="AN254" s="45"/>
      <c r="AO254" s="45"/>
    </row>
    <row r="255" spans="2:41" outlineLevel="1" x14ac:dyDescent="0.35">
      <c r="B255" s="27" t="s">
        <v>671</v>
      </c>
      <c r="C255" s="27" t="s">
        <v>51</v>
      </c>
      <c r="D255" s="27" t="s">
        <v>1600</v>
      </c>
      <c r="E255" s="27" t="s">
        <v>51</v>
      </c>
      <c r="F255" s="27" t="s">
        <v>445</v>
      </c>
      <c r="G255" s="27" t="s">
        <v>672</v>
      </c>
      <c r="H255" s="27" t="s">
        <v>447</v>
      </c>
      <c r="I255" s="27" t="s">
        <v>440</v>
      </c>
      <c r="J255" s="27" t="s">
        <v>448</v>
      </c>
      <c r="K255" s="27" t="s">
        <v>449</v>
      </c>
      <c r="L255" s="27" t="s">
        <v>458</v>
      </c>
      <c r="M255" s="27" t="s">
        <v>502</v>
      </c>
      <c r="N255" s="27" t="s">
        <v>458</v>
      </c>
      <c r="O255" s="27" t="s">
        <v>449</v>
      </c>
      <c r="P255" s="27" t="s">
        <v>449</v>
      </c>
      <c r="Q255" s="27" t="s">
        <v>372</v>
      </c>
      <c r="R255" s="45">
        <v>0</v>
      </c>
      <c r="S255" s="45">
        <v>0</v>
      </c>
      <c r="T255" s="45">
        <v>0</v>
      </c>
      <c r="U255" s="45">
        <v>0</v>
      </c>
      <c r="V255" s="45">
        <v>0</v>
      </c>
      <c r="W255" s="45">
        <v>0</v>
      </c>
      <c r="X255" s="45">
        <v>0</v>
      </c>
      <c r="Y255" s="45">
        <v>0</v>
      </c>
      <c r="Z255" s="45">
        <v>0</v>
      </c>
      <c r="AA255" s="45">
        <v>0</v>
      </c>
      <c r="AB255" s="45">
        <v>0</v>
      </c>
      <c r="AC255" s="45">
        <v>0</v>
      </c>
      <c r="AD255" s="45">
        <v>0</v>
      </c>
      <c r="AE255" s="45">
        <v>0</v>
      </c>
      <c r="AF255" s="45">
        <v>0</v>
      </c>
      <c r="AG255" s="45">
        <v>0</v>
      </c>
      <c r="AH255" s="45"/>
      <c r="AI255" s="45"/>
      <c r="AJ255" s="45"/>
      <c r="AK255" s="45"/>
      <c r="AL255" s="45"/>
      <c r="AM255" s="45"/>
      <c r="AN255" s="45"/>
      <c r="AO255" s="45"/>
    </row>
    <row r="256" spans="2:41" outlineLevel="1" x14ac:dyDescent="0.35">
      <c r="B256" s="27" t="s">
        <v>673</v>
      </c>
      <c r="C256" s="27" t="s">
        <v>51</v>
      </c>
      <c r="D256" s="27" t="s">
        <v>1601</v>
      </c>
      <c r="E256" s="27" t="s">
        <v>51</v>
      </c>
      <c r="F256" s="27" t="s">
        <v>369</v>
      </c>
      <c r="G256" s="27" t="s">
        <v>674</v>
      </c>
      <c r="H256" s="27" t="s">
        <v>54</v>
      </c>
      <c r="I256" s="27" t="s">
        <v>55</v>
      </c>
      <c r="J256" s="27" t="s">
        <v>370</v>
      </c>
      <c r="K256" s="27" t="s">
        <v>371</v>
      </c>
      <c r="L256" s="27" t="s">
        <v>371</v>
      </c>
      <c r="M256" s="27" t="s">
        <v>371</v>
      </c>
      <c r="N256" s="27" t="s">
        <v>371</v>
      </c>
      <c r="O256" s="27" t="s">
        <v>371</v>
      </c>
      <c r="P256" s="27" t="s">
        <v>371</v>
      </c>
      <c r="Q256" s="27" t="s">
        <v>372</v>
      </c>
      <c r="R256" s="45">
        <v>0</v>
      </c>
      <c r="S256" s="45">
        <v>0</v>
      </c>
      <c r="T256" s="45">
        <v>299588.14999999991</v>
      </c>
      <c r="U256" s="45">
        <v>180058.44000000041</v>
      </c>
      <c r="V256" s="45">
        <v>170041.03000000026</v>
      </c>
      <c r="W256" s="45">
        <v>96900000</v>
      </c>
      <c r="X256" s="45">
        <v>0</v>
      </c>
      <c r="Y256" s="45">
        <v>0</v>
      </c>
      <c r="Z256" s="45">
        <v>0</v>
      </c>
      <c r="AA256" s="45">
        <v>0</v>
      </c>
      <c r="AB256" s="45">
        <v>0</v>
      </c>
      <c r="AC256" s="45">
        <v>360000</v>
      </c>
      <c r="AD256" s="45">
        <v>0</v>
      </c>
      <c r="AE256" s="45">
        <v>0</v>
      </c>
      <c r="AF256" s="45">
        <v>0</v>
      </c>
      <c r="AG256" s="45">
        <v>0</v>
      </c>
      <c r="AH256" s="45"/>
      <c r="AI256" s="45"/>
      <c r="AJ256" s="45"/>
      <c r="AK256" s="45"/>
      <c r="AL256" s="45"/>
      <c r="AM256" s="45"/>
      <c r="AN256" s="45"/>
      <c r="AO256" s="45"/>
    </row>
    <row r="257" spans="2:41" outlineLevel="1" x14ac:dyDescent="0.35">
      <c r="B257" s="27" t="s">
        <v>675</v>
      </c>
      <c r="C257" s="27" t="s">
        <v>51</v>
      </c>
      <c r="D257" s="27" t="s">
        <v>1602</v>
      </c>
      <c r="E257" s="27" t="s">
        <v>51</v>
      </c>
      <c r="F257" s="27" t="s">
        <v>369</v>
      </c>
      <c r="G257" s="27" t="s">
        <v>676</v>
      </c>
      <c r="H257" s="27" t="s">
        <v>54</v>
      </c>
      <c r="I257" s="27" t="s">
        <v>55</v>
      </c>
      <c r="J257" s="27" t="s">
        <v>370</v>
      </c>
      <c r="K257" s="27" t="s">
        <v>371</v>
      </c>
      <c r="L257" s="27" t="s">
        <v>371</v>
      </c>
      <c r="M257" s="27" t="s">
        <v>371</v>
      </c>
      <c r="N257" s="27" t="s">
        <v>371</v>
      </c>
      <c r="O257" s="27" t="s">
        <v>371</v>
      </c>
      <c r="P257" s="27" t="s">
        <v>371</v>
      </c>
      <c r="Q257" s="27" t="s">
        <v>372</v>
      </c>
      <c r="R257" s="45">
        <v>1030</v>
      </c>
      <c r="S257" s="45">
        <v>1027.68</v>
      </c>
      <c r="T257" s="45">
        <v>1027.68</v>
      </c>
      <c r="U257" s="45">
        <v>0</v>
      </c>
      <c r="V257" s="45">
        <v>0</v>
      </c>
      <c r="W257" s="45">
        <v>0</v>
      </c>
      <c r="X257" s="45">
        <v>0</v>
      </c>
      <c r="Y257" s="45">
        <v>100</v>
      </c>
      <c r="Z257" s="45">
        <v>100</v>
      </c>
      <c r="AA257" s="45">
        <v>100</v>
      </c>
      <c r="AB257" s="45">
        <v>100</v>
      </c>
      <c r="AC257" s="45">
        <v>4103.8500000000004</v>
      </c>
      <c r="AD257" s="45">
        <v>0</v>
      </c>
      <c r="AE257" s="45">
        <v>0</v>
      </c>
      <c r="AF257" s="45">
        <v>0</v>
      </c>
      <c r="AG257" s="45">
        <v>0</v>
      </c>
      <c r="AH257" s="45"/>
      <c r="AI257" s="45"/>
      <c r="AJ257" s="45"/>
      <c r="AK257" s="45"/>
      <c r="AL257" s="45"/>
      <c r="AM257" s="45"/>
      <c r="AN257" s="45"/>
      <c r="AO257" s="45"/>
    </row>
    <row r="258" spans="2:41" outlineLevel="1" x14ac:dyDescent="0.35">
      <c r="B258" s="27" t="s">
        <v>677</v>
      </c>
      <c r="C258" s="27" t="s">
        <v>51</v>
      </c>
      <c r="D258" s="27" t="s">
        <v>1603</v>
      </c>
      <c r="E258" s="27" t="s">
        <v>51</v>
      </c>
      <c r="F258" s="27" t="s">
        <v>369</v>
      </c>
      <c r="G258" s="27" t="s">
        <v>678</v>
      </c>
      <c r="H258" s="27" t="s">
        <v>54</v>
      </c>
      <c r="I258" s="27" t="s">
        <v>55</v>
      </c>
      <c r="J258" s="27" t="s">
        <v>370</v>
      </c>
      <c r="K258" s="27" t="s">
        <v>371</v>
      </c>
      <c r="L258" s="27" t="s">
        <v>371</v>
      </c>
      <c r="M258" s="27" t="s">
        <v>371</v>
      </c>
      <c r="N258" s="27" t="s">
        <v>371</v>
      </c>
      <c r="O258" s="27" t="s">
        <v>371</v>
      </c>
      <c r="P258" s="27" t="s">
        <v>371</v>
      </c>
      <c r="Q258" s="27" t="s">
        <v>372</v>
      </c>
      <c r="R258" s="45">
        <v>20154.73</v>
      </c>
      <c r="S258" s="45">
        <v>19965.46</v>
      </c>
      <c r="T258" s="45">
        <v>19852.93</v>
      </c>
      <c r="U258" s="45">
        <v>0</v>
      </c>
      <c r="V258" s="45">
        <v>0</v>
      </c>
      <c r="W258" s="45">
        <v>0</v>
      </c>
      <c r="X258" s="45">
        <v>0</v>
      </c>
      <c r="Y258" s="45">
        <v>1765.22</v>
      </c>
      <c r="Z258" s="45">
        <v>1738.25</v>
      </c>
      <c r="AA258" s="45">
        <v>1740.72</v>
      </c>
      <c r="AB258" s="45">
        <v>1734.67</v>
      </c>
      <c r="AC258" s="45">
        <v>71556.5</v>
      </c>
      <c r="AD258" s="45">
        <v>0</v>
      </c>
      <c r="AE258" s="45">
        <v>0</v>
      </c>
      <c r="AF258" s="45">
        <v>0</v>
      </c>
      <c r="AG258" s="45">
        <v>0</v>
      </c>
      <c r="AH258" s="45"/>
      <c r="AI258" s="45"/>
      <c r="AJ258" s="45"/>
      <c r="AK258" s="45"/>
      <c r="AL258" s="45"/>
      <c r="AM258" s="45"/>
      <c r="AN258" s="45"/>
      <c r="AO258" s="45"/>
    </row>
    <row r="259" spans="2:41" outlineLevel="1" x14ac:dyDescent="0.35">
      <c r="B259" s="27" t="s">
        <v>679</v>
      </c>
      <c r="C259" s="27" t="s">
        <v>51</v>
      </c>
      <c r="D259" s="27" t="s">
        <v>1604</v>
      </c>
      <c r="E259" s="27" t="s">
        <v>51</v>
      </c>
      <c r="F259" s="27" t="s">
        <v>377</v>
      </c>
      <c r="G259" s="27" t="s">
        <v>680</v>
      </c>
      <c r="H259" s="27" t="s">
        <v>54</v>
      </c>
      <c r="I259" s="27" t="s">
        <v>55</v>
      </c>
      <c r="J259" s="27" t="s">
        <v>56</v>
      </c>
      <c r="K259" s="27" t="s">
        <v>371</v>
      </c>
      <c r="L259" s="27" t="s">
        <v>371</v>
      </c>
      <c r="M259" s="27" t="s">
        <v>371</v>
      </c>
      <c r="N259" s="27" t="s">
        <v>371</v>
      </c>
      <c r="O259" s="27" t="s">
        <v>371</v>
      </c>
      <c r="P259" s="27" t="s">
        <v>371</v>
      </c>
      <c r="Q259" s="27" t="s">
        <v>372</v>
      </c>
      <c r="R259" s="45">
        <v>25885.96</v>
      </c>
      <c r="S259" s="45">
        <v>30954.59</v>
      </c>
      <c r="T259" s="45">
        <v>30954.59</v>
      </c>
      <c r="U259" s="45">
        <v>25885.96</v>
      </c>
      <c r="V259" s="45">
        <v>25885.96</v>
      </c>
      <c r="W259" s="45">
        <v>6461.7199999999975</v>
      </c>
      <c r="X259" s="45">
        <v>12942.98</v>
      </c>
      <c r="Y259" s="45">
        <v>0</v>
      </c>
      <c r="Z259" s="45">
        <v>0</v>
      </c>
      <c r="AA259" s="45">
        <v>0</v>
      </c>
      <c r="AB259" s="45">
        <v>0</v>
      </c>
      <c r="AC259" s="45">
        <v>0</v>
      </c>
      <c r="AD259" s="45">
        <v>0</v>
      </c>
      <c r="AE259" s="45">
        <v>0</v>
      </c>
      <c r="AF259" s="45">
        <v>0</v>
      </c>
      <c r="AG259" s="45">
        <v>0</v>
      </c>
      <c r="AH259" s="45"/>
      <c r="AI259" s="45"/>
      <c r="AJ259" s="45"/>
      <c r="AK259" s="45"/>
      <c r="AL259" s="45"/>
      <c r="AM259" s="45"/>
      <c r="AN259" s="45"/>
      <c r="AO259" s="45"/>
    </row>
    <row r="260" spans="2:41" outlineLevel="1" x14ac:dyDescent="0.35">
      <c r="B260" s="27" t="s">
        <v>681</v>
      </c>
      <c r="C260" s="27" t="s">
        <v>51</v>
      </c>
      <c r="D260" s="27" t="s">
        <v>1605</v>
      </c>
      <c r="E260" s="27" t="s">
        <v>51</v>
      </c>
      <c r="F260" s="27" t="s">
        <v>385</v>
      </c>
      <c r="G260" s="27" t="s">
        <v>682</v>
      </c>
      <c r="H260" s="27" t="s">
        <v>54</v>
      </c>
      <c r="I260" s="27" t="s">
        <v>55</v>
      </c>
      <c r="J260" s="27" t="s">
        <v>393</v>
      </c>
      <c r="K260" s="27" t="s">
        <v>371</v>
      </c>
      <c r="L260" s="27" t="s">
        <v>371</v>
      </c>
      <c r="M260" s="27" t="s">
        <v>371</v>
      </c>
      <c r="N260" s="27" t="s">
        <v>371</v>
      </c>
      <c r="O260" s="27" t="s">
        <v>371</v>
      </c>
      <c r="P260" s="27" t="s">
        <v>371</v>
      </c>
      <c r="Q260" s="27" t="s">
        <v>372</v>
      </c>
      <c r="R260" s="45">
        <v>76128</v>
      </c>
      <c r="S260" s="45">
        <v>76128</v>
      </c>
      <c r="T260" s="45">
        <v>76128</v>
      </c>
      <c r="U260" s="45">
        <v>76128</v>
      </c>
      <c r="V260" s="45">
        <v>76128</v>
      </c>
      <c r="W260" s="45">
        <v>76128</v>
      </c>
      <c r="X260" s="45">
        <v>76128</v>
      </c>
      <c r="Y260" s="45">
        <v>101336</v>
      </c>
      <c r="Z260" s="45">
        <v>101336</v>
      </c>
      <c r="AA260" s="45">
        <v>350505.08</v>
      </c>
      <c r="AB260" s="45">
        <v>0</v>
      </c>
      <c r="AC260" s="45">
        <v>0</v>
      </c>
      <c r="AD260" s="45">
        <v>0</v>
      </c>
      <c r="AE260" s="45">
        <v>0</v>
      </c>
      <c r="AF260" s="45">
        <v>0</v>
      </c>
      <c r="AG260" s="45">
        <v>0</v>
      </c>
      <c r="AH260" s="45"/>
      <c r="AI260" s="45"/>
      <c r="AJ260" s="45"/>
      <c r="AK260" s="45"/>
      <c r="AL260" s="45"/>
      <c r="AM260" s="45"/>
      <c r="AN260" s="45"/>
      <c r="AO260" s="45"/>
    </row>
    <row r="261" spans="2:41" outlineLevel="1" x14ac:dyDescent="0.35">
      <c r="B261" s="27" t="s">
        <v>683</v>
      </c>
      <c r="C261" s="27" t="s">
        <v>51</v>
      </c>
      <c r="D261" s="27" t="s">
        <v>1606</v>
      </c>
      <c r="E261" s="27" t="s">
        <v>51</v>
      </c>
      <c r="F261" s="27" t="s">
        <v>109</v>
      </c>
      <c r="G261" s="27" t="s">
        <v>684</v>
      </c>
      <c r="H261" s="27" t="s">
        <v>54</v>
      </c>
      <c r="I261" s="27" t="s">
        <v>55</v>
      </c>
      <c r="J261" s="27" t="s">
        <v>101</v>
      </c>
      <c r="K261" s="27" t="s">
        <v>371</v>
      </c>
      <c r="L261" s="27" t="s">
        <v>371</v>
      </c>
      <c r="M261" s="27" t="s">
        <v>371</v>
      </c>
      <c r="N261" s="27" t="s">
        <v>371</v>
      </c>
      <c r="O261" s="27" t="s">
        <v>371</v>
      </c>
      <c r="P261" s="27" t="s">
        <v>371</v>
      </c>
      <c r="Q261" s="27" t="s">
        <v>372</v>
      </c>
      <c r="R261" s="45">
        <v>0</v>
      </c>
      <c r="S261" s="45">
        <v>0</v>
      </c>
      <c r="T261" s="45">
        <v>0</v>
      </c>
      <c r="U261" s="45">
        <v>0</v>
      </c>
      <c r="V261" s="45">
        <v>0</v>
      </c>
      <c r="W261" s="45">
        <v>0</v>
      </c>
      <c r="X261" s="45">
        <v>0</v>
      </c>
      <c r="Y261" s="45">
        <v>0</v>
      </c>
      <c r="Z261" s="45">
        <v>0</v>
      </c>
      <c r="AA261" s="45">
        <v>0</v>
      </c>
      <c r="AB261" s="45">
        <v>0</v>
      </c>
      <c r="AC261" s="45">
        <v>0</v>
      </c>
      <c r="AD261" s="45">
        <v>0</v>
      </c>
      <c r="AE261" s="45">
        <v>0</v>
      </c>
      <c r="AF261" s="45">
        <v>0</v>
      </c>
      <c r="AG261" s="45">
        <v>0</v>
      </c>
      <c r="AH261" s="45"/>
      <c r="AI261" s="45"/>
      <c r="AJ261" s="45"/>
      <c r="AK261" s="45"/>
      <c r="AL261" s="45"/>
      <c r="AM261" s="45"/>
      <c r="AN261" s="45"/>
      <c r="AO261" s="45"/>
    </row>
    <row r="262" spans="2:41" outlineLevel="1" x14ac:dyDescent="0.35">
      <c r="B262" s="27" t="s">
        <v>685</v>
      </c>
      <c r="C262" s="27" t="s">
        <v>51</v>
      </c>
      <c r="D262" s="27" t="s">
        <v>1607</v>
      </c>
      <c r="E262" s="27" t="s">
        <v>51</v>
      </c>
      <c r="F262" s="27" t="s">
        <v>195</v>
      </c>
      <c r="G262" s="27" t="s">
        <v>663</v>
      </c>
      <c r="H262" s="27" t="s">
        <v>54</v>
      </c>
      <c r="I262" s="27" t="s">
        <v>142</v>
      </c>
      <c r="J262" s="27" t="s">
        <v>197</v>
      </c>
      <c r="K262" s="27" t="s">
        <v>371</v>
      </c>
      <c r="L262" s="27" t="s">
        <v>371</v>
      </c>
      <c r="M262" s="27" t="s">
        <v>371</v>
      </c>
      <c r="N262" s="27" t="s">
        <v>371</v>
      </c>
      <c r="O262" s="27" t="s">
        <v>371</v>
      </c>
      <c r="P262" s="27" t="s">
        <v>371</v>
      </c>
      <c r="Q262" s="27" t="s">
        <v>372</v>
      </c>
      <c r="R262" s="45">
        <v>0</v>
      </c>
      <c r="S262" s="45">
        <v>0</v>
      </c>
      <c r="T262" s="45">
        <v>0</v>
      </c>
      <c r="U262" s="45">
        <v>0</v>
      </c>
      <c r="V262" s="45">
        <v>0</v>
      </c>
      <c r="W262" s="45">
        <v>0</v>
      </c>
      <c r="X262" s="45">
        <v>0</v>
      </c>
      <c r="Y262" s="45">
        <v>0</v>
      </c>
      <c r="Z262" s="45">
        <v>0</v>
      </c>
      <c r="AA262" s="45">
        <v>0</v>
      </c>
      <c r="AB262" s="45">
        <v>0</v>
      </c>
      <c r="AC262" s="45">
        <v>0</v>
      </c>
      <c r="AD262" s="45">
        <v>0</v>
      </c>
      <c r="AE262" s="45">
        <v>0</v>
      </c>
      <c r="AF262" s="45">
        <v>0</v>
      </c>
      <c r="AG262" s="45">
        <v>0</v>
      </c>
      <c r="AH262" s="45"/>
      <c r="AI262" s="45"/>
      <c r="AJ262" s="45"/>
      <c r="AK262" s="45"/>
      <c r="AL262" s="45"/>
      <c r="AM262" s="45"/>
      <c r="AN262" s="45"/>
      <c r="AO262" s="45"/>
    </row>
    <row r="263" spans="2:41" outlineLevel="1" x14ac:dyDescent="0.35">
      <c r="B263" s="27" t="s">
        <v>1292</v>
      </c>
      <c r="C263" s="27" t="s">
        <v>51</v>
      </c>
      <c r="D263" s="27" t="s">
        <v>1871</v>
      </c>
      <c r="E263" s="27" t="s">
        <v>51</v>
      </c>
      <c r="F263" s="27" t="s">
        <v>195</v>
      </c>
      <c r="G263" s="27" t="s">
        <v>1608</v>
      </c>
      <c r="H263" s="27" t="s">
        <v>54</v>
      </c>
      <c r="I263" s="27" t="s">
        <v>142</v>
      </c>
      <c r="J263" s="27" t="s">
        <v>197</v>
      </c>
      <c r="K263" s="27" t="s">
        <v>371</v>
      </c>
      <c r="L263" s="27" t="s">
        <v>371</v>
      </c>
      <c r="M263" s="27" t="s">
        <v>371</v>
      </c>
      <c r="N263" s="27" t="s">
        <v>371</v>
      </c>
      <c r="O263" s="27" t="s">
        <v>371</v>
      </c>
      <c r="P263" s="27" t="s">
        <v>371</v>
      </c>
      <c r="Q263" s="27" t="s">
        <v>372</v>
      </c>
      <c r="R263" s="45">
        <v>-1021.61</v>
      </c>
      <c r="S263" s="45">
        <v>-33057.68</v>
      </c>
      <c r="T263" s="45">
        <v>-21365</v>
      </c>
      <c r="U263" s="45">
        <v>-29506.809999999998</v>
      </c>
      <c r="V263" s="45">
        <v>-45590.15</v>
      </c>
      <c r="W263" s="45">
        <v>-36732.28</v>
      </c>
      <c r="X263" s="45">
        <v>-64912.17</v>
      </c>
      <c r="Y263" s="45">
        <v>-102266.24000000001</v>
      </c>
      <c r="Z263" s="45">
        <v>-91282.95</v>
      </c>
      <c r="AA263" s="45">
        <v>-42099.67</v>
      </c>
      <c r="AB263" s="45">
        <v>-64460.49</v>
      </c>
      <c r="AC263" s="45">
        <v>-121345.26</v>
      </c>
      <c r="AD263" s="45">
        <v>-155873.43</v>
      </c>
      <c r="AE263" s="45">
        <v>-178049.21</v>
      </c>
      <c r="AF263" s="45">
        <v>-250161.85</v>
      </c>
      <c r="AG263" s="45">
        <v>-343237.95</v>
      </c>
      <c r="AH263" s="45"/>
      <c r="AI263" s="45"/>
      <c r="AJ263" s="45"/>
      <c r="AK263" s="45"/>
      <c r="AL263" s="45"/>
      <c r="AM263" s="45"/>
      <c r="AN263" s="45"/>
      <c r="AO263" s="45"/>
    </row>
    <row r="264" spans="2:41" outlineLevel="1" x14ac:dyDescent="0.35">
      <c r="B264" s="27" t="s">
        <v>1293</v>
      </c>
      <c r="C264" s="27" t="s">
        <v>51</v>
      </c>
      <c r="D264" s="27" t="s">
        <v>1872</v>
      </c>
      <c r="E264" s="27" t="s">
        <v>51</v>
      </c>
      <c r="F264" s="27" t="s">
        <v>434</v>
      </c>
      <c r="G264" s="27" t="s">
        <v>1609</v>
      </c>
      <c r="H264" s="27" t="s">
        <v>54</v>
      </c>
      <c r="I264" s="27" t="s">
        <v>142</v>
      </c>
      <c r="J264" s="27" t="s">
        <v>436</v>
      </c>
      <c r="K264" s="27" t="s">
        <v>371</v>
      </c>
      <c r="L264" s="27" t="s">
        <v>371</v>
      </c>
      <c r="M264" s="27" t="s">
        <v>371</v>
      </c>
      <c r="N264" s="27" t="s">
        <v>371</v>
      </c>
      <c r="O264" s="27" t="s">
        <v>371</v>
      </c>
      <c r="P264" s="27" t="s">
        <v>371</v>
      </c>
      <c r="Q264" s="27" t="s">
        <v>372</v>
      </c>
      <c r="R264" s="45">
        <v>-20764</v>
      </c>
      <c r="S264" s="45">
        <v>-41528</v>
      </c>
      <c r="T264" s="45">
        <v>-20764</v>
      </c>
      <c r="U264" s="45">
        <v>-45465.5</v>
      </c>
      <c r="V264" s="45">
        <v>-30060.879999999997</v>
      </c>
      <c r="W264" s="45">
        <v>-128952.9</v>
      </c>
      <c r="X264" s="45">
        <v>-24701.5</v>
      </c>
      <c r="Y264" s="45">
        <v>-45465.5</v>
      </c>
      <c r="Z264" s="45">
        <v>-24701.5</v>
      </c>
      <c r="AA264" s="45">
        <v>-45465.5</v>
      </c>
      <c r="AB264" s="45">
        <v>-87959.9</v>
      </c>
      <c r="AC264" s="45">
        <v>-83449.09</v>
      </c>
      <c r="AD264" s="45">
        <v>-62685.18</v>
      </c>
      <c r="AE264" s="45">
        <v>-28185.27</v>
      </c>
      <c r="AF264" s="45">
        <v>-122840.77</v>
      </c>
      <c r="AG264" s="45">
        <v>-98723.03</v>
      </c>
      <c r="AH264" s="45"/>
      <c r="AI264" s="45"/>
      <c r="AJ264" s="45"/>
      <c r="AK264" s="45"/>
      <c r="AL264" s="45"/>
      <c r="AM264" s="45"/>
      <c r="AN264" s="45"/>
      <c r="AO264" s="45"/>
    </row>
    <row r="265" spans="2:41" outlineLevel="1" x14ac:dyDescent="0.35">
      <c r="B265" s="27" t="s">
        <v>1294</v>
      </c>
      <c r="C265" s="27" t="s">
        <v>51</v>
      </c>
      <c r="D265" s="27" t="s">
        <v>1873</v>
      </c>
      <c r="E265" s="27" t="s">
        <v>51</v>
      </c>
      <c r="F265" s="27" t="s">
        <v>474</v>
      </c>
      <c r="G265" s="27" t="s">
        <v>1610</v>
      </c>
      <c r="H265" s="27" t="s">
        <v>447</v>
      </c>
      <c r="I265" s="27" t="s">
        <v>440</v>
      </c>
      <c r="J265" s="27" t="s">
        <v>448</v>
      </c>
      <c r="K265" s="27" t="s">
        <v>491</v>
      </c>
      <c r="L265" s="27" t="s">
        <v>686</v>
      </c>
      <c r="M265" s="27" t="s">
        <v>686</v>
      </c>
      <c r="N265" s="27" t="s">
        <v>686</v>
      </c>
      <c r="O265" s="27" t="s">
        <v>491</v>
      </c>
      <c r="P265" s="27" t="s">
        <v>480</v>
      </c>
      <c r="Q265" s="27" t="s">
        <v>372</v>
      </c>
      <c r="R265" s="45">
        <v>0</v>
      </c>
      <c r="S265" s="45">
        <v>0</v>
      </c>
      <c r="T265" s="45">
        <v>0</v>
      </c>
      <c r="U265" s="45">
        <v>0</v>
      </c>
      <c r="V265" s="45">
        <v>0</v>
      </c>
      <c r="W265" s="45">
        <v>0</v>
      </c>
      <c r="X265" s="45">
        <v>0</v>
      </c>
      <c r="Y265" s="45">
        <v>0</v>
      </c>
      <c r="Z265" s="45">
        <v>0</v>
      </c>
      <c r="AA265" s="45">
        <v>0</v>
      </c>
      <c r="AB265" s="45">
        <v>0</v>
      </c>
      <c r="AC265" s="45">
        <v>60408.160000000003</v>
      </c>
      <c r="AD265" s="45">
        <v>269397.87</v>
      </c>
      <c r="AE265" s="45">
        <v>269397.87</v>
      </c>
      <c r="AF265" s="45">
        <v>423528.95</v>
      </c>
      <c r="AG265" s="45">
        <v>512206.9</v>
      </c>
      <c r="AH265" s="45"/>
      <c r="AI265" s="45"/>
      <c r="AJ265" s="45"/>
      <c r="AK265" s="45"/>
      <c r="AL265" s="45"/>
      <c r="AM265" s="45"/>
      <c r="AN265" s="45"/>
      <c r="AO265" s="45"/>
    </row>
    <row r="266" spans="2:41" outlineLevel="1" x14ac:dyDescent="0.35">
      <c r="B266" s="27" t="s">
        <v>688</v>
      </c>
      <c r="C266" s="27" t="s">
        <v>51</v>
      </c>
      <c r="D266" s="27" t="s">
        <v>1611</v>
      </c>
      <c r="E266" s="27" t="s">
        <v>51</v>
      </c>
      <c r="F266" s="27" t="s">
        <v>501</v>
      </c>
      <c r="G266" s="27" t="s">
        <v>689</v>
      </c>
      <c r="H266" s="27" t="s">
        <v>447</v>
      </c>
      <c r="I266" s="27" t="s">
        <v>440</v>
      </c>
      <c r="J266" s="27" t="s">
        <v>448</v>
      </c>
      <c r="K266" s="27" t="s">
        <v>476</v>
      </c>
      <c r="L266" s="27" t="s">
        <v>502</v>
      </c>
      <c r="M266" s="27" t="s">
        <v>502</v>
      </c>
      <c r="N266" s="27" t="s">
        <v>499</v>
      </c>
      <c r="O266" s="27" t="s">
        <v>480</v>
      </c>
      <c r="P266" s="27" t="s">
        <v>480</v>
      </c>
      <c r="Q266" s="27" t="s">
        <v>372</v>
      </c>
      <c r="R266" s="45">
        <v>0</v>
      </c>
      <c r="S266" s="45">
        <v>0</v>
      </c>
      <c r="T266" s="45">
        <v>0</v>
      </c>
      <c r="U266" s="45">
        <v>0</v>
      </c>
      <c r="V266" s="45">
        <v>0</v>
      </c>
      <c r="W266" s="45">
        <v>0</v>
      </c>
      <c r="X266" s="45">
        <v>0</v>
      </c>
      <c r="Y266" s="45">
        <v>0</v>
      </c>
      <c r="Z266" s="45">
        <v>0</v>
      </c>
      <c r="AA266" s="45">
        <v>0</v>
      </c>
      <c r="AB266" s="45">
        <v>0</v>
      </c>
      <c r="AC266" s="45">
        <v>0</v>
      </c>
      <c r="AD266" s="45">
        <v>0</v>
      </c>
      <c r="AE266" s="45">
        <v>0</v>
      </c>
      <c r="AF266" s="45">
        <v>0</v>
      </c>
      <c r="AG266" s="45">
        <v>0</v>
      </c>
      <c r="AH266" s="45"/>
      <c r="AI266" s="45"/>
      <c r="AJ266" s="45"/>
      <c r="AK266" s="45"/>
      <c r="AL266" s="45"/>
      <c r="AM266" s="45"/>
      <c r="AN266" s="45"/>
      <c r="AO266" s="45"/>
    </row>
    <row r="267" spans="2:41" outlineLevel="1" x14ac:dyDescent="0.35">
      <c r="B267" s="27" t="s">
        <v>690</v>
      </c>
      <c r="C267" s="27" t="s">
        <v>51</v>
      </c>
      <c r="D267" s="27" t="s">
        <v>1612</v>
      </c>
      <c r="E267" s="27" t="s">
        <v>51</v>
      </c>
      <c r="F267" s="27" t="s">
        <v>559</v>
      </c>
      <c r="G267" s="27" t="s">
        <v>691</v>
      </c>
      <c r="H267" s="27" t="s">
        <v>447</v>
      </c>
      <c r="I267" s="27" t="s">
        <v>440</v>
      </c>
      <c r="J267" s="27" t="s">
        <v>448</v>
      </c>
      <c r="K267" s="27" t="s">
        <v>557</v>
      </c>
      <c r="L267" s="27" t="s">
        <v>557</v>
      </c>
      <c r="M267" s="27" t="s">
        <v>558</v>
      </c>
      <c r="N267" s="27" t="s">
        <v>371</v>
      </c>
      <c r="O267" s="27" t="s">
        <v>557</v>
      </c>
      <c r="P267" s="27" t="s">
        <v>557</v>
      </c>
      <c r="Q267" s="27" t="s">
        <v>372</v>
      </c>
      <c r="R267" s="45">
        <v>0</v>
      </c>
      <c r="S267" s="45">
        <v>0</v>
      </c>
      <c r="T267" s="45">
        <v>0</v>
      </c>
      <c r="U267" s="45">
        <v>0</v>
      </c>
      <c r="V267" s="45">
        <v>0</v>
      </c>
      <c r="W267" s="45">
        <v>0</v>
      </c>
      <c r="X267" s="45">
        <v>0</v>
      </c>
      <c r="Y267" s="45">
        <v>0</v>
      </c>
      <c r="Z267" s="45">
        <v>0</v>
      </c>
      <c r="AA267" s="45">
        <v>0</v>
      </c>
      <c r="AB267" s="45">
        <v>0</v>
      </c>
      <c r="AC267" s="45">
        <v>0</v>
      </c>
      <c r="AD267" s="45">
        <v>0</v>
      </c>
      <c r="AE267" s="45">
        <v>0</v>
      </c>
      <c r="AF267" s="45">
        <v>0</v>
      </c>
      <c r="AG267" s="45">
        <v>0</v>
      </c>
      <c r="AH267" s="45"/>
      <c r="AI267" s="45"/>
      <c r="AJ267" s="45"/>
      <c r="AK267" s="45"/>
      <c r="AL267" s="45"/>
      <c r="AM267" s="45"/>
      <c r="AN267" s="45"/>
      <c r="AO267" s="45"/>
    </row>
    <row r="268" spans="2:41" outlineLevel="1" x14ac:dyDescent="0.35">
      <c r="B268" s="27" t="s">
        <v>692</v>
      </c>
      <c r="C268" s="27" t="s">
        <v>51</v>
      </c>
      <c r="D268" s="27" t="s">
        <v>1613</v>
      </c>
      <c r="E268" s="27" t="s">
        <v>51</v>
      </c>
      <c r="F268" s="27" t="s">
        <v>377</v>
      </c>
      <c r="G268" s="27" t="s">
        <v>693</v>
      </c>
      <c r="H268" s="27" t="s">
        <v>54</v>
      </c>
      <c r="I268" s="27" t="s">
        <v>55</v>
      </c>
      <c r="J268" s="27" t="s">
        <v>56</v>
      </c>
      <c r="K268" s="27" t="s">
        <v>371</v>
      </c>
      <c r="L268" s="27" t="s">
        <v>371</v>
      </c>
      <c r="M268" s="27" t="s">
        <v>371</v>
      </c>
      <c r="N268" s="27" t="s">
        <v>371</v>
      </c>
      <c r="O268" s="27" t="s">
        <v>371</v>
      </c>
      <c r="P268" s="27" t="s">
        <v>371</v>
      </c>
      <c r="Q268" s="27" t="s">
        <v>372</v>
      </c>
      <c r="R268" s="45">
        <v>13516.32</v>
      </c>
      <c r="S268" s="45">
        <v>13516.32</v>
      </c>
      <c r="T268" s="45">
        <v>13516.32</v>
      </c>
      <c r="U268" s="45">
        <v>13516.32</v>
      </c>
      <c r="V268" s="45">
        <v>13516.32</v>
      </c>
      <c r="W268" s="45">
        <v>15222.33</v>
      </c>
      <c r="X268" s="45">
        <v>15222.33</v>
      </c>
      <c r="Y268" s="45">
        <v>15222.33</v>
      </c>
      <c r="Z268" s="45">
        <v>15222.33</v>
      </c>
      <c r="AA268" s="45">
        <v>585.21</v>
      </c>
      <c r="AB268" s="45">
        <v>0</v>
      </c>
      <c r="AC268" s="45">
        <v>0</v>
      </c>
      <c r="AD268" s="45">
        <v>0</v>
      </c>
      <c r="AE268" s="45">
        <v>0</v>
      </c>
      <c r="AF268" s="45">
        <v>0</v>
      </c>
      <c r="AG268" s="45">
        <v>0</v>
      </c>
      <c r="AH268" s="45"/>
      <c r="AI268" s="45"/>
      <c r="AJ268" s="45"/>
      <c r="AK268" s="45"/>
      <c r="AL268" s="45"/>
      <c r="AM268" s="45"/>
      <c r="AN268" s="45"/>
      <c r="AO268" s="45"/>
    </row>
    <row r="269" spans="2:41" outlineLevel="1" x14ac:dyDescent="0.35">
      <c r="B269" s="27" t="s">
        <v>694</v>
      </c>
      <c r="C269" s="27" t="s">
        <v>51</v>
      </c>
      <c r="D269" s="27" t="s">
        <v>1614</v>
      </c>
      <c r="E269" s="27" t="s">
        <v>51</v>
      </c>
      <c r="F269" s="27" t="s">
        <v>587</v>
      </c>
      <c r="G269" s="27" t="s">
        <v>695</v>
      </c>
      <c r="H269" s="27" t="s">
        <v>54</v>
      </c>
      <c r="I269" s="27" t="s">
        <v>142</v>
      </c>
      <c r="J269" s="27" t="s">
        <v>197</v>
      </c>
      <c r="K269" s="27" t="s">
        <v>371</v>
      </c>
      <c r="L269" s="27" t="s">
        <v>371</v>
      </c>
      <c r="M269" s="27" t="s">
        <v>371</v>
      </c>
      <c r="N269" s="27" t="s">
        <v>371</v>
      </c>
      <c r="O269" s="27" t="s">
        <v>371</v>
      </c>
      <c r="P269" s="27" t="s">
        <v>371</v>
      </c>
      <c r="Q269" s="27" t="s">
        <v>372</v>
      </c>
      <c r="R269" s="45">
        <v>-9729153.4499999993</v>
      </c>
      <c r="S269" s="45">
        <v>-14082163.439999999</v>
      </c>
      <c r="T269" s="45">
        <v>-13447901.589999998</v>
      </c>
      <c r="U269" s="45">
        <v>-10828005.59</v>
      </c>
      <c r="V269" s="45">
        <v>-7840400.5899999999</v>
      </c>
      <c r="W269" s="45">
        <v>-4638017.59</v>
      </c>
      <c r="X269" s="45">
        <v>-1017545.59</v>
      </c>
      <c r="Y269" s="45">
        <v>0</v>
      </c>
      <c r="Z269" s="45">
        <v>0</v>
      </c>
      <c r="AA269" s="45">
        <v>0</v>
      </c>
      <c r="AB269" s="45">
        <v>0</v>
      </c>
      <c r="AC269" s="45">
        <v>0</v>
      </c>
      <c r="AD269" s="45">
        <v>0</v>
      </c>
      <c r="AE269" s="45">
        <v>0</v>
      </c>
      <c r="AF269" s="45">
        <v>0</v>
      </c>
      <c r="AG269" s="45">
        <v>0</v>
      </c>
      <c r="AH269" s="45"/>
      <c r="AI269" s="45"/>
      <c r="AJ269" s="45"/>
      <c r="AK269" s="45"/>
      <c r="AL269" s="45"/>
      <c r="AM269" s="45"/>
      <c r="AN269" s="45"/>
      <c r="AO269" s="45"/>
    </row>
    <row r="270" spans="2:41" outlineLevel="1" x14ac:dyDescent="0.35">
      <c r="B270" s="27" t="s">
        <v>1295</v>
      </c>
      <c r="C270" s="27" t="s">
        <v>51</v>
      </c>
      <c r="D270" s="27" t="s">
        <v>1874</v>
      </c>
      <c r="E270" s="27" t="s">
        <v>51</v>
      </c>
      <c r="F270" s="27" t="s">
        <v>434</v>
      </c>
      <c r="G270" s="27" t="s">
        <v>1615</v>
      </c>
      <c r="H270" s="27" t="s">
        <v>54</v>
      </c>
      <c r="I270" s="27" t="s">
        <v>142</v>
      </c>
      <c r="J270" s="27" t="s">
        <v>436</v>
      </c>
      <c r="K270" s="27" t="s">
        <v>371</v>
      </c>
      <c r="L270" s="27" t="s">
        <v>371</v>
      </c>
      <c r="M270" s="27" t="s">
        <v>371</v>
      </c>
      <c r="N270" s="27" t="s">
        <v>371</v>
      </c>
      <c r="O270" s="27" t="s">
        <v>371</v>
      </c>
      <c r="P270" s="27" t="s">
        <v>371</v>
      </c>
      <c r="Q270" s="27" t="s">
        <v>372</v>
      </c>
      <c r="R270" s="45">
        <v>-5398.62</v>
      </c>
      <c r="S270" s="45">
        <v>-8648.0499999999993</v>
      </c>
      <c r="T270" s="45">
        <v>-13107.4</v>
      </c>
      <c r="U270" s="45">
        <v>-17102.599999999999</v>
      </c>
      <c r="V270" s="45">
        <v>-20581.169999999998</v>
      </c>
      <c r="W270" s="45">
        <v>-23933.01</v>
      </c>
      <c r="X270" s="45">
        <v>-10344.09</v>
      </c>
      <c r="Y270" s="45">
        <v>-13751.79</v>
      </c>
      <c r="Z270" s="45">
        <v>-18226.36</v>
      </c>
      <c r="AA270" s="45">
        <v>-34769.49</v>
      </c>
      <c r="AB270" s="45">
        <v>-18385.82</v>
      </c>
      <c r="AC270" s="45">
        <v>-55592.41</v>
      </c>
      <c r="AD270" s="45">
        <v>-108219.15</v>
      </c>
      <c r="AE270" s="45">
        <v>-155171.64000000001</v>
      </c>
      <c r="AF270" s="45">
        <v>-49365.09</v>
      </c>
      <c r="AG270" s="45">
        <v>-96269.01</v>
      </c>
      <c r="AH270" s="45"/>
      <c r="AI270" s="45"/>
      <c r="AJ270" s="45"/>
      <c r="AK270" s="45"/>
      <c r="AL270" s="45"/>
      <c r="AM270" s="45"/>
      <c r="AN270" s="45"/>
      <c r="AO270" s="45"/>
    </row>
    <row r="271" spans="2:41" outlineLevel="1" x14ac:dyDescent="0.35">
      <c r="B271" s="27" t="s">
        <v>696</v>
      </c>
      <c r="C271" s="27" t="s">
        <v>51</v>
      </c>
      <c r="D271" s="27" t="s">
        <v>1616</v>
      </c>
      <c r="E271" s="27" t="s">
        <v>51</v>
      </c>
      <c r="F271" s="27" t="s">
        <v>106</v>
      </c>
      <c r="G271" s="27" t="s">
        <v>670</v>
      </c>
      <c r="H271" s="27" t="s">
        <v>54</v>
      </c>
      <c r="I271" s="27" t="s">
        <v>142</v>
      </c>
      <c r="J271" s="27" t="s">
        <v>180</v>
      </c>
      <c r="K271" s="27" t="s">
        <v>371</v>
      </c>
      <c r="L271" s="27" t="s">
        <v>371</v>
      </c>
      <c r="M271" s="27" t="s">
        <v>371</v>
      </c>
      <c r="N271" s="27" t="s">
        <v>371</v>
      </c>
      <c r="O271" s="27" t="s">
        <v>371</v>
      </c>
      <c r="P271" s="27" t="s">
        <v>371</v>
      </c>
      <c r="Q271" s="27" t="s">
        <v>372</v>
      </c>
      <c r="R271" s="45">
        <v>-116000</v>
      </c>
      <c r="S271" s="45">
        <v>-116000</v>
      </c>
      <c r="T271" s="45">
        <v>-116000</v>
      </c>
      <c r="U271" s="45">
        <v>-116000</v>
      </c>
      <c r="V271" s="45">
        <v>-116000</v>
      </c>
      <c r="W271" s="45">
        <v>-116000</v>
      </c>
      <c r="X271" s="45">
        <v>-116000</v>
      </c>
      <c r="Y271" s="45">
        <v>0</v>
      </c>
      <c r="Z271" s="45">
        <v>0</v>
      </c>
      <c r="AA271" s="45">
        <v>0</v>
      </c>
      <c r="AB271" s="45">
        <v>0</v>
      </c>
      <c r="AC271" s="45">
        <v>0</v>
      </c>
      <c r="AD271" s="45">
        <v>0</v>
      </c>
      <c r="AE271" s="45">
        <v>0</v>
      </c>
      <c r="AF271" s="45">
        <v>0</v>
      </c>
      <c r="AG271" s="45">
        <v>0</v>
      </c>
      <c r="AH271" s="45"/>
      <c r="AI271" s="45"/>
      <c r="AJ271" s="45"/>
      <c r="AK271" s="45"/>
      <c r="AL271" s="45"/>
      <c r="AM271" s="45"/>
      <c r="AN271" s="45"/>
      <c r="AO271" s="45"/>
    </row>
    <row r="272" spans="2:41" outlineLevel="1" x14ac:dyDescent="0.35">
      <c r="B272" s="27" t="s">
        <v>1296</v>
      </c>
      <c r="C272" s="27" t="s">
        <v>51</v>
      </c>
      <c r="D272" s="27" t="s">
        <v>1875</v>
      </c>
      <c r="E272" s="27" t="s">
        <v>51</v>
      </c>
      <c r="F272" s="27" t="s">
        <v>442</v>
      </c>
      <c r="G272" s="27" t="s">
        <v>1617</v>
      </c>
      <c r="H272" s="27" t="s">
        <v>54</v>
      </c>
      <c r="I272" s="27" t="s">
        <v>440</v>
      </c>
      <c r="J272" s="27" t="s">
        <v>443</v>
      </c>
      <c r="K272" s="27" t="s">
        <v>371</v>
      </c>
      <c r="L272" s="27" t="s">
        <v>371</v>
      </c>
      <c r="M272" s="27" t="s">
        <v>371</v>
      </c>
      <c r="N272" s="27" t="s">
        <v>371</v>
      </c>
      <c r="O272" s="27" t="s">
        <v>371</v>
      </c>
      <c r="P272" s="27" t="s">
        <v>371</v>
      </c>
      <c r="Q272" s="27" t="s">
        <v>372</v>
      </c>
      <c r="R272" s="45">
        <v>46412931.770000003</v>
      </c>
      <c r="S272" s="45">
        <v>46412931.770000003</v>
      </c>
      <c r="T272" s="45">
        <v>46412931.770000003</v>
      </c>
      <c r="U272" s="45">
        <v>46412931.770000003</v>
      </c>
      <c r="V272" s="45">
        <v>43077672.840000004</v>
      </c>
      <c r="W272" s="45">
        <v>43077672.840000004</v>
      </c>
      <c r="X272" s="45">
        <v>43077672.840000004</v>
      </c>
      <c r="Y272" s="45">
        <v>43077672.840000004</v>
      </c>
      <c r="Z272" s="45">
        <v>43077672.840000004</v>
      </c>
      <c r="AA272" s="45">
        <v>43077672.840000004</v>
      </c>
      <c r="AB272" s="45">
        <v>43077672.840000004</v>
      </c>
      <c r="AC272" s="45">
        <v>43077672.840000004</v>
      </c>
      <c r="AD272" s="45">
        <v>43077672.840000004</v>
      </c>
      <c r="AE272" s="45">
        <v>43077672.840000004</v>
      </c>
      <c r="AF272" s="45">
        <v>43077672.840000004</v>
      </c>
      <c r="AG272" s="45">
        <v>43077672.840000004</v>
      </c>
      <c r="AH272" s="45"/>
      <c r="AI272" s="45"/>
      <c r="AJ272" s="45"/>
      <c r="AK272" s="45"/>
      <c r="AL272" s="45"/>
      <c r="AM272" s="45"/>
      <c r="AN272" s="45"/>
      <c r="AO272" s="45"/>
    </row>
    <row r="273" spans="2:41" ht="15" outlineLevel="1" x14ac:dyDescent="0.35">
      <c r="B273" s="27" t="s">
        <v>698</v>
      </c>
      <c r="C273" s="27" t="s">
        <v>51</v>
      </c>
      <c r="D273" s="27" t="s">
        <v>1618</v>
      </c>
      <c r="E273" s="27" t="s">
        <v>51</v>
      </c>
      <c r="F273" s="27" t="s">
        <v>501</v>
      </c>
      <c r="G273" s="27" t="s">
        <v>699</v>
      </c>
      <c r="H273" s="27" t="s">
        <v>447</v>
      </c>
      <c r="I273" s="27" t="s">
        <v>440</v>
      </c>
      <c r="J273" s="27" t="s">
        <v>448</v>
      </c>
      <c r="K273" s="27" t="s">
        <v>491</v>
      </c>
      <c r="L273" s="27" t="s">
        <v>492</v>
      </c>
      <c r="M273" s="102" t="s">
        <v>687</v>
      </c>
      <c r="N273" s="27" t="s">
        <v>494</v>
      </c>
      <c r="O273" s="27" t="s">
        <v>491</v>
      </c>
      <c r="P273" s="27" t="s">
        <v>480</v>
      </c>
      <c r="Q273" s="27" t="s">
        <v>372</v>
      </c>
      <c r="R273" s="45">
        <v>473.28</v>
      </c>
      <c r="S273" s="45">
        <v>946.56</v>
      </c>
      <c r="T273" s="45">
        <v>946.56</v>
      </c>
      <c r="U273" s="45">
        <v>946.56</v>
      </c>
      <c r="V273" s="45">
        <v>946.56</v>
      </c>
      <c r="W273" s="45">
        <v>946.56</v>
      </c>
      <c r="X273" s="45">
        <v>946.56</v>
      </c>
      <c r="Y273" s="45">
        <v>946.56</v>
      </c>
      <c r="Z273" s="45">
        <v>946.56</v>
      </c>
      <c r="AA273" s="45">
        <v>946.56</v>
      </c>
      <c r="AB273" s="45">
        <v>946.56</v>
      </c>
      <c r="AC273" s="45">
        <v>946.56</v>
      </c>
      <c r="AD273" s="45">
        <v>0</v>
      </c>
      <c r="AE273" s="45">
        <v>0</v>
      </c>
      <c r="AF273" s="45">
        <v>0</v>
      </c>
      <c r="AG273" s="45">
        <v>0</v>
      </c>
      <c r="AH273" s="45"/>
      <c r="AI273" s="45"/>
      <c r="AJ273" s="45"/>
      <c r="AK273" s="45"/>
      <c r="AL273" s="45"/>
      <c r="AM273" s="45"/>
      <c r="AN273" s="45"/>
      <c r="AO273" s="45"/>
    </row>
    <row r="274" spans="2:41" outlineLevel="1" x14ac:dyDescent="0.35">
      <c r="B274" s="27" t="s">
        <v>1297</v>
      </c>
      <c r="C274" s="27" t="s">
        <v>51</v>
      </c>
      <c r="D274" s="27" t="s">
        <v>1876</v>
      </c>
      <c r="E274" s="27" t="s">
        <v>51</v>
      </c>
      <c r="F274" s="27" t="s">
        <v>539</v>
      </c>
      <c r="G274" s="27" t="s">
        <v>1619</v>
      </c>
      <c r="H274" s="27" t="s">
        <v>447</v>
      </c>
      <c r="I274" s="27" t="s">
        <v>440</v>
      </c>
      <c r="J274" s="27" t="s">
        <v>448</v>
      </c>
      <c r="K274" s="27" t="s">
        <v>476</v>
      </c>
      <c r="L274" s="27" t="s">
        <v>542</v>
      </c>
      <c r="M274" s="27" t="s">
        <v>542</v>
      </c>
      <c r="N274" s="27" t="s">
        <v>541</v>
      </c>
      <c r="O274" s="27" t="s">
        <v>480</v>
      </c>
      <c r="P274" s="27" t="s">
        <v>480</v>
      </c>
      <c r="Q274" s="27" t="s">
        <v>372</v>
      </c>
      <c r="R274" s="45">
        <v>1190.45</v>
      </c>
      <c r="S274" s="45">
        <v>2285.04</v>
      </c>
      <c r="T274" s="45">
        <v>4378.42</v>
      </c>
      <c r="U274" s="45">
        <v>7238.47</v>
      </c>
      <c r="V274" s="45">
        <v>10194.36</v>
      </c>
      <c r="W274" s="45">
        <v>14355.630000000001</v>
      </c>
      <c r="X274" s="45">
        <v>17805.66</v>
      </c>
      <c r="Y274" s="45">
        <v>17805.66</v>
      </c>
      <c r="Z274" s="45">
        <v>17805.66</v>
      </c>
      <c r="AA274" s="45">
        <v>17805.66</v>
      </c>
      <c r="AB274" s="45">
        <v>20592.330000000002</v>
      </c>
      <c r="AC274" s="45">
        <v>20592.330000000002</v>
      </c>
      <c r="AD274" s="45">
        <v>0</v>
      </c>
      <c r="AE274" s="45">
        <v>287.5</v>
      </c>
      <c r="AF274" s="45">
        <v>287.5</v>
      </c>
      <c r="AG274" s="45">
        <v>4976.8599999999997</v>
      </c>
      <c r="AH274" s="45"/>
      <c r="AI274" s="45"/>
      <c r="AJ274" s="45"/>
      <c r="AK274" s="45"/>
      <c r="AL274" s="45"/>
      <c r="AM274" s="45"/>
      <c r="AN274" s="45"/>
      <c r="AO274" s="45"/>
    </row>
    <row r="275" spans="2:41" outlineLevel="1" x14ac:dyDescent="0.35">
      <c r="B275" s="27" t="s">
        <v>700</v>
      </c>
      <c r="C275" s="27" t="s">
        <v>51</v>
      </c>
      <c r="D275" s="27" t="s">
        <v>1620</v>
      </c>
      <c r="E275" s="27" t="s">
        <v>51</v>
      </c>
      <c r="F275" s="27" t="s">
        <v>369</v>
      </c>
      <c r="G275" s="27" t="s">
        <v>701</v>
      </c>
      <c r="H275" s="27" t="s">
        <v>54</v>
      </c>
      <c r="I275" s="27" t="s">
        <v>55</v>
      </c>
      <c r="J275" s="27" t="s">
        <v>370</v>
      </c>
      <c r="K275" s="27" t="s">
        <v>371</v>
      </c>
      <c r="L275" s="27" t="s">
        <v>371</v>
      </c>
      <c r="M275" s="27" t="s">
        <v>371</v>
      </c>
      <c r="N275" s="27" t="s">
        <v>371</v>
      </c>
      <c r="O275" s="27" t="s">
        <v>371</v>
      </c>
      <c r="P275" s="27" t="s">
        <v>371</v>
      </c>
      <c r="Q275" s="27" t="s">
        <v>372</v>
      </c>
      <c r="R275" s="45">
        <v>0</v>
      </c>
      <c r="S275" s="45">
        <v>200517.23</v>
      </c>
      <c r="T275" s="45">
        <v>0</v>
      </c>
      <c r="U275" s="45">
        <v>0</v>
      </c>
      <c r="V275" s="45">
        <v>0</v>
      </c>
      <c r="W275" s="45">
        <v>0</v>
      </c>
      <c r="X275" s="45">
        <v>0</v>
      </c>
      <c r="Y275" s="45">
        <v>0</v>
      </c>
      <c r="Z275" s="45">
        <v>0</v>
      </c>
      <c r="AA275" s="45">
        <v>718487.88</v>
      </c>
      <c r="AB275" s="45">
        <v>0</v>
      </c>
      <c r="AC275" s="45">
        <v>0</v>
      </c>
      <c r="AD275" s="45">
        <v>0</v>
      </c>
      <c r="AE275" s="45">
        <v>0</v>
      </c>
      <c r="AF275" s="45">
        <v>0</v>
      </c>
      <c r="AG275" s="45">
        <v>0</v>
      </c>
      <c r="AH275" s="45"/>
      <c r="AI275" s="45"/>
      <c r="AJ275" s="45"/>
      <c r="AK275" s="45"/>
      <c r="AL275" s="45"/>
      <c r="AM275" s="45"/>
      <c r="AN275" s="45"/>
      <c r="AO275" s="45"/>
    </row>
    <row r="276" spans="2:41" ht="15" outlineLevel="1" x14ac:dyDescent="0.35">
      <c r="B276" s="27" t="s">
        <v>1298</v>
      </c>
      <c r="C276" s="27" t="s">
        <v>51</v>
      </c>
      <c r="D276" s="27" t="s">
        <v>1877</v>
      </c>
      <c r="E276" s="27" t="s">
        <v>51</v>
      </c>
      <c r="F276" s="27" t="s">
        <v>90</v>
      </c>
      <c r="G276" s="27" t="s">
        <v>1621</v>
      </c>
      <c r="H276" s="27" t="s">
        <v>54</v>
      </c>
      <c r="I276" s="27" t="s">
        <v>55</v>
      </c>
      <c r="J276" s="72" t="s">
        <v>383</v>
      </c>
      <c r="K276" s="27" t="s">
        <v>371</v>
      </c>
      <c r="L276" s="27" t="s">
        <v>371</v>
      </c>
      <c r="M276" s="27" t="s">
        <v>371</v>
      </c>
      <c r="N276" s="27" t="s">
        <v>371</v>
      </c>
      <c r="O276" s="27" t="s">
        <v>371</v>
      </c>
      <c r="P276" s="27" t="s">
        <v>371</v>
      </c>
      <c r="Q276" s="27" t="s">
        <v>372</v>
      </c>
      <c r="R276" s="45">
        <v>0</v>
      </c>
      <c r="S276" s="45">
        <v>374063.07</v>
      </c>
      <c r="T276" s="45">
        <v>460582.12</v>
      </c>
      <c r="U276" s="45">
        <v>460582.12</v>
      </c>
      <c r="V276" s="45">
        <v>460582.12</v>
      </c>
      <c r="W276" s="45">
        <v>460582.12</v>
      </c>
      <c r="X276" s="45">
        <v>485417.79</v>
      </c>
      <c r="Y276" s="45">
        <v>502960.46</v>
      </c>
      <c r="Z276" s="45">
        <v>1199448.5499999998</v>
      </c>
      <c r="AA276" s="45">
        <v>7273337.9299999997</v>
      </c>
      <c r="AB276" s="45">
        <v>8918015.7000000011</v>
      </c>
      <c r="AC276" s="45">
        <v>15451564.440000001</v>
      </c>
      <c r="AD276" s="45">
        <v>16021053.410000002</v>
      </c>
      <c r="AE276" s="45">
        <v>18469830.300000004</v>
      </c>
      <c r="AF276" s="45">
        <v>21056354.699999996</v>
      </c>
      <c r="AG276" s="45">
        <v>20515014.370000001</v>
      </c>
      <c r="AH276" s="45"/>
      <c r="AI276" s="45"/>
      <c r="AJ276" s="45"/>
      <c r="AK276" s="45"/>
      <c r="AL276" s="45"/>
      <c r="AM276" s="45"/>
      <c r="AN276" s="45"/>
      <c r="AO276" s="45"/>
    </row>
    <row r="277" spans="2:41" outlineLevel="1" x14ac:dyDescent="0.35">
      <c r="B277" s="27" t="s">
        <v>702</v>
      </c>
      <c r="C277" s="27" t="s">
        <v>51</v>
      </c>
      <c r="D277" s="27" t="s">
        <v>1622</v>
      </c>
      <c r="E277" s="27" t="s">
        <v>51</v>
      </c>
      <c r="F277" s="27" t="s">
        <v>385</v>
      </c>
      <c r="G277" s="27" t="s">
        <v>703</v>
      </c>
      <c r="H277" s="27" t="s">
        <v>54</v>
      </c>
      <c r="I277" s="27" t="s">
        <v>55</v>
      </c>
      <c r="J277" s="27" t="s">
        <v>393</v>
      </c>
      <c r="K277" s="27" t="s">
        <v>371</v>
      </c>
      <c r="L277" s="27" t="s">
        <v>371</v>
      </c>
      <c r="M277" s="27" t="s">
        <v>371</v>
      </c>
      <c r="N277" s="27" t="s">
        <v>371</v>
      </c>
      <c r="O277" s="27" t="s">
        <v>371</v>
      </c>
      <c r="P277" s="27" t="s">
        <v>371</v>
      </c>
      <c r="Q277" s="27" t="s">
        <v>372</v>
      </c>
      <c r="R277" s="45">
        <v>0</v>
      </c>
      <c r="S277" s="45">
        <v>711239.51</v>
      </c>
      <c r="T277" s="45">
        <v>711239.51</v>
      </c>
      <c r="U277" s="45">
        <v>711239.51</v>
      </c>
      <c r="V277" s="45">
        <v>711239.51</v>
      </c>
      <c r="W277" s="45">
        <v>711239.51</v>
      </c>
      <c r="X277" s="45">
        <v>984773.71</v>
      </c>
      <c r="Y277" s="45">
        <v>984773.71</v>
      </c>
      <c r="Z277" s="45">
        <v>3107080.92</v>
      </c>
      <c r="AA277" s="45">
        <v>3107080.92</v>
      </c>
      <c r="AB277" s="45">
        <v>0</v>
      </c>
      <c r="AC277" s="45">
        <v>0</v>
      </c>
      <c r="AD277" s="45">
        <v>0</v>
      </c>
      <c r="AE277" s="45">
        <v>0</v>
      </c>
      <c r="AF277" s="45">
        <v>0</v>
      </c>
      <c r="AG277" s="45">
        <v>0</v>
      </c>
      <c r="AH277" s="45"/>
      <c r="AI277" s="45"/>
      <c r="AJ277" s="45"/>
      <c r="AK277" s="45"/>
      <c r="AL277" s="45"/>
      <c r="AM277" s="45"/>
      <c r="AN277" s="45"/>
      <c r="AO277" s="45"/>
    </row>
    <row r="278" spans="2:41" outlineLevel="1" x14ac:dyDescent="0.35">
      <c r="B278" s="27" t="s">
        <v>704</v>
      </c>
      <c r="C278" s="27" t="s">
        <v>51</v>
      </c>
      <c r="D278" s="27" t="s">
        <v>1623</v>
      </c>
      <c r="E278" s="27" t="s">
        <v>51</v>
      </c>
      <c r="F278" s="27" t="s">
        <v>109</v>
      </c>
      <c r="G278" s="27" t="s">
        <v>619</v>
      </c>
      <c r="H278" s="27" t="s">
        <v>54</v>
      </c>
      <c r="I278" s="27" t="s">
        <v>55</v>
      </c>
      <c r="J278" s="27" t="s">
        <v>101</v>
      </c>
      <c r="K278" s="27" t="s">
        <v>371</v>
      </c>
      <c r="L278" s="27" t="s">
        <v>371</v>
      </c>
      <c r="M278" s="27" t="s">
        <v>371</v>
      </c>
      <c r="N278" s="27" t="s">
        <v>371</v>
      </c>
      <c r="O278" s="27" t="s">
        <v>371</v>
      </c>
      <c r="P278" s="27" t="s">
        <v>371</v>
      </c>
      <c r="Q278" s="27" t="s">
        <v>372</v>
      </c>
      <c r="R278" s="45">
        <v>0</v>
      </c>
      <c r="S278" s="45">
        <v>24168.84</v>
      </c>
      <c r="T278" s="45">
        <v>24168.84</v>
      </c>
      <c r="U278" s="45">
        <v>24168.84</v>
      </c>
      <c r="V278" s="45">
        <v>24168.84</v>
      </c>
      <c r="W278" s="45">
        <v>24168.84</v>
      </c>
      <c r="X278" s="45">
        <v>0</v>
      </c>
      <c r="Y278" s="45">
        <v>0</v>
      </c>
      <c r="Z278" s="45">
        <v>0</v>
      </c>
      <c r="AA278" s="45">
        <v>0</v>
      </c>
      <c r="AB278" s="45">
        <v>0</v>
      </c>
      <c r="AC278" s="45">
        <v>0</v>
      </c>
      <c r="AD278" s="45">
        <v>0</v>
      </c>
      <c r="AE278" s="45">
        <v>0</v>
      </c>
      <c r="AF278" s="45">
        <v>0</v>
      </c>
      <c r="AG278" s="45">
        <v>0</v>
      </c>
      <c r="AH278" s="45"/>
      <c r="AI278" s="45"/>
      <c r="AJ278" s="45"/>
      <c r="AK278" s="45"/>
      <c r="AL278" s="45"/>
      <c r="AM278" s="45"/>
      <c r="AN278" s="45"/>
      <c r="AO278" s="45"/>
    </row>
    <row r="279" spans="2:41" outlineLevel="1" x14ac:dyDescent="0.35">
      <c r="B279" s="27" t="s">
        <v>1299</v>
      </c>
      <c r="C279" s="27" t="s">
        <v>51</v>
      </c>
      <c r="D279" s="27" t="s">
        <v>1878</v>
      </c>
      <c r="E279" s="27" t="s">
        <v>51</v>
      </c>
      <c r="F279" s="27" t="s">
        <v>512</v>
      </c>
      <c r="G279" s="27" t="s">
        <v>1519</v>
      </c>
      <c r="H279" s="27" t="s">
        <v>447</v>
      </c>
      <c r="I279" s="27" t="s">
        <v>440</v>
      </c>
      <c r="J279" s="27" t="s">
        <v>448</v>
      </c>
      <c r="K279" s="27" t="s">
        <v>491</v>
      </c>
      <c r="L279" s="27" t="s">
        <v>944</v>
      </c>
      <c r="M279" s="27" t="s">
        <v>944</v>
      </c>
      <c r="N279" s="27" t="s">
        <v>944</v>
      </c>
      <c r="O279" s="27" t="s">
        <v>491</v>
      </c>
      <c r="P279" s="27" t="s">
        <v>480</v>
      </c>
      <c r="Q279" s="27" t="s">
        <v>372</v>
      </c>
      <c r="R279" s="45">
        <v>0</v>
      </c>
      <c r="S279" s="45">
        <v>5087.5</v>
      </c>
      <c r="T279" s="45">
        <v>5087.5</v>
      </c>
      <c r="U279" s="45">
        <v>17431.45</v>
      </c>
      <c r="V279" s="45">
        <v>29775.4</v>
      </c>
      <c r="W279" s="45">
        <v>42119.350000000006</v>
      </c>
      <c r="X279" s="45">
        <v>64829.77</v>
      </c>
      <c r="Y279" s="45">
        <v>88714.42</v>
      </c>
      <c r="Z279" s="45">
        <v>137709.46</v>
      </c>
      <c r="AA279" s="45">
        <v>188208.89</v>
      </c>
      <c r="AB279" s="45">
        <v>535462.63</v>
      </c>
      <c r="AC279" s="45">
        <v>888507.43</v>
      </c>
      <c r="AD279" s="45">
        <v>50580.61</v>
      </c>
      <c r="AE279" s="45">
        <v>100403.66</v>
      </c>
      <c r="AF279" s="45">
        <v>367005.72</v>
      </c>
      <c r="AG279" s="45">
        <v>630895.71</v>
      </c>
      <c r="AH279" s="45"/>
      <c r="AI279" s="45"/>
      <c r="AJ279" s="45"/>
      <c r="AK279" s="45"/>
      <c r="AL279" s="45"/>
      <c r="AM279" s="45"/>
      <c r="AN279" s="45"/>
      <c r="AO279" s="45"/>
    </row>
    <row r="280" spans="2:41" outlineLevel="1" x14ac:dyDescent="0.35">
      <c r="B280" s="27" t="s">
        <v>1300</v>
      </c>
      <c r="C280" s="27" t="s">
        <v>51</v>
      </c>
      <c r="D280" s="27" t="s">
        <v>1879</v>
      </c>
      <c r="E280" s="27" t="s">
        <v>51</v>
      </c>
      <c r="F280" s="27" t="s">
        <v>369</v>
      </c>
      <c r="G280" s="27" t="s">
        <v>1624</v>
      </c>
      <c r="H280" s="27" t="s">
        <v>54</v>
      </c>
      <c r="I280" s="27" t="s">
        <v>55</v>
      </c>
      <c r="J280" s="27" t="s">
        <v>370</v>
      </c>
      <c r="K280" s="27" t="s">
        <v>371</v>
      </c>
      <c r="L280" s="27" t="s">
        <v>371</v>
      </c>
      <c r="M280" s="27" t="s">
        <v>371</v>
      </c>
      <c r="N280" s="27" t="s">
        <v>371</v>
      </c>
      <c r="O280" s="27" t="s">
        <v>371</v>
      </c>
      <c r="P280" s="27" t="s">
        <v>371</v>
      </c>
      <c r="Q280" s="27" t="s">
        <v>372</v>
      </c>
      <c r="R280" s="45">
        <v>0</v>
      </c>
      <c r="S280" s="45">
        <v>0</v>
      </c>
      <c r="T280" s="45">
        <v>17346383.870000001</v>
      </c>
      <c r="U280" s="45">
        <v>1787744.8399999994</v>
      </c>
      <c r="V280" s="45">
        <v>28760176.489999995</v>
      </c>
      <c r="W280" s="45">
        <v>13669182.630000003</v>
      </c>
      <c r="X280" s="45">
        <v>13112279.98</v>
      </c>
      <c r="Y280" s="45">
        <v>4123325.46</v>
      </c>
      <c r="Z280" s="45">
        <v>2831133.6799999969</v>
      </c>
      <c r="AA280" s="45">
        <v>166815.25</v>
      </c>
      <c r="AB280" s="45">
        <v>12716.279999999999</v>
      </c>
      <c r="AC280" s="45">
        <v>9677.7999999999993</v>
      </c>
      <c r="AD280" s="45">
        <v>27203.98</v>
      </c>
      <c r="AE280" s="45">
        <v>555.83000000000004</v>
      </c>
      <c r="AF280" s="45">
        <v>230045.1</v>
      </c>
      <c r="AG280" s="45">
        <v>16080.9</v>
      </c>
      <c r="AH280" s="45"/>
      <c r="AI280" s="45"/>
      <c r="AJ280" s="45"/>
      <c r="AK280" s="45"/>
      <c r="AL280" s="45"/>
      <c r="AM280" s="45"/>
      <c r="AN280" s="45"/>
      <c r="AO280" s="45"/>
    </row>
    <row r="281" spans="2:41" outlineLevel="1" x14ac:dyDescent="0.35">
      <c r="B281" s="27" t="s">
        <v>705</v>
      </c>
      <c r="C281" s="27" t="s">
        <v>51</v>
      </c>
      <c r="D281" s="27" t="s">
        <v>1625</v>
      </c>
      <c r="E281" s="27" t="s">
        <v>51</v>
      </c>
      <c r="F281" s="27" t="s">
        <v>381</v>
      </c>
      <c r="G281" s="27" t="s">
        <v>706</v>
      </c>
      <c r="H281" s="27" t="s">
        <v>54</v>
      </c>
      <c r="I281" s="27" t="s">
        <v>55</v>
      </c>
      <c r="J281" s="27" t="s">
        <v>383</v>
      </c>
      <c r="K281" s="27" t="s">
        <v>371</v>
      </c>
      <c r="L281" s="27" t="s">
        <v>371</v>
      </c>
      <c r="M281" s="27" t="s">
        <v>371</v>
      </c>
      <c r="N281" s="27" t="s">
        <v>371</v>
      </c>
      <c r="O281" s="27" t="s">
        <v>371</v>
      </c>
      <c r="P281" s="27" t="s">
        <v>371</v>
      </c>
      <c r="Q281" s="27" t="s">
        <v>372</v>
      </c>
      <c r="R281" s="45">
        <v>0</v>
      </c>
      <c r="S281" s="45">
        <v>0</v>
      </c>
      <c r="T281" s="45">
        <v>378930.03</v>
      </c>
      <c r="U281" s="45">
        <v>0</v>
      </c>
      <c r="V281" s="45">
        <v>0</v>
      </c>
      <c r="W281" s="45">
        <v>0</v>
      </c>
      <c r="X281" s="45">
        <v>0</v>
      </c>
      <c r="Y281" s="45">
        <v>0</v>
      </c>
      <c r="Z281" s="45">
        <v>0</v>
      </c>
      <c r="AA281" s="45">
        <v>0</v>
      </c>
      <c r="AB281" s="45">
        <v>0</v>
      </c>
      <c r="AC281" s="45">
        <v>0</v>
      </c>
      <c r="AD281" s="45">
        <v>0</v>
      </c>
      <c r="AE281" s="45">
        <v>0</v>
      </c>
      <c r="AF281" s="45">
        <v>0</v>
      </c>
      <c r="AG281" s="45">
        <v>0</v>
      </c>
      <c r="AH281" s="45"/>
      <c r="AI281" s="45"/>
      <c r="AJ281" s="45"/>
      <c r="AK281" s="45"/>
      <c r="AL281" s="45"/>
      <c r="AM281" s="45"/>
      <c r="AN281" s="45"/>
      <c r="AO281" s="45"/>
    </row>
    <row r="282" spans="2:41" outlineLevel="1" x14ac:dyDescent="0.35">
      <c r="B282" s="27" t="s">
        <v>707</v>
      </c>
      <c r="C282" s="27" t="s">
        <v>51</v>
      </c>
      <c r="D282" s="27" t="s">
        <v>1626</v>
      </c>
      <c r="E282" s="27" t="s">
        <v>51</v>
      </c>
      <c r="F282" s="27" t="s">
        <v>109</v>
      </c>
      <c r="G282" s="27" t="s">
        <v>708</v>
      </c>
      <c r="H282" s="27" t="s">
        <v>54</v>
      </c>
      <c r="I282" s="27" t="s">
        <v>55</v>
      </c>
      <c r="J282" s="27" t="s">
        <v>101</v>
      </c>
      <c r="K282" s="27" t="s">
        <v>371</v>
      </c>
      <c r="L282" s="27" t="s">
        <v>371</v>
      </c>
      <c r="M282" s="27" t="s">
        <v>371</v>
      </c>
      <c r="N282" s="27" t="s">
        <v>371</v>
      </c>
      <c r="O282" s="27" t="s">
        <v>371</v>
      </c>
      <c r="P282" s="27" t="s">
        <v>371</v>
      </c>
      <c r="Q282" s="27" t="s">
        <v>372</v>
      </c>
      <c r="R282" s="45">
        <v>0</v>
      </c>
      <c r="S282" s="45">
        <v>0</v>
      </c>
      <c r="T282" s="45">
        <v>161637.07</v>
      </c>
      <c r="U282" s="45">
        <v>0</v>
      </c>
      <c r="V282" s="45">
        <v>0</v>
      </c>
      <c r="W282" s="45">
        <v>0</v>
      </c>
      <c r="X282" s="45">
        <v>0</v>
      </c>
      <c r="Y282" s="45">
        <v>0</v>
      </c>
      <c r="Z282" s="45">
        <v>0</v>
      </c>
      <c r="AA282" s="45">
        <v>0</v>
      </c>
      <c r="AB282" s="45">
        <v>0</v>
      </c>
      <c r="AC282" s="45">
        <v>0</v>
      </c>
      <c r="AD282" s="45">
        <v>0</v>
      </c>
      <c r="AE282" s="45">
        <v>290067.15000000002</v>
      </c>
      <c r="AF282" s="45">
        <v>0</v>
      </c>
      <c r="AG282" s="45">
        <v>0</v>
      </c>
      <c r="AH282" s="45"/>
      <c r="AI282" s="45"/>
      <c r="AJ282" s="45"/>
      <c r="AK282" s="45"/>
      <c r="AL282" s="45"/>
      <c r="AM282" s="45"/>
      <c r="AN282" s="45"/>
      <c r="AO282" s="45"/>
    </row>
    <row r="283" spans="2:41" outlineLevel="1" x14ac:dyDescent="0.35">
      <c r="B283" s="27" t="s">
        <v>709</v>
      </c>
      <c r="C283" s="27" t="s">
        <v>51</v>
      </c>
      <c r="D283" s="27" t="s">
        <v>1627</v>
      </c>
      <c r="E283" s="27" t="s">
        <v>51</v>
      </c>
      <c r="F283" s="27" t="s">
        <v>385</v>
      </c>
      <c r="G283" s="27" t="s">
        <v>710</v>
      </c>
      <c r="H283" s="27" t="s">
        <v>54</v>
      </c>
      <c r="I283" s="27" t="s">
        <v>55</v>
      </c>
      <c r="J283" s="27" t="s">
        <v>393</v>
      </c>
      <c r="K283" s="27" t="s">
        <v>371</v>
      </c>
      <c r="L283" s="27" t="s">
        <v>371</v>
      </c>
      <c r="M283" s="27" t="s">
        <v>371</v>
      </c>
      <c r="N283" s="27" t="s">
        <v>371</v>
      </c>
      <c r="O283" s="27" t="s">
        <v>371</v>
      </c>
      <c r="P283" s="27" t="s">
        <v>371</v>
      </c>
      <c r="Q283" s="27" t="s">
        <v>372</v>
      </c>
      <c r="R283" s="45">
        <v>0</v>
      </c>
      <c r="S283" s="45">
        <v>0</v>
      </c>
      <c r="T283" s="45">
        <v>19937060.59</v>
      </c>
      <c r="U283" s="45">
        <v>20755055.93</v>
      </c>
      <c r="V283" s="45">
        <v>20755055.93</v>
      </c>
      <c r="W283" s="45">
        <v>20755055.93</v>
      </c>
      <c r="X283" s="45">
        <v>20778332.469999999</v>
      </c>
      <c r="Y283" s="45">
        <v>20778332.469999999</v>
      </c>
      <c r="Z283" s="45">
        <v>21088106.869999997</v>
      </c>
      <c r="AA283" s="45">
        <v>21362682.870000001</v>
      </c>
      <c r="AB283" s="45">
        <v>22717658.530000001</v>
      </c>
      <c r="AC283" s="45">
        <v>24755447.640000001</v>
      </c>
      <c r="AD283" s="45">
        <v>24775343.25</v>
      </c>
      <c r="AE283" s="45">
        <v>24755447.640000001</v>
      </c>
      <c r="AF283" s="45">
        <v>24755447.640000001</v>
      </c>
      <c r="AG283" s="45">
        <v>0</v>
      </c>
      <c r="AH283" s="45"/>
      <c r="AI283" s="45"/>
      <c r="AJ283" s="45"/>
      <c r="AK283" s="45"/>
      <c r="AL283" s="45"/>
      <c r="AM283" s="45"/>
      <c r="AN283" s="45"/>
      <c r="AO283" s="45"/>
    </row>
    <row r="284" spans="2:41" outlineLevel="1" x14ac:dyDescent="0.35">
      <c r="B284" s="27" t="s">
        <v>1301</v>
      </c>
      <c r="C284" s="27" t="s">
        <v>51</v>
      </c>
      <c r="D284" s="27" t="s">
        <v>1880</v>
      </c>
      <c r="E284" s="27" t="s">
        <v>51</v>
      </c>
      <c r="F284" s="27" t="s">
        <v>195</v>
      </c>
      <c r="G284" s="27" t="s">
        <v>1628</v>
      </c>
      <c r="H284" s="27" t="s">
        <v>54</v>
      </c>
      <c r="I284" s="27" t="s">
        <v>142</v>
      </c>
      <c r="J284" s="27" t="s">
        <v>197</v>
      </c>
      <c r="K284" s="27" t="s">
        <v>371</v>
      </c>
      <c r="L284" s="27" t="s">
        <v>371</v>
      </c>
      <c r="M284" s="27" t="s">
        <v>371</v>
      </c>
      <c r="N284" s="27" t="s">
        <v>371</v>
      </c>
      <c r="O284" s="27" t="s">
        <v>371</v>
      </c>
      <c r="P284" s="27" t="s">
        <v>371</v>
      </c>
      <c r="Q284" s="27" t="s">
        <v>372</v>
      </c>
      <c r="R284" s="45">
        <v>0</v>
      </c>
      <c r="S284" s="45">
        <v>0</v>
      </c>
      <c r="T284" s="45">
        <v>5967.5699999998324</v>
      </c>
      <c r="U284" s="45">
        <v>-1.0000000000218279E-2</v>
      </c>
      <c r="V284" s="45">
        <v>-0.01</v>
      </c>
      <c r="W284" s="45">
        <v>0</v>
      </c>
      <c r="X284" s="45">
        <v>0</v>
      </c>
      <c r="Y284" s="45">
        <v>0</v>
      </c>
      <c r="Z284" s="45">
        <v>0</v>
      </c>
      <c r="AA284" s="45">
        <v>0</v>
      </c>
      <c r="AB284" s="45">
        <v>26.35</v>
      </c>
      <c r="AC284" s="45">
        <v>495.22</v>
      </c>
      <c r="AD284" s="45">
        <v>5963.43</v>
      </c>
      <c r="AE284" s="45">
        <v>5963.43</v>
      </c>
      <c r="AF284" s="45">
        <v>5963.43</v>
      </c>
      <c r="AG284" s="45">
        <v>5963.43</v>
      </c>
      <c r="AH284" s="45"/>
      <c r="AI284" s="45"/>
      <c r="AJ284" s="45"/>
      <c r="AK284" s="45"/>
      <c r="AL284" s="45"/>
      <c r="AM284" s="45"/>
      <c r="AN284" s="45"/>
      <c r="AO284" s="45"/>
    </row>
    <row r="285" spans="2:41" outlineLevel="1" x14ac:dyDescent="0.35">
      <c r="B285" s="27" t="s">
        <v>711</v>
      </c>
      <c r="C285" s="27" t="s">
        <v>51</v>
      </c>
      <c r="D285" s="27" t="s">
        <v>1629</v>
      </c>
      <c r="E285" s="27" t="s">
        <v>51</v>
      </c>
      <c r="F285" s="27" t="s">
        <v>432</v>
      </c>
      <c r="G285" s="27" t="s">
        <v>712</v>
      </c>
      <c r="H285" s="27" t="s">
        <v>54</v>
      </c>
      <c r="I285" s="27" t="s">
        <v>142</v>
      </c>
      <c r="J285" s="27" t="s">
        <v>143</v>
      </c>
      <c r="K285" s="27" t="s">
        <v>371</v>
      </c>
      <c r="L285" s="27" t="s">
        <v>371</v>
      </c>
      <c r="M285" s="27" t="s">
        <v>371</v>
      </c>
      <c r="N285" s="27" t="s">
        <v>371</v>
      </c>
      <c r="O285" s="27" t="s">
        <v>371</v>
      </c>
      <c r="P285" s="27" t="s">
        <v>371</v>
      </c>
      <c r="Q285" s="27" t="s">
        <v>372</v>
      </c>
      <c r="R285" s="45">
        <v>0</v>
      </c>
      <c r="S285" s="45">
        <v>0</v>
      </c>
      <c r="T285" s="45">
        <v>-4800000</v>
      </c>
      <c r="U285" s="45">
        <v>-4800000</v>
      </c>
      <c r="V285" s="45">
        <v>-60244430</v>
      </c>
      <c r="W285" s="45">
        <v>-60244430</v>
      </c>
      <c r="X285" s="45">
        <v>-60244430</v>
      </c>
      <c r="Y285" s="45">
        <v>-60244430</v>
      </c>
      <c r="Z285" s="45">
        <v>-54091770</v>
      </c>
      <c r="AA285" s="45">
        <v>-54091770</v>
      </c>
      <c r="AB285" s="45">
        <v>-54091770</v>
      </c>
      <c r="AC285" s="45">
        <v>0</v>
      </c>
      <c r="AD285" s="45">
        <v>-54091770</v>
      </c>
      <c r="AE285" s="45">
        <v>-54091770</v>
      </c>
      <c r="AF285" s="45">
        <v>0</v>
      </c>
      <c r="AG285" s="45">
        <v>0</v>
      </c>
      <c r="AH285" s="45"/>
      <c r="AI285" s="45"/>
      <c r="AJ285" s="45"/>
      <c r="AK285" s="45"/>
      <c r="AL285" s="45"/>
      <c r="AM285" s="45"/>
      <c r="AN285" s="45"/>
      <c r="AO285" s="45"/>
    </row>
    <row r="286" spans="2:41" outlineLevel="1" x14ac:dyDescent="0.35">
      <c r="B286" s="27" t="s">
        <v>1302</v>
      </c>
      <c r="C286" s="27" t="s">
        <v>51</v>
      </c>
      <c r="D286" s="27" t="s">
        <v>1881</v>
      </c>
      <c r="E286" s="27" t="s">
        <v>51</v>
      </c>
      <c r="F286" s="27" t="s">
        <v>713</v>
      </c>
      <c r="G286" s="27" t="s">
        <v>1630</v>
      </c>
      <c r="H286" s="27" t="s">
        <v>54</v>
      </c>
      <c r="I286" s="27" t="s">
        <v>440</v>
      </c>
      <c r="J286" s="27" t="s">
        <v>441</v>
      </c>
      <c r="K286" s="27" t="s">
        <v>371</v>
      </c>
      <c r="L286" s="27" t="s">
        <v>371</v>
      </c>
      <c r="M286" s="27" t="s">
        <v>371</v>
      </c>
      <c r="N286" s="27" t="s">
        <v>371</v>
      </c>
      <c r="O286" s="27" t="s">
        <v>371</v>
      </c>
      <c r="P286" s="27" t="s">
        <v>371</v>
      </c>
      <c r="Q286" s="27" t="s">
        <v>372</v>
      </c>
      <c r="R286" s="45">
        <v>0</v>
      </c>
      <c r="S286" s="45">
        <v>0</v>
      </c>
      <c r="T286" s="45">
        <v>-25200000</v>
      </c>
      <c r="U286" s="45">
        <v>-25200000</v>
      </c>
      <c r="V286" s="45">
        <v>-41333348</v>
      </c>
      <c r="W286" s="45">
        <v>-42666681</v>
      </c>
      <c r="X286" s="45">
        <v>-44000014</v>
      </c>
      <c r="Y286" s="45">
        <v>-45333347</v>
      </c>
      <c r="Z286" s="45">
        <v>-52113520</v>
      </c>
      <c r="AA286" s="45">
        <v>-53460462</v>
      </c>
      <c r="AB286" s="45">
        <v>-54790656</v>
      </c>
      <c r="AC286" s="45">
        <v>-100000000</v>
      </c>
      <c r="AD286" s="45">
        <v>-57357839</v>
      </c>
      <c r="AE286" s="45">
        <v>-58608967</v>
      </c>
      <c r="AF286" s="45">
        <v>-100000000</v>
      </c>
      <c r="AG286" s="45">
        <v>-100000000</v>
      </c>
      <c r="AH286" s="45"/>
      <c r="AI286" s="45"/>
      <c r="AJ286" s="45"/>
      <c r="AK286" s="45"/>
      <c r="AL286" s="45"/>
      <c r="AM286" s="45"/>
      <c r="AN286" s="45"/>
      <c r="AO286" s="45"/>
    </row>
    <row r="287" spans="2:41" outlineLevel="1" x14ac:dyDescent="0.35">
      <c r="B287" s="27" t="s">
        <v>714</v>
      </c>
      <c r="C287" s="27" t="s">
        <v>51</v>
      </c>
      <c r="D287" s="27" t="s">
        <v>1631</v>
      </c>
      <c r="E287" s="27" t="s">
        <v>51</v>
      </c>
      <c r="F287" s="27" t="s">
        <v>474</v>
      </c>
      <c r="G287" s="27" t="s">
        <v>715</v>
      </c>
      <c r="H287" s="27" t="s">
        <v>447</v>
      </c>
      <c r="I287" s="27" t="s">
        <v>440</v>
      </c>
      <c r="J287" s="27" t="s">
        <v>448</v>
      </c>
      <c r="K287" s="27" t="s">
        <v>476</v>
      </c>
      <c r="L287" s="27" t="s">
        <v>503</v>
      </c>
      <c r="M287" s="27" t="s">
        <v>503</v>
      </c>
      <c r="N287" s="27" t="s">
        <v>503</v>
      </c>
      <c r="O287" s="27" t="s">
        <v>480</v>
      </c>
      <c r="P287" s="27" t="s">
        <v>480</v>
      </c>
      <c r="Q287" s="27" t="s">
        <v>372</v>
      </c>
      <c r="R287" s="45">
        <v>0</v>
      </c>
      <c r="S287" s="45">
        <v>0</v>
      </c>
      <c r="T287" s="45">
        <v>185000</v>
      </c>
      <c r="U287" s="45">
        <v>185000</v>
      </c>
      <c r="V287" s="45">
        <v>185000</v>
      </c>
      <c r="W287" s="45">
        <v>185000</v>
      </c>
      <c r="X287" s="45">
        <v>185000</v>
      </c>
      <c r="Y287" s="45">
        <v>185000</v>
      </c>
      <c r="Z287" s="45">
        <v>185000</v>
      </c>
      <c r="AA287" s="45">
        <v>185000</v>
      </c>
      <c r="AB287" s="45">
        <v>185000</v>
      </c>
      <c r="AC287" s="45">
        <v>185000</v>
      </c>
      <c r="AD287" s="45">
        <v>0</v>
      </c>
      <c r="AE287" s="45">
        <v>0</v>
      </c>
      <c r="AF287" s="45">
        <v>0</v>
      </c>
      <c r="AG287" s="45">
        <v>0</v>
      </c>
      <c r="AH287" s="45"/>
      <c r="AI287" s="45"/>
      <c r="AJ287" s="45"/>
      <c r="AK287" s="45"/>
      <c r="AL287" s="45"/>
      <c r="AM287" s="45"/>
      <c r="AN287" s="45"/>
      <c r="AO287" s="45"/>
    </row>
    <row r="288" spans="2:41" outlineLevel="1" x14ac:dyDescent="0.35">
      <c r="B288" s="27" t="s">
        <v>1303</v>
      </c>
      <c r="C288" s="27" t="s">
        <v>51</v>
      </c>
      <c r="D288" s="27" t="s">
        <v>1882</v>
      </c>
      <c r="E288" s="27" t="s">
        <v>51</v>
      </c>
      <c r="F288" s="27" t="s">
        <v>501</v>
      </c>
      <c r="G288" s="27" t="s">
        <v>1632</v>
      </c>
      <c r="H288" s="27" t="s">
        <v>447</v>
      </c>
      <c r="I288" s="27" t="s">
        <v>440</v>
      </c>
      <c r="J288" s="27" t="s">
        <v>448</v>
      </c>
      <c r="K288" s="27" t="s">
        <v>491</v>
      </c>
      <c r="L288" s="27" t="s">
        <v>716</v>
      </c>
      <c r="M288" s="27" t="s">
        <v>716</v>
      </c>
      <c r="N288" s="27" t="s">
        <v>716</v>
      </c>
      <c r="O288" s="27" t="s">
        <v>491</v>
      </c>
      <c r="P288" s="27" t="s">
        <v>480</v>
      </c>
      <c r="Q288" s="27" t="s">
        <v>372</v>
      </c>
      <c r="R288" s="45">
        <v>0</v>
      </c>
      <c r="S288" s="45">
        <v>0</v>
      </c>
      <c r="T288" s="45">
        <v>28036.66</v>
      </c>
      <c r="U288" s="45">
        <v>93236.66</v>
      </c>
      <c r="V288" s="45">
        <v>158436.66</v>
      </c>
      <c r="W288" s="45">
        <v>223093.33000000002</v>
      </c>
      <c r="X288" s="45">
        <v>344916.66</v>
      </c>
      <c r="Y288" s="45">
        <v>522476.66</v>
      </c>
      <c r="Z288" s="45">
        <v>732636.65999999992</v>
      </c>
      <c r="AA288" s="45">
        <v>924624</v>
      </c>
      <c r="AB288" s="45">
        <v>1116854</v>
      </c>
      <c r="AC288" s="45">
        <v>1426049.33</v>
      </c>
      <c r="AD288" s="45">
        <v>197800</v>
      </c>
      <c r="AE288" s="45">
        <v>409742</v>
      </c>
      <c r="AF288" s="45">
        <v>629811</v>
      </c>
      <c r="AG288" s="45">
        <v>884434.7</v>
      </c>
      <c r="AH288" s="45"/>
      <c r="AI288" s="45"/>
      <c r="AJ288" s="45"/>
      <c r="AK288" s="45"/>
      <c r="AL288" s="45"/>
      <c r="AM288" s="45"/>
      <c r="AN288" s="45"/>
      <c r="AO288" s="45"/>
    </row>
    <row r="289" spans="2:41" outlineLevel="1" x14ac:dyDescent="0.35">
      <c r="B289" s="27" t="s">
        <v>717</v>
      </c>
      <c r="C289" s="27" t="s">
        <v>51</v>
      </c>
      <c r="D289" s="27" t="s">
        <v>1633</v>
      </c>
      <c r="E289" s="27" t="s">
        <v>51</v>
      </c>
      <c r="F289" s="27" t="s">
        <v>501</v>
      </c>
      <c r="G289" s="27" t="s">
        <v>718</v>
      </c>
      <c r="H289" s="27" t="s">
        <v>447</v>
      </c>
      <c r="I289" s="27" t="s">
        <v>440</v>
      </c>
      <c r="J289" s="27" t="s">
        <v>448</v>
      </c>
      <c r="K289" s="27" t="s">
        <v>476</v>
      </c>
      <c r="L289" s="27" t="s">
        <v>502</v>
      </c>
      <c r="M289" s="27" t="s">
        <v>554</v>
      </c>
      <c r="N289" s="27" t="s">
        <v>488</v>
      </c>
      <c r="O289" s="27" t="s">
        <v>480</v>
      </c>
      <c r="P289" s="27" t="s">
        <v>480</v>
      </c>
      <c r="Q289" s="27" t="s">
        <v>372</v>
      </c>
      <c r="R289" s="45">
        <v>0</v>
      </c>
      <c r="S289" s="45">
        <v>0</v>
      </c>
      <c r="T289" s="45">
        <v>5480</v>
      </c>
      <c r="U289" s="45">
        <v>6430</v>
      </c>
      <c r="V289" s="45">
        <v>6430</v>
      </c>
      <c r="W289" s="45">
        <v>6430</v>
      </c>
      <c r="X289" s="45">
        <v>6430</v>
      </c>
      <c r="Y289" s="45">
        <v>40930</v>
      </c>
      <c r="Z289" s="45">
        <v>40930</v>
      </c>
      <c r="AA289" s="45">
        <v>544930</v>
      </c>
      <c r="AB289" s="45">
        <v>544930</v>
      </c>
      <c r="AC289" s="45">
        <v>591430</v>
      </c>
      <c r="AD289" s="45">
        <v>0</v>
      </c>
      <c r="AE289" s="45">
        <v>0</v>
      </c>
      <c r="AF289" s="45">
        <v>0</v>
      </c>
      <c r="AG289" s="45">
        <v>0</v>
      </c>
      <c r="AH289" s="45"/>
      <c r="AI289" s="45"/>
      <c r="AJ289" s="45"/>
      <c r="AK289" s="45"/>
      <c r="AL289" s="45"/>
      <c r="AM289" s="45"/>
      <c r="AN289" s="45"/>
      <c r="AO289" s="45"/>
    </row>
    <row r="290" spans="2:41" outlineLevel="1" x14ac:dyDescent="0.35">
      <c r="B290" s="27" t="s">
        <v>1304</v>
      </c>
      <c r="C290" s="27" t="s">
        <v>51</v>
      </c>
      <c r="D290" s="27" t="s">
        <v>1883</v>
      </c>
      <c r="E290" s="27" t="s">
        <v>51</v>
      </c>
      <c r="F290" s="27" t="s">
        <v>501</v>
      </c>
      <c r="G290" s="27" t="s">
        <v>1634</v>
      </c>
      <c r="H290" s="27" t="s">
        <v>447</v>
      </c>
      <c r="I290" s="27" t="s">
        <v>440</v>
      </c>
      <c r="J290" s="27" t="s">
        <v>448</v>
      </c>
      <c r="K290" s="27" t="s">
        <v>476</v>
      </c>
      <c r="L290" s="27" t="s">
        <v>503</v>
      </c>
      <c r="M290" s="27" t="s">
        <v>503</v>
      </c>
      <c r="N290" s="27" t="s">
        <v>503</v>
      </c>
      <c r="O290" s="27" t="s">
        <v>480</v>
      </c>
      <c r="P290" s="27" t="s">
        <v>480</v>
      </c>
      <c r="Q290" s="27" t="s">
        <v>372</v>
      </c>
      <c r="R290" s="45">
        <v>0</v>
      </c>
      <c r="S290" s="45">
        <v>0</v>
      </c>
      <c r="T290" s="45">
        <v>122500</v>
      </c>
      <c r="U290" s="45">
        <v>122500</v>
      </c>
      <c r="V290" s="45">
        <v>122500</v>
      </c>
      <c r="W290" s="45">
        <v>122500</v>
      </c>
      <c r="X290" s="45">
        <v>122500</v>
      </c>
      <c r="Y290" s="45">
        <v>122500</v>
      </c>
      <c r="Z290" s="45">
        <v>214446</v>
      </c>
      <c r="AA290" s="45">
        <v>229446</v>
      </c>
      <c r="AB290" s="45">
        <v>469446</v>
      </c>
      <c r="AC290" s="45">
        <v>469446</v>
      </c>
      <c r="AD290" s="45">
        <v>9000</v>
      </c>
      <c r="AE290" s="45">
        <v>9000</v>
      </c>
      <c r="AF290" s="45">
        <v>9000</v>
      </c>
      <c r="AG290" s="45">
        <v>12284</v>
      </c>
      <c r="AH290" s="45"/>
      <c r="AI290" s="45"/>
      <c r="AJ290" s="45"/>
      <c r="AK290" s="45"/>
      <c r="AL290" s="45"/>
      <c r="AM290" s="45"/>
      <c r="AN290" s="45"/>
      <c r="AO290" s="45"/>
    </row>
    <row r="291" spans="2:41" outlineLevel="1" x14ac:dyDescent="0.35">
      <c r="B291" s="27" t="s">
        <v>1305</v>
      </c>
      <c r="C291" s="27" t="s">
        <v>51</v>
      </c>
      <c r="D291" s="27" t="s">
        <v>1884</v>
      </c>
      <c r="E291" s="27" t="s">
        <v>51</v>
      </c>
      <c r="F291" s="27" t="s">
        <v>385</v>
      </c>
      <c r="G291" s="27" t="s">
        <v>1635</v>
      </c>
      <c r="H291" s="27" t="s">
        <v>54</v>
      </c>
      <c r="I291" s="27" t="s">
        <v>55</v>
      </c>
      <c r="J291" s="27" t="s">
        <v>393</v>
      </c>
      <c r="K291" s="27" t="s">
        <v>371</v>
      </c>
      <c r="L291" s="27" t="s">
        <v>371</v>
      </c>
      <c r="M291" s="27" t="s">
        <v>371</v>
      </c>
      <c r="N291" s="27" t="s">
        <v>371</v>
      </c>
      <c r="O291" s="27" t="s">
        <v>371</v>
      </c>
      <c r="P291" s="27" t="s">
        <v>371</v>
      </c>
      <c r="Q291" s="27" t="s">
        <v>372</v>
      </c>
      <c r="R291" s="45">
        <v>0</v>
      </c>
      <c r="S291" s="45">
        <v>0</v>
      </c>
      <c r="T291" s="45">
        <v>397198</v>
      </c>
      <c r="U291" s="45">
        <v>910726</v>
      </c>
      <c r="V291" s="45">
        <v>1053126</v>
      </c>
      <c r="W291" s="45">
        <v>1221833.1499999999</v>
      </c>
      <c r="X291" s="45">
        <v>1245065.1499999999</v>
      </c>
      <c r="Y291" s="45">
        <v>1245065.1499999999</v>
      </c>
      <c r="Z291" s="45">
        <v>1221833.1499999999</v>
      </c>
      <c r="AA291" s="45">
        <v>1212676</v>
      </c>
      <c r="AB291" s="45">
        <v>1212676</v>
      </c>
      <c r="AC291" s="45">
        <v>1212676</v>
      </c>
      <c r="AD291" s="45">
        <v>1212676</v>
      </c>
      <c r="AE291" s="45">
        <v>1212676</v>
      </c>
      <c r="AF291" s="45">
        <v>1212676</v>
      </c>
      <c r="AG291" s="45">
        <v>1212676</v>
      </c>
      <c r="AH291" s="45"/>
      <c r="AI291" s="45"/>
      <c r="AJ291" s="45"/>
      <c r="AK291" s="45"/>
      <c r="AL291" s="45"/>
      <c r="AM291" s="45"/>
      <c r="AN291" s="45"/>
      <c r="AO291" s="45"/>
    </row>
    <row r="292" spans="2:41" outlineLevel="1" x14ac:dyDescent="0.35">
      <c r="B292" s="27" t="s">
        <v>719</v>
      </c>
      <c r="C292" s="27" t="s">
        <v>51</v>
      </c>
      <c r="D292" s="27" t="s">
        <v>1636</v>
      </c>
      <c r="E292" s="27" t="s">
        <v>51</v>
      </c>
      <c r="F292" s="27" t="s">
        <v>195</v>
      </c>
      <c r="G292" s="27" t="s">
        <v>720</v>
      </c>
      <c r="H292" s="27" t="s">
        <v>54</v>
      </c>
      <c r="I292" s="27" t="s">
        <v>142</v>
      </c>
      <c r="J292" s="27" t="s">
        <v>197</v>
      </c>
      <c r="K292" s="27" t="s">
        <v>371</v>
      </c>
      <c r="L292" s="27" t="s">
        <v>371</v>
      </c>
      <c r="M292" s="27" t="s">
        <v>371</v>
      </c>
      <c r="N292" s="27" t="s">
        <v>371</v>
      </c>
      <c r="O292" s="27" t="s">
        <v>371</v>
      </c>
      <c r="P292" s="27" t="s">
        <v>371</v>
      </c>
      <c r="Q292" s="27" t="s">
        <v>372</v>
      </c>
      <c r="R292" s="45">
        <v>0</v>
      </c>
      <c r="S292" s="45">
        <v>0</v>
      </c>
      <c r="T292" s="45">
        <v>-374836.6</v>
      </c>
      <c r="U292" s="45">
        <v>-351405.76</v>
      </c>
      <c r="V292" s="45">
        <v>-307480.03999999998</v>
      </c>
      <c r="W292" s="45">
        <v>-307480.03999999998</v>
      </c>
      <c r="X292" s="45">
        <v>-307480.03999999998</v>
      </c>
      <c r="Y292" s="45">
        <v>-307480.03999999998</v>
      </c>
      <c r="Z292" s="45">
        <v>-307480.03999999998</v>
      </c>
      <c r="AA292" s="45">
        <v>-307480.03999999998</v>
      </c>
      <c r="AB292" s="45">
        <v>-307480.03999999998</v>
      </c>
      <c r="AC292" s="45">
        <v>-43925.72</v>
      </c>
      <c r="AD292" s="45">
        <v>-43925.72</v>
      </c>
      <c r="AE292" s="45">
        <v>-43925.72</v>
      </c>
      <c r="AF292" s="45">
        <v>0</v>
      </c>
      <c r="AG292" s="45">
        <v>0</v>
      </c>
      <c r="AH292" s="45"/>
      <c r="AI292" s="45"/>
      <c r="AJ292" s="45"/>
      <c r="AK292" s="45"/>
      <c r="AL292" s="45"/>
      <c r="AM292" s="45"/>
      <c r="AN292" s="45"/>
      <c r="AO292" s="45"/>
    </row>
    <row r="293" spans="2:41" outlineLevel="1" x14ac:dyDescent="0.35">
      <c r="B293" s="27" t="s">
        <v>1306</v>
      </c>
      <c r="C293" s="27" t="s">
        <v>51</v>
      </c>
      <c r="D293" s="27" t="s">
        <v>1885</v>
      </c>
      <c r="E293" s="27" t="s">
        <v>51</v>
      </c>
      <c r="F293" s="27" t="s">
        <v>90</v>
      </c>
      <c r="G293" s="27" t="s">
        <v>1637</v>
      </c>
      <c r="H293" s="27" t="s">
        <v>54</v>
      </c>
      <c r="I293" s="27" t="s">
        <v>55</v>
      </c>
      <c r="J293" s="27" t="s">
        <v>393</v>
      </c>
      <c r="K293" s="27" t="s">
        <v>371</v>
      </c>
      <c r="L293" s="27" t="s">
        <v>371</v>
      </c>
      <c r="M293" s="27" t="s">
        <v>371</v>
      </c>
      <c r="N293" s="27" t="s">
        <v>371</v>
      </c>
      <c r="O293" s="27" t="s">
        <v>371</v>
      </c>
      <c r="P293" s="27" t="s">
        <v>371</v>
      </c>
      <c r="Q293" s="27" t="s">
        <v>372</v>
      </c>
      <c r="R293" s="45">
        <v>0</v>
      </c>
      <c r="S293" s="45">
        <v>0</v>
      </c>
      <c r="T293" s="45">
        <v>728333.63</v>
      </c>
      <c r="U293" s="45">
        <v>728333.63</v>
      </c>
      <c r="V293" s="45">
        <v>1827425.73</v>
      </c>
      <c r="W293" s="45">
        <v>1827425.73</v>
      </c>
      <c r="X293" s="45">
        <v>0</v>
      </c>
      <c r="Y293" s="45">
        <v>989330</v>
      </c>
      <c r="Z293" s="45">
        <v>989330</v>
      </c>
      <c r="AA293" s="45">
        <v>1134110.02</v>
      </c>
      <c r="AB293" s="45">
        <v>1303020.06</v>
      </c>
      <c r="AC293" s="45">
        <v>1351280.08</v>
      </c>
      <c r="AD293" s="45">
        <v>1351280.08</v>
      </c>
      <c r="AE293" s="45">
        <v>1351280.08</v>
      </c>
      <c r="AF293" s="45">
        <v>1351280.08</v>
      </c>
      <c r="AG293" s="45">
        <v>1351280.08</v>
      </c>
      <c r="AH293" s="45"/>
      <c r="AI293" s="45"/>
      <c r="AJ293" s="45"/>
      <c r="AK293" s="45"/>
      <c r="AL293" s="45"/>
      <c r="AM293" s="45"/>
      <c r="AN293" s="45"/>
      <c r="AO293" s="45"/>
    </row>
    <row r="294" spans="2:41" outlineLevel="1" x14ac:dyDescent="0.35">
      <c r="B294" s="27" t="s">
        <v>1307</v>
      </c>
      <c r="C294" s="27" t="s">
        <v>51</v>
      </c>
      <c r="D294" s="27" t="s">
        <v>1886</v>
      </c>
      <c r="E294" s="27" t="s">
        <v>51</v>
      </c>
      <c r="F294" s="27" t="s">
        <v>85</v>
      </c>
      <c r="G294" s="27" t="s">
        <v>1638</v>
      </c>
      <c r="H294" s="27" t="s">
        <v>54</v>
      </c>
      <c r="I294" s="27" t="s">
        <v>55</v>
      </c>
      <c r="J294" s="27" t="s">
        <v>101</v>
      </c>
      <c r="K294" s="27" t="s">
        <v>371</v>
      </c>
      <c r="L294" s="27" t="s">
        <v>371</v>
      </c>
      <c r="M294" s="27" t="s">
        <v>371</v>
      </c>
      <c r="N294" s="27" t="s">
        <v>371</v>
      </c>
      <c r="O294" s="27" t="s">
        <v>371</v>
      </c>
      <c r="P294" s="27" t="s">
        <v>371</v>
      </c>
      <c r="Q294" s="27" t="s">
        <v>372</v>
      </c>
      <c r="R294" s="45">
        <v>0</v>
      </c>
      <c r="S294" s="45">
        <v>0</v>
      </c>
      <c r="T294" s="45">
        <v>0</v>
      </c>
      <c r="U294" s="45">
        <v>135783.91999999998</v>
      </c>
      <c r="V294" s="45">
        <v>123439.97</v>
      </c>
      <c r="W294" s="45">
        <v>237409.05000000002</v>
      </c>
      <c r="X294" s="45">
        <v>215553.63</v>
      </c>
      <c r="Y294" s="45">
        <v>505168.98000000004</v>
      </c>
      <c r="Z294" s="45">
        <v>474226.71000000008</v>
      </c>
      <c r="AA294" s="45">
        <v>1070726.1299999999</v>
      </c>
      <c r="AB294" s="45">
        <v>792965.16</v>
      </c>
      <c r="AC294" s="45">
        <v>515961.10000000003</v>
      </c>
      <c r="AD294" s="45">
        <v>977775.88</v>
      </c>
      <c r="AE294" s="45">
        <v>1294098.71</v>
      </c>
      <c r="AF294" s="45">
        <v>1619644.98</v>
      </c>
      <c r="AG294" s="45">
        <v>1425221.09</v>
      </c>
      <c r="AH294" s="45"/>
      <c r="AI294" s="45"/>
      <c r="AJ294" s="45"/>
      <c r="AK294" s="45"/>
      <c r="AL294" s="45"/>
      <c r="AM294" s="45"/>
      <c r="AN294" s="45"/>
      <c r="AO294" s="45"/>
    </row>
    <row r="295" spans="2:41" outlineLevel="1" x14ac:dyDescent="0.35">
      <c r="B295" s="27" t="s">
        <v>722</v>
      </c>
      <c r="C295" s="27" t="s">
        <v>51</v>
      </c>
      <c r="D295" s="27" t="s">
        <v>1639</v>
      </c>
      <c r="E295" s="27" t="s">
        <v>51</v>
      </c>
      <c r="F295" s="27" t="s">
        <v>1053</v>
      </c>
      <c r="G295" s="27" t="s">
        <v>723</v>
      </c>
      <c r="H295" s="27" t="s">
        <v>54</v>
      </c>
      <c r="I295" s="27" t="s">
        <v>55</v>
      </c>
      <c r="J295" s="27" t="s">
        <v>383</v>
      </c>
      <c r="K295" s="27" t="s">
        <v>371</v>
      </c>
      <c r="L295" s="27" t="s">
        <v>371</v>
      </c>
      <c r="M295" s="27" t="s">
        <v>371</v>
      </c>
      <c r="N295" s="27" t="s">
        <v>371</v>
      </c>
      <c r="O295" s="27" t="s">
        <v>371</v>
      </c>
      <c r="P295" s="27" t="s">
        <v>371</v>
      </c>
      <c r="Q295" s="27" t="s">
        <v>372</v>
      </c>
      <c r="R295" s="45">
        <v>0</v>
      </c>
      <c r="S295" s="45">
        <v>0</v>
      </c>
      <c r="T295" s="45">
        <v>0</v>
      </c>
      <c r="U295" s="45">
        <v>8693.39</v>
      </c>
      <c r="V295" s="45">
        <v>8693.39</v>
      </c>
      <c r="W295" s="45">
        <v>8693.39</v>
      </c>
      <c r="X295" s="45">
        <v>8693.39</v>
      </c>
      <c r="Y295" s="45">
        <v>8693.39</v>
      </c>
      <c r="Z295" s="45">
        <v>8693.39</v>
      </c>
      <c r="AA295" s="45">
        <v>8693.39</v>
      </c>
      <c r="AB295" s="45">
        <v>8693.39</v>
      </c>
      <c r="AC295" s="45">
        <v>483072.51</v>
      </c>
      <c r="AD295" s="45">
        <v>0</v>
      </c>
      <c r="AE295" s="45">
        <v>0</v>
      </c>
      <c r="AF295" s="45">
        <v>0</v>
      </c>
      <c r="AG295" s="45">
        <v>0</v>
      </c>
      <c r="AH295" s="45"/>
      <c r="AI295" s="45"/>
      <c r="AJ295" s="45"/>
      <c r="AK295" s="45"/>
      <c r="AL295" s="45"/>
      <c r="AM295" s="45"/>
      <c r="AN295" s="45"/>
      <c r="AO295" s="45"/>
    </row>
    <row r="296" spans="2:41" outlineLevel="1" x14ac:dyDescent="0.35">
      <c r="B296" s="27" t="s">
        <v>724</v>
      </c>
      <c r="C296" s="27" t="s">
        <v>51</v>
      </c>
      <c r="D296" s="27" t="s">
        <v>1640</v>
      </c>
      <c r="E296" s="27" t="s">
        <v>51</v>
      </c>
      <c r="F296" s="27" t="s">
        <v>109</v>
      </c>
      <c r="G296" s="27" t="s">
        <v>725</v>
      </c>
      <c r="H296" s="27" t="s">
        <v>54</v>
      </c>
      <c r="I296" s="27" t="s">
        <v>55</v>
      </c>
      <c r="J296" s="27" t="s">
        <v>101</v>
      </c>
      <c r="K296" s="27" t="s">
        <v>371</v>
      </c>
      <c r="L296" s="27" t="s">
        <v>371</v>
      </c>
      <c r="M296" s="27" t="s">
        <v>371</v>
      </c>
      <c r="N296" s="27" t="s">
        <v>371</v>
      </c>
      <c r="O296" s="27" t="s">
        <v>371</v>
      </c>
      <c r="P296" s="27" t="s">
        <v>371</v>
      </c>
      <c r="Q296" s="27" t="s">
        <v>372</v>
      </c>
      <c r="R296" s="45">
        <v>0</v>
      </c>
      <c r="S296" s="45">
        <v>0</v>
      </c>
      <c r="T296" s="45">
        <v>0</v>
      </c>
      <c r="U296" s="45">
        <v>61513.36</v>
      </c>
      <c r="V296" s="45">
        <v>61513.36</v>
      </c>
      <c r="W296" s="45">
        <v>61513.36</v>
      </c>
      <c r="X296" s="45">
        <v>0</v>
      </c>
      <c r="Y296" s="45">
        <v>0</v>
      </c>
      <c r="Z296" s="45">
        <v>0</v>
      </c>
      <c r="AA296" s="45">
        <v>0</v>
      </c>
      <c r="AB296" s="45">
        <v>0</v>
      </c>
      <c r="AC296" s="45">
        <v>0</v>
      </c>
      <c r="AD296" s="45">
        <v>0</v>
      </c>
      <c r="AE296" s="45">
        <v>0</v>
      </c>
      <c r="AF296" s="45">
        <v>0</v>
      </c>
      <c r="AG296" s="45">
        <v>0</v>
      </c>
      <c r="AH296" s="45"/>
      <c r="AI296" s="45"/>
      <c r="AJ296" s="45"/>
      <c r="AK296" s="45"/>
      <c r="AL296" s="45"/>
      <c r="AM296" s="45"/>
      <c r="AN296" s="45"/>
      <c r="AO296" s="45"/>
    </row>
    <row r="297" spans="2:41" outlineLevel="1" x14ac:dyDescent="0.35">
      <c r="B297" s="27" t="s">
        <v>1308</v>
      </c>
      <c r="C297" s="27" t="s">
        <v>51</v>
      </c>
      <c r="D297" s="27" t="s">
        <v>1887</v>
      </c>
      <c r="E297" s="27" t="s">
        <v>51</v>
      </c>
      <c r="F297" s="27" t="s">
        <v>385</v>
      </c>
      <c r="G297" s="27" t="s">
        <v>1961</v>
      </c>
      <c r="H297" s="27" t="s">
        <v>54</v>
      </c>
      <c r="I297" s="27" t="s">
        <v>55</v>
      </c>
      <c r="J297" s="27" t="s">
        <v>393</v>
      </c>
      <c r="K297" s="27" t="s">
        <v>371</v>
      </c>
      <c r="L297" s="27" t="s">
        <v>371</v>
      </c>
      <c r="M297" s="27" t="s">
        <v>371</v>
      </c>
      <c r="N297" s="27" t="s">
        <v>371</v>
      </c>
      <c r="O297" s="27" t="s">
        <v>371</v>
      </c>
      <c r="P297" s="27" t="s">
        <v>371</v>
      </c>
      <c r="Q297" s="27" t="s">
        <v>372</v>
      </c>
      <c r="R297" s="45">
        <v>0</v>
      </c>
      <c r="S297" s="45">
        <v>0</v>
      </c>
      <c r="T297" s="45">
        <v>0</v>
      </c>
      <c r="U297" s="45">
        <v>-6619.97</v>
      </c>
      <c r="V297" s="45">
        <v>-21798.74</v>
      </c>
      <c r="W297" s="45">
        <v>-39350.839999999997</v>
      </c>
      <c r="X297" s="45">
        <v>-62526.51</v>
      </c>
      <c r="Y297" s="45">
        <v>-82890.399999999994</v>
      </c>
      <c r="Z297" s="45">
        <v>-103254.29</v>
      </c>
      <c r="AA297" s="45">
        <v>-122855.08</v>
      </c>
      <c r="AB297" s="45">
        <v>-143066.35</v>
      </c>
      <c r="AC297" s="45">
        <v>-163277.62</v>
      </c>
      <c r="AD297" s="45">
        <v>-207533</v>
      </c>
      <c r="AE297" s="45">
        <v>-251788.38</v>
      </c>
      <c r="AF297" s="45">
        <v>-223911.43</v>
      </c>
      <c r="AG297" s="45">
        <v>-244126.43</v>
      </c>
      <c r="AH297" s="45"/>
      <c r="AI297" s="45"/>
      <c r="AJ297" s="45"/>
      <c r="AK297" s="45"/>
      <c r="AL297" s="45"/>
      <c r="AM297" s="45"/>
      <c r="AN297" s="45"/>
      <c r="AO297" s="45"/>
    </row>
    <row r="298" spans="2:41" outlineLevel="1" x14ac:dyDescent="0.35">
      <c r="B298" s="27" t="s">
        <v>1309</v>
      </c>
      <c r="C298" s="27" t="s">
        <v>51</v>
      </c>
      <c r="D298" s="27" t="s">
        <v>1888</v>
      </c>
      <c r="E298" s="27" t="s">
        <v>51</v>
      </c>
      <c r="F298" s="27" t="s">
        <v>90</v>
      </c>
      <c r="G298" s="27" t="s">
        <v>1642</v>
      </c>
      <c r="H298" s="27" t="s">
        <v>54</v>
      </c>
      <c r="I298" s="27" t="s">
        <v>55</v>
      </c>
      <c r="J298" s="27" t="s">
        <v>393</v>
      </c>
      <c r="K298" s="27" t="s">
        <v>371</v>
      </c>
      <c r="L298" s="27" t="s">
        <v>371</v>
      </c>
      <c r="M298" s="27" t="s">
        <v>371</v>
      </c>
      <c r="N298" s="27" t="s">
        <v>371</v>
      </c>
      <c r="O298" s="27" t="s">
        <v>371</v>
      </c>
      <c r="P298" s="27" t="s">
        <v>371</v>
      </c>
      <c r="Q298" s="27" t="s">
        <v>372</v>
      </c>
      <c r="R298" s="45">
        <v>0</v>
      </c>
      <c r="S298" s="45">
        <v>0</v>
      </c>
      <c r="T298" s="45">
        <v>0</v>
      </c>
      <c r="U298" s="45">
        <v>-60694.47</v>
      </c>
      <c r="V298" s="45">
        <v>-121388.94</v>
      </c>
      <c r="W298" s="45">
        <v>-121388.94</v>
      </c>
      <c r="X298" s="45">
        <v>0</v>
      </c>
      <c r="Y298" s="45">
        <v>0</v>
      </c>
      <c r="Z298" s="45">
        <v>-41222.080000000002</v>
      </c>
      <c r="AA298" s="45">
        <v>-82444.160000000003</v>
      </c>
      <c r="AB298" s="45">
        <v>-129698.74</v>
      </c>
      <c r="AC298" s="45">
        <v>-183991.24</v>
      </c>
      <c r="AD298" s="45">
        <v>-240294.58</v>
      </c>
      <c r="AE298" s="45">
        <v>-296597.92</v>
      </c>
      <c r="AF298" s="45">
        <v>-352901.26</v>
      </c>
      <c r="AG298" s="45">
        <v>-409204.26</v>
      </c>
      <c r="AH298" s="45"/>
      <c r="AI298" s="45"/>
      <c r="AJ298" s="45"/>
      <c r="AK298" s="45"/>
      <c r="AL298" s="45"/>
      <c r="AM298" s="45"/>
      <c r="AN298" s="45"/>
      <c r="AO298" s="45"/>
    </row>
    <row r="299" spans="2:41" outlineLevel="1" x14ac:dyDescent="0.35">
      <c r="B299" s="27" t="s">
        <v>726</v>
      </c>
      <c r="C299" s="27" t="s">
        <v>51</v>
      </c>
      <c r="D299" s="27" t="s">
        <v>1643</v>
      </c>
      <c r="E299" s="27" t="s">
        <v>51</v>
      </c>
      <c r="F299" s="27" t="s">
        <v>195</v>
      </c>
      <c r="G299" s="27" t="s">
        <v>727</v>
      </c>
      <c r="H299" s="27" t="s">
        <v>54</v>
      </c>
      <c r="I299" s="27" t="s">
        <v>142</v>
      </c>
      <c r="J299" s="27" t="s">
        <v>197</v>
      </c>
      <c r="K299" s="27" t="s">
        <v>371</v>
      </c>
      <c r="L299" s="27" t="s">
        <v>371</v>
      </c>
      <c r="M299" s="27" t="s">
        <v>371</v>
      </c>
      <c r="N299" s="27" t="s">
        <v>371</v>
      </c>
      <c r="O299" s="27" t="s">
        <v>371</v>
      </c>
      <c r="P299" s="27" t="s">
        <v>371</v>
      </c>
      <c r="Q299" s="27" t="s">
        <v>372</v>
      </c>
      <c r="R299" s="45">
        <v>0</v>
      </c>
      <c r="S299" s="45">
        <v>0</v>
      </c>
      <c r="T299" s="45">
        <v>0</v>
      </c>
      <c r="U299" s="45">
        <v>-0.26999999999679858</v>
      </c>
      <c r="V299" s="45">
        <v>-0.27</v>
      </c>
      <c r="W299" s="45">
        <v>0</v>
      </c>
      <c r="X299" s="45">
        <v>0</v>
      </c>
      <c r="Y299" s="45">
        <v>0</v>
      </c>
      <c r="Z299" s="45">
        <v>0</v>
      </c>
      <c r="AA299" s="45">
        <v>0</v>
      </c>
      <c r="AB299" s="45">
        <v>0</v>
      </c>
      <c r="AC299" s="45">
        <v>0</v>
      </c>
      <c r="AD299" s="45">
        <v>0</v>
      </c>
      <c r="AE299" s="45">
        <v>0</v>
      </c>
      <c r="AF299" s="45">
        <v>0</v>
      </c>
      <c r="AG299" s="45">
        <v>0</v>
      </c>
      <c r="AH299" s="45"/>
      <c r="AI299" s="45"/>
      <c r="AJ299" s="45"/>
      <c r="AK299" s="45"/>
      <c r="AL299" s="45"/>
      <c r="AM299" s="45"/>
      <c r="AN299" s="45"/>
      <c r="AO299" s="45"/>
    </row>
    <row r="300" spans="2:41" outlineLevel="1" x14ac:dyDescent="0.35">
      <c r="B300" s="27" t="s">
        <v>728</v>
      </c>
      <c r="C300" s="27" t="s">
        <v>51</v>
      </c>
      <c r="D300" s="27" t="s">
        <v>1644</v>
      </c>
      <c r="E300" s="27" t="s">
        <v>51</v>
      </c>
      <c r="F300" s="27" t="s">
        <v>587</v>
      </c>
      <c r="G300" s="27" t="s">
        <v>729</v>
      </c>
      <c r="H300" s="27" t="s">
        <v>54</v>
      </c>
      <c r="I300" s="27" t="s">
        <v>142</v>
      </c>
      <c r="J300" s="27" t="s">
        <v>197</v>
      </c>
      <c r="K300" s="27" t="s">
        <v>371</v>
      </c>
      <c r="L300" s="27" t="s">
        <v>371</v>
      </c>
      <c r="M300" s="27" t="s">
        <v>371</v>
      </c>
      <c r="N300" s="27" t="s">
        <v>371</v>
      </c>
      <c r="O300" s="27" t="s">
        <v>371</v>
      </c>
      <c r="P300" s="27" t="s">
        <v>371</v>
      </c>
      <c r="Q300" s="27" t="s">
        <v>372</v>
      </c>
      <c r="R300" s="45">
        <v>0</v>
      </c>
      <c r="S300" s="45">
        <v>0</v>
      </c>
      <c r="T300" s="45">
        <v>0</v>
      </c>
      <c r="U300" s="45">
        <v>-1397992.99</v>
      </c>
      <c r="V300" s="45">
        <v>-1811161.82</v>
      </c>
      <c r="W300" s="45">
        <v>-1053624.6499999999</v>
      </c>
      <c r="X300" s="45">
        <v>0</v>
      </c>
      <c r="Y300" s="45">
        <v>0</v>
      </c>
      <c r="Z300" s="45">
        <v>0</v>
      </c>
      <c r="AA300" s="45">
        <v>0</v>
      </c>
      <c r="AB300" s="45">
        <v>0</v>
      </c>
      <c r="AC300" s="45">
        <v>0</v>
      </c>
      <c r="AD300" s="45">
        <v>0</v>
      </c>
      <c r="AE300" s="45">
        <v>0</v>
      </c>
      <c r="AF300" s="45">
        <v>0</v>
      </c>
      <c r="AG300" s="45">
        <v>0</v>
      </c>
      <c r="AH300" s="45"/>
      <c r="AI300" s="45"/>
      <c r="AJ300" s="45"/>
      <c r="AK300" s="45"/>
      <c r="AL300" s="45"/>
      <c r="AM300" s="45"/>
      <c r="AN300" s="45"/>
      <c r="AO300" s="45"/>
    </row>
    <row r="301" spans="2:41" outlineLevel="1" x14ac:dyDescent="0.35">
      <c r="B301" s="27" t="s">
        <v>730</v>
      </c>
      <c r="C301" s="27" t="s">
        <v>51</v>
      </c>
      <c r="D301" s="27" t="s">
        <v>1645</v>
      </c>
      <c r="E301" s="27" t="s">
        <v>51</v>
      </c>
      <c r="F301" s="27" t="s">
        <v>501</v>
      </c>
      <c r="G301" s="27" t="s">
        <v>731</v>
      </c>
      <c r="H301" s="27" t="s">
        <v>447</v>
      </c>
      <c r="I301" s="27" t="s">
        <v>440</v>
      </c>
      <c r="J301" s="27" t="s">
        <v>448</v>
      </c>
      <c r="K301" s="27" t="s">
        <v>476</v>
      </c>
      <c r="L301" s="27" t="s">
        <v>492</v>
      </c>
      <c r="M301" s="27" t="s">
        <v>732</v>
      </c>
      <c r="N301" s="27" t="s">
        <v>494</v>
      </c>
      <c r="O301" s="27" t="s">
        <v>480</v>
      </c>
      <c r="P301" s="27" t="s">
        <v>480</v>
      </c>
      <c r="Q301" s="27" t="s">
        <v>372</v>
      </c>
      <c r="R301" s="45">
        <v>0</v>
      </c>
      <c r="S301" s="45">
        <v>0</v>
      </c>
      <c r="T301" s="45">
        <v>0</v>
      </c>
      <c r="U301" s="45">
        <v>1997.41</v>
      </c>
      <c r="V301" s="45">
        <v>0</v>
      </c>
      <c r="W301" s="45">
        <v>0</v>
      </c>
      <c r="X301" s="45">
        <v>0</v>
      </c>
      <c r="Y301" s="45">
        <v>0</v>
      </c>
      <c r="Z301" s="45">
        <v>0</v>
      </c>
      <c r="AA301" s="45">
        <v>0</v>
      </c>
      <c r="AB301" s="45">
        <v>0</v>
      </c>
      <c r="AC301" s="45">
        <v>0</v>
      </c>
      <c r="AD301" s="45">
        <v>0</v>
      </c>
      <c r="AE301" s="45">
        <v>0</v>
      </c>
      <c r="AF301" s="45">
        <v>0</v>
      </c>
      <c r="AG301" s="45">
        <v>0</v>
      </c>
      <c r="AH301" s="45"/>
      <c r="AI301" s="45"/>
      <c r="AJ301" s="45"/>
      <c r="AK301" s="45"/>
      <c r="AL301" s="45"/>
      <c r="AM301" s="45"/>
      <c r="AN301" s="45"/>
      <c r="AO301" s="45"/>
    </row>
    <row r="302" spans="2:41" outlineLevel="1" x14ac:dyDescent="0.35">
      <c r="B302" s="27" t="s">
        <v>1310</v>
      </c>
      <c r="C302" s="27" t="s">
        <v>51</v>
      </c>
      <c r="D302" s="27" t="s">
        <v>1889</v>
      </c>
      <c r="E302" s="27" t="s">
        <v>51</v>
      </c>
      <c r="F302" s="27" t="s">
        <v>556</v>
      </c>
      <c r="G302" s="27" t="s">
        <v>1641</v>
      </c>
      <c r="H302" s="27" t="s">
        <v>447</v>
      </c>
      <c r="I302" s="27" t="s">
        <v>440</v>
      </c>
      <c r="J302" s="27" t="s">
        <v>448</v>
      </c>
      <c r="K302" s="27" t="s">
        <v>557</v>
      </c>
      <c r="L302" s="27" t="s">
        <v>557</v>
      </c>
      <c r="M302" s="27" t="s">
        <v>558</v>
      </c>
      <c r="N302" s="27" t="s">
        <v>558</v>
      </c>
      <c r="O302" s="27" t="s">
        <v>557</v>
      </c>
      <c r="P302" s="27" t="s">
        <v>557</v>
      </c>
      <c r="Q302" s="27" t="s">
        <v>372</v>
      </c>
      <c r="R302" s="45">
        <v>0</v>
      </c>
      <c r="S302" s="45">
        <v>0</v>
      </c>
      <c r="T302" s="45">
        <v>0</v>
      </c>
      <c r="U302" s="45">
        <v>6619.97</v>
      </c>
      <c r="V302" s="45">
        <v>21798.74</v>
      </c>
      <c r="W302" s="45">
        <v>39350.839999999997</v>
      </c>
      <c r="X302" s="45">
        <v>62526.51</v>
      </c>
      <c r="Y302" s="45">
        <v>82890.399999999994</v>
      </c>
      <c r="Z302" s="45">
        <v>103254.29</v>
      </c>
      <c r="AA302" s="45">
        <v>122855.08</v>
      </c>
      <c r="AB302" s="45">
        <v>143066.35</v>
      </c>
      <c r="AC302" s="45">
        <v>163277.62</v>
      </c>
      <c r="AD302" s="45">
        <v>44255.38</v>
      </c>
      <c r="AE302" s="45">
        <v>88510.76</v>
      </c>
      <c r="AF302" s="45">
        <v>60633.81</v>
      </c>
      <c r="AG302" s="45">
        <v>80848.81</v>
      </c>
      <c r="AH302" s="45"/>
      <c r="AI302" s="45"/>
      <c r="AJ302" s="45"/>
      <c r="AK302" s="45"/>
      <c r="AL302" s="45"/>
      <c r="AM302" s="45"/>
      <c r="AN302" s="45"/>
      <c r="AO302" s="45"/>
    </row>
    <row r="303" spans="2:41" outlineLevel="1" x14ac:dyDescent="0.35">
      <c r="B303" s="27" t="s">
        <v>1311</v>
      </c>
      <c r="C303" s="27" t="s">
        <v>51</v>
      </c>
      <c r="D303" s="27" t="s">
        <v>1890</v>
      </c>
      <c r="E303" s="27" t="s">
        <v>51</v>
      </c>
      <c r="F303" s="27" t="s">
        <v>556</v>
      </c>
      <c r="G303" s="27" t="s">
        <v>1646</v>
      </c>
      <c r="H303" s="27" t="s">
        <v>447</v>
      </c>
      <c r="I303" s="27" t="s">
        <v>440</v>
      </c>
      <c r="J303" s="27" t="s">
        <v>448</v>
      </c>
      <c r="K303" s="27" t="s">
        <v>557</v>
      </c>
      <c r="L303" s="27" t="s">
        <v>557</v>
      </c>
      <c r="M303" s="27" t="s">
        <v>560</v>
      </c>
      <c r="N303" s="27" t="s">
        <v>560</v>
      </c>
      <c r="O303" s="27" t="s">
        <v>557</v>
      </c>
      <c r="P303" s="27" t="s">
        <v>557</v>
      </c>
      <c r="Q303" s="27" t="s">
        <v>372</v>
      </c>
      <c r="R303" s="45">
        <v>0</v>
      </c>
      <c r="S303" s="45">
        <v>0</v>
      </c>
      <c r="T303" s="45">
        <v>0</v>
      </c>
      <c r="U303" s="45">
        <v>60694.47</v>
      </c>
      <c r="V303" s="45">
        <v>121388.94</v>
      </c>
      <c r="W303" s="45">
        <v>121388.94</v>
      </c>
      <c r="X303" s="45">
        <v>0</v>
      </c>
      <c r="Y303" s="45">
        <v>0</v>
      </c>
      <c r="Z303" s="45">
        <v>41222.080000000002</v>
      </c>
      <c r="AA303" s="45">
        <v>82444.160000000003</v>
      </c>
      <c r="AB303" s="45">
        <v>129698.74</v>
      </c>
      <c r="AC303" s="45">
        <v>183991.24</v>
      </c>
      <c r="AD303" s="45">
        <v>56303.34</v>
      </c>
      <c r="AE303" s="45">
        <v>112606.68</v>
      </c>
      <c r="AF303" s="45">
        <v>168910.02</v>
      </c>
      <c r="AG303" s="45">
        <v>225213.02</v>
      </c>
      <c r="AH303" s="45"/>
      <c r="AI303" s="45"/>
      <c r="AJ303" s="45"/>
      <c r="AK303" s="45"/>
      <c r="AL303" s="45"/>
      <c r="AM303" s="45"/>
      <c r="AN303" s="45"/>
      <c r="AO303" s="45"/>
    </row>
    <row r="304" spans="2:41" outlineLevel="1" x14ac:dyDescent="0.35">
      <c r="B304" s="27" t="s">
        <v>341</v>
      </c>
      <c r="C304" s="27" t="s">
        <v>51</v>
      </c>
      <c r="D304" s="27" t="s">
        <v>1647</v>
      </c>
      <c r="E304" s="27" t="s">
        <v>51</v>
      </c>
      <c r="F304" s="27" t="s">
        <v>457</v>
      </c>
      <c r="G304" s="27" t="s">
        <v>470</v>
      </c>
      <c r="H304" s="27" t="s">
        <v>447</v>
      </c>
      <c r="I304" s="27" t="s">
        <v>440</v>
      </c>
      <c r="J304" s="27" t="s">
        <v>448</v>
      </c>
      <c r="K304" s="27" t="s">
        <v>449</v>
      </c>
      <c r="L304" s="27" t="s">
        <v>471</v>
      </c>
      <c r="M304" s="27" t="s">
        <v>734</v>
      </c>
      <c r="N304" s="27" t="s">
        <v>734</v>
      </c>
      <c r="O304" s="27" t="s">
        <v>449</v>
      </c>
      <c r="P304" s="27" t="s">
        <v>449</v>
      </c>
      <c r="Q304" s="27" t="s">
        <v>372</v>
      </c>
      <c r="R304" s="45">
        <v>0</v>
      </c>
      <c r="S304" s="45">
        <v>0</v>
      </c>
      <c r="T304" s="45">
        <v>0</v>
      </c>
      <c r="V304" s="45">
        <v>0</v>
      </c>
      <c r="W304" s="45">
        <v>0</v>
      </c>
      <c r="X304" s="45">
        <v>0</v>
      </c>
      <c r="Y304" s="45">
        <v>0</v>
      </c>
      <c r="Z304" s="45">
        <v>0</v>
      </c>
      <c r="AA304" s="45">
        <v>0</v>
      </c>
      <c r="AB304" s="45">
        <v>0</v>
      </c>
      <c r="AC304" s="45">
        <v>0</v>
      </c>
      <c r="AD304" s="45">
        <v>0</v>
      </c>
      <c r="AE304" s="45">
        <v>0</v>
      </c>
      <c r="AF304" s="45">
        <v>0</v>
      </c>
      <c r="AG304" s="45">
        <v>0</v>
      </c>
      <c r="AH304" s="45"/>
      <c r="AI304" s="45"/>
      <c r="AJ304" s="45"/>
      <c r="AK304" s="45"/>
      <c r="AL304" s="45"/>
      <c r="AM304" s="45"/>
      <c r="AN304" s="45"/>
      <c r="AO304" s="45"/>
    </row>
    <row r="305" spans="2:41" outlineLevel="1" x14ac:dyDescent="0.35">
      <c r="B305" s="27" t="s">
        <v>735</v>
      </c>
      <c r="C305" s="27" t="s">
        <v>51</v>
      </c>
      <c r="D305" s="27" t="s">
        <v>1648</v>
      </c>
      <c r="E305" s="27" t="s">
        <v>51</v>
      </c>
      <c r="F305" s="27" t="s">
        <v>501</v>
      </c>
      <c r="G305" s="27" t="s">
        <v>736</v>
      </c>
      <c r="H305" s="27" t="s">
        <v>447</v>
      </c>
      <c r="I305" s="27" t="s">
        <v>440</v>
      </c>
      <c r="J305" s="27" t="s">
        <v>448</v>
      </c>
      <c r="K305" s="27" t="s">
        <v>491</v>
      </c>
      <c r="L305" s="27" t="s">
        <v>492</v>
      </c>
      <c r="M305" s="27" t="s">
        <v>516</v>
      </c>
      <c r="N305" s="27" t="s">
        <v>494</v>
      </c>
      <c r="O305" s="27" t="s">
        <v>491</v>
      </c>
      <c r="P305" s="27" t="s">
        <v>480</v>
      </c>
      <c r="Q305" s="27" t="s">
        <v>372</v>
      </c>
      <c r="R305" s="45">
        <v>0</v>
      </c>
      <c r="S305" s="45">
        <v>0</v>
      </c>
      <c r="T305" s="45">
        <v>0</v>
      </c>
      <c r="U305" s="45">
        <v>0</v>
      </c>
      <c r="V305" s="45">
        <v>0</v>
      </c>
      <c r="W305" s="45">
        <v>0</v>
      </c>
      <c r="X305" s="45">
        <v>0</v>
      </c>
      <c r="Y305" s="45">
        <v>0</v>
      </c>
      <c r="Z305" s="45">
        <v>0</v>
      </c>
      <c r="AA305" s="45">
        <v>0</v>
      </c>
      <c r="AB305" s="45">
        <v>0</v>
      </c>
      <c r="AC305" s="45">
        <v>0</v>
      </c>
      <c r="AD305" s="45">
        <v>0</v>
      </c>
      <c r="AE305" s="45">
        <v>0</v>
      </c>
      <c r="AF305" s="45">
        <v>0</v>
      </c>
      <c r="AG305" s="45">
        <v>0</v>
      </c>
      <c r="AH305" s="45"/>
      <c r="AI305" s="45"/>
      <c r="AJ305" s="45"/>
      <c r="AK305" s="45"/>
      <c r="AL305" s="45"/>
      <c r="AM305" s="45"/>
      <c r="AN305" s="45"/>
      <c r="AO305" s="45"/>
    </row>
    <row r="306" spans="2:41" outlineLevel="1" x14ac:dyDescent="0.35">
      <c r="B306" s="27" t="s">
        <v>737</v>
      </c>
      <c r="C306" s="27" t="s">
        <v>51</v>
      </c>
      <c r="D306" s="27" t="s">
        <v>1649</v>
      </c>
      <c r="E306" s="27" t="s">
        <v>51</v>
      </c>
      <c r="F306" s="27" t="s">
        <v>501</v>
      </c>
      <c r="G306" s="27" t="s">
        <v>523</v>
      </c>
      <c r="H306" s="27" t="s">
        <v>447</v>
      </c>
      <c r="I306" s="27" t="s">
        <v>440</v>
      </c>
      <c r="J306" s="27" t="s">
        <v>448</v>
      </c>
      <c r="K306" s="27" t="s">
        <v>491</v>
      </c>
      <c r="L306" s="27" t="s">
        <v>492</v>
      </c>
      <c r="M306" s="27" t="s">
        <v>545</v>
      </c>
      <c r="N306" s="27" t="s">
        <v>494</v>
      </c>
      <c r="O306" s="27" t="s">
        <v>491</v>
      </c>
      <c r="P306" s="27" t="s">
        <v>480</v>
      </c>
      <c r="Q306" s="27" t="s">
        <v>372</v>
      </c>
      <c r="R306" s="45">
        <v>0</v>
      </c>
      <c r="S306" s="45">
        <v>0</v>
      </c>
      <c r="T306" s="45">
        <v>0</v>
      </c>
      <c r="U306" s="45">
        <v>0</v>
      </c>
      <c r="V306" s="45">
        <v>0</v>
      </c>
      <c r="W306" s="45">
        <v>0</v>
      </c>
      <c r="X306" s="45">
        <v>0</v>
      </c>
      <c r="Y306" s="45">
        <v>0</v>
      </c>
      <c r="Z306" s="45">
        <v>0</v>
      </c>
      <c r="AA306" s="45">
        <v>0</v>
      </c>
      <c r="AB306" s="45">
        <v>0</v>
      </c>
      <c r="AC306" s="45">
        <v>0</v>
      </c>
      <c r="AD306" s="45">
        <v>0</v>
      </c>
      <c r="AE306" s="45">
        <v>0</v>
      </c>
      <c r="AF306" s="45">
        <v>0</v>
      </c>
      <c r="AG306" s="45">
        <v>0</v>
      </c>
      <c r="AH306" s="45"/>
      <c r="AI306" s="45"/>
      <c r="AJ306" s="45"/>
      <c r="AK306" s="45"/>
      <c r="AL306" s="45"/>
      <c r="AM306" s="45"/>
      <c r="AN306" s="45"/>
      <c r="AO306" s="45"/>
    </row>
    <row r="307" spans="2:41" outlineLevel="1" x14ac:dyDescent="0.35">
      <c r="B307" s="27" t="s">
        <v>738</v>
      </c>
      <c r="C307" s="27" t="s">
        <v>51</v>
      </c>
      <c r="D307" s="27" t="s">
        <v>1650</v>
      </c>
      <c r="E307" s="27" t="s">
        <v>51</v>
      </c>
      <c r="F307" s="27" t="s">
        <v>377</v>
      </c>
      <c r="G307" s="27" t="s">
        <v>739</v>
      </c>
      <c r="H307" s="27" t="s">
        <v>54</v>
      </c>
      <c r="I307" s="27" t="s">
        <v>55</v>
      </c>
      <c r="J307" s="27" t="s">
        <v>56</v>
      </c>
      <c r="K307" s="27" t="s">
        <v>371</v>
      </c>
      <c r="L307" s="27" t="s">
        <v>371</v>
      </c>
      <c r="M307" s="27" t="s">
        <v>371</v>
      </c>
      <c r="N307" s="27" t="s">
        <v>371</v>
      </c>
      <c r="O307" s="27" t="s">
        <v>371</v>
      </c>
      <c r="P307" s="27"/>
      <c r="Q307" s="27" t="s">
        <v>372</v>
      </c>
      <c r="R307" s="45">
        <v>0</v>
      </c>
      <c r="S307" s="45">
        <v>0</v>
      </c>
      <c r="T307" s="45">
        <v>0</v>
      </c>
      <c r="U307" s="45">
        <v>0</v>
      </c>
      <c r="V307" s="45">
        <v>1192.48</v>
      </c>
      <c r="W307" s="45">
        <v>1192.48</v>
      </c>
      <c r="X307" s="45">
        <v>1192.48</v>
      </c>
      <c r="Y307" s="45">
        <v>1192.48</v>
      </c>
      <c r="Z307" s="45">
        <v>0</v>
      </c>
      <c r="AA307" s="45">
        <v>0</v>
      </c>
      <c r="AB307" s="45">
        <v>596.54</v>
      </c>
      <c r="AC307" s="45">
        <v>1261.6400000000001</v>
      </c>
      <c r="AD307" s="45">
        <v>1261.6400000000001</v>
      </c>
      <c r="AE307" s="45">
        <v>456</v>
      </c>
      <c r="AF307" s="45">
        <v>0</v>
      </c>
      <c r="AG307" s="45">
        <v>0</v>
      </c>
      <c r="AH307" s="45"/>
      <c r="AI307" s="45"/>
      <c r="AJ307" s="45"/>
      <c r="AK307" s="45"/>
      <c r="AL307" s="45"/>
      <c r="AM307" s="45"/>
      <c r="AN307" s="45"/>
      <c r="AO307" s="45"/>
    </row>
    <row r="308" spans="2:41" outlineLevel="1" x14ac:dyDescent="0.35">
      <c r="B308" s="27" t="s">
        <v>740</v>
      </c>
      <c r="C308" s="27" t="s">
        <v>51</v>
      </c>
      <c r="D308" s="27" t="s">
        <v>1651</v>
      </c>
      <c r="E308" s="27" t="s">
        <v>51</v>
      </c>
      <c r="F308" s="27" t="s">
        <v>85</v>
      </c>
      <c r="G308" s="27" t="s">
        <v>741</v>
      </c>
      <c r="H308" s="27" t="s">
        <v>54</v>
      </c>
      <c r="I308" s="27" t="s">
        <v>55</v>
      </c>
      <c r="J308" s="27" t="s">
        <v>101</v>
      </c>
      <c r="K308" s="27" t="s">
        <v>371</v>
      </c>
      <c r="L308" s="27" t="s">
        <v>371</v>
      </c>
      <c r="M308" s="27" t="s">
        <v>371</v>
      </c>
      <c r="N308" s="27" t="s">
        <v>371</v>
      </c>
      <c r="O308" s="27" t="s">
        <v>371</v>
      </c>
      <c r="P308" s="27"/>
      <c r="Q308" s="27" t="s">
        <v>372</v>
      </c>
      <c r="R308" s="45">
        <v>0</v>
      </c>
      <c r="S308" s="45">
        <v>0</v>
      </c>
      <c r="T308" s="45">
        <v>0</v>
      </c>
      <c r="U308" s="45">
        <v>0</v>
      </c>
      <c r="V308" s="45">
        <v>400000</v>
      </c>
      <c r="W308" s="45">
        <v>0</v>
      </c>
      <c r="X308" s="45">
        <v>0</v>
      </c>
      <c r="Y308" s="45">
        <v>0</v>
      </c>
      <c r="Z308" s="45">
        <v>0</v>
      </c>
      <c r="AA308" s="45">
        <v>0</v>
      </c>
      <c r="AB308" s="45">
        <v>0</v>
      </c>
      <c r="AC308" s="45">
        <v>0</v>
      </c>
      <c r="AD308" s="45">
        <v>0</v>
      </c>
      <c r="AE308" s="45">
        <v>0</v>
      </c>
      <c r="AF308" s="45">
        <v>0</v>
      </c>
      <c r="AG308" s="45">
        <v>0</v>
      </c>
      <c r="AH308" s="45"/>
      <c r="AI308" s="45"/>
      <c r="AJ308" s="45"/>
      <c r="AK308" s="45"/>
      <c r="AL308" s="45"/>
      <c r="AM308" s="45"/>
      <c r="AN308" s="45"/>
      <c r="AO308" s="45"/>
    </row>
    <row r="309" spans="2:41" outlineLevel="1" x14ac:dyDescent="0.35">
      <c r="B309" s="27" t="s">
        <v>742</v>
      </c>
      <c r="C309" s="27" t="s">
        <v>51</v>
      </c>
      <c r="D309" s="27" t="s">
        <v>1652</v>
      </c>
      <c r="E309" s="27" t="s">
        <v>51</v>
      </c>
      <c r="F309" s="27" t="s">
        <v>109</v>
      </c>
      <c r="G309" s="27" t="s">
        <v>743</v>
      </c>
      <c r="H309" s="27" t="s">
        <v>54</v>
      </c>
      <c r="I309" s="27" t="s">
        <v>55</v>
      </c>
      <c r="J309" s="27" t="s">
        <v>101</v>
      </c>
      <c r="K309" s="27" t="s">
        <v>371</v>
      </c>
      <c r="L309" s="27" t="s">
        <v>371</v>
      </c>
      <c r="M309" s="27" t="s">
        <v>371</v>
      </c>
      <c r="N309" s="27" t="s">
        <v>371</v>
      </c>
      <c r="O309" s="27" t="s">
        <v>371</v>
      </c>
      <c r="P309" s="27"/>
      <c r="Q309" s="27" t="s">
        <v>372</v>
      </c>
      <c r="R309" s="45">
        <v>0</v>
      </c>
      <c r="S309" s="45">
        <v>0</v>
      </c>
      <c r="T309" s="45">
        <v>0</v>
      </c>
      <c r="U309" s="45">
        <v>0</v>
      </c>
      <c r="V309" s="45">
        <v>428750</v>
      </c>
      <c r="W309" s="45">
        <v>428750</v>
      </c>
      <c r="X309" s="45">
        <v>428750</v>
      </c>
      <c r="Y309" s="45">
        <v>428750</v>
      </c>
      <c r="Z309" s="45">
        <v>428750</v>
      </c>
      <c r="AA309" s="45">
        <v>428750</v>
      </c>
      <c r="AB309" s="45">
        <v>428750</v>
      </c>
      <c r="AC309" s="45">
        <v>0</v>
      </c>
      <c r="AD309" s="45">
        <v>707437.5</v>
      </c>
      <c r="AE309" s="45">
        <v>986125</v>
      </c>
      <c r="AF309" s="45">
        <v>0</v>
      </c>
      <c r="AG309" s="45">
        <v>0</v>
      </c>
      <c r="AH309" s="45"/>
      <c r="AI309" s="45"/>
      <c r="AJ309" s="45"/>
      <c r="AK309" s="45"/>
      <c r="AL309" s="45"/>
      <c r="AM309" s="45"/>
      <c r="AN309" s="45"/>
      <c r="AO309" s="45"/>
    </row>
    <row r="310" spans="2:41" outlineLevel="1" x14ac:dyDescent="0.35">
      <c r="B310" s="27" t="s">
        <v>744</v>
      </c>
      <c r="C310" s="27" t="s">
        <v>51</v>
      </c>
      <c r="D310" s="27" t="s">
        <v>1653</v>
      </c>
      <c r="E310" s="27" t="s">
        <v>51</v>
      </c>
      <c r="F310" s="27" t="s">
        <v>109</v>
      </c>
      <c r="G310" s="27" t="s">
        <v>234</v>
      </c>
      <c r="H310" s="27" t="s">
        <v>54</v>
      </c>
      <c r="I310" s="27" t="s">
        <v>55</v>
      </c>
      <c r="J310" s="27" t="s">
        <v>101</v>
      </c>
      <c r="K310" s="27" t="s">
        <v>371</v>
      </c>
      <c r="L310" s="27" t="s">
        <v>371</v>
      </c>
      <c r="M310" s="27" t="s">
        <v>371</v>
      </c>
      <c r="N310" s="27" t="s">
        <v>371</v>
      </c>
      <c r="O310" s="27" t="s">
        <v>371</v>
      </c>
      <c r="P310" s="27"/>
      <c r="Q310" s="27" t="s">
        <v>372</v>
      </c>
      <c r="R310" s="45">
        <v>0</v>
      </c>
      <c r="S310" s="45">
        <v>0</v>
      </c>
      <c r="T310" s="45">
        <v>0</v>
      </c>
      <c r="U310" s="45">
        <v>0</v>
      </c>
      <c r="V310" s="45">
        <v>82360</v>
      </c>
      <c r="W310" s="45">
        <v>0</v>
      </c>
      <c r="X310" s="45">
        <v>17400</v>
      </c>
      <c r="Y310" s="45">
        <v>17400</v>
      </c>
      <c r="Z310" s="45">
        <v>17400</v>
      </c>
      <c r="AA310" s="45">
        <v>0</v>
      </c>
      <c r="AB310" s="45">
        <v>0</v>
      </c>
      <c r="AC310" s="45">
        <v>0</v>
      </c>
      <c r="AD310" s="45">
        <v>0</v>
      </c>
      <c r="AE310" s="45">
        <v>0</v>
      </c>
      <c r="AF310" s="45">
        <v>0</v>
      </c>
      <c r="AG310" s="45">
        <v>0</v>
      </c>
      <c r="AH310" s="45"/>
      <c r="AI310" s="45"/>
      <c r="AJ310" s="45"/>
      <c r="AK310" s="45"/>
      <c r="AL310" s="45"/>
      <c r="AM310" s="45"/>
      <c r="AN310" s="45"/>
      <c r="AO310" s="45"/>
    </row>
    <row r="311" spans="2:41" outlineLevel="1" x14ac:dyDescent="0.35">
      <c r="B311" s="27" t="s">
        <v>745</v>
      </c>
      <c r="C311" s="27" t="s">
        <v>51</v>
      </c>
      <c r="D311" s="27" t="s">
        <v>1654</v>
      </c>
      <c r="E311" s="27" t="s">
        <v>51</v>
      </c>
      <c r="F311" s="27" t="s">
        <v>63</v>
      </c>
      <c r="G311" s="27" t="s">
        <v>746</v>
      </c>
      <c r="H311" s="27" t="s">
        <v>54</v>
      </c>
      <c r="I311" s="27" t="s">
        <v>55</v>
      </c>
      <c r="J311" s="27" t="s">
        <v>89</v>
      </c>
      <c r="K311" s="27" t="s">
        <v>371</v>
      </c>
      <c r="L311" s="27" t="s">
        <v>371</v>
      </c>
      <c r="M311" s="27" t="s">
        <v>371</v>
      </c>
      <c r="N311" s="27" t="s">
        <v>371</v>
      </c>
      <c r="O311" s="27" t="s">
        <v>371</v>
      </c>
      <c r="P311" s="27"/>
      <c r="Q311" s="27" t="s">
        <v>372</v>
      </c>
      <c r="R311" s="45">
        <v>0</v>
      </c>
      <c r="S311" s="45">
        <v>0</v>
      </c>
      <c r="T311" s="45">
        <v>0</v>
      </c>
      <c r="U311" s="45">
        <v>0</v>
      </c>
      <c r="V311" s="45">
        <v>192385.12</v>
      </c>
      <c r="W311" s="45">
        <v>163577.68</v>
      </c>
      <c r="X311" s="45">
        <v>134770.23999999999</v>
      </c>
      <c r="Y311" s="45">
        <v>105962.8</v>
      </c>
      <c r="Z311" s="45">
        <v>77155.360000000001</v>
      </c>
      <c r="AA311" s="45">
        <v>48347.92</v>
      </c>
      <c r="AB311" s="45">
        <v>19540.48</v>
      </c>
      <c r="AC311" s="45">
        <v>0</v>
      </c>
      <c r="AD311" s="45">
        <v>0</v>
      </c>
      <c r="AE311" s="45">
        <v>0</v>
      </c>
      <c r="AF311" s="45">
        <v>0</v>
      </c>
      <c r="AG311" s="45">
        <v>0</v>
      </c>
      <c r="AH311" s="45"/>
      <c r="AI311" s="45"/>
      <c r="AJ311" s="45"/>
      <c r="AK311" s="45"/>
      <c r="AL311" s="45"/>
      <c r="AM311" s="45"/>
      <c r="AN311" s="45"/>
      <c r="AO311" s="45"/>
    </row>
    <row r="312" spans="2:41" outlineLevel="1" x14ac:dyDescent="0.35">
      <c r="B312" s="27" t="s">
        <v>747</v>
      </c>
      <c r="C312" s="27" t="s">
        <v>51</v>
      </c>
      <c r="D312" s="27" t="s">
        <v>1655</v>
      </c>
      <c r="E312" s="27" t="s">
        <v>51</v>
      </c>
      <c r="F312" s="27" t="s">
        <v>748</v>
      </c>
      <c r="G312" s="27" t="s">
        <v>749</v>
      </c>
      <c r="H312" s="27" t="s">
        <v>447</v>
      </c>
      <c r="I312" s="27" t="s">
        <v>440</v>
      </c>
      <c r="J312" s="27" t="s">
        <v>448</v>
      </c>
      <c r="K312" s="27" t="s">
        <v>476</v>
      </c>
      <c r="L312" s="27" t="s">
        <v>750</v>
      </c>
      <c r="M312" s="27" t="s">
        <v>750</v>
      </c>
      <c r="N312" s="27" t="s">
        <v>750</v>
      </c>
      <c r="O312" s="27" t="s">
        <v>480</v>
      </c>
      <c r="P312" s="27" t="s">
        <v>564</v>
      </c>
      <c r="Q312" s="27" t="s">
        <v>372</v>
      </c>
      <c r="R312" s="45">
        <v>0</v>
      </c>
      <c r="S312" s="45">
        <v>0</v>
      </c>
      <c r="T312" s="45">
        <v>0</v>
      </c>
      <c r="U312" s="45">
        <v>0</v>
      </c>
      <c r="V312" s="45">
        <v>1577778</v>
      </c>
      <c r="W312" s="45">
        <v>2911111</v>
      </c>
      <c r="X312" s="45">
        <v>4244444</v>
      </c>
      <c r="Y312" s="45">
        <v>5577777</v>
      </c>
      <c r="Z312" s="45">
        <v>6205290</v>
      </c>
      <c r="AA312" s="45">
        <v>7552232</v>
      </c>
      <c r="AB312" s="45">
        <v>8882426</v>
      </c>
      <c r="AC312" s="45">
        <v>0</v>
      </c>
      <c r="AD312" s="45">
        <v>1259244</v>
      </c>
      <c r="AE312" s="45">
        <v>2510372</v>
      </c>
      <c r="AF312" s="45">
        <v>0</v>
      </c>
      <c r="AG312" s="45">
        <v>0</v>
      </c>
      <c r="AH312" s="45"/>
      <c r="AI312" s="45"/>
      <c r="AJ312" s="45"/>
      <c r="AK312" s="45"/>
      <c r="AL312" s="45"/>
      <c r="AM312" s="45"/>
      <c r="AN312" s="45"/>
      <c r="AO312" s="45"/>
    </row>
    <row r="313" spans="2:41" outlineLevel="1" x14ac:dyDescent="0.35">
      <c r="B313" s="27" t="s">
        <v>751</v>
      </c>
      <c r="C313" s="27" t="s">
        <v>51</v>
      </c>
      <c r="D313" s="27" t="s">
        <v>1656</v>
      </c>
      <c r="E313" s="27" t="s">
        <v>51</v>
      </c>
      <c r="F313" s="27" t="s">
        <v>512</v>
      </c>
      <c r="G313" s="27" t="s">
        <v>752</v>
      </c>
      <c r="H313" s="27" t="s">
        <v>447</v>
      </c>
      <c r="I313" s="27" t="s">
        <v>440</v>
      </c>
      <c r="J313" s="27" t="s">
        <v>448</v>
      </c>
      <c r="K313" s="27" t="s">
        <v>476</v>
      </c>
      <c r="L313" s="27" t="s">
        <v>502</v>
      </c>
      <c r="M313" s="27" t="s">
        <v>502</v>
      </c>
      <c r="N313" s="27" t="s">
        <v>488</v>
      </c>
      <c r="O313" s="27" t="s">
        <v>480</v>
      </c>
      <c r="P313" s="27" t="s">
        <v>491</v>
      </c>
      <c r="Q313" s="27" t="s">
        <v>372</v>
      </c>
      <c r="R313" s="45">
        <v>0</v>
      </c>
      <c r="S313" s="45">
        <v>0</v>
      </c>
      <c r="T313" s="45">
        <v>0</v>
      </c>
      <c r="U313" s="45">
        <v>0</v>
      </c>
      <c r="V313" s="45">
        <v>0</v>
      </c>
      <c r="W313" s="45">
        <v>0</v>
      </c>
      <c r="X313" s="45">
        <v>0</v>
      </c>
      <c r="Y313" s="45">
        <v>0</v>
      </c>
      <c r="Z313" s="45">
        <v>0</v>
      </c>
      <c r="AA313" s="45">
        <v>0</v>
      </c>
      <c r="AB313" s="45">
        <v>0</v>
      </c>
      <c r="AC313" s="45">
        <v>0</v>
      </c>
      <c r="AD313" s="45">
        <v>0</v>
      </c>
      <c r="AE313" s="45">
        <v>0</v>
      </c>
      <c r="AF313" s="45">
        <v>0</v>
      </c>
      <c r="AG313" s="45">
        <v>0</v>
      </c>
      <c r="AH313" s="45"/>
      <c r="AI313" s="45"/>
      <c r="AJ313" s="45"/>
      <c r="AK313" s="45"/>
      <c r="AL313" s="45"/>
      <c r="AM313" s="45"/>
      <c r="AN313" s="45"/>
      <c r="AO313" s="45"/>
    </row>
    <row r="314" spans="2:41" outlineLevel="1" x14ac:dyDescent="0.35">
      <c r="B314" s="27" t="s">
        <v>753</v>
      </c>
      <c r="C314" s="27" t="s">
        <v>51</v>
      </c>
      <c r="D314" s="27" t="s">
        <v>1657</v>
      </c>
      <c r="E314" s="27" t="s">
        <v>51</v>
      </c>
      <c r="F314" s="27" t="s">
        <v>539</v>
      </c>
      <c r="G314" s="27" t="s">
        <v>754</v>
      </c>
      <c r="H314" s="27" t="s">
        <v>447</v>
      </c>
      <c r="I314" s="27" t="s">
        <v>440</v>
      </c>
      <c r="J314" s="27" t="s">
        <v>448</v>
      </c>
      <c r="K314" s="27" t="s">
        <v>476</v>
      </c>
      <c r="L314" s="27" t="s">
        <v>502</v>
      </c>
      <c r="M314" s="27" t="s">
        <v>502</v>
      </c>
      <c r="N314" s="27" t="s">
        <v>488</v>
      </c>
      <c r="O314" s="27" t="s">
        <v>480</v>
      </c>
      <c r="P314" s="27" t="s">
        <v>480</v>
      </c>
      <c r="Q314" s="27" t="s">
        <v>372</v>
      </c>
      <c r="R314" s="45">
        <v>0</v>
      </c>
      <c r="S314" s="45">
        <v>0</v>
      </c>
      <c r="T314" s="45">
        <v>0</v>
      </c>
      <c r="U314" s="45">
        <v>0</v>
      </c>
      <c r="V314" s="45">
        <v>0</v>
      </c>
      <c r="W314" s="45">
        <v>0</v>
      </c>
      <c r="X314" s="45">
        <v>0</v>
      </c>
      <c r="Y314" s="45">
        <v>0</v>
      </c>
      <c r="Z314" s="45">
        <v>0</v>
      </c>
      <c r="AA314" s="45">
        <v>0</v>
      </c>
      <c r="AB314" s="45">
        <v>0</v>
      </c>
      <c r="AC314" s="45">
        <v>-2972436.59</v>
      </c>
      <c r="AD314" s="45">
        <v>0</v>
      </c>
      <c r="AE314" s="45">
        <v>0</v>
      </c>
      <c r="AF314" s="45">
        <v>0</v>
      </c>
      <c r="AG314" s="45">
        <v>0</v>
      </c>
      <c r="AH314" s="45"/>
      <c r="AI314" s="45"/>
      <c r="AJ314" s="45"/>
      <c r="AK314" s="45"/>
      <c r="AL314" s="45"/>
      <c r="AM314" s="45"/>
      <c r="AN314" s="45"/>
      <c r="AO314" s="45"/>
    </row>
    <row r="315" spans="2:41" outlineLevel="1" x14ac:dyDescent="0.35">
      <c r="B315" s="27" t="s">
        <v>755</v>
      </c>
      <c r="C315" s="27" t="s">
        <v>51</v>
      </c>
      <c r="D315" s="27" t="s">
        <v>1658</v>
      </c>
      <c r="E315" s="27" t="s">
        <v>51</v>
      </c>
      <c r="F315" s="27" t="s">
        <v>756</v>
      </c>
      <c r="G315" s="27" t="s">
        <v>757</v>
      </c>
      <c r="H315" s="27" t="s">
        <v>447</v>
      </c>
      <c r="I315" s="27" t="s">
        <v>440</v>
      </c>
      <c r="J315" s="27" t="s">
        <v>448</v>
      </c>
      <c r="K315" s="27" t="s">
        <v>476</v>
      </c>
      <c r="L315" s="27" t="s">
        <v>502</v>
      </c>
      <c r="M315" s="27" t="s">
        <v>502</v>
      </c>
      <c r="N315" s="27" t="s">
        <v>488</v>
      </c>
      <c r="O315" s="27" t="s">
        <v>480</v>
      </c>
      <c r="P315" s="27" t="s">
        <v>480</v>
      </c>
      <c r="Q315" s="27" t="s">
        <v>372</v>
      </c>
      <c r="R315" s="45">
        <v>0</v>
      </c>
      <c r="S315" s="45">
        <v>0</v>
      </c>
      <c r="T315" s="45">
        <v>0</v>
      </c>
      <c r="U315" s="45">
        <v>0</v>
      </c>
      <c r="V315" s="45">
        <v>0</v>
      </c>
      <c r="W315" s="45">
        <v>0</v>
      </c>
      <c r="X315" s="45">
        <v>0</v>
      </c>
      <c r="Y315" s="45">
        <v>0</v>
      </c>
      <c r="Z315" s="45">
        <v>0</v>
      </c>
      <c r="AA315" s="45">
        <v>0</v>
      </c>
      <c r="AB315" s="45">
        <v>0</v>
      </c>
      <c r="AC315" s="45">
        <v>-8025579.4000000004</v>
      </c>
      <c r="AD315" s="45">
        <v>0</v>
      </c>
      <c r="AE315" s="45">
        <v>0</v>
      </c>
      <c r="AF315" s="45">
        <v>0</v>
      </c>
      <c r="AG315" s="45">
        <v>0</v>
      </c>
      <c r="AH315" s="45"/>
      <c r="AI315" s="45"/>
      <c r="AJ315" s="45"/>
      <c r="AK315" s="45"/>
      <c r="AL315" s="45"/>
      <c r="AM315" s="45"/>
      <c r="AN315" s="45"/>
      <c r="AO315" s="45"/>
    </row>
    <row r="316" spans="2:41" outlineLevel="1" x14ac:dyDescent="0.35">
      <c r="B316" s="27" t="s">
        <v>758</v>
      </c>
      <c r="C316" s="27" t="s">
        <v>51</v>
      </c>
      <c r="D316" s="27" t="s">
        <v>1659</v>
      </c>
      <c r="E316" s="27" t="s">
        <v>51</v>
      </c>
      <c r="F316" s="27" t="s">
        <v>377</v>
      </c>
      <c r="G316" s="27" t="s">
        <v>759</v>
      </c>
      <c r="H316" s="27" t="s">
        <v>54</v>
      </c>
      <c r="I316" s="27" t="s">
        <v>55</v>
      </c>
      <c r="J316" s="27" t="s">
        <v>56</v>
      </c>
      <c r="K316" s="27" t="s">
        <v>371</v>
      </c>
      <c r="L316" s="27" t="s">
        <v>371</v>
      </c>
      <c r="M316" s="27" t="s">
        <v>371</v>
      </c>
      <c r="N316" s="27" t="s">
        <v>371</v>
      </c>
      <c r="O316" s="27" t="s">
        <v>371</v>
      </c>
      <c r="P316" s="27"/>
      <c r="Q316" s="27" t="s">
        <v>372</v>
      </c>
      <c r="R316" s="45">
        <v>0</v>
      </c>
      <c r="S316" s="45">
        <v>0</v>
      </c>
      <c r="T316" s="45">
        <v>0</v>
      </c>
      <c r="U316" s="45">
        <v>0</v>
      </c>
      <c r="V316" s="45">
        <v>287144</v>
      </c>
      <c r="W316" s="45">
        <v>365556.60000000003</v>
      </c>
      <c r="X316" s="45">
        <v>433315</v>
      </c>
      <c r="Y316" s="45">
        <v>603315</v>
      </c>
      <c r="Z316" s="45">
        <v>510511.35999999999</v>
      </c>
      <c r="AA316" s="45">
        <v>156875.31</v>
      </c>
      <c r="AB316" s="45">
        <v>333632.21000000002</v>
      </c>
      <c r="AC316" s="45">
        <v>702846</v>
      </c>
      <c r="AD316" s="45">
        <v>702846</v>
      </c>
      <c r="AE316" s="45">
        <v>0</v>
      </c>
      <c r="AF316" s="45">
        <v>0</v>
      </c>
      <c r="AG316" s="45">
        <v>0</v>
      </c>
      <c r="AH316" s="45"/>
      <c r="AI316" s="45"/>
      <c r="AJ316" s="45"/>
      <c r="AK316" s="45"/>
      <c r="AL316" s="45"/>
      <c r="AM316" s="45"/>
      <c r="AN316" s="45"/>
      <c r="AO316" s="45"/>
    </row>
    <row r="317" spans="2:41" outlineLevel="1" x14ac:dyDescent="0.35">
      <c r="B317" s="27" t="s">
        <v>1312</v>
      </c>
      <c r="C317" s="27" t="s">
        <v>51</v>
      </c>
      <c r="D317" s="27" t="s">
        <v>1891</v>
      </c>
      <c r="E317" s="27" t="s">
        <v>51</v>
      </c>
      <c r="F317" s="27" t="s">
        <v>457</v>
      </c>
      <c r="G317" s="27" t="s">
        <v>1660</v>
      </c>
      <c r="H317" s="27" t="s">
        <v>447</v>
      </c>
      <c r="I317" s="27" t="s">
        <v>440</v>
      </c>
      <c r="J317" s="27" t="s">
        <v>448</v>
      </c>
      <c r="K317" s="27" t="s">
        <v>449</v>
      </c>
      <c r="L317" s="27" t="s">
        <v>760</v>
      </c>
      <c r="M317" s="27" t="s">
        <v>760</v>
      </c>
      <c r="N317" s="27" t="s">
        <v>760</v>
      </c>
      <c r="O317" s="27" t="s">
        <v>449</v>
      </c>
      <c r="P317" s="27" t="s">
        <v>449</v>
      </c>
      <c r="Q317" s="27" t="s">
        <v>372</v>
      </c>
      <c r="R317" s="45">
        <v>0</v>
      </c>
      <c r="S317" s="45">
        <v>0</v>
      </c>
      <c r="T317" s="45">
        <v>0</v>
      </c>
      <c r="U317" s="45">
        <v>0</v>
      </c>
      <c r="V317" s="45">
        <v>-247537.93</v>
      </c>
      <c r="W317" s="45">
        <v>-501976.12</v>
      </c>
      <c r="X317" s="45">
        <v>-823842.94</v>
      </c>
      <c r="Y317" s="45">
        <v>-1101604.75</v>
      </c>
      <c r="Z317" s="45">
        <v>-785891</v>
      </c>
      <c r="AA317" s="45">
        <v>-942766.31</v>
      </c>
      <c r="AB317" s="45">
        <v>-1119523.21</v>
      </c>
      <c r="AC317" s="45">
        <v>-1488737</v>
      </c>
      <c r="AD317" s="45">
        <v>-271072.40999999997</v>
      </c>
      <c r="AE317" s="45">
        <v>-436400.86</v>
      </c>
      <c r="AF317" s="45">
        <v>-714443.68</v>
      </c>
      <c r="AG317" s="45">
        <v>-1102580.3999999999</v>
      </c>
      <c r="AH317" s="45"/>
      <c r="AI317" s="45"/>
      <c r="AJ317" s="45"/>
      <c r="AK317" s="45"/>
      <c r="AL317" s="45"/>
      <c r="AM317" s="45"/>
      <c r="AN317" s="45"/>
      <c r="AO317" s="45"/>
    </row>
    <row r="318" spans="2:41" outlineLevel="1" x14ac:dyDescent="0.35">
      <c r="B318" s="27" t="s">
        <v>1313</v>
      </c>
      <c r="C318" s="27" t="s">
        <v>51</v>
      </c>
      <c r="D318" s="27" t="s">
        <v>1892</v>
      </c>
      <c r="E318" s="27" t="s">
        <v>51</v>
      </c>
      <c r="F318" s="27" t="s">
        <v>457</v>
      </c>
      <c r="G318" s="27" t="s">
        <v>1661</v>
      </c>
      <c r="H318" s="27" t="s">
        <v>447</v>
      </c>
      <c r="I318" s="27" t="s">
        <v>440</v>
      </c>
      <c r="J318" s="27" t="s">
        <v>448</v>
      </c>
      <c r="K318" s="27" t="s">
        <v>449</v>
      </c>
      <c r="L318" s="27" t="s">
        <v>734</v>
      </c>
      <c r="M318" s="27" t="s">
        <v>734</v>
      </c>
      <c r="N318" s="27" t="s">
        <v>734</v>
      </c>
      <c r="O318" s="27" t="s">
        <v>449</v>
      </c>
      <c r="P318" s="27" t="s">
        <v>449</v>
      </c>
      <c r="Q318" s="27" t="s">
        <v>372</v>
      </c>
      <c r="R318" s="45">
        <v>0</v>
      </c>
      <c r="S318" s="45">
        <v>0</v>
      </c>
      <c r="T318" s="45">
        <v>0</v>
      </c>
      <c r="U318" s="45">
        <v>-736413</v>
      </c>
      <c r="V318" s="45">
        <v>-1899494.0217583401</v>
      </c>
      <c r="W318" s="45">
        <v>-3166186.45344831</v>
      </c>
      <c r="X318" s="45">
        <v>-4439364.2972413404</v>
      </c>
      <c r="Y318" s="45">
        <v>-5453045.96</v>
      </c>
      <c r="Z318" s="45">
        <v>-7288670.5300000003</v>
      </c>
      <c r="AA318" s="45">
        <v>-8805677.4199999999</v>
      </c>
      <c r="AB318" s="45">
        <v>-10026352.359999999</v>
      </c>
      <c r="AC318" s="45">
        <v>-11586178.25</v>
      </c>
      <c r="AD318" s="45">
        <v>-691727.81</v>
      </c>
      <c r="AE318" s="45">
        <v>-1658081.08</v>
      </c>
      <c r="AF318" s="45">
        <v>-3774321.88</v>
      </c>
      <c r="AG318" s="45">
        <v>-5779337.4199999999</v>
      </c>
      <c r="AH318" s="45"/>
      <c r="AI318" s="45"/>
      <c r="AJ318" s="45"/>
      <c r="AK318" s="45"/>
      <c r="AL318" s="45"/>
      <c r="AM318" s="45"/>
      <c r="AN318" s="45"/>
      <c r="AO318" s="45"/>
    </row>
    <row r="319" spans="2:41" outlineLevel="1" x14ac:dyDescent="0.35">
      <c r="B319" s="27" t="s">
        <v>761</v>
      </c>
      <c r="C319" s="27" t="s">
        <v>51</v>
      </c>
      <c r="D319" s="27" t="s">
        <v>1662</v>
      </c>
      <c r="E319" s="27" t="s">
        <v>51</v>
      </c>
      <c r="F319" s="27" t="s">
        <v>501</v>
      </c>
      <c r="G319" s="27" t="s">
        <v>762</v>
      </c>
      <c r="H319" s="27" t="s">
        <v>447</v>
      </c>
      <c r="I319" s="27" t="s">
        <v>440</v>
      </c>
      <c r="J319" s="27" t="s">
        <v>448</v>
      </c>
      <c r="K319" s="27" t="s">
        <v>491</v>
      </c>
      <c r="L319" s="27" t="s">
        <v>594</v>
      </c>
      <c r="M319" s="27" t="s">
        <v>594</v>
      </c>
      <c r="N319" s="27" t="s">
        <v>494</v>
      </c>
      <c r="O319" s="27" t="s">
        <v>491</v>
      </c>
      <c r="P319" s="27" t="s">
        <v>480</v>
      </c>
      <c r="Q319" s="27" t="s">
        <v>372</v>
      </c>
      <c r="R319" s="45">
        <v>0</v>
      </c>
      <c r="S319" s="45">
        <v>0</v>
      </c>
      <c r="T319" s="45">
        <v>0</v>
      </c>
      <c r="U319" s="45">
        <v>0</v>
      </c>
      <c r="V319" s="45">
        <v>0</v>
      </c>
      <c r="W319" s="45">
        <v>0</v>
      </c>
      <c r="X319" s="45">
        <v>0</v>
      </c>
      <c r="Y319" s="45">
        <v>0</v>
      </c>
      <c r="Z319" s="45">
        <v>0</v>
      </c>
      <c r="AA319" s="45">
        <v>0</v>
      </c>
      <c r="AB319" s="45">
        <v>0</v>
      </c>
      <c r="AC319" s="45">
        <v>0</v>
      </c>
      <c r="AD319" s="45">
        <v>0</v>
      </c>
      <c r="AE319" s="45">
        <v>0</v>
      </c>
      <c r="AF319" s="45">
        <v>0</v>
      </c>
      <c r="AG319" s="45">
        <v>0</v>
      </c>
      <c r="AH319" s="45"/>
      <c r="AI319" s="45"/>
      <c r="AJ319" s="45"/>
      <c r="AK319" s="45"/>
      <c r="AL319" s="45"/>
      <c r="AM319" s="45"/>
      <c r="AN319" s="45"/>
      <c r="AO319" s="45"/>
    </row>
    <row r="320" spans="2:41" outlineLevel="1" x14ac:dyDescent="0.35">
      <c r="B320" s="27" t="s">
        <v>763</v>
      </c>
      <c r="C320" s="27" t="s">
        <v>51</v>
      </c>
      <c r="D320" s="27" t="s">
        <v>1663</v>
      </c>
      <c r="E320" s="27" t="s">
        <v>51</v>
      </c>
      <c r="F320" s="27" t="s">
        <v>63</v>
      </c>
      <c r="G320" s="27" t="s">
        <v>764</v>
      </c>
      <c r="H320" s="27" t="s">
        <v>54</v>
      </c>
      <c r="I320" s="27" t="s">
        <v>55</v>
      </c>
      <c r="J320" s="27" t="s">
        <v>89</v>
      </c>
      <c r="K320" s="27" t="s">
        <v>371</v>
      </c>
      <c r="L320" s="27" t="s">
        <v>371</v>
      </c>
      <c r="M320" s="27" t="s">
        <v>371</v>
      </c>
      <c r="N320" s="27" t="s">
        <v>371</v>
      </c>
      <c r="O320" s="27" t="s">
        <v>371</v>
      </c>
      <c r="P320" s="27" t="s">
        <v>371</v>
      </c>
      <c r="Q320" s="27" t="s">
        <v>372</v>
      </c>
      <c r="R320" s="45">
        <v>0</v>
      </c>
      <c r="S320" s="45">
        <v>0</v>
      </c>
      <c r="T320" s="45">
        <v>0</v>
      </c>
      <c r="U320" s="45">
        <v>0</v>
      </c>
      <c r="V320" s="45">
        <v>0</v>
      </c>
      <c r="W320" s="45">
        <v>24168.84</v>
      </c>
      <c r="X320" s="45">
        <v>0</v>
      </c>
      <c r="Y320" s="45">
        <v>0</v>
      </c>
      <c r="Z320" s="45">
        <v>0</v>
      </c>
      <c r="AA320" s="45">
        <v>0</v>
      </c>
      <c r="AB320" s="45">
        <v>0</v>
      </c>
      <c r="AC320" s="45">
        <v>0</v>
      </c>
      <c r="AD320" s="45">
        <v>0</v>
      </c>
      <c r="AE320" s="45">
        <v>0</v>
      </c>
      <c r="AF320" s="45">
        <v>0</v>
      </c>
      <c r="AG320" s="45">
        <v>0</v>
      </c>
      <c r="AH320" s="45"/>
      <c r="AI320" s="45"/>
      <c r="AJ320" s="45"/>
      <c r="AK320" s="45"/>
      <c r="AL320" s="45"/>
      <c r="AM320" s="45"/>
      <c r="AN320" s="45"/>
      <c r="AO320" s="45"/>
    </row>
    <row r="321" spans="2:41" outlineLevel="1" x14ac:dyDescent="0.35">
      <c r="B321" s="27" t="s">
        <v>765</v>
      </c>
      <c r="C321" s="27" t="s">
        <v>51</v>
      </c>
      <c r="D321" s="27" t="s">
        <v>1664</v>
      </c>
      <c r="E321" s="27" t="s">
        <v>51</v>
      </c>
      <c r="F321" s="27" t="s">
        <v>85</v>
      </c>
      <c r="G321" s="27" t="s">
        <v>766</v>
      </c>
      <c r="H321" s="27" t="s">
        <v>54</v>
      </c>
      <c r="I321" s="27" t="s">
        <v>55</v>
      </c>
      <c r="J321" s="27" t="s">
        <v>101</v>
      </c>
      <c r="K321" s="27" t="s">
        <v>371</v>
      </c>
      <c r="L321" s="27" t="s">
        <v>371</v>
      </c>
      <c r="M321" s="27" t="s">
        <v>371</v>
      </c>
      <c r="N321" s="27" t="s">
        <v>371</v>
      </c>
      <c r="O321" s="27" t="s">
        <v>371</v>
      </c>
      <c r="P321" s="27" t="s">
        <v>371</v>
      </c>
      <c r="Q321" s="27" t="s">
        <v>372</v>
      </c>
      <c r="R321" s="45">
        <v>0</v>
      </c>
      <c r="S321" s="45">
        <v>0</v>
      </c>
      <c r="T321" s="45">
        <v>0</v>
      </c>
      <c r="U321" s="45">
        <v>0</v>
      </c>
      <c r="V321" s="45">
        <v>0</v>
      </c>
      <c r="W321" s="45">
        <v>625000</v>
      </c>
      <c r="X321" s="45">
        <v>500000</v>
      </c>
      <c r="Y321" s="45">
        <v>375000</v>
      </c>
      <c r="Z321" s="45">
        <v>250000</v>
      </c>
      <c r="AA321" s="45">
        <v>125000</v>
      </c>
      <c r="AB321" s="45">
        <v>0</v>
      </c>
      <c r="AC321" s="45">
        <v>0</v>
      </c>
      <c r="AD321" s="45">
        <v>0</v>
      </c>
      <c r="AE321" s="45">
        <v>0</v>
      </c>
      <c r="AF321" s="45">
        <v>0</v>
      </c>
      <c r="AG321" s="45">
        <v>0</v>
      </c>
      <c r="AH321" s="45"/>
      <c r="AI321" s="45"/>
      <c r="AJ321" s="45"/>
      <c r="AK321" s="45"/>
      <c r="AL321" s="45"/>
      <c r="AM321" s="45"/>
      <c r="AN321" s="45"/>
      <c r="AO321" s="45"/>
    </row>
    <row r="322" spans="2:41" outlineLevel="1" x14ac:dyDescent="0.35">
      <c r="B322" s="27" t="s">
        <v>767</v>
      </c>
      <c r="C322" s="27" t="s">
        <v>51</v>
      </c>
      <c r="D322" s="27" t="s">
        <v>1665</v>
      </c>
      <c r="E322" s="27" t="s">
        <v>51</v>
      </c>
      <c r="F322" s="27" t="s">
        <v>109</v>
      </c>
      <c r="G322" s="27" t="s">
        <v>768</v>
      </c>
      <c r="H322" s="27" t="s">
        <v>54</v>
      </c>
      <c r="I322" s="27" t="s">
        <v>55</v>
      </c>
      <c r="J322" s="27" t="s">
        <v>101</v>
      </c>
      <c r="K322" s="27" t="s">
        <v>371</v>
      </c>
      <c r="L322" s="27" t="s">
        <v>371</v>
      </c>
      <c r="M322" s="27" t="s">
        <v>371</v>
      </c>
      <c r="N322" s="27" t="s">
        <v>371</v>
      </c>
      <c r="O322" s="27" t="s">
        <v>371</v>
      </c>
      <c r="P322" s="27" t="s">
        <v>371</v>
      </c>
      <c r="Q322" s="27" t="s">
        <v>372</v>
      </c>
      <c r="R322" s="45">
        <v>0</v>
      </c>
      <c r="S322" s="45">
        <v>0</v>
      </c>
      <c r="T322" s="45">
        <v>0</v>
      </c>
      <c r="U322" s="45">
        <v>0</v>
      </c>
      <c r="V322" s="45">
        <v>0</v>
      </c>
      <c r="W322" s="45">
        <v>480000</v>
      </c>
      <c r="X322" s="45">
        <v>480000</v>
      </c>
      <c r="Y322" s="45">
        <v>480000</v>
      </c>
      <c r="Z322" s="45">
        <v>480000</v>
      </c>
      <c r="AA322" s="45">
        <v>480000</v>
      </c>
      <c r="AB322" s="45">
        <v>480000</v>
      </c>
      <c r="AC322" s="45">
        <v>0</v>
      </c>
      <c r="AD322" s="45">
        <v>480000</v>
      </c>
      <c r="AE322" s="45">
        <v>480000</v>
      </c>
      <c r="AF322" s="45">
        <v>0</v>
      </c>
      <c r="AG322" s="45">
        <v>0</v>
      </c>
      <c r="AH322" s="45"/>
      <c r="AI322" s="45"/>
      <c r="AJ322" s="45"/>
      <c r="AK322" s="45"/>
      <c r="AL322" s="45"/>
      <c r="AM322" s="45"/>
      <c r="AN322" s="45"/>
      <c r="AO322" s="45"/>
    </row>
    <row r="323" spans="2:41" outlineLevel="1" x14ac:dyDescent="0.35">
      <c r="B323" s="27" t="s">
        <v>769</v>
      </c>
      <c r="C323" s="27" t="s">
        <v>51</v>
      </c>
      <c r="D323" s="27" t="s">
        <v>1666</v>
      </c>
      <c r="E323" s="27" t="s">
        <v>51</v>
      </c>
      <c r="F323" s="27" t="s">
        <v>109</v>
      </c>
      <c r="G323" s="27" t="s">
        <v>770</v>
      </c>
      <c r="H323" s="27" t="s">
        <v>54</v>
      </c>
      <c r="I323" s="27" t="s">
        <v>55</v>
      </c>
      <c r="J323" s="27" t="s">
        <v>101</v>
      </c>
      <c r="K323" s="27" t="s">
        <v>371</v>
      </c>
      <c r="L323" s="27" t="s">
        <v>371</v>
      </c>
      <c r="M323" s="27" t="s">
        <v>371</v>
      </c>
      <c r="N323" s="27" t="s">
        <v>371</v>
      </c>
      <c r="O323" s="27" t="s">
        <v>371</v>
      </c>
      <c r="P323" s="27" t="s">
        <v>371</v>
      </c>
      <c r="Q323" s="27" t="s">
        <v>372</v>
      </c>
      <c r="R323" s="45">
        <v>0</v>
      </c>
      <c r="S323" s="45">
        <v>0</v>
      </c>
      <c r="T323" s="45">
        <v>0</v>
      </c>
      <c r="U323" s="45">
        <v>0</v>
      </c>
      <c r="V323" s="45">
        <v>0</v>
      </c>
      <c r="W323" s="45">
        <v>619899.16</v>
      </c>
      <c r="X323" s="45">
        <v>619899.16</v>
      </c>
      <c r="Y323" s="45">
        <v>619899.16</v>
      </c>
      <c r="Z323" s="45">
        <v>619899.16</v>
      </c>
      <c r="AA323" s="45">
        <v>619899.16</v>
      </c>
      <c r="AB323" s="45">
        <v>619899.16</v>
      </c>
      <c r="AC323" s="45">
        <v>0</v>
      </c>
      <c r="AD323" s="45">
        <v>619899.16</v>
      </c>
      <c r="AE323" s="45">
        <v>619899.16</v>
      </c>
      <c r="AF323" s="45">
        <v>0</v>
      </c>
      <c r="AG323" s="45">
        <v>0</v>
      </c>
      <c r="AH323" s="45"/>
      <c r="AI323" s="45"/>
      <c r="AJ323" s="45"/>
      <c r="AK323" s="45"/>
      <c r="AL323" s="45"/>
      <c r="AM323" s="45"/>
      <c r="AN323" s="45"/>
      <c r="AO323" s="45"/>
    </row>
    <row r="324" spans="2:41" outlineLevel="1" x14ac:dyDescent="0.35">
      <c r="B324" s="27" t="s">
        <v>771</v>
      </c>
      <c r="C324" s="27" t="s">
        <v>51</v>
      </c>
      <c r="D324" s="27" t="s">
        <v>1667</v>
      </c>
      <c r="E324" s="27" t="s">
        <v>51</v>
      </c>
      <c r="F324" s="27" t="s">
        <v>109</v>
      </c>
      <c r="G324" s="27" t="s">
        <v>772</v>
      </c>
      <c r="H324" s="27" t="s">
        <v>54</v>
      </c>
      <c r="I324" s="27" t="s">
        <v>55</v>
      </c>
      <c r="J324" s="27" t="s">
        <v>101</v>
      </c>
      <c r="K324" s="27" t="s">
        <v>371</v>
      </c>
      <c r="L324" s="27" t="s">
        <v>371</v>
      </c>
      <c r="M324" s="27" t="s">
        <v>371</v>
      </c>
      <c r="N324" s="27" t="s">
        <v>371</v>
      </c>
      <c r="O324" s="27" t="s">
        <v>371</v>
      </c>
      <c r="P324" s="27" t="s">
        <v>371</v>
      </c>
      <c r="Q324" s="27" t="s">
        <v>372</v>
      </c>
      <c r="R324" s="45">
        <v>0</v>
      </c>
      <c r="S324" s="45">
        <v>0</v>
      </c>
      <c r="T324" s="45">
        <v>0</v>
      </c>
      <c r="U324" s="45">
        <v>0</v>
      </c>
      <c r="V324" s="45">
        <v>0</v>
      </c>
      <c r="W324" s="45">
        <v>154974.78</v>
      </c>
      <c r="X324" s="45">
        <v>154974.78</v>
      </c>
      <c r="Y324" s="45">
        <v>154974.78</v>
      </c>
      <c r="Z324" s="45">
        <v>154974.78</v>
      </c>
      <c r="AA324" s="45">
        <v>154974.78</v>
      </c>
      <c r="AB324" s="45">
        <v>154974.78</v>
      </c>
      <c r="AC324" s="45">
        <v>0</v>
      </c>
      <c r="AD324" s="45">
        <v>154974.78</v>
      </c>
      <c r="AE324" s="45">
        <v>154974.78</v>
      </c>
      <c r="AF324" s="45">
        <v>0</v>
      </c>
      <c r="AG324" s="45">
        <v>0</v>
      </c>
      <c r="AH324" s="45"/>
      <c r="AI324" s="45"/>
      <c r="AJ324" s="45"/>
      <c r="AK324" s="45"/>
      <c r="AL324" s="45"/>
      <c r="AM324" s="45"/>
      <c r="AN324" s="45"/>
      <c r="AO324" s="45"/>
    </row>
    <row r="325" spans="2:41" outlineLevel="1" x14ac:dyDescent="0.35">
      <c r="B325" s="27" t="s">
        <v>773</v>
      </c>
      <c r="C325" s="27" t="s">
        <v>51</v>
      </c>
      <c r="D325" s="27" t="s">
        <v>1668</v>
      </c>
      <c r="E325" s="27" t="s">
        <v>51</v>
      </c>
      <c r="F325" s="27" t="s">
        <v>195</v>
      </c>
      <c r="G325" s="27" t="s">
        <v>774</v>
      </c>
      <c r="H325" s="27" t="s">
        <v>54</v>
      </c>
      <c r="I325" s="27" t="s">
        <v>142</v>
      </c>
      <c r="J325" s="27" t="s">
        <v>197</v>
      </c>
      <c r="K325" s="27" t="s">
        <v>371</v>
      </c>
      <c r="L325" s="27" t="s">
        <v>371</v>
      </c>
      <c r="M325" s="27" t="s">
        <v>371</v>
      </c>
      <c r="N325" s="27" t="s">
        <v>371</v>
      </c>
      <c r="O325" s="27" t="s">
        <v>371</v>
      </c>
      <c r="P325" s="27" t="s">
        <v>371</v>
      </c>
      <c r="Q325" s="27" t="s">
        <v>372</v>
      </c>
      <c r="R325" s="45">
        <v>0</v>
      </c>
      <c r="S325" s="45">
        <v>0</v>
      </c>
      <c r="T325" s="45">
        <v>0</v>
      </c>
      <c r="U325" s="45">
        <v>0</v>
      </c>
      <c r="V325" s="45">
        <v>0</v>
      </c>
      <c r="W325" s="45">
        <v>-110797.4</v>
      </c>
      <c r="X325" s="45">
        <v>0</v>
      </c>
      <c r="Y325" s="45">
        <v>0</v>
      </c>
      <c r="Z325" s="45">
        <v>0</v>
      </c>
      <c r="AA325" s="45">
        <v>0</v>
      </c>
      <c r="AB325" s="45">
        <v>0</v>
      </c>
      <c r="AC325" s="45">
        <v>0</v>
      </c>
      <c r="AD325" s="45">
        <v>0</v>
      </c>
      <c r="AE325" s="45">
        <v>0</v>
      </c>
      <c r="AF325" s="45">
        <v>0</v>
      </c>
      <c r="AG325" s="45">
        <v>0</v>
      </c>
      <c r="AH325" s="45"/>
      <c r="AI325" s="45"/>
      <c r="AJ325" s="45"/>
      <c r="AK325" s="45"/>
      <c r="AL325" s="45"/>
      <c r="AM325" s="45"/>
      <c r="AN325" s="45"/>
      <c r="AO325" s="45"/>
    </row>
    <row r="326" spans="2:41" outlineLevel="1" x14ac:dyDescent="0.35">
      <c r="B326" s="27" t="s">
        <v>775</v>
      </c>
      <c r="C326" s="27" t="s">
        <v>51</v>
      </c>
      <c r="D326" s="27" t="s">
        <v>1669</v>
      </c>
      <c r="E326" s="27" t="s">
        <v>51</v>
      </c>
      <c r="F326" s="27" t="s">
        <v>195</v>
      </c>
      <c r="G326" s="27" t="s">
        <v>776</v>
      </c>
      <c r="H326" s="27" t="s">
        <v>54</v>
      </c>
      <c r="I326" s="27" t="s">
        <v>142</v>
      </c>
      <c r="J326" s="27" t="s">
        <v>197</v>
      </c>
      <c r="K326" s="27" t="s">
        <v>371</v>
      </c>
      <c r="L326" s="27" t="s">
        <v>371</v>
      </c>
      <c r="M326" s="27" t="s">
        <v>371</v>
      </c>
      <c r="N326" s="27" t="s">
        <v>371</v>
      </c>
      <c r="O326" s="27" t="s">
        <v>371</v>
      </c>
      <c r="P326" s="27" t="s">
        <v>371</v>
      </c>
      <c r="Q326" s="27" t="s">
        <v>372</v>
      </c>
      <c r="R326" s="45">
        <v>0</v>
      </c>
      <c r="S326" s="45">
        <v>0</v>
      </c>
      <c r="T326" s="45">
        <v>0</v>
      </c>
      <c r="U326" s="45">
        <v>0</v>
      </c>
      <c r="V326" s="45">
        <v>0</v>
      </c>
      <c r="W326" s="45">
        <v>-232000</v>
      </c>
      <c r="X326" s="45">
        <v>0</v>
      </c>
      <c r="Y326" s="45">
        <v>0</v>
      </c>
      <c r="Z326" s="45">
        <v>0</v>
      </c>
      <c r="AA326" s="45">
        <v>0</v>
      </c>
      <c r="AB326" s="45">
        <v>0</v>
      </c>
      <c r="AC326" s="45">
        <v>0</v>
      </c>
      <c r="AD326" s="45">
        <v>0</v>
      </c>
      <c r="AE326" s="45">
        <v>0</v>
      </c>
      <c r="AF326" s="45">
        <v>0</v>
      </c>
      <c r="AG326" s="45">
        <v>0</v>
      </c>
      <c r="AH326" s="45"/>
      <c r="AI326" s="45"/>
      <c r="AJ326" s="45"/>
      <c r="AK326" s="45"/>
      <c r="AL326" s="45"/>
      <c r="AM326" s="45"/>
      <c r="AN326" s="45"/>
      <c r="AO326" s="45"/>
    </row>
    <row r="327" spans="2:41" outlineLevel="1" x14ac:dyDescent="0.35">
      <c r="B327" s="27" t="s">
        <v>777</v>
      </c>
      <c r="C327" s="27" t="s">
        <v>51</v>
      </c>
      <c r="D327" s="27" t="s">
        <v>1670</v>
      </c>
      <c r="E327" s="27" t="s">
        <v>51</v>
      </c>
      <c r="F327" s="27" t="s">
        <v>195</v>
      </c>
      <c r="G327" s="27" t="s">
        <v>778</v>
      </c>
      <c r="H327" s="27" t="s">
        <v>54</v>
      </c>
      <c r="I327" s="27" t="s">
        <v>142</v>
      </c>
      <c r="J327" s="27" t="s">
        <v>197</v>
      </c>
      <c r="K327" s="27" t="s">
        <v>371</v>
      </c>
      <c r="L327" s="27" t="s">
        <v>371</v>
      </c>
      <c r="M327" s="27" t="s">
        <v>371</v>
      </c>
      <c r="N327" s="27" t="s">
        <v>371</v>
      </c>
      <c r="O327" s="27" t="s">
        <v>371</v>
      </c>
      <c r="P327" s="27" t="s">
        <v>371</v>
      </c>
      <c r="Q327" s="27" t="s">
        <v>372</v>
      </c>
      <c r="R327" s="45">
        <v>0</v>
      </c>
      <c r="S327" s="45">
        <v>0</v>
      </c>
      <c r="T327" s="45">
        <v>0</v>
      </c>
      <c r="U327" s="45">
        <v>0</v>
      </c>
      <c r="V327" s="45">
        <v>0</v>
      </c>
      <c r="W327" s="45">
        <v>-742400</v>
      </c>
      <c r="X327" s="45">
        <v>0</v>
      </c>
      <c r="Y327" s="45">
        <v>0</v>
      </c>
      <c r="Z327" s="45">
        <v>0</v>
      </c>
      <c r="AA327" s="45">
        <v>0</v>
      </c>
      <c r="AB327" s="45">
        <v>0</v>
      </c>
      <c r="AC327" s="45">
        <v>0</v>
      </c>
      <c r="AD327" s="45">
        <v>0</v>
      </c>
      <c r="AE327" s="45">
        <v>0</v>
      </c>
      <c r="AF327" s="45">
        <v>0</v>
      </c>
      <c r="AG327" s="45">
        <v>0</v>
      </c>
      <c r="AH327" s="45"/>
      <c r="AI327" s="45"/>
      <c r="AJ327" s="45"/>
      <c r="AK327" s="45"/>
      <c r="AL327" s="45"/>
      <c r="AM327" s="45"/>
      <c r="AN327" s="45"/>
      <c r="AO327" s="45"/>
    </row>
    <row r="328" spans="2:41" outlineLevel="1" x14ac:dyDescent="0.35">
      <c r="B328" s="27" t="s">
        <v>779</v>
      </c>
      <c r="C328" s="27" t="s">
        <v>51</v>
      </c>
      <c r="D328" s="27" t="s">
        <v>1671</v>
      </c>
      <c r="E328" s="27" t="s">
        <v>51</v>
      </c>
      <c r="F328" s="27" t="s">
        <v>587</v>
      </c>
      <c r="G328" s="27" t="s">
        <v>62</v>
      </c>
      <c r="H328" s="27" t="s">
        <v>54</v>
      </c>
      <c r="I328" s="27" t="s">
        <v>142</v>
      </c>
      <c r="J328" s="27" t="s">
        <v>197</v>
      </c>
      <c r="K328" s="27" t="s">
        <v>371</v>
      </c>
      <c r="L328" s="27" t="s">
        <v>371</v>
      </c>
      <c r="M328" s="27" t="s">
        <v>371</v>
      </c>
      <c r="N328" s="27" t="s">
        <v>371</v>
      </c>
      <c r="O328" s="27" t="s">
        <v>371</v>
      </c>
      <c r="P328" s="27" t="s">
        <v>371</v>
      </c>
      <c r="Q328" s="27" t="s">
        <v>372</v>
      </c>
      <c r="R328" s="45">
        <v>0</v>
      </c>
      <c r="S328" s="45">
        <v>0</v>
      </c>
      <c r="T328" s="45">
        <v>0</v>
      </c>
      <c r="U328" s="45">
        <v>0</v>
      </c>
      <c r="V328" s="45">
        <v>0</v>
      </c>
      <c r="W328" s="45">
        <v>0</v>
      </c>
      <c r="X328" s="45">
        <v>0</v>
      </c>
      <c r="Y328" s="45">
        <v>0</v>
      </c>
      <c r="Z328" s="45">
        <v>0</v>
      </c>
      <c r="AA328" s="45">
        <v>0</v>
      </c>
      <c r="AB328" s="45">
        <v>0</v>
      </c>
      <c r="AC328" s="45">
        <v>0</v>
      </c>
      <c r="AD328" s="45">
        <v>0</v>
      </c>
      <c r="AE328" s="45">
        <v>0</v>
      </c>
      <c r="AF328" s="45">
        <v>0</v>
      </c>
      <c r="AG328" s="45">
        <v>0</v>
      </c>
      <c r="AH328" s="45"/>
      <c r="AI328" s="45"/>
      <c r="AJ328" s="45"/>
      <c r="AK328" s="45"/>
      <c r="AL328" s="45"/>
      <c r="AM328" s="45"/>
      <c r="AN328" s="45"/>
      <c r="AO328" s="45"/>
    </row>
    <row r="329" spans="2:41" outlineLevel="1" x14ac:dyDescent="0.35">
      <c r="B329" s="27" t="s">
        <v>1314</v>
      </c>
      <c r="C329" s="27" t="s">
        <v>51</v>
      </c>
      <c r="D329" s="27" t="s">
        <v>1893</v>
      </c>
      <c r="E329" s="27" t="s">
        <v>51</v>
      </c>
      <c r="F329" s="27" t="s">
        <v>780</v>
      </c>
      <c r="G329" s="27" t="s">
        <v>1672</v>
      </c>
      <c r="H329" s="27" t="s">
        <v>54</v>
      </c>
      <c r="I329" s="27" t="s">
        <v>142</v>
      </c>
      <c r="J329" s="27" t="s">
        <v>781</v>
      </c>
      <c r="K329" s="27" t="s">
        <v>371</v>
      </c>
      <c r="L329" s="27" t="s">
        <v>371</v>
      </c>
      <c r="M329" s="27" t="s">
        <v>371</v>
      </c>
      <c r="N329" s="27" t="s">
        <v>371</v>
      </c>
      <c r="O329" s="27" t="s">
        <v>371</v>
      </c>
      <c r="P329" s="27" t="s">
        <v>371</v>
      </c>
      <c r="Q329" s="27" t="s">
        <v>372</v>
      </c>
      <c r="R329" s="45">
        <v>0</v>
      </c>
      <c r="S329" s="45">
        <v>0</v>
      </c>
      <c r="T329" s="45">
        <v>0</v>
      </c>
      <c r="U329" s="45">
        <v>0</v>
      </c>
      <c r="V329" s="45">
        <v>0</v>
      </c>
      <c r="W329" s="45">
        <v>-115000000</v>
      </c>
      <c r="X329" s="45">
        <v>-115000000</v>
      </c>
      <c r="Y329" s="45">
        <v>-115000000</v>
      </c>
      <c r="Z329" s="45">
        <v>-115000000</v>
      </c>
      <c r="AA329" s="45">
        <v>-115000000</v>
      </c>
      <c r="AB329" s="45">
        <v>-115000000</v>
      </c>
      <c r="AC329" s="45">
        <v>-115000000</v>
      </c>
      <c r="AD329" s="45">
        <v>-115000000</v>
      </c>
      <c r="AE329" s="45">
        <v>-115000000</v>
      </c>
      <c r="AF329" s="45">
        <v>-115000000</v>
      </c>
      <c r="AG329" s="45">
        <v>-115000000</v>
      </c>
      <c r="AH329" s="45"/>
      <c r="AI329" s="45"/>
      <c r="AJ329" s="45"/>
      <c r="AK329" s="45"/>
      <c r="AL329" s="45"/>
      <c r="AM329" s="45"/>
      <c r="AN329" s="45"/>
      <c r="AO329" s="45"/>
    </row>
    <row r="330" spans="2:41" outlineLevel="1" x14ac:dyDescent="0.35">
      <c r="B330" s="27" t="s">
        <v>1315</v>
      </c>
      <c r="C330" s="27" t="s">
        <v>51</v>
      </c>
      <c r="D330" s="27" t="s">
        <v>1894</v>
      </c>
      <c r="E330" s="27" t="s">
        <v>51</v>
      </c>
      <c r="F330" s="27" t="s">
        <v>780</v>
      </c>
      <c r="G330" s="27" t="s">
        <v>1673</v>
      </c>
      <c r="H330" s="27" t="s">
        <v>54</v>
      </c>
      <c r="I330" s="27" t="s">
        <v>142</v>
      </c>
      <c r="J330" s="27" t="s">
        <v>781</v>
      </c>
      <c r="K330" s="27" t="s">
        <v>371</v>
      </c>
      <c r="L330" s="27" t="s">
        <v>371</v>
      </c>
      <c r="M330" s="27" t="s">
        <v>371</v>
      </c>
      <c r="N330" s="27" t="s">
        <v>371</v>
      </c>
      <c r="O330" s="27" t="s">
        <v>371</v>
      </c>
      <c r="P330" s="27" t="s">
        <v>371</v>
      </c>
      <c r="Q330" s="27" t="s">
        <v>372</v>
      </c>
      <c r="R330" s="45">
        <v>0</v>
      </c>
      <c r="S330" s="45">
        <v>0</v>
      </c>
      <c r="T330" s="45">
        <v>0</v>
      </c>
      <c r="U330" s="45">
        <v>0</v>
      </c>
      <c r="V330" s="45">
        <v>0</v>
      </c>
      <c r="W330" s="45">
        <v>16976450</v>
      </c>
      <c r="X330" s="45">
        <v>16829530.199999999</v>
      </c>
      <c r="Y330" s="45">
        <v>16627610.4</v>
      </c>
      <c r="Z330" s="45">
        <v>16425690.6</v>
      </c>
      <c r="AA330" s="45">
        <v>16223770.800000001</v>
      </c>
      <c r="AB330" s="45">
        <v>16021851</v>
      </c>
      <c r="AC330" s="45">
        <v>15454906</v>
      </c>
      <c r="AD330" s="45">
        <v>15618011.4</v>
      </c>
      <c r="AE330" s="45">
        <v>15416091.6</v>
      </c>
      <c r="AF330" s="45">
        <v>14849146.6</v>
      </c>
      <c r="AG330" s="45">
        <v>14647226.800000001</v>
      </c>
      <c r="AH330" s="45"/>
      <c r="AI330" s="45"/>
      <c r="AJ330" s="45"/>
      <c r="AK330" s="45"/>
      <c r="AL330" s="45"/>
      <c r="AM330" s="45"/>
      <c r="AN330" s="45"/>
      <c r="AO330" s="45"/>
    </row>
    <row r="331" spans="2:41" outlineLevel="1" x14ac:dyDescent="0.35">
      <c r="B331" s="27" t="s">
        <v>782</v>
      </c>
      <c r="C331" s="27" t="s">
        <v>51</v>
      </c>
      <c r="D331" s="27" t="s">
        <v>1674</v>
      </c>
      <c r="E331" s="27" t="s">
        <v>51</v>
      </c>
      <c r="F331" s="27" t="s">
        <v>501</v>
      </c>
      <c r="G331" s="27" t="s">
        <v>783</v>
      </c>
      <c r="H331" s="27" t="s">
        <v>447</v>
      </c>
      <c r="I331" s="27" t="s">
        <v>440</v>
      </c>
      <c r="J331" s="27" t="s">
        <v>448</v>
      </c>
      <c r="K331" s="27" t="s">
        <v>491</v>
      </c>
      <c r="L331" s="27" t="s">
        <v>492</v>
      </c>
      <c r="M331" s="27" t="s">
        <v>513</v>
      </c>
      <c r="N331" s="27" t="s">
        <v>494</v>
      </c>
      <c r="O331" s="27" t="s">
        <v>491</v>
      </c>
      <c r="P331" s="27" t="s">
        <v>480</v>
      </c>
      <c r="Q331" s="27" t="s">
        <v>372</v>
      </c>
      <c r="R331" s="45">
        <v>0</v>
      </c>
      <c r="S331" s="45">
        <v>0</v>
      </c>
      <c r="T331" s="45">
        <v>0</v>
      </c>
      <c r="U331" s="45">
        <v>0</v>
      </c>
      <c r="V331" s="45">
        <v>0</v>
      </c>
      <c r="W331" s="45">
        <v>250</v>
      </c>
      <c r="X331" s="45">
        <v>500</v>
      </c>
      <c r="Y331" s="45">
        <v>500</v>
      </c>
      <c r="Z331" s="45">
        <v>500</v>
      </c>
      <c r="AA331" s="45">
        <v>500</v>
      </c>
      <c r="AB331" s="45">
        <v>500</v>
      </c>
      <c r="AC331" s="45">
        <v>500</v>
      </c>
      <c r="AD331" s="45">
        <v>0</v>
      </c>
      <c r="AE331" s="45">
        <v>0</v>
      </c>
      <c r="AF331" s="45">
        <v>0</v>
      </c>
      <c r="AG331" s="45">
        <v>0</v>
      </c>
      <c r="AH331" s="45"/>
      <c r="AI331" s="45"/>
      <c r="AJ331" s="45"/>
      <c r="AK331" s="45"/>
      <c r="AL331" s="45"/>
      <c r="AM331" s="45"/>
      <c r="AN331" s="45"/>
      <c r="AO331" s="45"/>
    </row>
    <row r="332" spans="2:41" outlineLevel="1" x14ac:dyDescent="0.35">
      <c r="B332" s="27" t="s">
        <v>784</v>
      </c>
      <c r="C332" s="27" t="s">
        <v>51</v>
      </c>
      <c r="D332" s="27" t="s">
        <v>1675</v>
      </c>
      <c r="E332" s="27" t="s">
        <v>51</v>
      </c>
      <c r="F332" s="27" t="s">
        <v>378</v>
      </c>
      <c r="G332" s="27" t="s">
        <v>785</v>
      </c>
      <c r="H332" s="27" t="s">
        <v>54</v>
      </c>
      <c r="I332" s="27" t="s">
        <v>55</v>
      </c>
      <c r="J332" s="27" t="s">
        <v>379</v>
      </c>
      <c r="K332" s="27" t="s">
        <v>371</v>
      </c>
      <c r="L332" s="27" t="s">
        <v>371</v>
      </c>
      <c r="M332" s="27" t="s">
        <v>371</v>
      </c>
      <c r="N332" s="27" t="s">
        <v>371</v>
      </c>
      <c r="O332" s="27" t="s">
        <v>371</v>
      </c>
      <c r="P332" s="27" t="s">
        <v>371</v>
      </c>
      <c r="Q332" s="27" t="s">
        <v>372</v>
      </c>
      <c r="R332" s="45">
        <v>0</v>
      </c>
      <c r="S332" s="45">
        <v>0</v>
      </c>
      <c r="T332" s="45">
        <v>0</v>
      </c>
      <c r="U332" s="45">
        <v>0</v>
      </c>
      <c r="V332" s="45">
        <v>0</v>
      </c>
      <c r="W332" s="45">
        <v>11362.56</v>
      </c>
      <c r="X332" s="45">
        <v>55327.199999999997</v>
      </c>
      <c r="Y332" s="45">
        <v>55327.199999999997</v>
      </c>
      <c r="Z332" s="45">
        <v>55327.199999999997</v>
      </c>
      <c r="AA332" s="45">
        <v>55327.199999999997</v>
      </c>
      <c r="AB332" s="45">
        <v>55327.199999999997</v>
      </c>
      <c r="AC332" s="45">
        <v>55327.199999999997</v>
      </c>
      <c r="AD332" s="45">
        <v>167782.56</v>
      </c>
      <c r="AE332" s="45">
        <v>167782.56</v>
      </c>
      <c r="AF332" s="45">
        <v>0</v>
      </c>
      <c r="AG332" s="45">
        <v>0</v>
      </c>
      <c r="AH332" s="45"/>
      <c r="AI332" s="45"/>
      <c r="AJ332" s="45"/>
      <c r="AK332" s="45"/>
      <c r="AL332" s="45"/>
      <c r="AM332" s="45"/>
      <c r="AN332" s="45"/>
      <c r="AO332" s="45"/>
    </row>
    <row r="333" spans="2:41" outlineLevel="1" x14ac:dyDescent="0.35">
      <c r="B333" s="27" t="s">
        <v>1316</v>
      </c>
      <c r="C333" s="27" t="s">
        <v>51</v>
      </c>
      <c r="D333" s="27" t="s">
        <v>1895</v>
      </c>
      <c r="E333" s="27" t="s">
        <v>51</v>
      </c>
      <c r="F333" s="27" t="s">
        <v>369</v>
      </c>
      <c r="G333" s="27" t="s">
        <v>1676</v>
      </c>
      <c r="H333" s="27" t="s">
        <v>54</v>
      </c>
      <c r="I333" s="27" t="s">
        <v>55</v>
      </c>
      <c r="J333" s="27" t="s">
        <v>370</v>
      </c>
      <c r="K333" s="27" t="s">
        <v>371</v>
      </c>
      <c r="L333" s="27" t="s">
        <v>371</v>
      </c>
      <c r="M333" s="27" t="s">
        <v>371</v>
      </c>
      <c r="N333" s="27" t="s">
        <v>371</v>
      </c>
      <c r="O333" s="27" t="s">
        <v>371</v>
      </c>
      <c r="P333" s="27" t="s">
        <v>371</v>
      </c>
      <c r="Q333" s="27" t="s">
        <v>372</v>
      </c>
      <c r="R333" s="45">
        <v>0</v>
      </c>
      <c r="S333" s="45">
        <v>0</v>
      </c>
      <c r="T333" s="45">
        <v>0</v>
      </c>
      <c r="U333" s="45">
        <v>0</v>
      </c>
      <c r="V333" s="45">
        <v>0</v>
      </c>
      <c r="W333" s="45">
        <v>0</v>
      </c>
      <c r="X333" s="45">
        <v>5638768.5499999998</v>
      </c>
      <c r="Y333" s="45">
        <v>0</v>
      </c>
      <c r="Z333" s="45">
        <v>3.7399999983608723</v>
      </c>
      <c r="AA333" s="45">
        <v>5.28</v>
      </c>
      <c r="AB333" s="45">
        <v>7.04</v>
      </c>
      <c r="AC333" s="45">
        <v>975211.14</v>
      </c>
      <c r="AD333" s="45">
        <v>252921.99</v>
      </c>
      <c r="AE333" s="45">
        <v>5.65</v>
      </c>
      <c r="AF333" s="45">
        <v>472708.78</v>
      </c>
      <c r="AG333" s="45">
        <v>560581.74</v>
      </c>
      <c r="AH333" s="45"/>
      <c r="AI333" s="45"/>
      <c r="AJ333" s="45"/>
      <c r="AK333" s="45"/>
      <c r="AL333" s="45"/>
      <c r="AM333" s="45"/>
      <c r="AN333" s="45"/>
      <c r="AO333" s="45"/>
    </row>
    <row r="334" spans="2:41" outlineLevel="1" x14ac:dyDescent="0.35">
      <c r="B334" s="27" t="s">
        <v>1317</v>
      </c>
      <c r="C334" s="27" t="s">
        <v>51</v>
      </c>
      <c r="D334" s="27" t="s">
        <v>1896</v>
      </c>
      <c r="E334" s="27" t="s">
        <v>51</v>
      </c>
      <c r="F334" s="27" t="s">
        <v>369</v>
      </c>
      <c r="G334" s="27" t="s">
        <v>1677</v>
      </c>
      <c r="H334" s="27" t="s">
        <v>54</v>
      </c>
      <c r="I334" s="27" t="s">
        <v>55</v>
      </c>
      <c r="J334" s="27" t="s">
        <v>370</v>
      </c>
      <c r="K334" s="27" t="s">
        <v>371</v>
      </c>
      <c r="L334" s="27" t="s">
        <v>371</v>
      </c>
      <c r="M334" s="27" t="s">
        <v>371</v>
      </c>
      <c r="N334" s="27" t="s">
        <v>371</v>
      </c>
      <c r="O334" s="27" t="s">
        <v>371</v>
      </c>
      <c r="P334" s="27" t="s">
        <v>371</v>
      </c>
      <c r="Q334" s="27" t="s">
        <v>372</v>
      </c>
      <c r="R334" s="45">
        <v>0</v>
      </c>
      <c r="S334" s="45">
        <v>0</v>
      </c>
      <c r="T334" s="45">
        <v>0</v>
      </c>
      <c r="U334" s="45">
        <v>0</v>
      </c>
      <c r="V334" s="45">
        <v>0</v>
      </c>
      <c r="W334" s="45">
        <v>0</v>
      </c>
      <c r="X334" s="45">
        <v>4458979.7300000004</v>
      </c>
      <c r="Y334" s="45">
        <v>14792152.17</v>
      </c>
      <c r="Z334" s="45">
        <v>580740.5</v>
      </c>
      <c r="AA334" s="45">
        <v>2547761</v>
      </c>
      <c r="AB334" s="45">
        <v>3003340.77</v>
      </c>
      <c r="AC334" s="45">
        <v>5205478.2699999996</v>
      </c>
      <c r="AD334" s="45">
        <v>2045109.28</v>
      </c>
      <c r="AE334" s="45">
        <v>1535028.44</v>
      </c>
      <c r="AF334" s="45">
        <v>4047133.39</v>
      </c>
      <c r="AG334" s="45">
        <v>5437212.3200000003</v>
      </c>
      <c r="AH334" s="45"/>
      <c r="AI334" s="45"/>
      <c r="AJ334" s="45"/>
      <c r="AK334" s="45"/>
      <c r="AL334" s="45"/>
      <c r="AM334" s="45"/>
      <c r="AN334" s="45"/>
      <c r="AO334" s="45"/>
    </row>
    <row r="335" spans="2:41" outlineLevel="1" x14ac:dyDescent="0.35">
      <c r="B335" s="27" t="s">
        <v>1318</v>
      </c>
      <c r="C335" s="27" t="s">
        <v>51</v>
      </c>
      <c r="D335" s="27" t="s">
        <v>1897</v>
      </c>
      <c r="E335" s="27" t="s">
        <v>51</v>
      </c>
      <c r="F335" s="27" t="s">
        <v>587</v>
      </c>
      <c r="G335" s="27" t="s">
        <v>1678</v>
      </c>
      <c r="H335" s="27" t="s">
        <v>54</v>
      </c>
      <c r="I335" s="27" t="s">
        <v>142</v>
      </c>
      <c r="J335" s="27" t="s">
        <v>197</v>
      </c>
      <c r="K335" s="27" t="s">
        <v>371</v>
      </c>
      <c r="L335" s="27" t="s">
        <v>371</v>
      </c>
      <c r="M335" s="27" t="s">
        <v>371</v>
      </c>
      <c r="N335" s="27" t="s">
        <v>371</v>
      </c>
      <c r="O335" s="27" t="s">
        <v>371</v>
      </c>
      <c r="P335" s="27" t="s">
        <v>371</v>
      </c>
      <c r="Q335" s="27" t="s">
        <v>372</v>
      </c>
      <c r="R335" s="45">
        <v>0</v>
      </c>
      <c r="S335" s="45">
        <v>0</v>
      </c>
      <c r="T335" s="45">
        <v>0</v>
      </c>
      <c r="U335" s="45">
        <v>0</v>
      </c>
      <c r="V335" s="45">
        <v>0</v>
      </c>
      <c r="W335" s="45">
        <v>0</v>
      </c>
      <c r="X335" s="45">
        <v>-1783113.94</v>
      </c>
      <c r="Y335" s="45">
        <v>-3257710.7</v>
      </c>
      <c r="Z335" s="45">
        <v>-2745227.93</v>
      </c>
      <c r="AA335" s="45">
        <v>-2542259</v>
      </c>
      <c r="AB335" s="45">
        <v>-2300674.34</v>
      </c>
      <c r="AC335" s="45">
        <v>-2618529.12</v>
      </c>
      <c r="AD335" s="45">
        <v>-3288901.92</v>
      </c>
      <c r="AE335" s="45">
        <v>-3969166.6</v>
      </c>
      <c r="AF335" s="45">
        <v>-3020887.22</v>
      </c>
      <c r="AG335" s="45">
        <v>-2904253.42</v>
      </c>
      <c r="AH335" s="45"/>
      <c r="AI335" s="45"/>
      <c r="AJ335" s="45"/>
      <c r="AK335" s="45"/>
      <c r="AL335" s="45"/>
      <c r="AM335" s="45"/>
      <c r="AN335" s="45"/>
      <c r="AO335" s="45"/>
    </row>
    <row r="336" spans="2:41" outlineLevel="1" x14ac:dyDescent="0.35">
      <c r="B336" s="27" t="s">
        <v>786</v>
      </c>
      <c r="C336" s="27" t="s">
        <v>51</v>
      </c>
      <c r="D336" s="27" t="s">
        <v>1679</v>
      </c>
      <c r="E336" s="27" t="s">
        <v>51</v>
      </c>
      <c r="F336" s="27" t="s">
        <v>780</v>
      </c>
      <c r="G336" s="27" t="s">
        <v>787</v>
      </c>
      <c r="H336" s="27" t="s">
        <v>54</v>
      </c>
      <c r="I336" s="27" t="s">
        <v>142</v>
      </c>
      <c r="J336" s="27" t="s">
        <v>781</v>
      </c>
      <c r="K336" s="27" t="s">
        <v>371</v>
      </c>
      <c r="L336" s="27" t="s">
        <v>371</v>
      </c>
      <c r="M336" s="27" t="s">
        <v>371</v>
      </c>
      <c r="N336" s="27" t="s">
        <v>371</v>
      </c>
      <c r="O336" s="27" t="s">
        <v>371</v>
      </c>
      <c r="P336" s="27" t="s">
        <v>371</v>
      </c>
      <c r="Q336" s="27" t="s">
        <v>372</v>
      </c>
      <c r="R336" s="45">
        <v>0</v>
      </c>
      <c r="S336" s="45">
        <v>0</v>
      </c>
      <c r="T336" s="45">
        <v>0</v>
      </c>
      <c r="U336" s="45">
        <v>0</v>
      </c>
      <c r="V336" s="45">
        <v>0</v>
      </c>
      <c r="W336" s="45">
        <v>0</v>
      </c>
      <c r="X336" s="45">
        <v>-1484426.39</v>
      </c>
      <c r="Y336" s="45">
        <v>-2968852.78</v>
      </c>
      <c r="Z336" s="45">
        <v>-4956949.83</v>
      </c>
      <c r="AA336" s="45">
        <v>-1470563</v>
      </c>
      <c r="AB336" s="45">
        <v>-2893688</v>
      </c>
      <c r="AC336" s="45">
        <v>0</v>
      </c>
      <c r="AD336" s="45">
        <v>-1470562.5</v>
      </c>
      <c r="AE336" s="45">
        <v>-2798812.5</v>
      </c>
      <c r="AF336" s="45">
        <v>0</v>
      </c>
      <c r="AG336" s="45">
        <v>0</v>
      </c>
      <c r="AH336" s="45"/>
      <c r="AI336" s="45"/>
      <c r="AJ336" s="45"/>
      <c r="AK336" s="45"/>
      <c r="AL336" s="45"/>
      <c r="AM336" s="45"/>
      <c r="AN336" s="45"/>
      <c r="AO336" s="45"/>
    </row>
    <row r="337" spans="2:41" outlineLevel="1" x14ac:dyDescent="0.35">
      <c r="B337" s="27" t="s">
        <v>788</v>
      </c>
      <c r="C337" s="27" t="s">
        <v>51</v>
      </c>
      <c r="D337" s="27" t="s">
        <v>1680</v>
      </c>
      <c r="E337" s="27" t="s">
        <v>51</v>
      </c>
      <c r="F337" s="27" t="s">
        <v>457</v>
      </c>
      <c r="G337" s="27" t="s">
        <v>789</v>
      </c>
      <c r="H337" s="27" t="s">
        <v>447</v>
      </c>
      <c r="I337" s="27" t="s">
        <v>440</v>
      </c>
      <c r="J337" s="27" t="s">
        <v>448</v>
      </c>
      <c r="K337" s="27" t="s">
        <v>449</v>
      </c>
      <c r="L337" s="27" t="s">
        <v>458</v>
      </c>
      <c r="M337" s="27" t="s">
        <v>807</v>
      </c>
      <c r="N337" s="27" t="s">
        <v>807</v>
      </c>
      <c r="O337" s="27" t="s">
        <v>449</v>
      </c>
      <c r="P337" s="27" t="s">
        <v>449</v>
      </c>
      <c r="Q337" s="27" t="s">
        <v>372</v>
      </c>
      <c r="R337" s="45">
        <v>0</v>
      </c>
      <c r="S337" s="45">
        <v>0</v>
      </c>
      <c r="T337" s="45">
        <v>0</v>
      </c>
      <c r="U337" s="45">
        <v>0</v>
      </c>
      <c r="V337" s="45">
        <v>0</v>
      </c>
      <c r="W337" s="45">
        <v>0</v>
      </c>
      <c r="X337" s="45">
        <v>-174583</v>
      </c>
      <c r="Y337" s="45">
        <v>-174583</v>
      </c>
      <c r="Z337" s="45">
        <v>-174583</v>
      </c>
      <c r="AA337" s="45">
        <v>-159178</v>
      </c>
      <c r="AB337" s="45">
        <v>-159178</v>
      </c>
      <c r="AC337" s="45">
        <v>-159178</v>
      </c>
      <c r="AD337" s="45">
        <v>0</v>
      </c>
      <c r="AE337" s="45">
        <v>0</v>
      </c>
      <c r="AF337" s="45">
        <v>0</v>
      </c>
      <c r="AG337" s="45">
        <v>0</v>
      </c>
      <c r="AH337" s="45"/>
      <c r="AI337" s="45"/>
      <c r="AJ337" s="45"/>
      <c r="AK337" s="45"/>
      <c r="AL337" s="45"/>
      <c r="AM337" s="45"/>
      <c r="AN337" s="45"/>
      <c r="AO337" s="45"/>
    </row>
    <row r="338" spans="2:41" outlineLevel="1" x14ac:dyDescent="0.35">
      <c r="B338" s="27" t="s">
        <v>790</v>
      </c>
      <c r="C338" s="27" t="s">
        <v>51</v>
      </c>
      <c r="D338" s="27" t="s">
        <v>1681</v>
      </c>
      <c r="E338" s="27" t="s">
        <v>51</v>
      </c>
      <c r="F338" s="27" t="s">
        <v>512</v>
      </c>
      <c r="G338" s="27" t="s">
        <v>791</v>
      </c>
      <c r="H338" s="27" t="s">
        <v>447</v>
      </c>
      <c r="I338" s="27" t="s">
        <v>440</v>
      </c>
      <c r="J338" s="27" t="s">
        <v>448</v>
      </c>
      <c r="K338" s="27" t="s">
        <v>491</v>
      </c>
      <c r="L338" s="27" t="s">
        <v>492</v>
      </c>
      <c r="M338" s="27" t="s">
        <v>807</v>
      </c>
      <c r="N338" s="27" t="s">
        <v>807</v>
      </c>
      <c r="O338" s="27" t="s">
        <v>491</v>
      </c>
      <c r="P338" s="27" t="s">
        <v>491</v>
      </c>
      <c r="Q338" s="27" t="s">
        <v>372</v>
      </c>
      <c r="R338" s="45">
        <v>0</v>
      </c>
      <c r="S338" s="45">
        <v>0</v>
      </c>
      <c r="T338" s="45">
        <v>0</v>
      </c>
      <c r="U338" s="45">
        <v>0</v>
      </c>
      <c r="V338" s="45">
        <v>0</v>
      </c>
      <c r="W338" s="45">
        <v>0</v>
      </c>
      <c r="X338" s="45">
        <v>174583</v>
      </c>
      <c r="Y338" s="45">
        <v>349166</v>
      </c>
      <c r="Z338" s="45">
        <v>174583</v>
      </c>
      <c r="AA338" s="45">
        <v>159178</v>
      </c>
      <c r="AB338" s="45">
        <v>159178</v>
      </c>
      <c r="AC338" s="45">
        <v>159178</v>
      </c>
      <c r="AD338" s="45">
        <v>0</v>
      </c>
      <c r="AE338" s="45">
        <v>0</v>
      </c>
      <c r="AF338" s="45">
        <v>0</v>
      </c>
      <c r="AG338" s="45">
        <v>0</v>
      </c>
      <c r="AH338" s="45"/>
      <c r="AI338" s="45"/>
      <c r="AJ338" s="45"/>
      <c r="AK338" s="45"/>
      <c r="AL338" s="45"/>
      <c r="AM338" s="45"/>
      <c r="AN338" s="45"/>
      <c r="AO338" s="45"/>
    </row>
    <row r="339" spans="2:41" outlineLevel="1" x14ac:dyDescent="0.35">
      <c r="B339" s="27" t="s">
        <v>1319</v>
      </c>
      <c r="C339" s="27" t="s">
        <v>51</v>
      </c>
      <c r="D339" s="27" t="s">
        <v>1898</v>
      </c>
      <c r="E339" s="27" t="s">
        <v>51</v>
      </c>
      <c r="F339" s="27" t="s">
        <v>748</v>
      </c>
      <c r="G339" s="27" t="s">
        <v>1682</v>
      </c>
      <c r="H339" s="27" t="s">
        <v>447</v>
      </c>
      <c r="I339" s="27" t="s">
        <v>440</v>
      </c>
      <c r="J339" s="27" t="s">
        <v>448</v>
      </c>
      <c r="K339" s="27" t="s">
        <v>750</v>
      </c>
      <c r="L339" s="27" t="s">
        <v>750</v>
      </c>
      <c r="M339" s="27" t="s">
        <v>750</v>
      </c>
      <c r="N339" s="27" t="s">
        <v>750</v>
      </c>
      <c r="O339" s="27" t="s">
        <v>564</v>
      </c>
      <c r="P339" s="27" t="s">
        <v>750</v>
      </c>
      <c r="Q339" s="27" t="s">
        <v>372</v>
      </c>
      <c r="R339" s="45">
        <v>0</v>
      </c>
      <c r="S339" s="45">
        <v>0</v>
      </c>
      <c r="T339" s="45">
        <v>0</v>
      </c>
      <c r="U339" s="45">
        <v>0</v>
      </c>
      <c r="V339" s="45">
        <v>0</v>
      </c>
      <c r="W339" s="45">
        <v>0</v>
      </c>
      <c r="X339" s="45">
        <v>1484426.39</v>
      </c>
      <c r="Y339" s="45">
        <v>2968852.78</v>
      </c>
      <c r="Z339" s="45">
        <v>4405394.4399999995</v>
      </c>
      <c r="AA339" s="45">
        <v>5875957.4400000004</v>
      </c>
      <c r="AB339" s="45">
        <v>7299082.4400000004</v>
      </c>
      <c r="AC339" s="45">
        <v>8725561.1099999994</v>
      </c>
      <c r="AD339" s="45">
        <v>1470562.5</v>
      </c>
      <c r="AE339" s="45">
        <v>2798812.5</v>
      </c>
      <c r="AF339" s="45">
        <v>4068125</v>
      </c>
      <c r="AG339" s="45">
        <v>5491250</v>
      </c>
      <c r="AH339" s="45"/>
      <c r="AI339" s="45"/>
      <c r="AJ339" s="45"/>
      <c r="AK339" s="45"/>
      <c r="AL339" s="45"/>
      <c r="AM339" s="45"/>
      <c r="AN339" s="45"/>
      <c r="AO339" s="45"/>
    </row>
    <row r="340" spans="2:41" outlineLevel="1" x14ac:dyDescent="0.35">
      <c r="B340" s="27" t="s">
        <v>1320</v>
      </c>
      <c r="C340" s="27" t="s">
        <v>51</v>
      </c>
      <c r="D340" s="27" t="s">
        <v>1899</v>
      </c>
      <c r="E340" s="27" t="s">
        <v>51</v>
      </c>
      <c r="F340" s="27" t="s">
        <v>501</v>
      </c>
      <c r="G340" s="27" t="s">
        <v>793</v>
      </c>
      <c r="H340" s="27" t="s">
        <v>447</v>
      </c>
      <c r="I340" s="27" t="s">
        <v>440</v>
      </c>
      <c r="J340" s="27" t="s">
        <v>448</v>
      </c>
      <c r="K340" s="27" t="s">
        <v>476</v>
      </c>
      <c r="L340" s="27" t="s">
        <v>794</v>
      </c>
      <c r="M340" s="27" t="s">
        <v>794</v>
      </c>
      <c r="N340" s="27" t="s">
        <v>794</v>
      </c>
      <c r="O340" s="27" t="s">
        <v>480</v>
      </c>
      <c r="P340" s="27" t="s">
        <v>480</v>
      </c>
      <c r="Q340" s="27" t="s">
        <v>372</v>
      </c>
      <c r="R340" s="45">
        <v>0</v>
      </c>
      <c r="S340" s="45">
        <v>0</v>
      </c>
      <c r="T340" s="45">
        <v>0</v>
      </c>
      <c r="U340" s="45">
        <v>0</v>
      </c>
      <c r="V340" s="45">
        <v>0</v>
      </c>
      <c r="W340" s="45">
        <v>0</v>
      </c>
      <c r="X340" s="45">
        <v>201919.8</v>
      </c>
      <c r="Y340" s="45">
        <v>403839.6</v>
      </c>
      <c r="Z340" s="45">
        <v>605759.39999999991</v>
      </c>
      <c r="AA340" s="45">
        <v>2037540.32</v>
      </c>
      <c r="AB340" s="45">
        <v>2239460.12</v>
      </c>
      <c r="AC340" s="45">
        <v>4036266.24</v>
      </c>
      <c r="AD340" s="45">
        <v>226919.8</v>
      </c>
      <c r="AE340" s="45">
        <v>428839.6</v>
      </c>
      <c r="AF340" s="45">
        <v>1833884.4</v>
      </c>
      <c r="AG340" s="45">
        <v>2035804.2</v>
      </c>
      <c r="AH340" s="45"/>
      <c r="AI340" s="45"/>
      <c r="AJ340" s="45"/>
      <c r="AK340" s="45"/>
      <c r="AL340" s="45"/>
      <c r="AM340" s="45"/>
      <c r="AN340" s="45"/>
      <c r="AO340" s="45"/>
    </row>
    <row r="341" spans="2:41" ht="15" outlineLevel="1" x14ac:dyDescent="0.35">
      <c r="B341" s="27" t="s">
        <v>1321</v>
      </c>
      <c r="C341" s="27" t="s">
        <v>51</v>
      </c>
      <c r="D341" s="27" t="s">
        <v>1900</v>
      </c>
      <c r="E341" s="27" t="s">
        <v>51</v>
      </c>
      <c r="F341" s="27" t="s">
        <v>445</v>
      </c>
      <c r="G341" s="27" t="s">
        <v>1683</v>
      </c>
      <c r="H341" s="27" t="s">
        <v>447</v>
      </c>
      <c r="I341" s="27" t="s">
        <v>440</v>
      </c>
      <c r="J341" s="27" t="s">
        <v>448</v>
      </c>
      <c r="K341" s="27" t="s">
        <v>449</v>
      </c>
      <c r="L341" s="27" t="s">
        <v>458</v>
      </c>
      <c r="M341" s="102" t="s">
        <v>502</v>
      </c>
      <c r="N341" s="102" t="s">
        <v>502</v>
      </c>
      <c r="O341" s="27" t="s">
        <v>449</v>
      </c>
      <c r="P341" s="27" t="s">
        <v>449</v>
      </c>
      <c r="Q341" s="27" t="s">
        <v>372</v>
      </c>
      <c r="R341" s="45">
        <v>0</v>
      </c>
      <c r="S341" s="45">
        <v>0</v>
      </c>
      <c r="T341" s="45">
        <v>0</v>
      </c>
      <c r="U341" s="45">
        <v>0</v>
      </c>
      <c r="V341" s="45">
        <v>0</v>
      </c>
      <c r="W341" s="45">
        <v>0</v>
      </c>
      <c r="X341" s="45">
        <v>-52000</v>
      </c>
      <c r="Y341" s="45">
        <v>-52000</v>
      </c>
      <c r="Z341" s="45">
        <v>-281811.20000000001</v>
      </c>
      <c r="AA341" s="45">
        <v>-281811.20000000001</v>
      </c>
      <c r="AB341" s="45">
        <v>-644286.55000000005</v>
      </c>
      <c r="AC341" s="45">
        <v>-1505077.25</v>
      </c>
      <c r="AD341" s="45">
        <v>0</v>
      </c>
      <c r="AE341" s="45">
        <v>0</v>
      </c>
      <c r="AF341" s="45">
        <v>-440384.36</v>
      </c>
      <c r="AG341" s="45">
        <v>-688915.81</v>
      </c>
      <c r="AH341" s="45"/>
      <c r="AI341" s="45"/>
      <c r="AJ341" s="45"/>
      <c r="AK341" s="45"/>
      <c r="AL341" s="45"/>
      <c r="AM341" s="45"/>
      <c r="AN341" s="45"/>
      <c r="AO341" s="45"/>
    </row>
    <row r="342" spans="2:41" outlineLevel="1" x14ac:dyDescent="0.35">
      <c r="B342" s="27" t="s">
        <v>795</v>
      </c>
      <c r="C342" s="27" t="s">
        <v>51</v>
      </c>
      <c r="D342" s="27" t="s">
        <v>1684</v>
      </c>
      <c r="E342" s="27" t="s">
        <v>51</v>
      </c>
      <c r="F342" s="27" t="s">
        <v>85</v>
      </c>
      <c r="G342" s="27" t="s">
        <v>796</v>
      </c>
      <c r="H342" s="27" t="s">
        <v>54</v>
      </c>
      <c r="I342" s="27" t="s">
        <v>55</v>
      </c>
      <c r="J342" s="27" t="s">
        <v>101</v>
      </c>
      <c r="K342" s="27" t="s">
        <v>371</v>
      </c>
      <c r="L342" s="27" t="s">
        <v>371</v>
      </c>
      <c r="M342" s="27" t="s">
        <v>371</v>
      </c>
      <c r="N342" s="27" t="s">
        <v>371</v>
      </c>
      <c r="O342" s="27" t="s">
        <v>371</v>
      </c>
      <c r="P342" s="27" t="s">
        <v>371</v>
      </c>
      <c r="Q342" s="27" t="s">
        <v>372</v>
      </c>
      <c r="R342" s="45">
        <v>0</v>
      </c>
      <c r="S342" s="45">
        <v>0</v>
      </c>
      <c r="T342" s="45">
        <v>0</v>
      </c>
      <c r="U342" s="45">
        <v>0</v>
      </c>
      <c r="V342" s="45">
        <v>0</v>
      </c>
      <c r="W342" s="45">
        <v>0</v>
      </c>
      <c r="X342" s="45">
        <v>0</v>
      </c>
      <c r="Y342" s="45">
        <v>346787.59</v>
      </c>
      <c r="Z342" s="45">
        <v>346787.59</v>
      </c>
      <c r="AA342" s="45">
        <v>0</v>
      </c>
      <c r="AB342" s="45">
        <v>0</v>
      </c>
      <c r="AC342" s="45">
        <v>0</v>
      </c>
      <c r="AD342" s="45">
        <v>0</v>
      </c>
      <c r="AE342" s="45">
        <v>0</v>
      </c>
      <c r="AF342" s="45">
        <v>0</v>
      </c>
      <c r="AG342" s="45">
        <v>0</v>
      </c>
      <c r="AH342" s="45"/>
      <c r="AI342" s="45"/>
      <c r="AJ342" s="45"/>
      <c r="AK342" s="45"/>
      <c r="AL342" s="45"/>
      <c r="AM342" s="45"/>
      <c r="AN342" s="45"/>
      <c r="AO342" s="45"/>
    </row>
    <row r="343" spans="2:41" outlineLevel="1" x14ac:dyDescent="0.35">
      <c r="B343" s="27" t="s">
        <v>797</v>
      </c>
      <c r="C343" s="27" t="s">
        <v>51</v>
      </c>
      <c r="D343" s="27" t="s">
        <v>1685</v>
      </c>
      <c r="E343" s="27" t="s">
        <v>51</v>
      </c>
      <c r="F343" s="27" t="s">
        <v>85</v>
      </c>
      <c r="G343" s="27" t="s">
        <v>798</v>
      </c>
      <c r="H343" s="27" t="s">
        <v>54</v>
      </c>
      <c r="I343" s="27" t="s">
        <v>55</v>
      </c>
      <c r="J343" s="27" t="s">
        <v>101</v>
      </c>
      <c r="K343" s="27" t="s">
        <v>371</v>
      </c>
      <c r="L343" s="27" t="s">
        <v>371</v>
      </c>
      <c r="M343" s="27" t="s">
        <v>371</v>
      </c>
      <c r="N343" s="27" t="s">
        <v>371</v>
      </c>
      <c r="O343" s="27" t="s">
        <v>371</v>
      </c>
      <c r="P343" s="27" t="s">
        <v>371</v>
      </c>
      <c r="Q343" s="27" t="s">
        <v>372</v>
      </c>
      <c r="R343" s="45">
        <v>0</v>
      </c>
      <c r="S343" s="45">
        <v>0</v>
      </c>
      <c r="T343" s="45">
        <v>0</v>
      </c>
      <c r="U343" s="45">
        <v>0</v>
      </c>
      <c r="V343" s="45">
        <v>0</v>
      </c>
      <c r="W343" s="45">
        <v>0</v>
      </c>
      <c r="X343" s="45">
        <v>0</v>
      </c>
      <c r="Y343" s="45">
        <v>229811.20000000001</v>
      </c>
      <c r="Z343" s="45">
        <v>0</v>
      </c>
      <c r="AA343" s="45">
        <v>0</v>
      </c>
      <c r="AB343" s="45">
        <v>0</v>
      </c>
      <c r="AC343" s="45">
        <v>0</v>
      </c>
      <c r="AD343" s="45">
        <v>0</v>
      </c>
      <c r="AE343" s="45">
        <v>0</v>
      </c>
      <c r="AF343" s="45">
        <v>0</v>
      </c>
      <c r="AG343" s="45">
        <v>0</v>
      </c>
      <c r="AH343" s="45"/>
      <c r="AI343" s="45"/>
      <c r="AJ343" s="45"/>
      <c r="AK343" s="45"/>
      <c r="AL343" s="45"/>
      <c r="AM343" s="45"/>
      <c r="AN343" s="45"/>
      <c r="AO343" s="45"/>
    </row>
    <row r="344" spans="2:41" outlineLevel="1" x14ac:dyDescent="0.35">
      <c r="B344" s="27" t="s">
        <v>1322</v>
      </c>
      <c r="C344" s="27" t="s">
        <v>51</v>
      </c>
      <c r="D344" s="27" t="s">
        <v>1901</v>
      </c>
      <c r="E344" s="27" t="s">
        <v>51</v>
      </c>
      <c r="F344" s="27" t="s">
        <v>378</v>
      </c>
      <c r="G344" s="27" t="s">
        <v>1686</v>
      </c>
      <c r="H344" s="27" t="s">
        <v>54</v>
      </c>
      <c r="I344" s="27" t="s">
        <v>55</v>
      </c>
      <c r="J344" s="27" t="s">
        <v>379</v>
      </c>
      <c r="K344" s="27" t="s">
        <v>371</v>
      </c>
      <c r="L344" s="27" t="s">
        <v>371</v>
      </c>
      <c r="M344" s="27" t="s">
        <v>371</v>
      </c>
      <c r="N344" s="27" t="s">
        <v>371</v>
      </c>
      <c r="O344" s="27" t="s">
        <v>371</v>
      </c>
      <c r="P344" s="27" t="s">
        <v>371</v>
      </c>
      <c r="Q344" s="27" t="s">
        <v>372</v>
      </c>
      <c r="R344" s="45">
        <v>0</v>
      </c>
      <c r="S344" s="45">
        <v>0</v>
      </c>
      <c r="T344" s="45">
        <v>0</v>
      </c>
      <c r="U344" s="45">
        <v>0</v>
      </c>
      <c r="V344" s="45">
        <v>0</v>
      </c>
      <c r="W344" s="45">
        <v>0</v>
      </c>
      <c r="X344" s="45">
        <v>0</v>
      </c>
      <c r="Y344" s="45">
        <v>11362.56</v>
      </c>
      <c r="Z344" s="45">
        <v>11362.56</v>
      </c>
      <c r="AA344" s="45">
        <v>11362.56</v>
      </c>
      <c r="AB344" s="45">
        <v>11362.56</v>
      </c>
      <c r="AC344" s="45">
        <v>11362.56</v>
      </c>
      <c r="AD344" s="45">
        <v>11362.56</v>
      </c>
      <c r="AE344" s="45">
        <v>11362.56</v>
      </c>
      <c r="AF344" s="45">
        <v>11362.56</v>
      </c>
      <c r="AG344" s="45">
        <v>11362.56</v>
      </c>
      <c r="AH344" s="45"/>
      <c r="AI344" s="45"/>
      <c r="AJ344" s="45"/>
      <c r="AK344" s="45"/>
      <c r="AL344" s="45"/>
      <c r="AM344" s="45"/>
      <c r="AN344" s="45"/>
      <c r="AO344" s="45"/>
    </row>
    <row r="345" spans="2:41" outlineLevel="1" x14ac:dyDescent="0.35">
      <c r="B345" s="27" t="s">
        <v>799</v>
      </c>
      <c r="C345" s="27" t="s">
        <v>51</v>
      </c>
      <c r="D345" s="27" t="s">
        <v>1687</v>
      </c>
      <c r="E345" s="27" t="s">
        <v>51</v>
      </c>
      <c r="F345" s="27" t="s">
        <v>385</v>
      </c>
      <c r="G345" s="27" t="s">
        <v>800</v>
      </c>
      <c r="H345" s="27" t="s">
        <v>54</v>
      </c>
      <c r="I345" s="27" t="s">
        <v>55</v>
      </c>
      <c r="J345" s="27" t="s">
        <v>393</v>
      </c>
      <c r="K345" s="27" t="s">
        <v>371</v>
      </c>
      <c r="L345" s="27" t="s">
        <v>371</v>
      </c>
      <c r="M345" s="27" t="s">
        <v>371</v>
      </c>
      <c r="N345" s="27" t="s">
        <v>371</v>
      </c>
      <c r="O345" s="27" t="s">
        <v>371</v>
      </c>
      <c r="P345" s="27" t="s">
        <v>371</v>
      </c>
      <c r="Q345" s="27" t="s">
        <v>372</v>
      </c>
      <c r="R345" s="45">
        <v>0</v>
      </c>
      <c r="S345" s="45">
        <v>0</v>
      </c>
      <c r="T345" s="45">
        <v>0</v>
      </c>
      <c r="U345" s="45">
        <v>0</v>
      </c>
      <c r="V345" s="45">
        <v>0</v>
      </c>
      <c r="W345" s="45">
        <v>0</v>
      </c>
      <c r="X345" s="45">
        <v>0</v>
      </c>
      <c r="Y345" s="45">
        <v>22483</v>
      </c>
      <c r="Z345" s="45">
        <v>22483</v>
      </c>
      <c r="AA345" s="45">
        <v>22483</v>
      </c>
      <c r="AB345" s="45">
        <v>0</v>
      </c>
      <c r="AC345" s="45">
        <v>0</v>
      </c>
      <c r="AD345" s="45">
        <v>0</v>
      </c>
      <c r="AE345" s="45">
        <v>0</v>
      </c>
      <c r="AF345" s="45">
        <v>0</v>
      </c>
      <c r="AG345" s="45">
        <v>0</v>
      </c>
      <c r="AH345" s="45"/>
      <c r="AI345" s="45"/>
      <c r="AJ345" s="45"/>
      <c r="AK345" s="45"/>
      <c r="AL345" s="45"/>
      <c r="AM345" s="45"/>
      <c r="AN345" s="45"/>
      <c r="AO345" s="45"/>
    </row>
    <row r="346" spans="2:41" outlineLevel="1" x14ac:dyDescent="0.35">
      <c r="B346" s="27" t="s">
        <v>801</v>
      </c>
      <c r="C346" s="27" t="s">
        <v>51</v>
      </c>
      <c r="D346" s="27" t="s">
        <v>1688</v>
      </c>
      <c r="E346" s="27" t="s">
        <v>51</v>
      </c>
      <c r="F346" s="27" t="s">
        <v>195</v>
      </c>
      <c r="G346" s="27" t="s">
        <v>802</v>
      </c>
      <c r="H346" s="27" t="s">
        <v>54</v>
      </c>
      <c r="I346" s="27" t="s">
        <v>142</v>
      </c>
      <c r="J346" s="27" t="s">
        <v>197</v>
      </c>
      <c r="K346" s="27" t="s">
        <v>371</v>
      </c>
      <c r="L346" s="27" t="s">
        <v>371</v>
      </c>
      <c r="M346" s="27" t="s">
        <v>371</v>
      </c>
      <c r="N346" s="27" t="s">
        <v>371</v>
      </c>
      <c r="O346" s="27" t="s">
        <v>371</v>
      </c>
      <c r="P346" s="27" t="s">
        <v>371</v>
      </c>
      <c r="Q346" s="27" t="s">
        <v>372</v>
      </c>
      <c r="R346" s="45">
        <v>0</v>
      </c>
      <c r="S346" s="45">
        <v>0</v>
      </c>
      <c r="T346" s="45">
        <v>0</v>
      </c>
      <c r="U346" s="45">
        <v>0</v>
      </c>
      <c r="V346" s="45">
        <v>0</v>
      </c>
      <c r="W346" s="45">
        <v>0</v>
      </c>
      <c r="X346" s="45">
        <v>0</v>
      </c>
      <c r="Y346" s="45">
        <v>-246384</v>
      </c>
      <c r="Z346" s="45">
        <v>-125280</v>
      </c>
      <c r="AA346" s="45">
        <v>-125280</v>
      </c>
      <c r="AB346" s="45">
        <v>-125280</v>
      </c>
      <c r="AC346" s="45">
        <v>0</v>
      </c>
      <c r="AD346" s="45">
        <v>0</v>
      </c>
      <c r="AE346" s="45">
        <v>0</v>
      </c>
      <c r="AF346" s="45">
        <v>0</v>
      </c>
      <c r="AG346" s="45">
        <v>0</v>
      </c>
      <c r="AH346" s="45"/>
      <c r="AI346" s="45"/>
      <c r="AJ346" s="45"/>
      <c r="AK346" s="45"/>
      <c r="AL346" s="45"/>
      <c r="AM346" s="45"/>
      <c r="AN346" s="45"/>
      <c r="AO346" s="45"/>
    </row>
    <row r="347" spans="2:41" outlineLevel="1" x14ac:dyDescent="0.35">
      <c r="B347" s="27" t="s">
        <v>803</v>
      </c>
      <c r="C347" s="27" t="s">
        <v>51</v>
      </c>
      <c r="D347" s="27" t="s">
        <v>1689</v>
      </c>
      <c r="E347" s="27" t="s">
        <v>51</v>
      </c>
      <c r="F347" s="27" t="s">
        <v>587</v>
      </c>
      <c r="G347" s="27" t="s">
        <v>638</v>
      </c>
      <c r="H347" s="27" t="s">
        <v>54</v>
      </c>
      <c r="I347" s="27" t="s">
        <v>142</v>
      </c>
      <c r="J347" s="27" t="s">
        <v>197</v>
      </c>
      <c r="K347" s="27" t="s">
        <v>371</v>
      </c>
      <c r="L347" s="27" t="s">
        <v>371</v>
      </c>
      <c r="M347" s="27" t="s">
        <v>371</v>
      </c>
      <c r="N347" s="27" t="s">
        <v>371</v>
      </c>
      <c r="O347" s="27" t="s">
        <v>371</v>
      </c>
      <c r="P347" s="27" t="s">
        <v>371</v>
      </c>
      <c r="Q347" s="27" t="s">
        <v>372</v>
      </c>
      <c r="R347" s="45">
        <v>0</v>
      </c>
      <c r="S347" s="45">
        <v>0</v>
      </c>
      <c r="T347" s="45">
        <v>0</v>
      </c>
      <c r="U347" s="45">
        <v>0</v>
      </c>
      <c r="V347" s="45">
        <v>0</v>
      </c>
      <c r="W347" s="45">
        <v>0</v>
      </c>
      <c r="X347" s="45">
        <v>0</v>
      </c>
      <c r="Y347" s="45">
        <v>-98436</v>
      </c>
      <c r="Z347" s="45">
        <v>-98436</v>
      </c>
      <c r="AA347" s="45">
        <v>-98436</v>
      </c>
      <c r="AB347" s="45">
        <v>-98436</v>
      </c>
      <c r="AC347" s="45">
        <v>0</v>
      </c>
      <c r="AD347" s="45">
        <v>-98436</v>
      </c>
      <c r="AE347" s="45">
        <v>-98436</v>
      </c>
      <c r="AF347" s="45">
        <v>0</v>
      </c>
      <c r="AG347" s="45">
        <v>0</v>
      </c>
      <c r="AH347" s="45"/>
      <c r="AI347" s="45"/>
      <c r="AJ347" s="45"/>
      <c r="AK347" s="45"/>
      <c r="AL347" s="45"/>
      <c r="AM347" s="45"/>
      <c r="AN347" s="45"/>
      <c r="AO347" s="45"/>
    </row>
    <row r="348" spans="2:41" outlineLevel="1" x14ac:dyDescent="0.35">
      <c r="B348" s="27" t="s">
        <v>1323</v>
      </c>
      <c r="C348" s="27" t="s">
        <v>51</v>
      </c>
      <c r="D348" s="27" t="s">
        <v>1902</v>
      </c>
      <c r="E348" s="27" t="s">
        <v>51</v>
      </c>
      <c r="F348" s="27" t="s">
        <v>432</v>
      </c>
      <c r="G348" s="27" t="s">
        <v>1690</v>
      </c>
      <c r="H348" s="27" t="s">
        <v>54</v>
      </c>
      <c r="I348" s="27" t="s">
        <v>142</v>
      </c>
      <c r="J348" s="27" t="s">
        <v>143</v>
      </c>
      <c r="K348" s="27" t="s">
        <v>371</v>
      </c>
      <c r="L348" s="27" t="s">
        <v>371</v>
      </c>
      <c r="M348" s="27" t="s">
        <v>371</v>
      </c>
      <c r="N348" s="27" t="s">
        <v>371</v>
      </c>
      <c r="O348" s="27" t="s">
        <v>371</v>
      </c>
      <c r="P348" s="27" t="s">
        <v>371</v>
      </c>
      <c r="Q348" s="27" t="s">
        <v>372</v>
      </c>
      <c r="R348" s="45">
        <v>0</v>
      </c>
      <c r="S348" s="45">
        <v>0</v>
      </c>
      <c r="T348" s="45">
        <v>0</v>
      </c>
      <c r="U348" s="45">
        <v>0</v>
      </c>
      <c r="V348" s="45">
        <v>0</v>
      </c>
      <c r="W348" s="45">
        <v>0</v>
      </c>
      <c r="X348" s="45">
        <v>0</v>
      </c>
      <c r="Y348" s="45">
        <v>-1021.52</v>
      </c>
      <c r="Z348" s="45">
        <v>-1021.52</v>
      </c>
      <c r="AA348" s="45">
        <v>-1021.52</v>
      </c>
      <c r="AB348" s="45">
        <v>-1021.52</v>
      </c>
      <c r="AC348" s="45">
        <v>-5386.76</v>
      </c>
      <c r="AD348" s="45">
        <v>-10892</v>
      </c>
      <c r="AE348" s="45">
        <v>-10281.879999999999</v>
      </c>
      <c r="AF348" s="45">
        <v>-13513.93</v>
      </c>
      <c r="AG348" s="45">
        <v>-18319.71</v>
      </c>
      <c r="AH348" s="45"/>
      <c r="AI348" s="45"/>
      <c r="AJ348" s="45"/>
      <c r="AK348" s="45"/>
      <c r="AL348" s="45"/>
      <c r="AM348" s="45"/>
      <c r="AN348" s="45"/>
      <c r="AO348" s="45"/>
    </row>
    <row r="349" spans="2:41" outlineLevel="1" x14ac:dyDescent="0.35">
      <c r="B349" s="27" t="s">
        <v>1324</v>
      </c>
      <c r="C349" s="27" t="s">
        <v>51</v>
      </c>
      <c r="D349" s="27" t="s">
        <v>1903</v>
      </c>
      <c r="E349" s="27" t="s">
        <v>51</v>
      </c>
      <c r="F349" s="27" t="s">
        <v>512</v>
      </c>
      <c r="G349" s="27" t="s">
        <v>1502</v>
      </c>
      <c r="H349" s="27" t="s">
        <v>447</v>
      </c>
      <c r="I349" s="27" t="s">
        <v>440</v>
      </c>
      <c r="J349" s="27" t="s">
        <v>448</v>
      </c>
      <c r="K349" s="27" t="s">
        <v>491</v>
      </c>
      <c r="L349" s="27" t="s">
        <v>540</v>
      </c>
      <c r="M349" s="27" t="s">
        <v>540</v>
      </c>
      <c r="N349" s="27" t="s">
        <v>541</v>
      </c>
      <c r="O349" s="27" t="s">
        <v>491</v>
      </c>
      <c r="P349" s="27" t="s">
        <v>491</v>
      </c>
      <c r="Q349" s="27" t="s">
        <v>372</v>
      </c>
      <c r="R349" s="45">
        <v>0</v>
      </c>
      <c r="S349" s="45">
        <v>0</v>
      </c>
      <c r="T349" s="45">
        <v>0</v>
      </c>
      <c r="U349" s="45">
        <v>0</v>
      </c>
      <c r="V349" s="45">
        <v>0</v>
      </c>
      <c r="W349" s="45">
        <v>0</v>
      </c>
      <c r="X349" s="45">
        <v>0</v>
      </c>
      <c r="Y349" s="45">
        <v>199245.93</v>
      </c>
      <c r="Z349" s="45">
        <v>411799.3</v>
      </c>
      <c r="AA349" s="45">
        <v>621107.04</v>
      </c>
      <c r="AB349" s="45">
        <v>861467.51</v>
      </c>
      <c r="AC349" s="45">
        <v>1132458.42</v>
      </c>
      <c r="AD349" s="45">
        <v>294039.09999999998</v>
      </c>
      <c r="AE349" s="45">
        <v>630199.72</v>
      </c>
      <c r="AF349" s="45">
        <v>980379.23</v>
      </c>
      <c r="AG349" s="45">
        <v>1382548.3</v>
      </c>
      <c r="AH349" s="45"/>
      <c r="AI349" s="45"/>
      <c r="AJ349" s="45"/>
      <c r="AK349" s="45"/>
      <c r="AL349" s="45"/>
      <c r="AM349" s="45"/>
      <c r="AN349" s="45"/>
      <c r="AO349" s="45"/>
    </row>
    <row r="350" spans="2:41" outlineLevel="1" x14ac:dyDescent="0.35">
      <c r="B350" s="27" t="s">
        <v>1325</v>
      </c>
      <c r="C350" s="27" t="s">
        <v>51</v>
      </c>
      <c r="D350" s="27" t="s">
        <v>1904</v>
      </c>
      <c r="E350" s="27" t="s">
        <v>51</v>
      </c>
      <c r="F350" s="27" t="s">
        <v>512</v>
      </c>
      <c r="G350" s="27" t="s">
        <v>1503</v>
      </c>
      <c r="H350" s="27" t="s">
        <v>447</v>
      </c>
      <c r="I350" s="27" t="s">
        <v>440</v>
      </c>
      <c r="J350" s="27" t="s">
        <v>448</v>
      </c>
      <c r="K350" s="27" t="s">
        <v>491</v>
      </c>
      <c r="L350" s="27" t="s">
        <v>542</v>
      </c>
      <c r="M350" s="27" t="s">
        <v>542</v>
      </c>
      <c r="N350" s="27" t="s">
        <v>541</v>
      </c>
      <c r="O350" s="27" t="s">
        <v>491</v>
      </c>
      <c r="P350" s="27" t="s">
        <v>491</v>
      </c>
      <c r="Q350" s="27" t="s">
        <v>372</v>
      </c>
      <c r="R350" s="45">
        <v>0</v>
      </c>
      <c r="S350" s="45">
        <v>0</v>
      </c>
      <c r="T350" s="45">
        <v>0</v>
      </c>
      <c r="U350" s="45">
        <v>0</v>
      </c>
      <c r="V350" s="45">
        <v>0</v>
      </c>
      <c r="W350" s="45">
        <v>0</v>
      </c>
      <c r="X350" s="45">
        <v>0</v>
      </c>
      <c r="Y350" s="45">
        <v>3446.14</v>
      </c>
      <c r="Z350" s="45">
        <v>6951.6299999999992</v>
      </c>
      <c r="AA350" s="45">
        <v>12518.26</v>
      </c>
      <c r="AB350" s="45">
        <v>13351.59</v>
      </c>
      <c r="AC350" s="45">
        <v>14184.92</v>
      </c>
      <c r="AD350" s="45">
        <v>933</v>
      </c>
      <c r="AE350" s="45">
        <v>933</v>
      </c>
      <c r="AF350" s="45">
        <v>5532.96</v>
      </c>
      <c r="AG350" s="45">
        <v>6725.49</v>
      </c>
      <c r="AH350" s="45"/>
      <c r="AI350" s="45"/>
      <c r="AJ350" s="45"/>
      <c r="AK350" s="45"/>
      <c r="AL350" s="45"/>
      <c r="AM350" s="45"/>
      <c r="AN350" s="45"/>
      <c r="AO350" s="45"/>
    </row>
    <row r="351" spans="2:41" outlineLevel="1" x14ac:dyDescent="0.35">
      <c r="B351" s="27" t="s">
        <v>1326</v>
      </c>
      <c r="C351" s="27" t="s">
        <v>51</v>
      </c>
      <c r="D351" s="27" t="s">
        <v>1905</v>
      </c>
      <c r="E351" s="27" t="s">
        <v>51</v>
      </c>
      <c r="F351" s="27" t="s">
        <v>512</v>
      </c>
      <c r="G351" s="27" t="s">
        <v>1504</v>
      </c>
      <c r="H351" s="27" t="s">
        <v>447</v>
      </c>
      <c r="I351" s="27" t="s">
        <v>440</v>
      </c>
      <c r="J351" s="27" t="s">
        <v>448</v>
      </c>
      <c r="K351" s="27" t="s">
        <v>491</v>
      </c>
      <c r="L351" s="27" t="s">
        <v>542</v>
      </c>
      <c r="M351" s="27" t="s">
        <v>542</v>
      </c>
      <c r="N351" s="27" t="s">
        <v>541</v>
      </c>
      <c r="O351" s="27" t="s">
        <v>491</v>
      </c>
      <c r="P351" s="27" t="s">
        <v>491</v>
      </c>
      <c r="Q351" s="27" t="s">
        <v>372</v>
      </c>
      <c r="R351" s="45">
        <v>0</v>
      </c>
      <c r="S351" s="45">
        <v>0</v>
      </c>
      <c r="T351" s="45">
        <v>0</v>
      </c>
      <c r="U351" s="45">
        <v>0</v>
      </c>
      <c r="V351" s="45">
        <v>0</v>
      </c>
      <c r="W351" s="45">
        <v>0</v>
      </c>
      <c r="X351" s="45">
        <v>0</v>
      </c>
      <c r="Y351" s="45">
        <v>1765.22</v>
      </c>
      <c r="Z351" s="45">
        <v>8351.92</v>
      </c>
      <c r="AA351" s="45">
        <v>5350.82</v>
      </c>
      <c r="AB351" s="45">
        <v>7489.38</v>
      </c>
      <c r="AC351" s="45">
        <v>10325.64</v>
      </c>
      <c r="AD351" s="45">
        <v>2721.5</v>
      </c>
      <c r="AE351" s="45">
        <v>6999.62</v>
      </c>
      <c r="AF351" s="45">
        <v>9666.67</v>
      </c>
      <c r="AG351" s="45">
        <v>15283.19</v>
      </c>
      <c r="AH351" s="45"/>
      <c r="AI351" s="45"/>
      <c r="AJ351" s="45"/>
      <c r="AK351" s="45"/>
      <c r="AL351" s="45"/>
      <c r="AM351" s="45"/>
      <c r="AN351" s="45"/>
      <c r="AO351" s="45"/>
    </row>
    <row r="352" spans="2:41" outlineLevel="1" x14ac:dyDescent="0.35">
      <c r="B352" s="27" t="s">
        <v>1327</v>
      </c>
      <c r="C352" s="27" t="s">
        <v>51</v>
      </c>
      <c r="D352" s="27" t="s">
        <v>1906</v>
      </c>
      <c r="E352" s="27" t="s">
        <v>51</v>
      </c>
      <c r="F352" s="27" t="s">
        <v>512</v>
      </c>
      <c r="G352" s="27" t="s">
        <v>1619</v>
      </c>
      <c r="H352" s="27" t="s">
        <v>447</v>
      </c>
      <c r="I352" s="27" t="s">
        <v>440</v>
      </c>
      <c r="J352" s="27" t="s">
        <v>448</v>
      </c>
      <c r="K352" s="27" t="s">
        <v>491</v>
      </c>
      <c r="L352" s="27" t="s">
        <v>542</v>
      </c>
      <c r="M352" s="27" t="s">
        <v>542</v>
      </c>
      <c r="N352" s="27" t="s">
        <v>541</v>
      </c>
      <c r="O352" s="27" t="s">
        <v>491</v>
      </c>
      <c r="P352" s="27" t="s">
        <v>491</v>
      </c>
      <c r="Q352" s="27" t="s">
        <v>372</v>
      </c>
      <c r="R352" s="45">
        <v>0</v>
      </c>
      <c r="S352" s="45">
        <v>0</v>
      </c>
      <c r="T352" s="45">
        <v>0</v>
      </c>
      <c r="U352" s="45">
        <v>0</v>
      </c>
      <c r="V352" s="45">
        <v>0</v>
      </c>
      <c r="W352" s="45">
        <v>0</v>
      </c>
      <c r="X352" s="45">
        <v>0</v>
      </c>
      <c r="Y352" s="45">
        <v>4791.67</v>
      </c>
      <c r="Z352" s="45">
        <v>9391.74</v>
      </c>
      <c r="AA352" s="45">
        <v>14012</v>
      </c>
      <c r="AB352" s="45">
        <v>20337.02</v>
      </c>
      <c r="AC352" s="45">
        <v>24094.720000000001</v>
      </c>
      <c r="AD352" s="45">
        <v>5270.92</v>
      </c>
      <c r="AE352" s="45">
        <v>12170.96</v>
      </c>
      <c r="AF352" s="45">
        <v>17598.27</v>
      </c>
      <c r="AG352" s="45">
        <v>25151.21</v>
      </c>
      <c r="AH352" s="45"/>
      <c r="AI352" s="45"/>
      <c r="AJ352" s="45"/>
      <c r="AK352" s="45"/>
      <c r="AL352" s="45"/>
      <c r="AM352" s="45"/>
      <c r="AN352" s="45"/>
      <c r="AO352" s="45"/>
    </row>
    <row r="353" spans="2:41" outlineLevel="1" x14ac:dyDescent="0.35">
      <c r="B353" s="27" t="s">
        <v>1328</v>
      </c>
      <c r="C353" s="27" t="s">
        <v>51</v>
      </c>
      <c r="D353" s="27" t="s">
        <v>1907</v>
      </c>
      <c r="E353" s="27" t="s">
        <v>51</v>
      </c>
      <c r="F353" s="27" t="s">
        <v>512</v>
      </c>
      <c r="G353" s="27" t="s">
        <v>1559</v>
      </c>
      <c r="H353" s="27" t="s">
        <v>447</v>
      </c>
      <c r="I353" s="27" t="s">
        <v>440</v>
      </c>
      <c r="J353" s="27" t="s">
        <v>448</v>
      </c>
      <c r="K353" s="27" t="s">
        <v>491</v>
      </c>
      <c r="L353" s="27" t="s">
        <v>542</v>
      </c>
      <c r="M353" s="27" t="s">
        <v>542</v>
      </c>
      <c r="N353" s="27" t="s">
        <v>541</v>
      </c>
      <c r="O353" s="27" t="s">
        <v>491</v>
      </c>
      <c r="P353" s="27" t="s">
        <v>491</v>
      </c>
      <c r="Q353" s="27" t="s">
        <v>372</v>
      </c>
      <c r="R353" s="45">
        <v>0</v>
      </c>
      <c r="S353" s="45">
        <v>0</v>
      </c>
      <c r="T353" s="45">
        <v>0</v>
      </c>
      <c r="U353" s="45">
        <v>0</v>
      </c>
      <c r="V353" s="45">
        <v>0</v>
      </c>
      <c r="W353" s="45">
        <v>0</v>
      </c>
      <c r="X353" s="45">
        <v>0</v>
      </c>
      <c r="Y353" s="45">
        <v>10500</v>
      </c>
      <c r="Z353" s="45">
        <v>21000</v>
      </c>
      <c r="AA353" s="45">
        <v>31500</v>
      </c>
      <c r="AB353" s="45">
        <v>38000</v>
      </c>
      <c r="AC353" s="45">
        <v>44500</v>
      </c>
      <c r="AD353" s="45">
        <v>6500</v>
      </c>
      <c r="AE353" s="45">
        <v>10500</v>
      </c>
      <c r="AF353" s="45">
        <v>10500</v>
      </c>
      <c r="AG353" s="45">
        <v>12500</v>
      </c>
      <c r="AH353" s="45"/>
      <c r="AI353" s="45"/>
      <c r="AJ353" s="45"/>
      <c r="AK353" s="45"/>
      <c r="AL353" s="45"/>
      <c r="AM353" s="45"/>
      <c r="AN353" s="45"/>
      <c r="AO353" s="45"/>
    </row>
    <row r="354" spans="2:41" outlineLevel="1" x14ac:dyDescent="0.35">
      <c r="B354" s="27" t="s">
        <v>1329</v>
      </c>
      <c r="C354" s="27" t="s">
        <v>51</v>
      </c>
      <c r="D354" s="27" t="s">
        <v>1908</v>
      </c>
      <c r="E354" s="27" t="s">
        <v>51</v>
      </c>
      <c r="F354" s="27" t="s">
        <v>512</v>
      </c>
      <c r="G354" s="27" t="s">
        <v>1506</v>
      </c>
      <c r="H354" s="27" t="s">
        <v>447</v>
      </c>
      <c r="I354" s="27" t="s">
        <v>440</v>
      </c>
      <c r="J354" s="27" t="s">
        <v>448</v>
      </c>
      <c r="K354" s="27" t="s">
        <v>491</v>
      </c>
      <c r="L354" s="27" t="s">
        <v>542</v>
      </c>
      <c r="M354" s="27" t="s">
        <v>542</v>
      </c>
      <c r="N354" s="27" t="s">
        <v>541</v>
      </c>
      <c r="O354" s="27" t="s">
        <v>491</v>
      </c>
      <c r="P354" s="27" t="s">
        <v>491</v>
      </c>
      <c r="Q354" s="27" t="s">
        <v>372</v>
      </c>
      <c r="R354" s="45">
        <v>0</v>
      </c>
      <c r="S354" s="45">
        <v>0</v>
      </c>
      <c r="T354" s="45">
        <v>0</v>
      </c>
      <c r="U354" s="45">
        <v>0</v>
      </c>
      <c r="V354" s="45">
        <v>0</v>
      </c>
      <c r="W354" s="45">
        <v>0</v>
      </c>
      <c r="X354" s="45">
        <v>0</v>
      </c>
      <c r="Y354" s="45">
        <v>8131.85</v>
      </c>
      <c r="Z354" s="45">
        <v>16710.28</v>
      </c>
      <c r="AA354" s="45">
        <v>25540.76</v>
      </c>
      <c r="AB354" s="45">
        <v>35174.660000000003</v>
      </c>
      <c r="AC354" s="45">
        <v>101206.57</v>
      </c>
      <c r="AD354" s="45">
        <v>12005.83</v>
      </c>
      <c r="AE354" s="45">
        <v>26012.32</v>
      </c>
      <c r="AF354" s="45">
        <v>33321.870000000003</v>
      </c>
      <c r="AG354" s="45">
        <v>48907.01</v>
      </c>
      <c r="AH354" s="45"/>
      <c r="AI354" s="45"/>
      <c r="AJ354" s="45"/>
      <c r="AK354" s="45"/>
      <c r="AL354" s="45"/>
      <c r="AM354" s="45"/>
      <c r="AN354" s="45"/>
      <c r="AO354" s="45"/>
    </row>
    <row r="355" spans="2:41" outlineLevel="1" x14ac:dyDescent="0.35">
      <c r="B355" s="27" t="s">
        <v>1330</v>
      </c>
      <c r="C355" s="27" t="s">
        <v>51</v>
      </c>
      <c r="D355" s="27" t="s">
        <v>1909</v>
      </c>
      <c r="E355" s="27" t="s">
        <v>51</v>
      </c>
      <c r="F355" s="27" t="s">
        <v>512</v>
      </c>
      <c r="G355" s="27" t="s">
        <v>1509</v>
      </c>
      <c r="H355" s="27" t="s">
        <v>447</v>
      </c>
      <c r="I355" s="27" t="s">
        <v>440</v>
      </c>
      <c r="J355" s="27" t="s">
        <v>448</v>
      </c>
      <c r="K355" s="27" t="s">
        <v>491</v>
      </c>
      <c r="L355" s="27" t="s">
        <v>542</v>
      </c>
      <c r="M355" s="27" t="s">
        <v>542</v>
      </c>
      <c r="N355" s="27" t="s">
        <v>541</v>
      </c>
      <c r="O355" s="27" t="s">
        <v>491</v>
      </c>
      <c r="P355" s="27" t="s">
        <v>491</v>
      </c>
      <c r="Q355" s="27" t="s">
        <v>372</v>
      </c>
      <c r="R355" s="45">
        <v>0</v>
      </c>
      <c r="S355" s="45">
        <v>0</v>
      </c>
      <c r="T355" s="45">
        <v>0</v>
      </c>
      <c r="U355" s="45">
        <v>0</v>
      </c>
      <c r="V355" s="45">
        <v>0</v>
      </c>
      <c r="W355" s="45">
        <v>0</v>
      </c>
      <c r="X355" s="45">
        <v>0</v>
      </c>
      <c r="Y355" s="45">
        <v>27079.85</v>
      </c>
      <c r="Z355" s="45">
        <v>53760.75</v>
      </c>
      <c r="AA355" s="45">
        <v>82163.62</v>
      </c>
      <c r="AB355" s="45">
        <v>112590.47</v>
      </c>
      <c r="AC355" s="45">
        <v>144514.60999999999</v>
      </c>
      <c r="AD355" s="45">
        <v>37790.230000000003</v>
      </c>
      <c r="AE355" s="45">
        <v>75529.08</v>
      </c>
      <c r="AF355" s="45">
        <v>95740.43</v>
      </c>
      <c r="AG355" s="45">
        <v>141367.4</v>
      </c>
      <c r="AH355" s="45"/>
      <c r="AI355" s="45"/>
      <c r="AJ355" s="45"/>
      <c r="AK355" s="45"/>
      <c r="AL355" s="45"/>
      <c r="AM355" s="45"/>
      <c r="AN355" s="45"/>
      <c r="AO355" s="45"/>
    </row>
    <row r="356" spans="2:41" outlineLevel="1" x14ac:dyDescent="0.35">
      <c r="B356" s="27" t="s">
        <v>1331</v>
      </c>
      <c r="C356" s="27" t="s">
        <v>51</v>
      </c>
      <c r="D356" s="27" t="s">
        <v>1910</v>
      </c>
      <c r="E356" s="27" t="s">
        <v>51</v>
      </c>
      <c r="F356" s="27" t="s">
        <v>512</v>
      </c>
      <c r="G356" s="27" t="s">
        <v>1510</v>
      </c>
      <c r="H356" s="27" t="s">
        <v>447</v>
      </c>
      <c r="I356" s="27" t="s">
        <v>440</v>
      </c>
      <c r="J356" s="27" t="s">
        <v>448</v>
      </c>
      <c r="K356" s="27" t="s">
        <v>491</v>
      </c>
      <c r="L356" s="27" t="s">
        <v>542</v>
      </c>
      <c r="M356" s="27" t="s">
        <v>542</v>
      </c>
      <c r="N356" s="27" t="s">
        <v>541</v>
      </c>
      <c r="O356" s="27" t="s">
        <v>491</v>
      </c>
      <c r="P356" s="27" t="s">
        <v>491</v>
      </c>
      <c r="Q356" s="27" t="s">
        <v>372</v>
      </c>
      <c r="R356" s="45">
        <v>0</v>
      </c>
      <c r="S356" s="45">
        <v>0</v>
      </c>
      <c r="T356" s="45">
        <v>0</v>
      </c>
      <c r="U356" s="45">
        <v>0</v>
      </c>
      <c r="V356" s="45">
        <v>0</v>
      </c>
      <c r="W356" s="45">
        <v>0</v>
      </c>
      <c r="X356" s="45">
        <v>0</v>
      </c>
      <c r="Y356" s="45">
        <v>11782.02</v>
      </c>
      <c r="Z356" s="45">
        <v>23466.02</v>
      </c>
      <c r="AA356" s="45">
        <v>35883.61</v>
      </c>
      <c r="AB356" s="45">
        <v>49202.96</v>
      </c>
      <c r="AC356" s="45">
        <v>63407.75</v>
      </c>
      <c r="AD356" s="45">
        <v>16741.61</v>
      </c>
      <c r="AE356" s="45">
        <v>34048.160000000003</v>
      </c>
      <c r="AF356" s="45">
        <v>44660.17</v>
      </c>
      <c r="AG356" s="45">
        <v>65632.350000000006</v>
      </c>
      <c r="AH356" s="45"/>
      <c r="AI356" s="45"/>
      <c r="AJ356" s="45"/>
      <c r="AK356" s="45"/>
      <c r="AL356" s="45"/>
      <c r="AM356" s="45"/>
      <c r="AN356" s="45"/>
      <c r="AO356" s="45"/>
    </row>
    <row r="357" spans="2:41" outlineLevel="1" x14ac:dyDescent="0.35">
      <c r="B357" s="27" t="s">
        <v>1332</v>
      </c>
      <c r="C357" s="27" t="s">
        <v>51</v>
      </c>
      <c r="D357" s="27" t="s">
        <v>1911</v>
      </c>
      <c r="E357" s="27" t="s">
        <v>51</v>
      </c>
      <c r="F357" s="27" t="s">
        <v>512</v>
      </c>
      <c r="G357" s="27" t="s">
        <v>1511</v>
      </c>
      <c r="H357" s="27" t="s">
        <v>447</v>
      </c>
      <c r="I357" s="27" t="s">
        <v>440</v>
      </c>
      <c r="J357" s="27" t="s">
        <v>448</v>
      </c>
      <c r="K357" s="27" t="s">
        <v>491</v>
      </c>
      <c r="L357" s="27" t="s">
        <v>542</v>
      </c>
      <c r="M357" s="27" t="s">
        <v>542</v>
      </c>
      <c r="N357" s="27" t="s">
        <v>541</v>
      </c>
      <c r="O357" s="27" t="s">
        <v>491</v>
      </c>
      <c r="P357" s="27" t="s">
        <v>491</v>
      </c>
      <c r="Q357" s="27" t="s">
        <v>372</v>
      </c>
      <c r="R357" s="45">
        <v>0</v>
      </c>
      <c r="S357" s="45">
        <v>0</v>
      </c>
      <c r="T357" s="45">
        <v>0</v>
      </c>
      <c r="U357" s="45">
        <v>0</v>
      </c>
      <c r="V357" s="45">
        <v>0</v>
      </c>
      <c r="W357" s="45">
        <v>0</v>
      </c>
      <c r="X357" s="45">
        <v>0</v>
      </c>
      <c r="Y357" s="45">
        <v>18751.23</v>
      </c>
      <c r="Z357" s="45">
        <v>37367.78</v>
      </c>
      <c r="AA357" s="45">
        <v>57138.080000000002</v>
      </c>
      <c r="AB357" s="45">
        <v>78297.010000000009</v>
      </c>
      <c r="AC357" s="45">
        <v>100998.95999999999</v>
      </c>
      <c r="AD357" s="45">
        <v>29932.989999999998</v>
      </c>
      <c r="AE357" s="45">
        <v>58515.12</v>
      </c>
      <c r="AF357" s="45">
        <v>66989.850000000006</v>
      </c>
      <c r="AG357" s="45">
        <v>107784.47</v>
      </c>
      <c r="AH357" s="45"/>
      <c r="AI357" s="45"/>
      <c r="AJ357" s="45"/>
      <c r="AK357" s="45"/>
      <c r="AL357" s="45"/>
      <c r="AM357" s="45"/>
      <c r="AN357" s="45"/>
      <c r="AO357" s="45"/>
    </row>
    <row r="358" spans="2:41" outlineLevel="1" x14ac:dyDescent="0.35">
      <c r="B358" s="27" t="s">
        <v>1333</v>
      </c>
      <c r="C358" s="27" t="s">
        <v>51</v>
      </c>
      <c r="D358" s="27" t="s">
        <v>1912</v>
      </c>
      <c r="E358" s="27" t="s">
        <v>51</v>
      </c>
      <c r="F358" s="27" t="s">
        <v>512</v>
      </c>
      <c r="G358" s="27" t="s">
        <v>1512</v>
      </c>
      <c r="H358" s="27" t="s">
        <v>447</v>
      </c>
      <c r="I358" s="27" t="s">
        <v>440</v>
      </c>
      <c r="J358" s="27" t="s">
        <v>448</v>
      </c>
      <c r="K358" s="27" t="s">
        <v>491</v>
      </c>
      <c r="L358" s="27" t="s">
        <v>540</v>
      </c>
      <c r="M358" s="27" t="s">
        <v>540</v>
      </c>
      <c r="N358" s="27" t="s">
        <v>541</v>
      </c>
      <c r="O358" s="27" t="s">
        <v>491</v>
      </c>
      <c r="P358" s="27" t="s">
        <v>491</v>
      </c>
      <c r="Q358" s="27" t="s">
        <v>372</v>
      </c>
      <c r="R358" s="45">
        <v>0</v>
      </c>
      <c r="S358" s="45">
        <v>0</v>
      </c>
      <c r="T358" s="45">
        <v>0</v>
      </c>
      <c r="U358" s="45">
        <v>0</v>
      </c>
      <c r="V358" s="45">
        <v>0</v>
      </c>
      <c r="W358" s="45">
        <v>0</v>
      </c>
      <c r="X358" s="45">
        <v>0</v>
      </c>
      <c r="Y358" s="45">
        <v>8856.52</v>
      </c>
      <c r="Z358" s="45">
        <v>18426.95</v>
      </c>
      <c r="AA358" s="45">
        <v>27626.639999999999</v>
      </c>
      <c r="AB358" s="45">
        <v>37876.769999999997</v>
      </c>
      <c r="AC358" s="45">
        <v>52234.94</v>
      </c>
      <c r="AD358" s="45">
        <v>12613.54</v>
      </c>
      <c r="AE358" s="45">
        <v>26048.71</v>
      </c>
      <c r="AF358" s="45">
        <v>33535.160000000003</v>
      </c>
      <c r="AG358" s="45">
        <v>50147.12</v>
      </c>
      <c r="AH358" s="45"/>
      <c r="AI358" s="45"/>
      <c r="AJ358" s="45"/>
      <c r="AK358" s="45"/>
      <c r="AL358" s="45"/>
      <c r="AM358" s="45"/>
      <c r="AN358" s="45"/>
      <c r="AO358" s="45"/>
    </row>
    <row r="359" spans="2:41" outlineLevel="1" x14ac:dyDescent="0.35">
      <c r="B359" s="27" t="s">
        <v>1334</v>
      </c>
      <c r="C359" s="27" t="s">
        <v>51</v>
      </c>
      <c r="D359" s="27" t="s">
        <v>1913</v>
      </c>
      <c r="E359" s="27" t="s">
        <v>51</v>
      </c>
      <c r="F359" s="27" t="s">
        <v>512</v>
      </c>
      <c r="G359" s="27" t="s">
        <v>1547</v>
      </c>
      <c r="H359" s="27" t="s">
        <v>447</v>
      </c>
      <c r="I359" s="27" t="s">
        <v>440</v>
      </c>
      <c r="J359" s="27" t="s">
        <v>448</v>
      </c>
      <c r="K359" s="27" t="s">
        <v>491</v>
      </c>
      <c r="L359" s="27" t="s">
        <v>542</v>
      </c>
      <c r="M359" s="27" t="s">
        <v>542</v>
      </c>
      <c r="N359" s="27" t="s">
        <v>541</v>
      </c>
      <c r="O359" s="27" t="s">
        <v>491</v>
      </c>
      <c r="P359" s="27" t="s">
        <v>491</v>
      </c>
      <c r="Q359" s="27" t="s">
        <v>372</v>
      </c>
      <c r="R359" s="45">
        <v>0</v>
      </c>
      <c r="S359" s="45">
        <v>0</v>
      </c>
      <c r="T359" s="45">
        <v>0</v>
      </c>
      <c r="U359" s="45">
        <v>0</v>
      </c>
      <c r="V359" s="45">
        <v>0</v>
      </c>
      <c r="W359" s="45">
        <v>0</v>
      </c>
      <c r="X359" s="45">
        <v>0</v>
      </c>
      <c r="Y359" s="45">
        <v>17820.53</v>
      </c>
      <c r="Z359" s="45">
        <v>36089.72</v>
      </c>
      <c r="AA359" s="45">
        <v>55428.56</v>
      </c>
      <c r="AB359" s="45">
        <v>76423.22</v>
      </c>
      <c r="AC359" s="45">
        <v>100887.39</v>
      </c>
      <c r="AD359" s="45">
        <v>26396.14</v>
      </c>
      <c r="AE359" s="45">
        <v>57208.23</v>
      </c>
      <c r="AF359" s="45">
        <v>57208.23</v>
      </c>
      <c r="AG359" s="45">
        <v>88811.91</v>
      </c>
      <c r="AH359" s="45"/>
      <c r="AI359" s="45"/>
      <c r="AJ359" s="45"/>
      <c r="AK359" s="45"/>
      <c r="AL359" s="45"/>
      <c r="AM359" s="45"/>
      <c r="AN359" s="45"/>
      <c r="AO359" s="45"/>
    </row>
    <row r="360" spans="2:41" outlineLevel="1" x14ac:dyDescent="0.35">
      <c r="B360" s="27" t="s">
        <v>924</v>
      </c>
      <c r="C360" s="27" t="s">
        <v>51</v>
      </c>
      <c r="D360" s="27" t="s">
        <v>1691</v>
      </c>
      <c r="E360" s="27" t="s">
        <v>51</v>
      </c>
      <c r="F360" s="27" t="s">
        <v>369</v>
      </c>
      <c r="G360" s="27" t="s">
        <v>925</v>
      </c>
      <c r="H360" s="27" t="s">
        <v>54</v>
      </c>
      <c r="I360" s="27" t="s">
        <v>55</v>
      </c>
      <c r="J360" s="27" t="s">
        <v>370</v>
      </c>
      <c r="K360" s="27" t="s">
        <v>371</v>
      </c>
      <c r="L360" s="27" t="s">
        <v>371</v>
      </c>
      <c r="M360" s="27" t="s">
        <v>371</v>
      </c>
      <c r="N360" s="27" t="s">
        <v>371</v>
      </c>
      <c r="O360" s="27" t="s">
        <v>371</v>
      </c>
      <c r="P360" s="27" t="s">
        <v>371</v>
      </c>
      <c r="Q360" s="27" t="s">
        <v>372</v>
      </c>
      <c r="R360" s="45">
        <v>0</v>
      </c>
      <c r="S360" s="45">
        <v>0</v>
      </c>
      <c r="T360" s="45">
        <v>0</v>
      </c>
      <c r="U360" s="45">
        <v>0</v>
      </c>
      <c r="V360" s="45">
        <v>0</v>
      </c>
      <c r="W360" s="45">
        <v>0</v>
      </c>
      <c r="X360" s="45">
        <v>0</v>
      </c>
      <c r="Y360" s="45">
        <v>0</v>
      </c>
      <c r="Z360" s="45">
        <v>0.83000000193715096</v>
      </c>
      <c r="AA360" s="45">
        <v>0.01</v>
      </c>
      <c r="AB360" s="45">
        <v>0</v>
      </c>
      <c r="AC360" s="45">
        <v>4.6900000000000004</v>
      </c>
      <c r="AD360" s="45">
        <v>0</v>
      </c>
      <c r="AE360" s="45">
        <v>7.65</v>
      </c>
      <c r="AF360" s="45">
        <v>0</v>
      </c>
      <c r="AG360" s="45">
        <v>0</v>
      </c>
      <c r="AH360" s="45"/>
      <c r="AI360" s="45"/>
      <c r="AJ360" s="45"/>
      <c r="AK360" s="45"/>
      <c r="AL360" s="45"/>
      <c r="AM360" s="45"/>
      <c r="AN360" s="45"/>
      <c r="AO360" s="45"/>
    </row>
    <row r="361" spans="2:41" outlineLevel="1" x14ac:dyDescent="0.35">
      <c r="B361" s="27" t="s">
        <v>1335</v>
      </c>
      <c r="C361" s="27" t="s">
        <v>51</v>
      </c>
      <c r="D361" s="27" t="s">
        <v>1914</v>
      </c>
      <c r="E361" s="27" t="s">
        <v>51</v>
      </c>
      <c r="F361" s="27" t="s">
        <v>369</v>
      </c>
      <c r="G361" s="27" t="s">
        <v>1692</v>
      </c>
      <c r="H361" s="27" t="s">
        <v>54</v>
      </c>
      <c r="I361" s="27" t="s">
        <v>55</v>
      </c>
      <c r="J361" s="27" t="s">
        <v>370</v>
      </c>
      <c r="K361" s="27" t="s">
        <v>371</v>
      </c>
      <c r="L361" s="27" t="s">
        <v>371</v>
      </c>
      <c r="M361" s="27" t="s">
        <v>371</v>
      </c>
      <c r="N361" s="27" t="s">
        <v>371</v>
      </c>
      <c r="O361" s="27" t="s">
        <v>371</v>
      </c>
      <c r="P361" s="27" t="s">
        <v>371</v>
      </c>
      <c r="Q361" s="27" t="s">
        <v>372</v>
      </c>
      <c r="R361" s="45">
        <v>0</v>
      </c>
      <c r="S361" s="45">
        <v>0</v>
      </c>
      <c r="T361" s="45">
        <v>0</v>
      </c>
      <c r="U361" s="45">
        <v>0</v>
      </c>
      <c r="V361" s="45">
        <v>0</v>
      </c>
      <c r="W361" s="45">
        <v>0</v>
      </c>
      <c r="X361" s="45">
        <v>0</v>
      </c>
      <c r="Y361" s="45">
        <v>0</v>
      </c>
      <c r="Z361" s="45">
        <v>15000</v>
      </c>
      <c r="AA361" s="45">
        <v>15000</v>
      </c>
      <c r="AB361" s="45">
        <v>15000</v>
      </c>
      <c r="AC361" s="45">
        <v>26877.77</v>
      </c>
      <c r="AD361" s="45">
        <v>26900.77</v>
      </c>
      <c r="AE361" s="45">
        <v>33788.269999999997</v>
      </c>
      <c r="AF361" s="45">
        <v>15107.5</v>
      </c>
      <c r="AG361" s="45">
        <v>14568.67</v>
      </c>
      <c r="AH361" s="45"/>
      <c r="AI361" s="45"/>
      <c r="AJ361" s="45"/>
      <c r="AK361" s="45"/>
      <c r="AL361" s="45"/>
      <c r="AM361" s="45"/>
      <c r="AN361" s="45"/>
      <c r="AO361" s="45"/>
    </row>
    <row r="362" spans="2:41" outlineLevel="1" x14ac:dyDescent="0.35">
      <c r="B362" s="27" t="s">
        <v>1336</v>
      </c>
      <c r="C362" s="27" t="s">
        <v>51</v>
      </c>
      <c r="D362" s="27" t="s">
        <v>1915</v>
      </c>
      <c r="E362" s="27" t="s">
        <v>51</v>
      </c>
      <c r="F362" s="27" t="s">
        <v>369</v>
      </c>
      <c r="G362" s="27" t="s">
        <v>1693</v>
      </c>
      <c r="H362" s="27" t="s">
        <v>54</v>
      </c>
      <c r="I362" s="27" t="s">
        <v>55</v>
      </c>
      <c r="J362" s="27" t="s">
        <v>370</v>
      </c>
      <c r="K362" s="27" t="s">
        <v>371</v>
      </c>
      <c r="L362" s="27" t="s">
        <v>371</v>
      </c>
      <c r="M362" s="27" t="s">
        <v>371</v>
      </c>
      <c r="N362" s="27" t="s">
        <v>371</v>
      </c>
      <c r="O362" s="27" t="s">
        <v>371</v>
      </c>
      <c r="P362" s="27" t="s">
        <v>371</v>
      </c>
      <c r="Q362" s="27" t="s">
        <v>372</v>
      </c>
      <c r="R362" s="45">
        <v>0</v>
      </c>
      <c r="S362" s="45">
        <v>0</v>
      </c>
      <c r="T362" s="45">
        <v>0</v>
      </c>
      <c r="U362" s="45">
        <v>0</v>
      </c>
      <c r="V362" s="45">
        <v>0</v>
      </c>
      <c r="W362" s="45">
        <v>0</v>
      </c>
      <c r="X362" s="45">
        <v>0</v>
      </c>
      <c r="Y362" s="45">
        <v>0</v>
      </c>
      <c r="Z362" s="45">
        <v>5.8299999999580905</v>
      </c>
      <c r="AA362" s="45">
        <v>5.83</v>
      </c>
      <c r="AB362" s="45">
        <v>5</v>
      </c>
      <c r="AC362" s="45">
        <v>144609.12</v>
      </c>
      <c r="AD362" s="45">
        <v>7.17</v>
      </c>
      <c r="AE362" s="45">
        <v>7.17</v>
      </c>
      <c r="AF362" s="45">
        <v>22569.87</v>
      </c>
      <c r="AG362" s="45">
        <v>27144.75</v>
      </c>
      <c r="AH362" s="45"/>
      <c r="AI362" s="45"/>
      <c r="AJ362" s="45"/>
      <c r="AK362" s="45"/>
      <c r="AL362" s="45"/>
      <c r="AM362" s="45"/>
      <c r="AN362" s="45"/>
      <c r="AO362" s="45"/>
    </row>
    <row r="363" spans="2:41" outlineLevel="1" x14ac:dyDescent="0.35">
      <c r="B363" s="27" t="s">
        <v>1337</v>
      </c>
      <c r="C363" s="27" t="s">
        <v>51</v>
      </c>
      <c r="D363" s="27" t="s">
        <v>1916</v>
      </c>
      <c r="E363" s="27" t="s">
        <v>51</v>
      </c>
      <c r="F363" s="27" t="s">
        <v>369</v>
      </c>
      <c r="G363" s="27" t="s">
        <v>1694</v>
      </c>
      <c r="H363" s="27" t="s">
        <v>54</v>
      </c>
      <c r="I363" s="27" t="s">
        <v>55</v>
      </c>
      <c r="J363" s="27" t="s">
        <v>370</v>
      </c>
      <c r="K363" s="27" t="s">
        <v>371</v>
      </c>
      <c r="L363" s="27" t="s">
        <v>371</v>
      </c>
      <c r="M363" s="27" t="s">
        <v>371</v>
      </c>
      <c r="N363" s="27" t="s">
        <v>371</v>
      </c>
      <c r="O363" s="27" t="s">
        <v>371</v>
      </c>
      <c r="P363" s="27" t="s">
        <v>371</v>
      </c>
      <c r="Q363" s="27" t="s">
        <v>372</v>
      </c>
      <c r="R363" s="45">
        <v>0</v>
      </c>
      <c r="S363" s="45">
        <v>0</v>
      </c>
      <c r="T363" s="45">
        <v>0</v>
      </c>
      <c r="U363" s="45">
        <v>0</v>
      </c>
      <c r="V363" s="45">
        <v>0</v>
      </c>
      <c r="W363" s="45">
        <v>0</v>
      </c>
      <c r="X363" s="45">
        <v>0</v>
      </c>
      <c r="Y363" s="45">
        <v>0</v>
      </c>
      <c r="Z363" s="45">
        <v>3.9699999997392297</v>
      </c>
      <c r="AA363" s="45">
        <v>5.98</v>
      </c>
      <c r="AB363" s="45">
        <v>7.03</v>
      </c>
      <c r="AC363" s="45">
        <v>48382.92</v>
      </c>
      <c r="AD363" s="45">
        <v>7.21</v>
      </c>
      <c r="AE363" s="45">
        <v>7.69</v>
      </c>
      <c r="AF363" s="45">
        <v>15368.84</v>
      </c>
      <c r="AG363" s="45">
        <v>18173.36</v>
      </c>
      <c r="AH363" s="45"/>
      <c r="AI363" s="45"/>
      <c r="AJ363" s="45"/>
      <c r="AK363" s="45"/>
      <c r="AL363" s="45"/>
      <c r="AM363" s="45"/>
      <c r="AN363" s="45"/>
      <c r="AO363" s="45"/>
    </row>
    <row r="364" spans="2:41" outlineLevel="1" x14ac:dyDescent="0.35">
      <c r="B364" s="27" t="s">
        <v>926</v>
      </c>
      <c r="C364" s="27" t="s">
        <v>51</v>
      </c>
      <c r="D364" s="27" t="s">
        <v>1695</v>
      </c>
      <c r="E364" s="27" t="s">
        <v>51</v>
      </c>
      <c r="F364" s="27" t="s">
        <v>369</v>
      </c>
      <c r="G364" s="27" t="s">
        <v>927</v>
      </c>
      <c r="H364" s="27" t="s">
        <v>54</v>
      </c>
      <c r="I364" s="27" t="s">
        <v>55</v>
      </c>
      <c r="J364" s="27" t="s">
        <v>370</v>
      </c>
      <c r="K364" s="27" t="s">
        <v>371</v>
      </c>
      <c r="L364" s="27" t="s">
        <v>371</v>
      </c>
      <c r="M364" s="27" t="s">
        <v>371</v>
      </c>
      <c r="N364" s="27" t="s">
        <v>371</v>
      </c>
      <c r="O364" s="27" t="s">
        <v>371</v>
      </c>
      <c r="P364" s="27" t="s">
        <v>371</v>
      </c>
      <c r="Q364" s="27" t="s">
        <v>372</v>
      </c>
      <c r="R364" s="45">
        <v>0</v>
      </c>
      <c r="S364" s="45">
        <v>0</v>
      </c>
      <c r="T364" s="45">
        <v>0</v>
      </c>
      <c r="U364" s="45">
        <v>0</v>
      </c>
      <c r="V364" s="45">
        <v>0</v>
      </c>
      <c r="W364" s="45">
        <v>0</v>
      </c>
      <c r="X364" s="45">
        <v>0</v>
      </c>
      <c r="Y364" s="45">
        <v>0</v>
      </c>
      <c r="Z364" s="45">
        <v>3711610.32</v>
      </c>
      <c r="AA364" s="45">
        <v>0</v>
      </c>
      <c r="AB364" s="45">
        <v>0</v>
      </c>
      <c r="AC364" s="45">
        <v>100.22</v>
      </c>
      <c r="AD364" s="45">
        <v>100.22</v>
      </c>
      <c r="AE364" s="45">
        <v>2495261</v>
      </c>
      <c r="AF364" s="45">
        <v>0</v>
      </c>
      <c r="AG364" s="45">
        <v>0</v>
      </c>
      <c r="AH364" s="45"/>
      <c r="AI364" s="45"/>
      <c r="AJ364" s="45"/>
      <c r="AK364" s="45"/>
      <c r="AL364" s="45"/>
      <c r="AM364" s="45"/>
      <c r="AN364" s="45"/>
      <c r="AO364" s="45"/>
    </row>
    <row r="365" spans="2:41" outlineLevel="1" x14ac:dyDescent="0.35">
      <c r="B365" s="27" t="s">
        <v>1338</v>
      </c>
      <c r="C365" s="27" t="s">
        <v>51</v>
      </c>
      <c r="D365" s="27" t="s">
        <v>1917</v>
      </c>
      <c r="E365" s="27" t="s">
        <v>51</v>
      </c>
      <c r="F365" s="27" t="s">
        <v>369</v>
      </c>
      <c r="G365" s="27" t="s">
        <v>1696</v>
      </c>
      <c r="H365" s="27" t="s">
        <v>54</v>
      </c>
      <c r="I365" s="27" t="s">
        <v>55</v>
      </c>
      <c r="J365" s="27" t="s">
        <v>370</v>
      </c>
      <c r="K365" s="27" t="s">
        <v>371</v>
      </c>
      <c r="L365" s="27" t="s">
        <v>371</v>
      </c>
      <c r="M365" s="27" t="s">
        <v>371</v>
      </c>
      <c r="N365" s="27" t="s">
        <v>371</v>
      </c>
      <c r="O365" s="27" t="s">
        <v>371</v>
      </c>
      <c r="P365" s="27" t="s">
        <v>371</v>
      </c>
      <c r="Q365" s="27" t="s">
        <v>372</v>
      </c>
      <c r="R365" s="45">
        <v>0</v>
      </c>
      <c r="S365" s="45">
        <v>0</v>
      </c>
      <c r="T365" s="45">
        <v>0</v>
      </c>
      <c r="U365" s="45">
        <v>0</v>
      </c>
      <c r="V365" s="45">
        <v>0</v>
      </c>
      <c r="W365" s="45">
        <v>0</v>
      </c>
      <c r="X365" s="45">
        <v>0</v>
      </c>
      <c r="Y365" s="45">
        <v>0</v>
      </c>
      <c r="Z365" s="45">
        <v>536544.17000000004</v>
      </c>
      <c r="AA365" s="45">
        <v>536544.17000000004</v>
      </c>
      <c r="AB365" s="45">
        <v>670748.55000000005</v>
      </c>
      <c r="AC365" s="45">
        <v>804888.63</v>
      </c>
      <c r="AD365" s="45">
        <v>939021.38</v>
      </c>
      <c r="AE365" s="45">
        <v>939021.38</v>
      </c>
      <c r="AF365" s="45">
        <v>939021.38</v>
      </c>
      <c r="AG365" s="45">
        <v>939021.38</v>
      </c>
      <c r="AH365" s="45"/>
      <c r="AI365" s="45"/>
      <c r="AJ365" s="45"/>
      <c r="AK365" s="45"/>
      <c r="AL365" s="45"/>
      <c r="AM365" s="45"/>
      <c r="AN365" s="45"/>
      <c r="AO365" s="45"/>
    </row>
    <row r="366" spans="2:41" outlineLevel="1" x14ac:dyDescent="0.35">
      <c r="B366" s="27" t="s">
        <v>1339</v>
      </c>
      <c r="C366" s="27" t="s">
        <v>51</v>
      </c>
      <c r="D366" s="27" t="s">
        <v>1918</v>
      </c>
      <c r="E366" s="27" t="s">
        <v>51</v>
      </c>
      <c r="F366" s="27" t="s">
        <v>369</v>
      </c>
      <c r="G366" s="27" t="s">
        <v>1697</v>
      </c>
      <c r="H366" s="27" t="s">
        <v>54</v>
      </c>
      <c r="I366" s="27" t="s">
        <v>55</v>
      </c>
      <c r="J366" s="27" t="s">
        <v>370</v>
      </c>
      <c r="K366" s="27" t="s">
        <v>371</v>
      </c>
      <c r="L366" s="27" t="s">
        <v>371</v>
      </c>
      <c r="M366" s="27" t="s">
        <v>371</v>
      </c>
      <c r="N366" s="27" t="s">
        <v>371</v>
      </c>
      <c r="O366" s="27" t="s">
        <v>371</v>
      </c>
      <c r="P366" s="27" t="s">
        <v>371</v>
      </c>
      <c r="Q366" s="27" t="s">
        <v>372</v>
      </c>
      <c r="R366" s="45">
        <v>0</v>
      </c>
      <c r="S366" s="45">
        <v>0</v>
      </c>
      <c r="T366" s="45">
        <v>0</v>
      </c>
      <c r="U366" s="45">
        <v>0</v>
      </c>
      <c r="V366" s="45">
        <v>0</v>
      </c>
      <c r="W366" s="45">
        <v>0</v>
      </c>
      <c r="X366" s="45">
        <v>0</v>
      </c>
      <c r="Y366" s="45">
        <v>0</v>
      </c>
      <c r="Z366" s="45">
        <v>3635075.79</v>
      </c>
      <c r="AA366" s="45">
        <v>1833507</v>
      </c>
      <c r="AB366" s="45">
        <v>4125398.42</v>
      </c>
      <c r="AC366" s="45">
        <v>0</v>
      </c>
      <c r="AD366" s="45">
        <v>1875314.02</v>
      </c>
      <c r="AE366" s="45">
        <v>3743429.3</v>
      </c>
      <c r="AF366" s="45">
        <v>357.08</v>
      </c>
      <c r="AG366" s="45">
        <v>1843646.95</v>
      </c>
      <c r="AH366" s="45"/>
      <c r="AI366" s="45"/>
      <c r="AJ366" s="45"/>
      <c r="AK366" s="45"/>
      <c r="AL366" s="45"/>
      <c r="AM366" s="45"/>
      <c r="AN366" s="45"/>
      <c r="AO366" s="45"/>
    </row>
    <row r="367" spans="2:41" outlineLevel="1" x14ac:dyDescent="0.35">
      <c r="B367" s="27" t="s">
        <v>928</v>
      </c>
      <c r="C367" s="27" t="s">
        <v>51</v>
      </c>
      <c r="D367" s="27" t="s">
        <v>1698</v>
      </c>
      <c r="E367" s="27" t="s">
        <v>51</v>
      </c>
      <c r="F367" s="27" t="s">
        <v>119</v>
      </c>
      <c r="G367" s="27" t="s">
        <v>929</v>
      </c>
      <c r="H367" s="27" t="s">
        <v>54</v>
      </c>
      <c r="I367" s="27" t="s">
        <v>55</v>
      </c>
      <c r="J367" s="27" t="s">
        <v>56</v>
      </c>
      <c r="K367" s="27" t="s">
        <v>371</v>
      </c>
      <c r="L367" s="27" t="s">
        <v>371</v>
      </c>
      <c r="M367" s="27" t="s">
        <v>371</v>
      </c>
      <c r="N367" s="27" t="s">
        <v>371</v>
      </c>
      <c r="O367" s="27" t="s">
        <v>371</v>
      </c>
      <c r="Q367" s="27" t="s">
        <v>372</v>
      </c>
      <c r="R367" s="45">
        <v>0</v>
      </c>
      <c r="S367" s="45">
        <v>0</v>
      </c>
      <c r="T367" s="45">
        <v>0</v>
      </c>
      <c r="U367" s="45">
        <v>0</v>
      </c>
      <c r="V367" s="45">
        <v>0</v>
      </c>
      <c r="W367" s="45">
        <v>0</v>
      </c>
      <c r="X367" s="45">
        <v>0</v>
      </c>
      <c r="Y367" s="45">
        <v>0</v>
      </c>
      <c r="Z367" s="45">
        <v>36962.42</v>
      </c>
      <c r="AA367" s="45">
        <v>6119.81</v>
      </c>
      <c r="AB367" s="45">
        <v>6119.81</v>
      </c>
      <c r="AC367" s="45">
        <v>0</v>
      </c>
      <c r="AD367" s="45">
        <v>0</v>
      </c>
      <c r="AE367" s="45">
        <v>0</v>
      </c>
      <c r="AF367" s="45">
        <v>0</v>
      </c>
      <c r="AG367" s="45">
        <v>0</v>
      </c>
      <c r="AH367" s="45"/>
      <c r="AI367" s="45"/>
      <c r="AJ367" s="45"/>
      <c r="AK367" s="45"/>
      <c r="AL367" s="45"/>
      <c r="AM367" s="45"/>
      <c r="AN367" s="45"/>
      <c r="AO367" s="45"/>
    </row>
    <row r="368" spans="2:41" outlineLevel="1" x14ac:dyDescent="0.35">
      <c r="B368" s="27" t="s">
        <v>930</v>
      </c>
      <c r="C368" s="27" t="s">
        <v>51</v>
      </c>
      <c r="D368" s="27" t="s">
        <v>1699</v>
      </c>
      <c r="E368" s="27" t="s">
        <v>51</v>
      </c>
      <c r="F368" s="27" t="s">
        <v>1053</v>
      </c>
      <c r="G368" s="27" t="s">
        <v>1091</v>
      </c>
      <c r="H368" s="27" t="s">
        <v>54</v>
      </c>
      <c r="I368" s="27" t="s">
        <v>55</v>
      </c>
      <c r="J368" s="27" t="s">
        <v>383</v>
      </c>
      <c r="K368" s="27" t="s">
        <v>371</v>
      </c>
      <c r="L368" s="27" t="s">
        <v>371</v>
      </c>
      <c r="M368" s="27" t="s">
        <v>371</v>
      </c>
      <c r="N368" s="27" t="s">
        <v>371</v>
      </c>
      <c r="O368" s="27" t="s">
        <v>371</v>
      </c>
      <c r="P368" s="27" t="s">
        <v>371</v>
      </c>
      <c r="Q368" s="27" t="s">
        <v>372</v>
      </c>
      <c r="R368" s="45">
        <v>0</v>
      </c>
      <c r="S368" s="45">
        <v>0</v>
      </c>
      <c r="T368" s="45">
        <v>0</v>
      </c>
      <c r="U368" s="45">
        <v>0</v>
      </c>
      <c r="V368" s="45">
        <v>0</v>
      </c>
      <c r="W368" s="45">
        <v>0</v>
      </c>
      <c r="X368" s="45">
        <v>0</v>
      </c>
      <c r="Y368" s="45">
        <v>0</v>
      </c>
      <c r="Z368" s="45">
        <v>248531.45</v>
      </c>
      <c r="AA368" s="45">
        <v>248531.45</v>
      </c>
      <c r="AB368" s="45">
        <v>248531.45</v>
      </c>
      <c r="AC368" s="45">
        <v>248531.45</v>
      </c>
      <c r="AD368" s="45">
        <v>248531.45</v>
      </c>
      <c r="AE368" s="45">
        <v>248531.45</v>
      </c>
      <c r="AF368" s="45">
        <v>0</v>
      </c>
      <c r="AG368" s="45">
        <v>0</v>
      </c>
      <c r="AH368" s="45"/>
      <c r="AI368" s="45"/>
      <c r="AJ368" s="45"/>
      <c r="AK368" s="45"/>
      <c r="AL368" s="45"/>
      <c r="AM368" s="45"/>
      <c r="AN368" s="45"/>
      <c r="AO368" s="45"/>
    </row>
    <row r="369" spans="2:41" outlineLevel="1" x14ac:dyDescent="0.35">
      <c r="B369" s="27" t="s">
        <v>1340</v>
      </c>
      <c r="C369" s="27" t="s">
        <v>51</v>
      </c>
      <c r="D369" s="27" t="s">
        <v>1919</v>
      </c>
      <c r="E369" s="27" t="s">
        <v>51</v>
      </c>
      <c r="F369" s="27" t="s">
        <v>457</v>
      </c>
      <c r="G369" s="27" t="s">
        <v>1700</v>
      </c>
      <c r="H369" s="27" t="s">
        <v>447</v>
      </c>
      <c r="I369" s="27" t="s">
        <v>440</v>
      </c>
      <c r="J369" s="27" t="s">
        <v>448</v>
      </c>
      <c r="K369" s="27" t="s">
        <v>449</v>
      </c>
      <c r="L369" s="27" t="s">
        <v>938</v>
      </c>
      <c r="M369" s="27" t="s">
        <v>938</v>
      </c>
      <c r="N369" s="27" t="s">
        <v>938</v>
      </c>
      <c r="O369" s="27" t="s">
        <v>449</v>
      </c>
      <c r="P369" s="27" t="s">
        <v>449</v>
      </c>
      <c r="Q369" s="27" t="s">
        <v>372</v>
      </c>
      <c r="R369" s="45">
        <v>0</v>
      </c>
      <c r="S369" s="45">
        <v>0</v>
      </c>
      <c r="T369" s="45">
        <v>0</v>
      </c>
      <c r="U369" s="45">
        <v>0</v>
      </c>
      <c r="V369" s="45">
        <v>0</v>
      </c>
      <c r="W369" s="45">
        <v>0</v>
      </c>
      <c r="X369" s="45">
        <v>0</v>
      </c>
      <c r="Y369" s="45">
        <v>0</v>
      </c>
      <c r="Z369" s="45">
        <v>-759692.65</v>
      </c>
      <c r="AA369" s="45">
        <v>-1019387.34</v>
      </c>
      <c r="AB369" s="45">
        <v>-1251943.79</v>
      </c>
      <c r="AC369" s="45">
        <v>-1474726.07</v>
      </c>
      <c r="AD369" s="45">
        <v>-206606.9</v>
      </c>
      <c r="AE369" s="45">
        <v>-462390.52</v>
      </c>
      <c r="AF369" s="45">
        <v>-838937.07</v>
      </c>
      <c r="AG369" s="45">
        <v>-1155647.4099999999</v>
      </c>
      <c r="AH369" s="45"/>
      <c r="AI369" s="45"/>
      <c r="AJ369" s="45"/>
      <c r="AK369" s="45"/>
      <c r="AL369" s="45"/>
      <c r="AM369" s="45"/>
      <c r="AN369" s="45"/>
      <c r="AO369" s="45"/>
    </row>
    <row r="370" spans="2:41" outlineLevel="1" x14ac:dyDescent="0.35">
      <c r="B370" s="27" t="s">
        <v>931</v>
      </c>
      <c r="C370" s="27" t="s">
        <v>51</v>
      </c>
      <c r="D370" s="27" t="s">
        <v>1701</v>
      </c>
      <c r="E370" s="27" t="s">
        <v>51</v>
      </c>
      <c r="F370" s="27" t="s">
        <v>501</v>
      </c>
      <c r="G370" s="27" t="s">
        <v>932</v>
      </c>
      <c r="H370" s="27" t="s">
        <v>447</v>
      </c>
      <c r="I370" s="27" t="s">
        <v>440</v>
      </c>
      <c r="J370" s="27" t="s">
        <v>448</v>
      </c>
      <c r="K370" s="27" t="s">
        <v>476</v>
      </c>
      <c r="L370" s="27" t="s">
        <v>894</v>
      </c>
      <c r="M370" s="27" t="s">
        <v>894</v>
      </c>
      <c r="N370" s="27" t="s">
        <v>894</v>
      </c>
      <c r="O370" s="27" t="s">
        <v>480</v>
      </c>
      <c r="P370" s="27" t="s">
        <v>480</v>
      </c>
      <c r="Q370" s="27" t="s">
        <v>372</v>
      </c>
      <c r="R370" s="45">
        <v>0</v>
      </c>
      <c r="S370" s="45">
        <v>0</v>
      </c>
      <c r="T370" s="45">
        <v>0</v>
      </c>
      <c r="U370" s="45">
        <v>0</v>
      </c>
      <c r="V370" s="45">
        <v>0</v>
      </c>
      <c r="W370" s="45">
        <v>0</v>
      </c>
      <c r="X370" s="45">
        <v>0</v>
      </c>
      <c r="Y370" s="45">
        <v>0</v>
      </c>
      <c r="Z370" s="45">
        <v>43680</v>
      </c>
      <c r="AA370" s="45">
        <v>43680</v>
      </c>
      <c r="AB370" s="45">
        <v>78179</v>
      </c>
      <c r="AC370" s="45">
        <v>78179</v>
      </c>
      <c r="AD370" s="45">
        <v>0</v>
      </c>
      <c r="AE370" s="45">
        <v>0</v>
      </c>
      <c r="AF370" s="45">
        <v>0</v>
      </c>
      <c r="AG370" s="45">
        <v>0</v>
      </c>
      <c r="AH370" s="45"/>
      <c r="AI370" s="45"/>
      <c r="AJ370" s="45"/>
      <c r="AK370" s="45"/>
      <c r="AL370" s="45"/>
      <c r="AM370" s="45"/>
      <c r="AN370" s="45"/>
      <c r="AO370" s="45"/>
    </row>
    <row r="371" spans="2:41" outlineLevel="1" x14ac:dyDescent="0.35">
      <c r="B371" s="27" t="s">
        <v>933</v>
      </c>
      <c r="C371" s="27" t="s">
        <v>51</v>
      </c>
      <c r="D371" s="27" t="s">
        <v>1702</v>
      </c>
      <c r="E371" s="27" t="s">
        <v>51</v>
      </c>
      <c r="F371" s="27" t="s">
        <v>501</v>
      </c>
      <c r="G371" s="27" t="s">
        <v>934</v>
      </c>
      <c r="H371" s="27" t="s">
        <v>447</v>
      </c>
      <c r="I371" s="27" t="s">
        <v>440</v>
      </c>
      <c r="J371" s="27" t="s">
        <v>448</v>
      </c>
      <c r="K371" s="27" t="s">
        <v>476</v>
      </c>
      <c r="L371" s="27" t="s">
        <v>937</v>
      </c>
      <c r="M371" s="27" t="s">
        <v>937</v>
      </c>
      <c r="N371" s="27" t="s">
        <v>937</v>
      </c>
      <c r="O371" s="27" t="s">
        <v>480</v>
      </c>
      <c r="P371" s="27" t="s">
        <v>480</v>
      </c>
      <c r="Q371" s="27" t="s">
        <v>372</v>
      </c>
      <c r="R371" s="45">
        <v>0</v>
      </c>
      <c r="S371" s="45">
        <v>0</v>
      </c>
      <c r="T371" s="45">
        <v>0</v>
      </c>
      <c r="U371" s="45">
        <v>0</v>
      </c>
      <c r="V371" s="45">
        <v>0</v>
      </c>
      <c r="W371" s="45">
        <v>0</v>
      </c>
      <c r="X371" s="45">
        <v>0</v>
      </c>
      <c r="Y371" s="45">
        <v>0</v>
      </c>
      <c r="Z371" s="45">
        <v>23232</v>
      </c>
      <c r="AA371" s="45">
        <v>23232</v>
      </c>
      <c r="AB371" s="45">
        <v>23232</v>
      </c>
      <c r="AC371" s="45">
        <v>23232</v>
      </c>
      <c r="AD371" s="45">
        <v>0</v>
      </c>
      <c r="AE371" s="45">
        <v>0</v>
      </c>
      <c r="AF371" s="45">
        <v>0</v>
      </c>
      <c r="AG371" s="45">
        <v>0</v>
      </c>
      <c r="AH371" s="45"/>
      <c r="AI371" s="45"/>
      <c r="AJ371" s="45"/>
      <c r="AK371" s="45"/>
      <c r="AL371" s="45"/>
      <c r="AM371" s="45"/>
      <c r="AN371" s="45"/>
      <c r="AO371" s="45"/>
    </row>
    <row r="372" spans="2:41" outlineLevel="1" x14ac:dyDescent="0.35">
      <c r="B372" s="27" t="s">
        <v>935</v>
      </c>
      <c r="C372" s="27" t="s">
        <v>51</v>
      </c>
      <c r="D372" s="27" t="s">
        <v>1703</v>
      </c>
      <c r="E372" s="27" t="s">
        <v>51</v>
      </c>
      <c r="F372" s="27" t="s">
        <v>556</v>
      </c>
      <c r="G372" s="27" t="s">
        <v>936</v>
      </c>
      <c r="H372" s="27" t="s">
        <v>447</v>
      </c>
      <c r="I372" s="27" t="s">
        <v>440</v>
      </c>
      <c r="J372" s="27" t="s">
        <v>448</v>
      </c>
      <c r="K372" s="27" t="s">
        <v>557</v>
      </c>
      <c r="L372" s="27" t="s">
        <v>557</v>
      </c>
      <c r="M372" s="27" t="s">
        <v>560</v>
      </c>
      <c r="N372" s="27" t="s">
        <v>371</v>
      </c>
      <c r="O372" s="27" t="s">
        <v>557</v>
      </c>
      <c r="P372" s="27" t="s">
        <v>557</v>
      </c>
      <c r="Q372" s="27" t="s">
        <v>372</v>
      </c>
      <c r="R372" s="45">
        <v>0</v>
      </c>
      <c r="S372" s="45">
        <v>0</v>
      </c>
      <c r="T372" s="45">
        <v>0</v>
      </c>
      <c r="U372" s="45">
        <v>0</v>
      </c>
      <c r="V372" s="45">
        <v>0</v>
      </c>
      <c r="W372" s="45">
        <v>0</v>
      </c>
      <c r="X372" s="45">
        <v>0</v>
      </c>
      <c r="Y372" s="45">
        <v>0</v>
      </c>
      <c r="Z372" s="45">
        <v>146445.06</v>
      </c>
      <c r="AA372" s="45">
        <v>146445.06</v>
      </c>
      <c r="AB372" s="45">
        <v>146445.06</v>
      </c>
      <c r="AC372" s="45">
        <v>146445.06</v>
      </c>
      <c r="AD372" s="45">
        <v>0</v>
      </c>
      <c r="AE372" s="45">
        <v>0</v>
      </c>
      <c r="AF372" s="45">
        <v>0</v>
      </c>
      <c r="AG372" s="45">
        <v>0</v>
      </c>
      <c r="AH372" s="45"/>
      <c r="AI372" s="45"/>
      <c r="AJ372" s="45"/>
      <c r="AK372" s="45"/>
      <c r="AL372" s="45"/>
      <c r="AM372" s="45"/>
      <c r="AN372" s="45"/>
      <c r="AO372" s="45"/>
    </row>
    <row r="373" spans="2:41" outlineLevel="1" x14ac:dyDescent="0.35">
      <c r="B373" s="27" t="s">
        <v>1341</v>
      </c>
      <c r="C373" s="27" t="s">
        <v>51</v>
      </c>
      <c r="D373" s="27" t="s">
        <v>1920</v>
      </c>
      <c r="E373" s="27" t="s">
        <v>51</v>
      </c>
      <c r="F373" s="27" t="s">
        <v>369</v>
      </c>
      <c r="G373" s="27" t="s">
        <v>1704</v>
      </c>
      <c r="H373" s="27" t="s">
        <v>54</v>
      </c>
      <c r="I373" s="27" t="s">
        <v>55</v>
      </c>
      <c r="J373" s="27" t="s">
        <v>370</v>
      </c>
      <c r="K373" s="27" t="s">
        <v>371</v>
      </c>
      <c r="L373" s="27" t="s">
        <v>371</v>
      </c>
      <c r="M373" s="27" t="s">
        <v>371</v>
      </c>
      <c r="N373" s="27" t="s">
        <v>371</v>
      </c>
      <c r="O373" s="27" t="s">
        <v>371</v>
      </c>
      <c r="P373" s="27" t="s">
        <v>371</v>
      </c>
      <c r="Q373" s="27" t="s">
        <v>372</v>
      </c>
      <c r="R373" s="45">
        <v>0</v>
      </c>
      <c r="S373" s="45">
        <v>0</v>
      </c>
      <c r="T373" s="45">
        <v>0</v>
      </c>
      <c r="U373" s="45">
        <v>0</v>
      </c>
      <c r="V373" s="45">
        <v>0</v>
      </c>
      <c r="W373" s="45">
        <v>0</v>
      </c>
      <c r="X373" s="45">
        <v>0</v>
      </c>
      <c r="Y373" s="45">
        <v>0</v>
      </c>
      <c r="Z373" s="45">
        <v>4000</v>
      </c>
      <c r="AA373" s="45">
        <v>6500</v>
      </c>
      <c r="AB373" s="45">
        <v>6500</v>
      </c>
      <c r="AC373" s="45">
        <v>6500</v>
      </c>
      <c r="AD373" s="45">
        <v>7900</v>
      </c>
      <c r="AE373" s="45">
        <v>1012.5</v>
      </c>
      <c r="AF373" s="45">
        <v>19820.27</v>
      </c>
      <c r="AG373" s="45">
        <v>24649.1</v>
      </c>
      <c r="AH373" s="45"/>
      <c r="AI373" s="45"/>
      <c r="AJ373" s="45"/>
      <c r="AK373" s="45"/>
      <c r="AL373" s="45"/>
      <c r="AM373" s="45"/>
      <c r="AN373" s="45"/>
      <c r="AO373" s="45"/>
    </row>
    <row r="374" spans="2:41" outlineLevel="1" x14ac:dyDescent="0.35">
      <c r="B374" s="27" t="s">
        <v>940</v>
      </c>
      <c r="C374" s="27" t="s">
        <v>51</v>
      </c>
      <c r="D374" s="27" t="s">
        <v>1705</v>
      </c>
      <c r="E374" s="27" t="s">
        <v>51</v>
      </c>
      <c r="F374" s="27" t="s">
        <v>635</v>
      </c>
      <c r="G374" s="27" t="s">
        <v>941</v>
      </c>
      <c r="H374" s="27" t="s">
        <v>447</v>
      </c>
      <c r="I374" s="27" t="s">
        <v>440</v>
      </c>
      <c r="J374" s="27" t="s">
        <v>448</v>
      </c>
      <c r="K374" s="27" t="s">
        <v>449</v>
      </c>
      <c r="L374" s="27" t="s">
        <v>458</v>
      </c>
      <c r="M374" s="27" t="s">
        <v>502</v>
      </c>
      <c r="N374" s="27" t="s">
        <v>458</v>
      </c>
      <c r="O374" s="27" t="s">
        <v>449</v>
      </c>
      <c r="P374" s="27" t="s">
        <v>449</v>
      </c>
      <c r="Q374" s="27" t="s">
        <v>372</v>
      </c>
      <c r="R374" s="45">
        <v>0</v>
      </c>
      <c r="S374" s="45">
        <v>0</v>
      </c>
      <c r="T374" s="45">
        <v>0</v>
      </c>
      <c r="U374" s="45">
        <v>0</v>
      </c>
      <c r="V374" s="45">
        <v>0</v>
      </c>
      <c r="W374" s="45">
        <v>0</v>
      </c>
      <c r="X374" s="45">
        <v>0</v>
      </c>
      <c r="Y374" s="45">
        <v>0</v>
      </c>
      <c r="Z374" s="45">
        <v>-1062631.1100000001</v>
      </c>
      <c r="AA374" s="45">
        <v>-600937</v>
      </c>
      <c r="AB374" s="45">
        <v>-135217.4</v>
      </c>
      <c r="AC374" s="45">
        <v>0</v>
      </c>
      <c r="AD374" s="45">
        <v>0</v>
      </c>
      <c r="AE374" s="45">
        <v>0</v>
      </c>
      <c r="AF374" s="45">
        <v>0</v>
      </c>
      <c r="AG374" s="45">
        <v>0</v>
      </c>
      <c r="AH374" s="45"/>
      <c r="AI374" s="45"/>
      <c r="AJ374" s="45"/>
      <c r="AK374" s="45"/>
      <c r="AL374" s="45"/>
      <c r="AM374" s="45"/>
      <c r="AN374" s="45"/>
      <c r="AO374" s="45"/>
    </row>
    <row r="375" spans="2:41" outlineLevel="1" x14ac:dyDescent="0.35">
      <c r="B375" s="27" t="s">
        <v>1342</v>
      </c>
      <c r="C375" s="27" t="s">
        <v>51</v>
      </c>
      <c r="D375" s="27" t="s">
        <v>1921</v>
      </c>
      <c r="E375" s="27" t="s">
        <v>51</v>
      </c>
      <c r="F375" s="27" t="s">
        <v>377</v>
      </c>
      <c r="G375" s="27" t="s">
        <v>939</v>
      </c>
      <c r="H375" s="27" t="s">
        <v>54</v>
      </c>
      <c r="I375" s="27" t="s">
        <v>55</v>
      </c>
      <c r="J375" s="27" t="s">
        <v>56</v>
      </c>
      <c r="K375" s="27" t="s">
        <v>371</v>
      </c>
      <c r="L375" s="27" t="s">
        <v>371</v>
      </c>
      <c r="M375" s="27" t="s">
        <v>371</v>
      </c>
      <c r="N375" s="27" t="s">
        <v>371</v>
      </c>
      <c r="O375" s="27" t="s">
        <v>371</v>
      </c>
      <c r="Q375" s="27" t="s">
        <v>372</v>
      </c>
      <c r="R375" s="45">
        <v>0</v>
      </c>
      <c r="S375" s="45">
        <v>0</v>
      </c>
      <c r="T375" s="45">
        <v>0</v>
      </c>
      <c r="U375" s="45">
        <v>0</v>
      </c>
      <c r="V375" s="45">
        <v>0</v>
      </c>
      <c r="W375" s="45">
        <v>0</v>
      </c>
      <c r="X375" s="45">
        <v>0</v>
      </c>
      <c r="Y375" s="45">
        <v>0</v>
      </c>
      <c r="Z375" s="45">
        <v>1062631.1100000001</v>
      </c>
      <c r="AA375" s="45">
        <v>600937</v>
      </c>
      <c r="AB375" s="45">
        <v>135217.4</v>
      </c>
      <c r="AC375" s="45">
        <v>0</v>
      </c>
      <c r="AD375" s="45">
        <v>271072.40999999997</v>
      </c>
      <c r="AE375" s="45">
        <v>436400.86</v>
      </c>
      <c r="AF375" s="45">
        <v>714443.68</v>
      </c>
      <c r="AG375" s="45">
        <v>276545.40000000002</v>
      </c>
      <c r="AH375" s="45"/>
      <c r="AI375" s="45"/>
      <c r="AJ375" s="45"/>
      <c r="AK375" s="45"/>
      <c r="AL375" s="45"/>
      <c r="AM375" s="45"/>
      <c r="AN375" s="45"/>
      <c r="AO375" s="45"/>
    </row>
    <row r="376" spans="2:41" outlineLevel="1" x14ac:dyDescent="0.35">
      <c r="B376" s="27" t="s">
        <v>947</v>
      </c>
      <c r="C376" s="27" t="s">
        <v>51</v>
      </c>
      <c r="D376" s="27" t="s">
        <v>1706</v>
      </c>
      <c r="E376" s="27" t="s">
        <v>51</v>
      </c>
      <c r="F376" s="27" t="s">
        <v>385</v>
      </c>
      <c r="G376" s="27" t="s">
        <v>948</v>
      </c>
      <c r="H376" s="27" t="s">
        <v>54</v>
      </c>
      <c r="I376" s="27" t="s">
        <v>55</v>
      </c>
      <c r="J376" s="27" t="s">
        <v>393</v>
      </c>
      <c r="K376" s="27" t="s">
        <v>371</v>
      </c>
      <c r="L376" s="27" t="s">
        <v>371</v>
      </c>
      <c r="M376" s="27" t="s">
        <v>371</v>
      </c>
      <c r="N376" s="27" t="s">
        <v>371</v>
      </c>
      <c r="O376" s="27" t="s">
        <v>371</v>
      </c>
      <c r="P376" s="27" t="s">
        <v>371</v>
      </c>
      <c r="Q376" s="27" t="s">
        <v>372</v>
      </c>
      <c r="R376" s="45">
        <v>0</v>
      </c>
      <c r="S376" s="45">
        <v>0</v>
      </c>
      <c r="T376" s="45">
        <v>0</v>
      </c>
      <c r="U376" s="45">
        <v>0</v>
      </c>
      <c r="V376" s="45">
        <v>0</v>
      </c>
      <c r="W376" s="45">
        <v>0</v>
      </c>
      <c r="X376" s="45">
        <v>0</v>
      </c>
      <c r="Y376" s="45">
        <v>0</v>
      </c>
      <c r="Z376" s="45">
        <v>0</v>
      </c>
      <c r="AA376" s="45">
        <v>342435.48</v>
      </c>
      <c r="AB376" s="45">
        <v>374348.61</v>
      </c>
      <c r="AC376" s="45">
        <v>0</v>
      </c>
      <c r="AD376" s="45">
        <v>0</v>
      </c>
      <c r="AE376" s="45">
        <v>0</v>
      </c>
      <c r="AF376" s="45">
        <v>0</v>
      </c>
      <c r="AG376" s="45">
        <v>0</v>
      </c>
      <c r="AH376" s="45"/>
      <c r="AI376" s="45"/>
      <c r="AJ376" s="45"/>
      <c r="AK376" s="45"/>
      <c r="AL376" s="45"/>
      <c r="AM376" s="45"/>
      <c r="AN376" s="45"/>
      <c r="AO376" s="45"/>
    </row>
    <row r="377" spans="2:41" outlineLevel="1" x14ac:dyDescent="0.35">
      <c r="B377" s="27" t="s">
        <v>949</v>
      </c>
      <c r="C377" s="27" t="s">
        <v>51</v>
      </c>
      <c r="D377" s="27" t="s">
        <v>1707</v>
      </c>
      <c r="E377" s="27" t="s">
        <v>51</v>
      </c>
      <c r="F377" s="27" t="s">
        <v>385</v>
      </c>
      <c r="G377" s="27" t="s">
        <v>950</v>
      </c>
      <c r="H377" s="27" t="s">
        <v>54</v>
      </c>
      <c r="I377" s="27" t="s">
        <v>55</v>
      </c>
      <c r="J377" s="27" t="s">
        <v>393</v>
      </c>
      <c r="K377" s="27" t="s">
        <v>371</v>
      </c>
      <c r="L377" s="27" t="s">
        <v>371</v>
      </c>
      <c r="M377" s="27" t="s">
        <v>371</v>
      </c>
      <c r="N377" s="27" t="s">
        <v>371</v>
      </c>
      <c r="O377" s="27" t="s">
        <v>371</v>
      </c>
      <c r="P377" s="27" t="s">
        <v>371</v>
      </c>
      <c r="Q377" s="27" t="s">
        <v>372</v>
      </c>
      <c r="R377" s="45">
        <v>0</v>
      </c>
      <c r="S377" s="45">
        <v>0</v>
      </c>
      <c r="T377" s="45">
        <v>0</v>
      </c>
      <c r="U377" s="45">
        <v>0</v>
      </c>
      <c r="V377" s="45">
        <v>0</v>
      </c>
      <c r="W377" s="45">
        <v>0</v>
      </c>
      <c r="X377" s="45">
        <v>0</v>
      </c>
      <c r="Y377" s="45">
        <v>0</v>
      </c>
      <c r="Z377" s="45">
        <v>0</v>
      </c>
      <c r="AA377" s="45">
        <v>362475.35</v>
      </c>
      <c r="AB377" s="45">
        <v>408812.06</v>
      </c>
      <c r="AC377" s="45">
        <v>0</v>
      </c>
      <c r="AD377" s="45">
        <v>0</v>
      </c>
      <c r="AE377" s="45">
        <v>0</v>
      </c>
      <c r="AF377" s="45">
        <v>0</v>
      </c>
      <c r="AG377" s="45">
        <v>0</v>
      </c>
      <c r="AH377" s="45"/>
      <c r="AI377" s="45"/>
      <c r="AJ377" s="45"/>
      <c r="AK377" s="45"/>
      <c r="AL377" s="45"/>
      <c r="AM377" s="45"/>
      <c r="AN377" s="45"/>
      <c r="AO377" s="45"/>
    </row>
    <row r="378" spans="2:41" outlineLevel="1" x14ac:dyDescent="0.35">
      <c r="B378" s="27" t="s">
        <v>951</v>
      </c>
      <c r="C378" s="27" t="s">
        <v>51</v>
      </c>
      <c r="D378" s="27" t="s">
        <v>1708</v>
      </c>
      <c r="E378" s="27" t="s">
        <v>51</v>
      </c>
      <c r="F378" s="27" t="s">
        <v>385</v>
      </c>
      <c r="G378" s="27" t="s">
        <v>952</v>
      </c>
      <c r="H378" s="27" t="s">
        <v>54</v>
      </c>
      <c r="I378" s="27" t="s">
        <v>55</v>
      </c>
      <c r="J378" s="27" t="s">
        <v>393</v>
      </c>
      <c r="K378" s="27" t="s">
        <v>371</v>
      </c>
      <c r="L378" s="27" t="s">
        <v>371</v>
      </c>
      <c r="M378" s="27" t="s">
        <v>371</v>
      </c>
      <c r="N378" s="27" t="s">
        <v>371</v>
      </c>
      <c r="O378" s="27" t="s">
        <v>371</v>
      </c>
      <c r="P378" s="27" t="s">
        <v>371</v>
      </c>
      <c r="Q378" s="27" t="s">
        <v>372</v>
      </c>
      <c r="R378" s="45">
        <v>0</v>
      </c>
      <c r="S378" s="45">
        <v>0</v>
      </c>
      <c r="T378" s="45">
        <v>0</v>
      </c>
      <c r="U378" s="45">
        <v>0</v>
      </c>
      <c r="V378" s="45">
        <v>0</v>
      </c>
      <c r="W378" s="45">
        <v>0</v>
      </c>
      <c r="X378" s="45">
        <v>0</v>
      </c>
      <c r="Y378" s="45">
        <v>0</v>
      </c>
      <c r="Z378" s="45">
        <v>0</v>
      </c>
      <c r="AA378" s="45">
        <v>5743.97</v>
      </c>
      <c r="AB378" s="45">
        <v>69481.97</v>
      </c>
      <c r="AC378" s="45">
        <v>0</v>
      </c>
      <c r="AD378" s="45">
        <v>0</v>
      </c>
      <c r="AE378" s="45">
        <v>0</v>
      </c>
      <c r="AF378" s="45">
        <v>0</v>
      </c>
      <c r="AG378" s="45">
        <v>0</v>
      </c>
      <c r="AH378" s="45"/>
      <c r="AI378" s="45"/>
      <c r="AJ378" s="45"/>
      <c r="AK378" s="45"/>
      <c r="AL378" s="45"/>
      <c r="AM378" s="45"/>
      <c r="AN378" s="45"/>
      <c r="AO378" s="45"/>
    </row>
    <row r="379" spans="2:41" outlineLevel="1" x14ac:dyDescent="0.35">
      <c r="B379" s="27" t="s">
        <v>1343</v>
      </c>
      <c r="C379" s="27" t="s">
        <v>51</v>
      </c>
      <c r="D379" s="27" t="s">
        <v>1922</v>
      </c>
      <c r="E379" s="27" t="s">
        <v>51</v>
      </c>
      <c r="F379" s="27" t="s">
        <v>63</v>
      </c>
      <c r="G379" s="27" t="s">
        <v>1709</v>
      </c>
      <c r="H379" s="27" t="s">
        <v>54</v>
      </c>
      <c r="I379" s="27" t="s">
        <v>55</v>
      </c>
      <c r="J379" s="27" t="s">
        <v>89</v>
      </c>
      <c r="K379" s="27" t="s">
        <v>371</v>
      </c>
      <c r="L379" s="27" t="s">
        <v>371</v>
      </c>
      <c r="M379" s="27" t="s">
        <v>371</v>
      </c>
      <c r="N379" s="27" t="s">
        <v>371</v>
      </c>
      <c r="O379" s="27" t="s">
        <v>371</v>
      </c>
      <c r="P379" s="27" t="s">
        <v>371</v>
      </c>
      <c r="Q379" s="27" t="s">
        <v>372</v>
      </c>
      <c r="R379" s="45">
        <v>0</v>
      </c>
      <c r="S379" s="45">
        <v>0</v>
      </c>
      <c r="T379" s="45">
        <v>0</v>
      </c>
      <c r="U379" s="45">
        <v>0</v>
      </c>
      <c r="V379" s="45">
        <v>0</v>
      </c>
      <c r="W379" s="45">
        <v>0</v>
      </c>
      <c r="X379" s="45">
        <v>0</v>
      </c>
      <c r="Y379" s="45">
        <v>0</v>
      </c>
      <c r="Z379" s="45">
        <v>0</v>
      </c>
      <c r="AA379" s="45">
        <v>14757642.93</v>
      </c>
      <c r="AB379" s="45">
        <v>7909324.5999999996</v>
      </c>
      <c r="AC379" s="45">
        <v>0</v>
      </c>
      <c r="AD379" s="45">
        <v>0</v>
      </c>
      <c r="AE379" s="45">
        <v>0</v>
      </c>
      <c r="AF379" s="45">
        <v>2411035.7799999998</v>
      </c>
      <c r="AG379" s="45">
        <v>2411035.7799999998</v>
      </c>
      <c r="AH379" s="45"/>
      <c r="AI379" s="45"/>
      <c r="AJ379" s="45"/>
      <c r="AK379" s="45"/>
      <c r="AL379" s="45"/>
      <c r="AM379" s="45"/>
      <c r="AN379" s="45"/>
      <c r="AO379" s="45"/>
    </row>
    <row r="380" spans="2:41" outlineLevel="1" x14ac:dyDescent="0.35">
      <c r="B380" s="27" t="s">
        <v>953</v>
      </c>
      <c r="C380" s="27" t="s">
        <v>51</v>
      </c>
      <c r="D380" s="27" t="s">
        <v>1710</v>
      </c>
      <c r="E380" s="27" t="s">
        <v>51</v>
      </c>
      <c r="F380" s="27" t="s">
        <v>119</v>
      </c>
      <c r="G380" s="27" t="s">
        <v>231</v>
      </c>
      <c r="H380" s="27" t="s">
        <v>54</v>
      </c>
      <c r="I380" s="27" t="s">
        <v>55</v>
      </c>
      <c r="J380" s="27" t="s">
        <v>56</v>
      </c>
      <c r="K380" s="27" t="s">
        <v>371</v>
      </c>
      <c r="L380" s="27" t="s">
        <v>371</v>
      </c>
      <c r="M380" s="27" t="s">
        <v>371</v>
      </c>
      <c r="N380" s="27" t="s">
        <v>371</v>
      </c>
      <c r="O380" s="27" t="s">
        <v>371</v>
      </c>
      <c r="Q380" s="27" t="s">
        <v>372</v>
      </c>
      <c r="R380" s="45">
        <v>0</v>
      </c>
      <c r="S380" s="45">
        <v>0</v>
      </c>
      <c r="T380" s="45">
        <v>0</v>
      </c>
      <c r="U380" s="45">
        <v>0</v>
      </c>
      <c r="V380" s="45">
        <v>0</v>
      </c>
      <c r="W380" s="45">
        <v>0</v>
      </c>
      <c r="X380" s="45">
        <v>0</v>
      </c>
      <c r="Y380" s="45">
        <v>0</v>
      </c>
      <c r="Z380" s="45">
        <v>0</v>
      </c>
      <c r="AA380" s="45">
        <v>99724.37</v>
      </c>
      <c r="AB380" s="45">
        <v>99724.37</v>
      </c>
      <c r="AC380" s="45">
        <v>0</v>
      </c>
      <c r="AD380" s="45">
        <v>0</v>
      </c>
      <c r="AE380" s="45">
        <v>0</v>
      </c>
      <c r="AF380" s="45">
        <v>0</v>
      </c>
      <c r="AG380" s="45">
        <v>0</v>
      </c>
      <c r="AH380" s="45"/>
      <c r="AI380" s="45"/>
      <c r="AJ380" s="45"/>
      <c r="AK380" s="45"/>
      <c r="AL380" s="45"/>
      <c r="AM380" s="45"/>
      <c r="AN380" s="45"/>
      <c r="AO380" s="45"/>
    </row>
    <row r="381" spans="2:41" outlineLevel="1" x14ac:dyDescent="0.35">
      <c r="B381" s="27" t="s">
        <v>1344</v>
      </c>
      <c r="C381" s="27" t="s">
        <v>51</v>
      </c>
      <c r="D381" s="27" t="s">
        <v>1923</v>
      </c>
      <c r="E381" s="27" t="s">
        <v>51</v>
      </c>
      <c r="F381" s="27" t="s">
        <v>90</v>
      </c>
      <c r="G381" s="27" t="s">
        <v>1711</v>
      </c>
      <c r="H381" s="27" t="s">
        <v>54</v>
      </c>
      <c r="I381" s="27" t="s">
        <v>55</v>
      </c>
      <c r="J381" s="27" t="s">
        <v>393</v>
      </c>
      <c r="K381" s="27" t="s">
        <v>371</v>
      </c>
      <c r="L381" s="27" t="s">
        <v>371</v>
      </c>
      <c r="M381" s="27" t="s">
        <v>371</v>
      </c>
      <c r="N381" s="27" t="s">
        <v>371</v>
      </c>
      <c r="O381" s="27" t="s">
        <v>371</v>
      </c>
      <c r="P381" s="27" t="s">
        <v>371</v>
      </c>
      <c r="Q381" s="27" t="s">
        <v>372</v>
      </c>
      <c r="R381" s="45">
        <v>0</v>
      </c>
      <c r="S381" s="45">
        <v>0</v>
      </c>
      <c r="T381" s="45">
        <v>0</v>
      </c>
      <c r="U381" s="45">
        <v>0</v>
      </c>
      <c r="V381" s="45">
        <v>0</v>
      </c>
      <c r="W381" s="45">
        <v>0</v>
      </c>
      <c r="X381" s="45">
        <v>0</v>
      </c>
      <c r="Y381" s="45">
        <v>0</v>
      </c>
      <c r="Z381" s="45">
        <v>0</v>
      </c>
      <c r="AA381" s="45">
        <v>9000</v>
      </c>
      <c r="AB381" s="45">
        <v>9000</v>
      </c>
      <c r="AC381" s="45">
        <v>7232403.0700000003</v>
      </c>
      <c r="AD381" s="45">
        <v>7232403.0700000003</v>
      </c>
      <c r="AE381" s="45">
        <v>7232403.0700000003</v>
      </c>
      <c r="AF381" s="45">
        <v>8297690.5899999999</v>
      </c>
      <c r="AG381" s="45">
        <v>8297690.5899999999</v>
      </c>
      <c r="AH381" s="45"/>
      <c r="AI381" s="45"/>
      <c r="AJ381" s="45"/>
      <c r="AK381" s="45"/>
      <c r="AL381" s="45"/>
      <c r="AM381" s="45"/>
      <c r="AN381" s="45"/>
      <c r="AO381" s="45"/>
    </row>
    <row r="382" spans="2:41" outlineLevel="1" x14ac:dyDescent="0.35">
      <c r="B382" s="27" t="s">
        <v>954</v>
      </c>
      <c r="C382" s="27" t="s">
        <v>51</v>
      </c>
      <c r="D382" s="27" t="s">
        <v>1712</v>
      </c>
      <c r="E382" s="27" t="s">
        <v>51</v>
      </c>
      <c r="F382" s="27" t="s">
        <v>385</v>
      </c>
      <c r="G382" s="27" t="s">
        <v>955</v>
      </c>
      <c r="H382" s="27" t="s">
        <v>54</v>
      </c>
      <c r="I382" s="27" t="s">
        <v>55</v>
      </c>
      <c r="J382" s="27" t="s">
        <v>393</v>
      </c>
      <c r="K382" s="27" t="s">
        <v>371</v>
      </c>
      <c r="L382" s="27" t="s">
        <v>371</v>
      </c>
      <c r="M382" s="27" t="s">
        <v>371</v>
      </c>
      <c r="N382" s="27" t="s">
        <v>371</v>
      </c>
      <c r="O382" s="27" t="s">
        <v>371</v>
      </c>
      <c r="P382" s="27" t="s">
        <v>371</v>
      </c>
      <c r="Q382" s="27" t="s">
        <v>372</v>
      </c>
      <c r="R382" s="45">
        <v>0</v>
      </c>
      <c r="S382" s="45">
        <v>0</v>
      </c>
      <c r="T382" s="45">
        <v>0</v>
      </c>
      <c r="U382" s="45">
        <v>0</v>
      </c>
      <c r="V382" s="45">
        <v>0</v>
      </c>
      <c r="W382" s="45">
        <v>0</v>
      </c>
      <c r="X382" s="45">
        <v>0</v>
      </c>
      <c r="Y382" s="45">
        <v>0</v>
      </c>
      <c r="Z382" s="45">
        <v>0</v>
      </c>
      <c r="AA382" s="45">
        <v>20469738.539999999</v>
      </c>
      <c r="AB382" s="45">
        <v>23452926.82</v>
      </c>
      <c r="AC382" s="45">
        <v>23542494.940000001</v>
      </c>
      <c r="AD382" s="45">
        <v>23558466.170000002</v>
      </c>
      <c r="AE382" s="45">
        <v>23558466.170000002</v>
      </c>
      <c r="AF382" s="45">
        <v>23558466.170000002</v>
      </c>
      <c r="AG382" s="45">
        <v>0</v>
      </c>
      <c r="AH382" s="45"/>
      <c r="AI382" s="45"/>
      <c r="AJ382" s="45"/>
      <c r="AK382" s="45"/>
      <c r="AL382" s="45"/>
      <c r="AM382" s="45"/>
      <c r="AN382" s="45"/>
      <c r="AO382" s="45"/>
    </row>
    <row r="383" spans="2:41" outlineLevel="1" x14ac:dyDescent="0.35">
      <c r="B383" s="27" t="s">
        <v>1345</v>
      </c>
      <c r="C383" s="27" t="s">
        <v>51</v>
      </c>
      <c r="D383" s="27" t="s">
        <v>1924</v>
      </c>
      <c r="E383" s="27" t="s">
        <v>51</v>
      </c>
      <c r="F383" s="27" t="s">
        <v>635</v>
      </c>
      <c r="G383" s="27" t="s">
        <v>1713</v>
      </c>
      <c r="H383" s="27" t="s">
        <v>447</v>
      </c>
      <c r="I383" s="27" t="s">
        <v>440</v>
      </c>
      <c r="J383" s="27" t="s">
        <v>448</v>
      </c>
      <c r="K383" s="27" t="s">
        <v>449</v>
      </c>
      <c r="L383" s="27" t="s">
        <v>1028</v>
      </c>
      <c r="M383" s="27" t="s">
        <v>1028</v>
      </c>
      <c r="N383" s="27" t="s">
        <v>1028</v>
      </c>
      <c r="O383" s="27" t="s">
        <v>449</v>
      </c>
      <c r="P383" s="27" t="s">
        <v>449</v>
      </c>
      <c r="Q383" s="27" t="s">
        <v>372</v>
      </c>
      <c r="R383" s="45">
        <v>0</v>
      </c>
      <c r="S383" s="45">
        <v>0</v>
      </c>
      <c r="T383" s="45">
        <v>0</v>
      </c>
      <c r="U383" s="45">
        <v>0</v>
      </c>
      <c r="V383" s="45">
        <v>0</v>
      </c>
      <c r="W383" s="45">
        <v>0</v>
      </c>
      <c r="X383" s="45">
        <v>0</v>
      </c>
      <c r="Y383" s="45">
        <v>0</v>
      </c>
      <c r="Z383" s="45">
        <v>0</v>
      </c>
      <c r="AA383" s="45">
        <v>-19396.11</v>
      </c>
      <c r="AB383" s="45">
        <v>-19396.11</v>
      </c>
      <c r="AC383" s="45">
        <v>-19396.11</v>
      </c>
      <c r="AD383" s="45">
        <v>-10.33</v>
      </c>
      <c r="AE383" s="45">
        <v>-1167</v>
      </c>
      <c r="AF383" s="45">
        <v>-1167</v>
      </c>
      <c r="AG383" s="45">
        <v>-1167</v>
      </c>
      <c r="AH383" s="45"/>
      <c r="AI383" s="45"/>
      <c r="AJ383" s="45"/>
      <c r="AK383" s="45"/>
      <c r="AL383" s="45"/>
      <c r="AM383" s="45"/>
      <c r="AN383" s="45"/>
      <c r="AO383" s="45"/>
    </row>
    <row r="384" spans="2:41" outlineLevel="1" x14ac:dyDescent="0.35">
      <c r="B384" s="27" t="s">
        <v>945</v>
      </c>
      <c r="C384" s="27" t="s">
        <v>51</v>
      </c>
      <c r="D384" s="27" t="s">
        <v>1714</v>
      </c>
      <c r="E384" s="27" t="s">
        <v>51</v>
      </c>
      <c r="F384" s="27" t="s">
        <v>377</v>
      </c>
      <c r="G384" s="27" t="s">
        <v>946</v>
      </c>
      <c r="H384" s="27" t="s">
        <v>54</v>
      </c>
      <c r="I384" s="27" t="s">
        <v>55</v>
      </c>
      <c r="J384" s="27" t="s">
        <v>56</v>
      </c>
      <c r="K384" s="27" t="s">
        <v>371</v>
      </c>
      <c r="L384" s="27" t="s">
        <v>371</v>
      </c>
      <c r="M384" s="27" t="s">
        <v>371</v>
      </c>
      <c r="N384" s="27" t="s">
        <v>371</v>
      </c>
      <c r="O384" s="27" t="s">
        <v>371</v>
      </c>
      <c r="P384" s="27"/>
      <c r="Q384" s="27" t="s">
        <v>372</v>
      </c>
      <c r="R384" s="45">
        <v>0</v>
      </c>
      <c r="S384" s="45">
        <v>0</v>
      </c>
      <c r="T384" s="45">
        <v>0</v>
      </c>
      <c r="U384" s="45">
        <v>0</v>
      </c>
      <c r="V384" s="45">
        <v>0</v>
      </c>
      <c r="W384" s="45">
        <v>0</v>
      </c>
      <c r="X384" s="45">
        <v>0</v>
      </c>
      <c r="Y384" s="45">
        <v>0</v>
      </c>
      <c r="Z384" s="45">
        <v>0</v>
      </c>
      <c r="AA384" s="45">
        <v>22639.14</v>
      </c>
      <c r="AB384" s="45">
        <v>22639.14</v>
      </c>
      <c r="AC384" s="45">
        <v>0</v>
      </c>
      <c r="AD384" s="45">
        <v>0</v>
      </c>
      <c r="AE384" s="45">
        <v>0</v>
      </c>
      <c r="AF384" s="45">
        <v>0</v>
      </c>
      <c r="AG384" s="45">
        <v>0</v>
      </c>
      <c r="AH384" s="45"/>
      <c r="AI384" s="45"/>
      <c r="AJ384" s="45"/>
      <c r="AK384" s="45"/>
      <c r="AL384" s="45"/>
      <c r="AM384" s="45"/>
      <c r="AN384" s="45"/>
      <c r="AO384" s="45"/>
    </row>
    <row r="385" spans="2:41" outlineLevel="1" x14ac:dyDescent="0.35">
      <c r="B385" s="27" t="s">
        <v>1346</v>
      </c>
      <c r="C385" s="27" t="s">
        <v>51</v>
      </c>
      <c r="D385" s="27" t="s">
        <v>1925</v>
      </c>
      <c r="E385" s="27" t="s">
        <v>51</v>
      </c>
      <c r="F385" s="27" t="s">
        <v>377</v>
      </c>
      <c r="G385" s="27" t="s">
        <v>1715</v>
      </c>
      <c r="H385" s="27" t="s">
        <v>54</v>
      </c>
      <c r="I385" s="27" t="s">
        <v>55</v>
      </c>
      <c r="J385" s="27" t="s">
        <v>56</v>
      </c>
      <c r="K385" s="27" t="s">
        <v>371</v>
      </c>
      <c r="L385" s="27" t="s">
        <v>371</v>
      </c>
      <c r="M385" s="27" t="s">
        <v>371</v>
      </c>
      <c r="N385" s="27" t="s">
        <v>371</v>
      </c>
      <c r="O385" s="27" t="s">
        <v>371</v>
      </c>
      <c r="P385" s="27"/>
      <c r="Q385" s="27" t="s">
        <v>372</v>
      </c>
      <c r="R385" s="45">
        <v>0</v>
      </c>
      <c r="S385" s="45">
        <v>0</v>
      </c>
      <c r="T385" s="45">
        <v>0</v>
      </c>
      <c r="U385" s="45">
        <v>0</v>
      </c>
      <c r="V385" s="45">
        <v>0</v>
      </c>
      <c r="W385" s="45">
        <v>0</v>
      </c>
      <c r="X385" s="45">
        <v>0</v>
      </c>
      <c r="Y385" s="45">
        <v>0</v>
      </c>
      <c r="Z385" s="45">
        <v>0</v>
      </c>
      <c r="AA385" s="45">
        <v>0</v>
      </c>
      <c r="AB385" s="45">
        <v>404902.35</v>
      </c>
      <c r="AC385" s="45">
        <v>157909.34</v>
      </c>
      <c r="AD385" s="45">
        <v>336668.12</v>
      </c>
      <c r="AE385" s="45">
        <v>361545.43</v>
      </c>
      <c r="AF385" s="45">
        <v>183101.11</v>
      </c>
      <c r="AG385" s="45">
        <v>270975.77</v>
      </c>
      <c r="AH385" s="45"/>
      <c r="AI385" s="45"/>
      <c r="AJ385" s="45"/>
      <c r="AK385" s="45"/>
      <c r="AL385" s="45"/>
      <c r="AM385" s="45"/>
      <c r="AN385" s="45"/>
      <c r="AO385" s="45"/>
    </row>
    <row r="386" spans="2:41" outlineLevel="1" x14ac:dyDescent="0.35">
      <c r="B386" s="27" t="s">
        <v>956</v>
      </c>
      <c r="C386" s="27" t="s">
        <v>51</v>
      </c>
      <c r="D386" s="27" t="s">
        <v>1716</v>
      </c>
      <c r="E386" s="27" t="s">
        <v>51</v>
      </c>
      <c r="F386" s="27" t="s">
        <v>377</v>
      </c>
      <c r="G386" s="27" t="s">
        <v>957</v>
      </c>
      <c r="H386" s="27" t="s">
        <v>54</v>
      </c>
      <c r="I386" s="27" t="s">
        <v>55</v>
      </c>
      <c r="J386" s="27" t="s">
        <v>56</v>
      </c>
      <c r="K386" s="27" t="s">
        <v>371</v>
      </c>
      <c r="L386" s="27" t="s">
        <v>371</v>
      </c>
      <c r="M386" s="27" t="s">
        <v>371</v>
      </c>
      <c r="N386" s="27" t="s">
        <v>371</v>
      </c>
      <c r="O386" s="27" t="s">
        <v>371</v>
      </c>
      <c r="P386" s="27"/>
      <c r="Q386" s="27" t="s">
        <v>372</v>
      </c>
      <c r="R386" s="45">
        <v>0</v>
      </c>
      <c r="S386" s="45">
        <v>0</v>
      </c>
      <c r="T386" s="45">
        <v>0</v>
      </c>
      <c r="U386" s="45">
        <v>0</v>
      </c>
      <c r="V386" s="45">
        <v>0</v>
      </c>
      <c r="W386" s="45">
        <v>0</v>
      </c>
      <c r="X386" s="45">
        <v>0</v>
      </c>
      <c r="Y386" s="45">
        <v>0</v>
      </c>
      <c r="Z386" s="45">
        <v>0</v>
      </c>
      <c r="AA386" s="45">
        <v>0</v>
      </c>
      <c r="AB386" s="45">
        <v>2956.11</v>
      </c>
      <c r="AC386" s="45">
        <v>13448.88</v>
      </c>
      <c r="AD386" s="45">
        <v>131.06</v>
      </c>
      <c r="AE386" s="45">
        <v>0</v>
      </c>
      <c r="AF386" s="45">
        <v>0</v>
      </c>
      <c r="AG386" s="45">
        <v>0</v>
      </c>
      <c r="AH386" s="45"/>
      <c r="AI386" s="45"/>
      <c r="AJ386" s="45"/>
      <c r="AK386" s="45"/>
      <c r="AL386" s="45"/>
      <c r="AM386" s="45"/>
      <c r="AN386" s="45"/>
      <c r="AO386" s="45"/>
    </row>
    <row r="387" spans="2:41" outlineLevel="1" x14ac:dyDescent="0.35">
      <c r="B387" s="27" t="s">
        <v>958</v>
      </c>
      <c r="C387" s="27" t="s">
        <v>51</v>
      </c>
      <c r="D387" s="27" t="s">
        <v>1717</v>
      </c>
      <c r="E387" s="27" t="s">
        <v>51</v>
      </c>
      <c r="F387" s="27" t="s">
        <v>385</v>
      </c>
      <c r="G387" s="27" t="s">
        <v>959</v>
      </c>
      <c r="H387" s="27" t="s">
        <v>54</v>
      </c>
      <c r="I387" s="27" t="s">
        <v>55</v>
      </c>
      <c r="J387" s="27" t="s">
        <v>393</v>
      </c>
      <c r="K387" s="27" t="s">
        <v>371</v>
      </c>
      <c r="L387" s="27" t="s">
        <v>371</v>
      </c>
      <c r="M387" s="27" t="s">
        <v>371</v>
      </c>
      <c r="N387" s="27" t="s">
        <v>371</v>
      </c>
      <c r="O387" s="27" t="s">
        <v>371</v>
      </c>
      <c r="P387" s="27" t="s">
        <v>371</v>
      </c>
      <c r="Q387" s="27" t="s">
        <v>372</v>
      </c>
      <c r="R387" s="45">
        <v>0</v>
      </c>
      <c r="S387" s="45">
        <v>0</v>
      </c>
      <c r="T387" s="45">
        <v>0</v>
      </c>
      <c r="U387" s="45">
        <v>0</v>
      </c>
      <c r="V387" s="45">
        <v>0</v>
      </c>
      <c r="W387" s="45">
        <v>0</v>
      </c>
      <c r="X387" s="45">
        <v>0</v>
      </c>
      <c r="Y387" s="45">
        <v>0</v>
      </c>
      <c r="Z387" s="45">
        <v>0</v>
      </c>
      <c r="AA387" s="45">
        <v>0</v>
      </c>
      <c r="AB387" s="45">
        <v>66013.100000000006</v>
      </c>
      <c r="AC387" s="45">
        <v>0</v>
      </c>
      <c r="AD387" s="45">
        <v>0</v>
      </c>
      <c r="AE387" s="45">
        <v>0</v>
      </c>
      <c r="AF387" s="45">
        <v>0</v>
      </c>
      <c r="AG387" s="45">
        <v>0</v>
      </c>
      <c r="AH387" s="45"/>
      <c r="AI387" s="45"/>
      <c r="AJ387" s="45"/>
      <c r="AK387" s="45"/>
      <c r="AL387" s="45"/>
      <c r="AM387" s="45"/>
      <c r="AN387" s="45"/>
      <c r="AO387" s="45"/>
    </row>
    <row r="388" spans="2:41" outlineLevel="1" x14ac:dyDescent="0.35">
      <c r="B388" s="27" t="s">
        <v>960</v>
      </c>
      <c r="C388" s="27" t="s">
        <v>51</v>
      </c>
      <c r="D388" s="27" t="s">
        <v>1718</v>
      </c>
      <c r="E388" s="27" t="s">
        <v>51</v>
      </c>
      <c r="F388" s="27" t="s">
        <v>385</v>
      </c>
      <c r="G388" s="27" t="s">
        <v>961</v>
      </c>
      <c r="H388" s="27" t="s">
        <v>54</v>
      </c>
      <c r="I388" s="27" t="s">
        <v>55</v>
      </c>
      <c r="J388" s="27" t="s">
        <v>393</v>
      </c>
      <c r="K388" s="27" t="s">
        <v>371</v>
      </c>
      <c r="L388" s="27" t="s">
        <v>371</v>
      </c>
      <c r="M388" s="27" t="s">
        <v>371</v>
      </c>
      <c r="N388" s="27" t="s">
        <v>371</v>
      </c>
      <c r="O388" s="27" t="s">
        <v>371</v>
      </c>
      <c r="P388" s="27" t="s">
        <v>371</v>
      </c>
      <c r="Q388" s="27" t="s">
        <v>372</v>
      </c>
      <c r="R388" s="45">
        <v>0</v>
      </c>
      <c r="S388" s="45">
        <v>0</v>
      </c>
      <c r="T388" s="45">
        <v>0</v>
      </c>
      <c r="U388" s="45">
        <v>0</v>
      </c>
      <c r="V388" s="45">
        <v>0</v>
      </c>
      <c r="W388" s="45">
        <v>0</v>
      </c>
      <c r="X388" s="45">
        <v>0</v>
      </c>
      <c r="Y388" s="45">
        <v>0</v>
      </c>
      <c r="Z388" s="45">
        <v>0</v>
      </c>
      <c r="AA388" s="45">
        <v>0</v>
      </c>
      <c r="AB388" s="45">
        <v>77630.03</v>
      </c>
      <c r="AC388" s="45">
        <v>0</v>
      </c>
      <c r="AD388" s="45">
        <v>0</v>
      </c>
      <c r="AE388" s="45">
        <v>0</v>
      </c>
      <c r="AF388" s="45">
        <v>0</v>
      </c>
      <c r="AG388" s="45">
        <v>0</v>
      </c>
      <c r="AH388" s="45"/>
      <c r="AI388" s="45"/>
      <c r="AJ388" s="45"/>
      <c r="AK388" s="45"/>
      <c r="AL388" s="45"/>
      <c r="AM388" s="45"/>
      <c r="AN388" s="45"/>
      <c r="AO388" s="45"/>
    </row>
    <row r="389" spans="2:41" outlineLevel="1" x14ac:dyDescent="0.35">
      <c r="B389" s="27" t="s">
        <v>962</v>
      </c>
      <c r="C389" s="27" t="s">
        <v>51</v>
      </c>
      <c r="D389" s="27" t="s">
        <v>1719</v>
      </c>
      <c r="E389" s="27" t="s">
        <v>51</v>
      </c>
      <c r="F389" s="27" t="s">
        <v>385</v>
      </c>
      <c r="G389" s="27" t="s">
        <v>963</v>
      </c>
      <c r="H389" s="27" t="s">
        <v>54</v>
      </c>
      <c r="I389" s="27" t="s">
        <v>55</v>
      </c>
      <c r="J389" s="27" t="s">
        <v>393</v>
      </c>
      <c r="K389" s="27" t="s">
        <v>371</v>
      </c>
      <c r="L389" s="27" t="s">
        <v>371</v>
      </c>
      <c r="M389" s="27" t="s">
        <v>371</v>
      </c>
      <c r="N389" s="27" t="s">
        <v>371</v>
      </c>
      <c r="O389" s="27" t="s">
        <v>371</v>
      </c>
      <c r="P389" s="27" t="s">
        <v>371</v>
      </c>
      <c r="Q389" s="27" t="s">
        <v>372</v>
      </c>
      <c r="R389" s="45">
        <v>0</v>
      </c>
      <c r="S389" s="45">
        <v>0</v>
      </c>
      <c r="T389" s="45">
        <v>0</v>
      </c>
      <c r="U389" s="45">
        <v>0</v>
      </c>
      <c r="V389" s="45">
        <v>0</v>
      </c>
      <c r="W389" s="45">
        <v>0</v>
      </c>
      <c r="X389" s="45">
        <v>0</v>
      </c>
      <c r="Y389" s="45">
        <v>0</v>
      </c>
      <c r="Z389" s="45">
        <v>0</v>
      </c>
      <c r="AA389" s="45">
        <v>0</v>
      </c>
      <c r="AB389" s="45">
        <v>559875.74</v>
      </c>
      <c r="AC389" s="45">
        <v>0</v>
      </c>
      <c r="AD389" s="45">
        <v>0</v>
      </c>
      <c r="AE389" s="45">
        <v>0</v>
      </c>
      <c r="AF389" s="45">
        <v>0</v>
      </c>
      <c r="AG389" s="45">
        <v>0</v>
      </c>
      <c r="AH389" s="45"/>
      <c r="AI389" s="45"/>
      <c r="AJ389" s="45"/>
      <c r="AK389" s="45"/>
      <c r="AL389" s="45"/>
      <c r="AM389" s="45"/>
      <c r="AN389" s="45"/>
      <c r="AO389" s="45"/>
    </row>
    <row r="390" spans="2:41" outlineLevel="1" x14ac:dyDescent="0.35">
      <c r="B390" s="27" t="s">
        <v>964</v>
      </c>
      <c r="C390" s="27" t="s">
        <v>51</v>
      </c>
      <c r="D390" s="27" t="s">
        <v>1720</v>
      </c>
      <c r="E390" s="27" t="s">
        <v>51</v>
      </c>
      <c r="F390" s="27" t="s">
        <v>109</v>
      </c>
      <c r="G390" s="27" t="s">
        <v>965</v>
      </c>
      <c r="H390" s="27" t="s">
        <v>54</v>
      </c>
      <c r="I390" s="27" t="s">
        <v>55</v>
      </c>
      <c r="J390" s="27" t="s">
        <v>101</v>
      </c>
      <c r="K390" s="27" t="s">
        <v>371</v>
      </c>
      <c r="L390" s="27" t="s">
        <v>371</v>
      </c>
      <c r="M390" s="27" t="s">
        <v>371</v>
      </c>
      <c r="N390" s="27" t="s">
        <v>371</v>
      </c>
      <c r="O390" s="27" t="s">
        <v>371</v>
      </c>
      <c r="P390" s="27"/>
      <c r="Q390" s="27" t="s">
        <v>372</v>
      </c>
      <c r="R390" s="45">
        <v>0</v>
      </c>
      <c r="S390" s="45">
        <v>0</v>
      </c>
      <c r="T390" s="45">
        <v>0</v>
      </c>
      <c r="U390" s="45">
        <v>0</v>
      </c>
      <c r="V390" s="45">
        <v>0</v>
      </c>
      <c r="W390" s="45">
        <v>0</v>
      </c>
      <c r="X390" s="45">
        <v>0</v>
      </c>
      <c r="Y390" s="45">
        <v>0</v>
      </c>
      <c r="Z390" s="45">
        <v>0</v>
      </c>
      <c r="AA390" s="45">
        <v>0</v>
      </c>
      <c r="AB390" s="45">
        <v>287584</v>
      </c>
      <c r="AC390" s="45">
        <v>0</v>
      </c>
      <c r="AD390" s="45">
        <v>287584</v>
      </c>
      <c r="AE390" s="45">
        <v>287584</v>
      </c>
      <c r="AF390" s="45">
        <v>0</v>
      </c>
      <c r="AG390" s="45">
        <v>0</v>
      </c>
      <c r="AH390" s="45"/>
      <c r="AI390" s="45"/>
      <c r="AJ390" s="45"/>
      <c r="AK390" s="45"/>
      <c r="AL390" s="45"/>
      <c r="AM390" s="45"/>
      <c r="AN390" s="45"/>
      <c r="AO390" s="45"/>
    </row>
    <row r="391" spans="2:41" outlineLevel="1" x14ac:dyDescent="0.35">
      <c r="B391" s="27" t="s">
        <v>966</v>
      </c>
      <c r="C391" s="27" t="s">
        <v>51</v>
      </c>
      <c r="D391" s="27" t="s">
        <v>1721</v>
      </c>
      <c r="E391" s="27" t="s">
        <v>51</v>
      </c>
      <c r="F391" s="27" t="s">
        <v>195</v>
      </c>
      <c r="G391" s="27" t="s">
        <v>967</v>
      </c>
      <c r="H391" s="27" t="s">
        <v>54</v>
      </c>
      <c r="I391" s="27" t="s">
        <v>142</v>
      </c>
      <c r="J391" s="27" t="s">
        <v>197</v>
      </c>
      <c r="K391" s="27" t="s">
        <v>371</v>
      </c>
      <c r="L391" s="27" t="s">
        <v>371</v>
      </c>
      <c r="M391" s="27" t="s">
        <v>371</v>
      </c>
      <c r="N391" s="27" t="s">
        <v>371</v>
      </c>
      <c r="O391" s="27" t="s">
        <v>371</v>
      </c>
      <c r="P391" s="27" t="s">
        <v>371</v>
      </c>
      <c r="Q391" s="27" t="s">
        <v>372</v>
      </c>
      <c r="R391" s="45">
        <v>0</v>
      </c>
      <c r="S391" s="45">
        <v>0</v>
      </c>
      <c r="T391" s="45">
        <v>0</v>
      </c>
      <c r="U391" s="45">
        <v>0</v>
      </c>
      <c r="V391" s="45">
        <v>0</v>
      </c>
      <c r="W391" s="45">
        <v>0</v>
      </c>
      <c r="X391" s="45">
        <v>0</v>
      </c>
      <c r="Y391" s="45">
        <v>0</v>
      </c>
      <c r="Z391" s="45">
        <v>0</v>
      </c>
      <c r="AA391" s="45">
        <v>0</v>
      </c>
      <c r="AB391" s="45">
        <v>-258321.77</v>
      </c>
      <c r="AC391" s="45">
        <v>0</v>
      </c>
      <c r="AD391" s="45">
        <v>0</v>
      </c>
      <c r="AE391" s="45">
        <v>0</v>
      </c>
      <c r="AF391" s="45">
        <v>0</v>
      </c>
      <c r="AG391" s="45">
        <v>0</v>
      </c>
      <c r="AH391" s="45"/>
      <c r="AI391" s="45"/>
      <c r="AJ391" s="45"/>
      <c r="AK391" s="45"/>
      <c r="AL391" s="45"/>
      <c r="AM391" s="45"/>
      <c r="AN391" s="45"/>
      <c r="AO391" s="45"/>
    </row>
    <row r="392" spans="2:41" outlineLevel="1" x14ac:dyDescent="0.35">
      <c r="B392" s="27" t="s">
        <v>968</v>
      </c>
      <c r="C392" s="27" t="s">
        <v>51</v>
      </c>
      <c r="D392" s="27" t="s">
        <v>1722</v>
      </c>
      <c r="E392" s="27" t="s">
        <v>51</v>
      </c>
      <c r="F392" s="27" t="s">
        <v>587</v>
      </c>
      <c r="G392" s="27" t="s">
        <v>739</v>
      </c>
      <c r="H392" s="27" t="s">
        <v>54</v>
      </c>
      <c r="I392" s="27" t="s">
        <v>142</v>
      </c>
      <c r="J392" s="27" t="s">
        <v>197</v>
      </c>
      <c r="K392" s="27" t="s">
        <v>371</v>
      </c>
      <c r="L392" s="27" t="s">
        <v>371</v>
      </c>
      <c r="M392" s="27" t="s">
        <v>371</v>
      </c>
      <c r="N392" s="27" t="s">
        <v>371</v>
      </c>
      <c r="O392" s="27" t="s">
        <v>371</v>
      </c>
      <c r="P392" s="27" t="s">
        <v>371</v>
      </c>
      <c r="Q392" s="27" t="s">
        <v>372</v>
      </c>
      <c r="R392" s="45">
        <v>0</v>
      </c>
      <c r="S392" s="45">
        <v>0</v>
      </c>
      <c r="T392" s="45">
        <v>0</v>
      </c>
      <c r="U392" s="45">
        <v>0</v>
      </c>
      <c r="V392" s="45">
        <v>0</v>
      </c>
      <c r="W392" s="45">
        <v>0</v>
      </c>
      <c r="X392" s="45">
        <v>0</v>
      </c>
      <c r="Y392" s="45">
        <v>0</v>
      </c>
      <c r="Z392" s="45">
        <v>0</v>
      </c>
      <c r="AA392" s="45">
        <v>0</v>
      </c>
      <c r="AB392" s="45">
        <v>-1261.6400000000001</v>
      </c>
      <c r="AC392" s="45">
        <v>-1261.6400000000001</v>
      </c>
      <c r="AD392" s="45">
        <v>-1261.6400000000001</v>
      </c>
      <c r="AE392" s="45">
        <v>0</v>
      </c>
      <c r="AF392" s="45">
        <v>0</v>
      </c>
      <c r="AG392" s="45">
        <v>0</v>
      </c>
      <c r="AH392" s="45"/>
      <c r="AI392" s="45"/>
      <c r="AJ392" s="45"/>
      <c r="AK392" s="45"/>
      <c r="AL392" s="45"/>
      <c r="AM392" s="45"/>
      <c r="AN392" s="45"/>
      <c r="AO392" s="45"/>
    </row>
    <row r="393" spans="2:41" outlineLevel="1" x14ac:dyDescent="0.35">
      <c r="B393" s="27" t="s">
        <v>969</v>
      </c>
      <c r="C393" s="27" t="s">
        <v>51</v>
      </c>
      <c r="D393" s="27" t="s">
        <v>1723</v>
      </c>
      <c r="E393" s="27" t="s">
        <v>51</v>
      </c>
      <c r="F393" t="e">
        <v>#N/A</v>
      </c>
      <c r="G393" s="27" t="s">
        <v>547</v>
      </c>
      <c r="H393" s="27" t="s">
        <v>447</v>
      </c>
      <c r="I393" s="27" t="s">
        <v>440</v>
      </c>
      <c r="J393" s="27" t="s">
        <v>448</v>
      </c>
      <c r="K393" s="27" t="s">
        <v>476</v>
      </c>
      <c r="L393" s="27" t="s">
        <v>503</v>
      </c>
      <c r="M393" s="27" t="s">
        <v>504</v>
      </c>
      <c r="N393" s="27" t="s">
        <v>505</v>
      </c>
      <c r="O393" s="27" t="s">
        <v>480</v>
      </c>
      <c r="P393" s="27" t="s">
        <v>480</v>
      </c>
      <c r="Q393" s="27" t="s">
        <v>372</v>
      </c>
      <c r="R393" s="45">
        <v>0</v>
      </c>
      <c r="S393" s="45">
        <v>0</v>
      </c>
      <c r="T393" s="45">
        <v>0</v>
      </c>
      <c r="U393" s="45">
        <v>0</v>
      </c>
      <c r="V393" s="45">
        <v>0</v>
      </c>
      <c r="W393" s="45">
        <v>0</v>
      </c>
      <c r="X393" s="45">
        <v>0</v>
      </c>
      <c r="Y393" s="45">
        <v>0</v>
      </c>
      <c r="Z393" s="45">
        <v>0</v>
      </c>
      <c r="AA393" s="45">
        <v>0</v>
      </c>
      <c r="AB393" s="45">
        <v>29000</v>
      </c>
      <c r="AC393" s="45">
        <v>29000</v>
      </c>
      <c r="AD393" s="45">
        <v>0</v>
      </c>
      <c r="AE393" s="45">
        <v>0</v>
      </c>
      <c r="AF393" s="45">
        <v>0</v>
      </c>
      <c r="AG393" s="45">
        <v>0</v>
      </c>
      <c r="AH393" s="45"/>
      <c r="AI393" s="45"/>
      <c r="AJ393" s="45"/>
      <c r="AK393" s="45"/>
      <c r="AL393" s="45"/>
      <c r="AM393" s="45"/>
      <c r="AN393" s="45"/>
      <c r="AO393" s="45"/>
    </row>
    <row r="394" spans="2:41" outlineLevel="1" x14ac:dyDescent="0.35">
      <c r="B394" s="27" t="s">
        <v>1347</v>
      </c>
      <c r="C394" s="27" t="s">
        <v>51</v>
      </c>
      <c r="D394" s="27" t="s">
        <v>1926</v>
      </c>
      <c r="E394" s="27" t="s">
        <v>51</v>
      </c>
      <c r="F394" t="s">
        <v>501</v>
      </c>
      <c r="G394" s="27" t="s">
        <v>1724</v>
      </c>
      <c r="H394" s="27" t="s">
        <v>447</v>
      </c>
      <c r="I394" s="27" t="s">
        <v>440</v>
      </c>
      <c r="J394" s="27" t="s">
        <v>448</v>
      </c>
      <c r="K394" s="27" t="s">
        <v>476</v>
      </c>
      <c r="L394" s="27" t="s">
        <v>2033</v>
      </c>
      <c r="M394" s="27" t="s">
        <v>2033</v>
      </c>
      <c r="N394" s="27" t="s">
        <v>2033</v>
      </c>
      <c r="O394" s="27" t="s">
        <v>480</v>
      </c>
      <c r="P394" s="27" t="s">
        <v>480</v>
      </c>
      <c r="Q394" s="27" t="s">
        <v>372</v>
      </c>
      <c r="R394" s="45">
        <v>0</v>
      </c>
      <c r="S394" s="45">
        <v>0</v>
      </c>
      <c r="T394" s="45">
        <v>0</v>
      </c>
      <c r="U394" s="45">
        <v>0</v>
      </c>
      <c r="V394" s="45">
        <v>0</v>
      </c>
      <c r="W394" s="45">
        <v>0</v>
      </c>
      <c r="X394" s="45">
        <v>0</v>
      </c>
      <c r="Y394" s="45">
        <v>0</v>
      </c>
      <c r="Z394" s="45">
        <v>0</v>
      </c>
      <c r="AA394" s="45">
        <v>0</v>
      </c>
      <c r="AB394" s="45">
        <v>7092.45</v>
      </c>
      <c r="AC394" s="45">
        <v>12682.45</v>
      </c>
      <c r="AD394" s="45">
        <v>2795</v>
      </c>
      <c r="AE394" s="45">
        <v>5590</v>
      </c>
      <c r="AF394" s="45">
        <v>10083</v>
      </c>
      <c r="AG394" s="45">
        <v>14625.43</v>
      </c>
      <c r="AH394" s="45"/>
      <c r="AI394" s="45"/>
      <c r="AJ394" s="45"/>
      <c r="AK394" s="45"/>
      <c r="AL394" s="45"/>
      <c r="AM394" s="45"/>
      <c r="AN394" s="45"/>
      <c r="AO394" s="45"/>
    </row>
    <row r="395" spans="2:41" outlineLevel="1" x14ac:dyDescent="0.35">
      <c r="B395" s="27" t="s">
        <v>1348</v>
      </c>
      <c r="C395" s="27" t="s">
        <v>51</v>
      </c>
      <c r="D395" s="27" t="s">
        <v>1927</v>
      </c>
      <c r="E395" s="27" t="s">
        <v>51</v>
      </c>
      <c r="F395" t="s">
        <v>512</v>
      </c>
      <c r="G395" s="27" t="s">
        <v>1725</v>
      </c>
      <c r="H395" s="27" t="s">
        <v>447</v>
      </c>
      <c r="I395" s="27" t="s">
        <v>440</v>
      </c>
      <c r="J395" s="27" t="s">
        <v>448</v>
      </c>
      <c r="K395" s="27" t="s">
        <v>491</v>
      </c>
      <c r="L395" s="27" t="s">
        <v>1033</v>
      </c>
      <c r="M395" s="27" t="s">
        <v>1033</v>
      </c>
      <c r="N395" s="27" t="s">
        <v>1033</v>
      </c>
      <c r="O395" s="27" t="s">
        <v>491</v>
      </c>
      <c r="P395" s="27" t="s">
        <v>480</v>
      </c>
      <c r="Q395" s="27" t="s">
        <v>372</v>
      </c>
      <c r="R395" s="45">
        <v>0</v>
      </c>
      <c r="S395" s="45">
        <v>0</v>
      </c>
      <c r="T395" s="45">
        <v>0</v>
      </c>
      <c r="U395" s="45">
        <v>0</v>
      </c>
      <c r="V395" s="45">
        <v>0</v>
      </c>
      <c r="W395" s="45">
        <v>0</v>
      </c>
      <c r="X395" s="45">
        <v>0</v>
      </c>
      <c r="Y395" s="45">
        <v>0</v>
      </c>
      <c r="Z395" s="45">
        <v>0</v>
      </c>
      <c r="AA395" s="45">
        <v>0</v>
      </c>
      <c r="AB395" s="45">
        <v>25476.35</v>
      </c>
      <c r="AC395" s="45">
        <v>304821.12</v>
      </c>
      <c r="AD395" s="45">
        <v>16722.439999999999</v>
      </c>
      <c r="AE395" s="45">
        <v>60468.61</v>
      </c>
      <c r="AF395" s="45">
        <v>92703.34</v>
      </c>
      <c r="AG395" s="45">
        <v>179466.27</v>
      </c>
      <c r="AH395" s="45"/>
      <c r="AI395" s="45"/>
      <c r="AJ395" s="45"/>
      <c r="AK395" s="45"/>
      <c r="AL395" s="45"/>
      <c r="AM395" s="45"/>
      <c r="AN395" s="45"/>
      <c r="AO395" s="45"/>
    </row>
    <row r="396" spans="2:41" outlineLevel="1" x14ac:dyDescent="0.35">
      <c r="B396" s="27" t="s">
        <v>970</v>
      </c>
      <c r="C396" s="27" t="s">
        <v>51</v>
      </c>
      <c r="D396" s="27" t="s">
        <v>1726</v>
      </c>
      <c r="E396" s="27" t="s">
        <v>51</v>
      </c>
      <c r="F396" s="27" t="s">
        <v>385</v>
      </c>
      <c r="G396" t="s">
        <v>971</v>
      </c>
      <c r="H396" s="27" t="s">
        <v>54</v>
      </c>
      <c r="I396" s="27" t="s">
        <v>55</v>
      </c>
      <c r="J396" s="27" t="s">
        <v>393</v>
      </c>
      <c r="K396" s="27" t="s">
        <v>371</v>
      </c>
      <c r="L396" s="27" t="s">
        <v>371</v>
      </c>
      <c r="M396" s="27" t="s">
        <v>371</v>
      </c>
      <c r="N396" s="27" t="s">
        <v>371</v>
      </c>
      <c r="O396" s="27" t="s">
        <v>371</v>
      </c>
      <c r="P396" s="27" t="s">
        <v>371</v>
      </c>
      <c r="Q396" s="27" t="s">
        <v>372</v>
      </c>
      <c r="R396" s="45">
        <v>0</v>
      </c>
      <c r="S396" s="45">
        <v>0</v>
      </c>
      <c r="T396" s="45">
        <v>0</v>
      </c>
      <c r="U396" s="45">
        <v>0</v>
      </c>
      <c r="V396" s="45">
        <v>0</v>
      </c>
      <c r="W396" s="45">
        <v>0</v>
      </c>
      <c r="X396" s="45">
        <v>0</v>
      </c>
      <c r="Y396" s="45">
        <v>0</v>
      </c>
      <c r="Z396" s="45">
        <v>0</v>
      </c>
      <c r="AA396" s="45">
        <v>0</v>
      </c>
      <c r="AB396" s="45">
        <v>289173.71000000002</v>
      </c>
      <c r="AC396" s="45">
        <v>292027.25</v>
      </c>
      <c r="AD396" s="45">
        <v>292027.25</v>
      </c>
      <c r="AE396" s="45">
        <v>292027.25</v>
      </c>
      <c r="AF396" s="45">
        <v>292027.25</v>
      </c>
      <c r="AG396" s="45">
        <v>0</v>
      </c>
      <c r="AH396" s="45"/>
      <c r="AI396" s="45"/>
      <c r="AJ396" s="45"/>
      <c r="AK396" s="45"/>
      <c r="AL396" s="45"/>
      <c r="AM396" s="45"/>
      <c r="AN396" s="45"/>
      <c r="AO396" s="45"/>
    </row>
    <row r="397" spans="2:41" outlineLevel="1" x14ac:dyDescent="0.35">
      <c r="B397" s="27" t="s">
        <v>972</v>
      </c>
      <c r="C397" s="27" t="s">
        <v>51</v>
      </c>
      <c r="D397" s="27" t="s">
        <v>1727</v>
      </c>
      <c r="E397" s="27" t="s">
        <v>51</v>
      </c>
      <c r="F397" s="27" t="s">
        <v>385</v>
      </c>
      <c r="G397" t="s">
        <v>703</v>
      </c>
      <c r="H397" s="27" t="s">
        <v>54</v>
      </c>
      <c r="I397" s="27" t="s">
        <v>55</v>
      </c>
      <c r="J397" s="27" t="s">
        <v>393</v>
      </c>
      <c r="K397" s="27" t="s">
        <v>371</v>
      </c>
      <c r="L397" s="27" t="s">
        <v>371</v>
      </c>
      <c r="M397" s="27" t="s">
        <v>371</v>
      </c>
      <c r="N397" s="27" t="s">
        <v>371</v>
      </c>
      <c r="O397" s="27" t="s">
        <v>371</v>
      </c>
      <c r="P397" s="27" t="s">
        <v>371</v>
      </c>
      <c r="Q397" s="27" t="s">
        <v>372</v>
      </c>
      <c r="R397" s="45">
        <v>0</v>
      </c>
      <c r="S397" s="45">
        <v>0</v>
      </c>
      <c r="T397" s="45">
        <v>0</v>
      </c>
      <c r="U397" s="45">
        <v>0</v>
      </c>
      <c r="V397" s="45">
        <v>0</v>
      </c>
      <c r="W397" s="45">
        <v>0</v>
      </c>
      <c r="X397" s="45">
        <v>0</v>
      </c>
      <c r="Y397" s="45">
        <v>0</v>
      </c>
      <c r="Z397" s="45">
        <v>0</v>
      </c>
      <c r="AA397" s="45">
        <v>0</v>
      </c>
      <c r="AB397" s="45">
        <v>2376761.11</v>
      </c>
      <c r="AC397" s="45">
        <v>2378139.63</v>
      </c>
      <c r="AD397" s="45">
        <v>2378139.63</v>
      </c>
      <c r="AE397" s="45">
        <v>2378139.63</v>
      </c>
      <c r="AF397" s="45">
        <v>2378139.63</v>
      </c>
      <c r="AG397" s="45">
        <v>0</v>
      </c>
      <c r="AH397" s="45"/>
      <c r="AI397" s="45"/>
      <c r="AJ397" s="45"/>
      <c r="AK397" s="45"/>
      <c r="AL397" s="45"/>
      <c r="AM397" s="45"/>
      <c r="AN397" s="45"/>
      <c r="AO397" s="45"/>
    </row>
    <row r="398" spans="2:41" outlineLevel="1" x14ac:dyDescent="0.35">
      <c r="B398" s="27" t="s">
        <v>973</v>
      </c>
      <c r="C398" s="27" t="s">
        <v>51</v>
      </c>
      <c r="D398" s="27" t="s">
        <v>1728</v>
      </c>
      <c r="E398" s="27" t="s">
        <v>51</v>
      </c>
      <c r="F398" s="27" t="s">
        <v>385</v>
      </c>
      <c r="G398" t="s">
        <v>800</v>
      </c>
      <c r="H398" s="27" t="s">
        <v>54</v>
      </c>
      <c r="I398" s="27" t="s">
        <v>55</v>
      </c>
      <c r="J398" s="27" t="s">
        <v>393</v>
      </c>
      <c r="K398" s="27" t="s">
        <v>371</v>
      </c>
      <c r="L398" s="27" t="s">
        <v>371</v>
      </c>
      <c r="M398" s="27" t="s">
        <v>371</v>
      </c>
      <c r="N398" s="27" t="s">
        <v>371</v>
      </c>
      <c r="O398" s="27" t="s">
        <v>371</v>
      </c>
      <c r="P398" s="27" t="s">
        <v>371</v>
      </c>
      <c r="Q398" s="27" t="s">
        <v>372</v>
      </c>
      <c r="R398" s="45">
        <v>0</v>
      </c>
      <c r="S398" s="45">
        <v>0</v>
      </c>
      <c r="T398" s="45">
        <v>0</v>
      </c>
      <c r="U398" s="45">
        <v>0</v>
      </c>
      <c r="V398" s="45">
        <v>0</v>
      </c>
      <c r="W398" s="45">
        <v>0</v>
      </c>
      <c r="X398" s="45">
        <v>0</v>
      </c>
      <c r="Y398" s="45">
        <v>0</v>
      </c>
      <c r="Z398" s="45">
        <v>0</v>
      </c>
      <c r="AA398" s="45">
        <v>0</v>
      </c>
      <c r="AB398" s="45">
        <v>384503</v>
      </c>
      <c r="AC398" s="45">
        <v>407583.23</v>
      </c>
      <c r="AD398" s="45">
        <v>407583.23</v>
      </c>
      <c r="AE398" s="45">
        <v>407583.23</v>
      </c>
      <c r="AF398" s="45">
        <v>407583.23</v>
      </c>
      <c r="AG398" s="45">
        <v>0</v>
      </c>
      <c r="AH398" s="45"/>
      <c r="AI398" s="45"/>
      <c r="AJ398" s="45"/>
      <c r="AK398" s="45"/>
      <c r="AL398" s="45"/>
      <c r="AM398" s="45"/>
      <c r="AN398" s="45"/>
      <c r="AO398" s="45"/>
    </row>
    <row r="399" spans="2:41" outlineLevel="1" x14ac:dyDescent="0.35">
      <c r="B399" s="27" t="s">
        <v>975</v>
      </c>
      <c r="C399" s="27" t="s">
        <v>51</v>
      </c>
      <c r="D399" s="27" t="s">
        <v>992</v>
      </c>
      <c r="E399" s="27" t="s">
        <v>51</v>
      </c>
      <c r="F399" s="27" t="s">
        <v>377</v>
      </c>
      <c r="G399" t="s">
        <v>976</v>
      </c>
      <c r="H399" s="27" t="s">
        <v>54</v>
      </c>
      <c r="I399" s="27" t="s">
        <v>55</v>
      </c>
      <c r="J399" s="27" t="s">
        <v>56</v>
      </c>
      <c r="K399" s="27" t="s">
        <v>371</v>
      </c>
      <c r="L399" s="27" t="s">
        <v>371</v>
      </c>
      <c r="M399" s="27" t="s">
        <v>371</v>
      </c>
      <c r="N399" s="27" t="s">
        <v>371</v>
      </c>
      <c r="O399" s="27" t="s">
        <v>371</v>
      </c>
      <c r="P399" s="27"/>
      <c r="Q399" s="27" t="s">
        <v>372</v>
      </c>
      <c r="R399" s="45">
        <v>0</v>
      </c>
      <c r="S399" s="45">
        <v>0</v>
      </c>
      <c r="T399" s="45">
        <v>0</v>
      </c>
      <c r="U399" s="45">
        <v>0</v>
      </c>
      <c r="V399" s="45">
        <v>0</v>
      </c>
      <c r="W399" s="45">
        <v>0</v>
      </c>
      <c r="X399" s="45">
        <v>0</v>
      </c>
      <c r="Y399" s="45">
        <v>0</v>
      </c>
      <c r="Z399" s="45">
        <v>0</v>
      </c>
      <c r="AA399" s="45">
        <v>0</v>
      </c>
      <c r="AB399" s="45">
        <v>0</v>
      </c>
      <c r="AC399" s="45">
        <v>2330.96</v>
      </c>
      <c r="AD399" s="45">
        <v>2330.96</v>
      </c>
      <c r="AE399" s="45">
        <v>2330.96</v>
      </c>
      <c r="AF399" s="45">
        <v>0</v>
      </c>
      <c r="AG399" s="45">
        <v>0</v>
      </c>
      <c r="AH399" s="45"/>
      <c r="AI399" s="45"/>
      <c r="AJ399" s="45"/>
      <c r="AK399" s="45"/>
      <c r="AL399" s="45"/>
      <c r="AM399" s="45"/>
      <c r="AN399" s="45"/>
      <c r="AO399" s="45"/>
    </row>
    <row r="400" spans="2:41" outlineLevel="1" x14ac:dyDescent="0.35">
      <c r="B400" s="27" t="s">
        <v>977</v>
      </c>
      <c r="C400" s="27" t="s">
        <v>51</v>
      </c>
      <c r="D400" s="27" t="s">
        <v>993</v>
      </c>
      <c r="E400" s="27" t="s">
        <v>51</v>
      </c>
      <c r="F400" s="27" t="s">
        <v>377</v>
      </c>
      <c r="G400" t="s">
        <v>978</v>
      </c>
      <c r="H400" s="27" t="s">
        <v>54</v>
      </c>
      <c r="I400" s="27" t="s">
        <v>55</v>
      </c>
      <c r="J400" s="27" t="s">
        <v>56</v>
      </c>
      <c r="K400" s="27" t="s">
        <v>371</v>
      </c>
      <c r="L400" s="27" t="s">
        <v>371</v>
      </c>
      <c r="M400" s="27" t="s">
        <v>371</v>
      </c>
      <c r="N400" s="27" t="s">
        <v>371</v>
      </c>
      <c r="O400" s="27" t="s">
        <v>371</v>
      </c>
      <c r="P400" s="27"/>
      <c r="Q400" s="27" t="s">
        <v>372</v>
      </c>
      <c r="R400" s="45">
        <v>0</v>
      </c>
      <c r="S400" s="45">
        <v>0</v>
      </c>
      <c r="T400" s="45">
        <v>0</v>
      </c>
      <c r="U400" s="45">
        <v>0</v>
      </c>
      <c r="V400" s="45">
        <v>0</v>
      </c>
      <c r="W400" s="45">
        <v>0</v>
      </c>
      <c r="X400" s="45">
        <v>0</v>
      </c>
      <c r="Y400" s="45">
        <v>0</v>
      </c>
      <c r="Z400" s="45">
        <v>0</v>
      </c>
      <c r="AA400" s="45">
        <v>0</v>
      </c>
      <c r="AB400" s="45">
        <v>0</v>
      </c>
      <c r="AC400" s="45">
        <v>1199.3599999999999</v>
      </c>
      <c r="AD400" s="45">
        <v>1199.3599999999999</v>
      </c>
      <c r="AE400" s="45">
        <v>1199.3599999999999</v>
      </c>
      <c r="AF400" s="45">
        <v>0</v>
      </c>
      <c r="AG400" s="45">
        <v>0</v>
      </c>
      <c r="AH400" s="45"/>
      <c r="AI400" s="45"/>
      <c r="AJ400" s="45"/>
      <c r="AK400" s="45"/>
      <c r="AL400" s="45"/>
      <c r="AM400" s="45"/>
      <c r="AN400" s="45"/>
      <c r="AO400" s="45"/>
    </row>
    <row r="401" spans="2:41" outlineLevel="1" x14ac:dyDescent="0.35">
      <c r="B401" s="27" t="s">
        <v>979</v>
      </c>
      <c r="C401" s="27" t="s">
        <v>51</v>
      </c>
      <c r="D401" s="27" t="s">
        <v>994</v>
      </c>
      <c r="E401" s="27" t="s">
        <v>51</v>
      </c>
      <c r="F401" s="27" t="s">
        <v>109</v>
      </c>
      <c r="G401" t="s">
        <v>980</v>
      </c>
      <c r="H401" s="27" t="s">
        <v>54</v>
      </c>
      <c r="I401" s="27" t="s">
        <v>55</v>
      </c>
      <c r="J401" s="27" t="s">
        <v>101</v>
      </c>
      <c r="K401" s="27" t="s">
        <v>371</v>
      </c>
      <c r="L401" s="27" t="s">
        <v>371</v>
      </c>
      <c r="M401" s="27" t="s">
        <v>371</v>
      </c>
      <c r="N401" s="27" t="s">
        <v>371</v>
      </c>
      <c r="O401" s="27" t="s">
        <v>371</v>
      </c>
      <c r="P401" s="27"/>
      <c r="Q401" s="27" t="s">
        <v>372</v>
      </c>
      <c r="R401" s="45">
        <v>0</v>
      </c>
      <c r="S401" s="45">
        <v>0</v>
      </c>
      <c r="T401" s="45">
        <v>0</v>
      </c>
      <c r="U401" s="45">
        <v>0</v>
      </c>
      <c r="V401" s="45">
        <v>0</v>
      </c>
      <c r="W401" s="45">
        <v>0</v>
      </c>
      <c r="X401" s="45">
        <v>0</v>
      </c>
      <c r="Y401" s="45">
        <v>0</v>
      </c>
      <c r="Z401" s="45">
        <v>0</v>
      </c>
      <c r="AA401" s="45">
        <v>0</v>
      </c>
      <c r="AB401" s="45">
        <v>0</v>
      </c>
      <c r="AC401" s="45">
        <v>1029980</v>
      </c>
      <c r="AD401" s="45">
        <v>1029980</v>
      </c>
      <c r="AE401" s="45">
        <v>1029980</v>
      </c>
      <c r="AF401" s="45">
        <v>0</v>
      </c>
      <c r="AG401" s="45">
        <v>0</v>
      </c>
      <c r="AH401" s="45"/>
      <c r="AI401" s="45"/>
      <c r="AJ401" s="45"/>
      <c r="AK401" s="45"/>
      <c r="AL401" s="45"/>
      <c r="AM401" s="45"/>
      <c r="AN401" s="45"/>
      <c r="AO401" s="45"/>
    </row>
    <row r="402" spans="2:41" outlineLevel="1" x14ac:dyDescent="0.35">
      <c r="B402" s="27" t="s">
        <v>981</v>
      </c>
      <c r="C402" s="27" t="s">
        <v>51</v>
      </c>
      <c r="D402" s="27" t="s">
        <v>995</v>
      </c>
      <c r="E402" s="27" t="s">
        <v>51</v>
      </c>
      <c r="F402" s="27" t="s">
        <v>109</v>
      </c>
      <c r="G402" t="s">
        <v>982</v>
      </c>
      <c r="H402" s="27" t="s">
        <v>54</v>
      </c>
      <c r="I402" s="27" t="s">
        <v>55</v>
      </c>
      <c r="J402" s="27" t="s">
        <v>101</v>
      </c>
      <c r="K402" s="27" t="s">
        <v>371</v>
      </c>
      <c r="L402" s="27" t="s">
        <v>371</v>
      </c>
      <c r="M402" s="27" t="s">
        <v>371</v>
      </c>
      <c r="N402" s="27" t="s">
        <v>371</v>
      </c>
      <c r="O402" s="27" t="s">
        <v>371</v>
      </c>
      <c r="P402" s="27"/>
      <c r="Q402" s="27" t="s">
        <v>372</v>
      </c>
      <c r="R402" s="45">
        <v>0</v>
      </c>
      <c r="S402" s="45">
        <v>0</v>
      </c>
      <c r="T402" s="45">
        <v>0</v>
      </c>
      <c r="U402" s="45">
        <v>0</v>
      </c>
      <c r="V402" s="45">
        <v>0</v>
      </c>
      <c r="W402" s="45">
        <v>0</v>
      </c>
      <c r="X402" s="45">
        <v>0</v>
      </c>
      <c r="Y402" s="45">
        <v>0</v>
      </c>
      <c r="Z402" s="45">
        <v>0</v>
      </c>
      <c r="AA402" s="45">
        <v>0</v>
      </c>
      <c r="AB402" s="45">
        <v>0</v>
      </c>
      <c r="AC402" s="45">
        <v>57500</v>
      </c>
      <c r="AD402" s="45">
        <v>57500</v>
      </c>
      <c r="AE402" s="45">
        <v>57500</v>
      </c>
      <c r="AF402" s="45">
        <v>0</v>
      </c>
      <c r="AG402" s="45">
        <v>0</v>
      </c>
      <c r="AH402" s="45"/>
      <c r="AI402" s="45"/>
      <c r="AJ402" s="45"/>
      <c r="AK402" s="45"/>
      <c r="AL402" s="45"/>
      <c r="AM402" s="45"/>
      <c r="AN402" s="45"/>
      <c r="AO402" s="45"/>
    </row>
    <row r="403" spans="2:41" outlineLevel="1" x14ac:dyDescent="0.35">
      <c r="B403" s="27" t="s">
        <v>983</v>
      </c>
      <c r="C403" s="27" t="s">
        <v>51</v>
      </c>
      <c r="D403" s="27" t="s">
        <v>996</v>
      </c>
      <c r="E403" s="27" t="s">
        <v>51</v>
      </c>
      <c r="F403" s="27" t="s">
        <v>109</v>
      </c>
      <c r="G403" t="s">
        <v>984</v>
      </c>
      <c r="H403" s="27" t="s">
        <v>54</v>
      </c>
      <c r="I403" s="27" t="s">
        <v>55</v>
      </c>
      <c r="J403" s="27" t="s">
        <v>101</v>
      </c>
      <c r="K403" s="27" t="s">
        <v>371</v>
      </c>
      <c r="L403" s="27" t="s">
        <v>371</v>
      </c>
      <c r="M403" s="27" t="s">
        <v>371</v>
      </c>
      <c r="N403" s="27" t="s">
        <v>371</v>
      </c>
      <c r="O403" s="27" t="s">
        <v>371</v>
      </c>
      <c r="P403" s="27"/>
      <c r="Q403" s="27" t="s">
        <v>372</v>
      </c>
      <c r="R403" s="45">
        <v>0</v>
      </c>
      <c r="S403" s="45">
        <v>0</v>
      </c>
      <c r="T403" s="45">
        <v>0</v>
      </c>
      <c r="U403" s="45">
        <v>0</v>
      </c>
      <c r="V403" s="45">
        <v>0</v>
      </c>
      <c r="W403" s="45">
        <v>0</v>
      </c>
      <c r="X403" s="45">
        <v>0</v>
      </c>
      <c r="Y403" s="45">
        <v>0</v>
      </c>
      <c r="Z403" s="45">
        <v>0</v>
      </c>
      <c r="AA403" s="45">
        <v>0</v>
      </c>
      <c r="AB403" s="45">
        <v>0</v>
      </c>
      <c r="AC403" s="45">
        <v>407.51</v>
      </c>
      <c r="AD403" s="45">
        <v>407.51</v>
      </c>
      <c r="AE403" s="45">
        <v>407.51</v>
      </c>
      <c r="AF403" s="45">
        <v>0</v>
      </c>
      <c r="AG403" s="45">
        <v>0</v>
      </c>
      <c r="AH403" s="45"/>
      <c r="AI403" s="45"/>
      <c r="AJ403" s="45"/>
      <c r="AK403" s="45"/>
      <c r="AL403" s="45"/>
      <c r="AM403" s="45"/>
      <c r="AN403" s="45"/>
      <c r="AO403" s="45"/>
    </row>
    <row r="404" spans="2:41" outlineLevel="1" x14ac:dyDescent="0.35">
      <c r="B404" s="27" t="s">
        <v>985</v>
      </c>
      <c r="C404" s="27" t="s">
        <v>51</v>
      </c>
      <c r="D404" s="27" t="s">
        <v>997</v>
      </c>
      <c r="E404" s="27" t="s">
        <v>51</v>
      </c>
      <c r="F404" s="27" t="s">
        <v>109</v>
      </c>
      <c r="G404" t="s">
        <v>986</v>
      </c>
      <c r="H404" s="27" t="s">
        <v>54</v>
      </c>
      <c r="I404" s="27" t="s">
        <v>55</v>
      </c>
      <c r="J404" s="27" t="s">
        <v>101</v>
      </c>
      <c r="K404" s="27" t="s">
        <v>371</v>
      </c>
      <c r="L404" s="27" t="s">
        <v>371</v>
      </c>
      <c r="M404" s="27" t="s">
        <v>371</v>
      </c>
      <c r="N404" s="27" t="s">
        <v>371</v>
      </c>
      <c r="O404" s="27" t="s">
        <v>371</v>
      </c>
      <c r="P404" s="27"/>
      <c r="Q404" s="27" t="s">
        <v>372</v>
      </c>
      <c r="R404" s="45">
        <v>0</v>
      </c>
      <c r="S404" s="45">
        <v>0</v>
      </c>
      <c r="T404" s="45">
        <v>0</v>
      </c>
      <c r="U404" s="45">
        <v>0</v>
      </c>
      <c r="V404" s="45">
        <v>0</v>
      </c>
      <c r="W404" s="45">
        <v>0</v>
      </c>
      <c r="X404" s="45">
        <v>0</v>
      </c>
      <c r="Y404" s="45">
        <v>0</v>
      </c>
      <c r="Z404" s="45">
        <v>0</v>
      </c>
      <c r="AA404" s="45">
        <v>0</v>
      </c>
      <c r="AB404" s="45">
        <v>0</v>
      </c>
      <c r="AC404" s="45">
        <v>6057.18</v>
      </c>
      <c r="AD404" s="45">
        <v>6057.18</v>
      </c>
      <c r="AE404" s="45">
        <v>6057.18</v>
      </c>
      <c r="AF404" s="45">
        <v>0</v>
      </c>
      <c r="AG404" s="45">
        <v>0</v>
      </c>
      <c r="AH404" s="45"/>
      <c r="AI404" s="45"/>
      <c r="AJ404" s="45"/>
      <c r="AK404" s="45"/>
      <c r="AL404" s="45"/>
      <c r="AM404" s="45"/>
      <c r="AN404" s="45"/>
      <c r="AO404" s="45"/>
    </row>
    <row r="405" spans="2:41" outlineLevel="1" x14ac:dyDescent="0.35">
      <c r="B405" s="27" t="s">
        <v>987</v>
      </c>
      <c r="C405" s="27" t="s">
        <v>51</v>
      </c>
      <c r="D405" s="27" t="s">
        <v>998</v>
      </c>
      <c r="E405" s="27" t="s">
        <v>51</v>
      </c>
      <c r="F405" s="27" t="s">
        <v>385</v>
      </c>
      <c r="G405" t="s">
        <v>988</v>
      </c>
      <c r="H405" s="27" t="s">
        <v>54</v>
      </c>
      <c r="I405" s="27" t="s">
        <v>55</v>
      </c>
      <c r="J405" s="27" t="s">
        <v>393</v>
      </c>
      <c r="K405" s="27" t="s">
        <v>371</v>
      </c>
      <c r="L405" s="27" t="s">
        <v>371</v>
      </c>
      <c r="M405" s="27" t="s">
        <v>371</v>
      </c>
      <c r="N405" s="27" t="s">
        <v>371</v>
      </c>
      <c r="O405" s="27" t="s">
        <v>371</v>
      </c>
      <c r="P405" s="27" t="s">
        <v>371</v>
      </c>
      <c r="Q405" s="27" t="s">
        <v>372</v>
      </c>
      <c r="R405" s="45">
        <v>0</v>
      </c>
      <c r="S405" s="45">
        <v>0</v>
      </c>
      <c r="T405" s="45">
        <v>0</v>
      </c>
      <c r="U405" s="45">
        <v>0</v>
      </c>
      <c r="V405" s="45">
        <v>0</v>
      </c>
      <c r="W405" s="45">
        <v>0</v>
      </c>
      <c r="X405" s="45">
        <v>0</v>
      </c>
      <c r="Y405" s="45">
        <v>0</v>
      </c>
      <c r="Z405" s="45">
        <v>0</v>
      </c>
      <c r="AA405" s="45">
        <v>0</v>
      </c>
      <c r="AB405" s="45">
        <v>0</v>
      </c>
      <c r="AC405" s="45">
        <v>70138713.810000002</v>
      </c>
      <c r="AD405" s="45">
        <v>71704522.930000007</v>
      </c>
      <c r="AE405" s="45">
        <v>71781019.590000004</v>
      </c>
      <c r="AF405" s="45">
        <v>71781019.590000004</v>
      </c>
      <c r="AG405" s="45">
        <v>0</v>
      </c>
      <c r="AH405" s="45"/>
      <c r="AI405" s="45"/>
      <c r="AJ405" s="45"/>
      <c r="AK405" s="45"/>
      <c r="AL405" s="45"/>
      <c r="AM405" s="45"/>
      <c r="AN405" s="45"/>
      <c r="AO405" s="45"/>
    </row>
    <row r="406" spans="2:41" outlineLevel="1" x14ac:dyDescent="0.35">
      <c r="B406" s="27" t="s">
        <v>989</v>
      </c>
      <c r="C406" s="27" t="s">
        <v>51</v>
      </c>
      <c r="D406" s="27" t="s">
        <v>999</v>
      </c>
      <c r="E406" s="27" t="s">
        <v>51</v>
      </c>
      <c r="F406" s="27" t="s">
        <v>385</v>
      </c>
      <c r="G406" t="s">
        <v>952</v>
      </c>
      <c r="H406" s="27" t="s">
        <v>54</v>
      </c>
      <c r="I406" s="27" t="s">
        <v>55</v>
      </c>
      <c r="J406" s="27" t="s">
        <v>393</v>
      </c>
      <c r="K406" s="27" t="s">
        <v>371</v>
      </c>
      <c r="L406" s="27" t="s">
        <v>371</v>
      </c>
      <c r="M406" s="27" t="s">
        <v>371</v>
      </c>
      <c r="N406" s="27" t="s">
        <v>371</v>
      </c>
      <c r="O406" s="27" t="s">
        <v>371</v>
      </c>
      <c r="P406" s="27" t="s">
        <v>371</v>
      </c>
      <c r="Q406" s="27" t="s">
        <v>372</v>
      </c>
      <c r="R406" s="45">
        <v>0</v>
      </c>
      <c r="S406" s="45">
        <v>0</v>
      </c>
      <c r="T406" s="45">
        <v>0</v>
      </c>
      <c r="U406" s="45">
        <v>0</v>
      </c>
      <c r="V406" s="45">
        <v>0</v>
      </c>
      <c r="W406" s="45">
        <v>0</v>
      </c>
      <c r="X406" s="45">
        <v>0</v>
      </c>
      <c r="Y406" s="45">
        <v>0</v>
      </c>
      <c r="Z406" s="45">
        <v>0</v>
      </c>
      <c r="AA406" s="45">
        <v>0</v>
      </c>
      <c r="AB406" s="45">
        <v>0</v>
      </c>
      <c r="AC406" s="45">
        <v>774109.2</v>
      </c>
      <c r="AD406" s="45">
        <v>774109.2</v>
      </c>
      <c r="AE406" s="45">
        <v>710371.2</v>
      </c>
      <c r="AF406" s="45">
        <v>710371.2</v>
      </c>
      <c r="AG406" s="45">
        <v>0</v>
      </c>
      <c r="AH406" s="45"/>
      <c r="AI406" s="45"/>
      <c r="AJ406" s="45"/>
      <c r="AK406" s="45"/>
      <c r="AL406" s="45"/>
      <c r="AM406" s="45"/>
      <c r="AN406" s="45"/>
      <c r="AO406" s="45"/>
    </row>
    <row r="407" spans="2:41" outlineLevel="1" x14ac:dyDescent="0.35">
      <c r="B407" s="27" t="s">
        <v>990</v>
      </c>
      <c r="C407" s="27" t="s">
        <v>51</v>
      </c>
      <c r="D407" s="27" t="s">
        <v>1000</v>
      </c>
      <c r="E407" s="27" t="s">
        <v>51</v>
      </c>
      <c r="F407" s="27" t="s">
        <v>385</v>
      </c>
      <c r="G407" t="s">
        <v>959</v>
      </c>
      <c r="H407" s="27" t="s">
        <v>54</v>
      </c>
      <c r="I407" s="27" t="s">
        <v>55</v>
      </c>
      <c r="J407" s="27" t="s">
        <v>393</v>
      </c>
      <c r="K407" s="27" t="s">
        <v>371</v>
      </c>
      <c r="L407" s="27" t="s">
        <v>371</v>
      </c>
      <c r="M407" s="27" t="s">
        <v>371</v>
      </c>
      <c r="N407" s="27" t="s">
        <v>371</v>
      </c>
      <c r="O407" s="27" t="s">
        <v>371</v>
      </c>
      <c r="P407" s="27" t="s">
        <v>371</v>
      </c>
      <c r="Q407" s="27" t="s">
        <v>372</v>
      </c>
      <c r="R407" s="45">
        <v>0</v>
      </c>
      <c r="S407" s="45">
        <v>0</v>
      </c>
      <c r="T407" s="45">
        <v>0</v>
      </c>
      <c r="U407" s="45">
        <v>0</v>
      </c>
      <c r="V407" s="45">
        <v>0</v>
      </c>
      <c r="W407" s="45">
        <v>0</v>
      </c>
      <c r="X407" s="45">
        <v>0</v>
      </c>
      <c r="Y407" s="45">
        <v>0</v>
      </c>
      <c r="Z407" s="45">
        <v>0</v>
      </c>
      <c r="AA407" s="45">
        <v>0</v>
      </c>
      <c r="AB407" s="45">
        <v>0</v>
      </c>
      <c r="AC407" s="45">
        <v>783331.88</v>
      </c>
      <c r="AD407" s="45">
        <v>719593.88</v>
      </c>
      <c r="AE407" s="45">
        <v>783331.88</v>
      </c>
      <c r="AF407" s="45">
        <v>783331.88</v>
      </c>
      <c r="AG407" s="45">
        <v>0</v>
      </c>
      <c r="AH407" s="45"/>
      <c r="AI407" s="45"/>
      <c r="AJ407" s="45"/>
      <c r="AK407" s="45"/>
      <c r="AL407" s="45"/>
      <c r="AM407" s="45"/>
      <c r="AN407" s="45"/>
      <c r="AO407" s="45"/>
    </row>
    <row r="408" spans="2:41" outlineLevel="1" x14ac:dyDescent="0.35">
      <c r="B408" s="27" t="s">
        <v>991</v>
      </c>
      <c r="C408" s="27" t="s">
        <v>51</v>
      </c>
      <c r="D408" s="27" t="s">
        <v>1001</v>
      </c>
      <c r="E408" s="27" t="s">
        <v>51</v>
      </c>
      <c r="F408" s="27" t="s">
        <v>385</v>
      </c>
      <c r="G408" t="s">
        <v>963</v>
      </c>
      <c r="H408" s="27" t="s">
        <v>54</v>
      </c>
      <c r="I408" s="27" t="s">
        <v>55</v>
      </c>
      <c r="J408" s="27" t="s">
        <v>393</v>
      </c>
      <c r="K408" s="27" t="s">
        <v>371</v>
      </c>
      <c r="L408" s="27" t="s">
        <v>371</v>
      </c>
      <c r="M408" s="27" t="s">
        <v>371</v>
      </c>
      <c r="N408" s="27" t="s">
        <v>371</v>
      </c>
      <c r="O408" s="27" t="s">
        <v>371</v>
      </c>
      <c r="P408" s="27" t="s">
        <v>371</v>
      </c>
      <c r="Q408" s="27" t="s">
        <v>372</v>
      </c>
      <c r="R408" s="45">
        <v>0</v>
      </c>
      <c r="S408" s="45">
        <v>0</v>
      </c>
      <c r="T408" s="45">
        <v>0</v>
      </c>
      <c r="U408" s="45">
        <v>0</v>
      </c>
      <c r="V408" s="45">
        <v>0</v>
      </c>
      <c r="W408" s="45">
        <v>0</v>
      </c>
      <c r="X408" s="45">
        <v>0</v>
      </c>
      <c r="Y408" s="45">
        <v>0</v>
      </c>
      <c r="Z408" s="45">
        <v>0</v>
      </c>
      <c r="AA408" s="45">
        <v>0</v>
      </c>
      <c r="AB408" s="45">
        <v>0</v>
      </c>
      <c r="AC408" s="45">
        <v>454455.91</v>
      </c>
      <c r="AD408" s="45">
        <v>454455.91</v>
      </c>
      <c r="AE408" s="45">
        <v>454455.91</v>
      </c>
      <c r="AF408" s="45">
        <v>454455.91</v>
      </c>
      <c r="AG408" s="45">
        <v>0</v>
      </c>
      <c r="AH408" s="45"/>
      <c r="AI408" s="45"/>
      <c r="AJ408" s="45"/>
      <c r="AK408" s="45"/>
      <c r="AL408" s="45"/>
      <c r="AM408" s="45"/>
      <c r="AN408" s="45"/>
      <c r="AO408" s="45"/>
    </row>
    <row r="409" spans="2:41" outlineLevel="1" x14ac:dyDescent="0.35">
      <c r="B409" s="27" t="s">
        <v>1349</v>
      </c>
      <c r="C409" s="27" t="s">
        <v>51</v>
      </c>
      <c r="D409" s="27" t="s">
        <v>1928</v>
      </c>
      <c r="E409" s="27" t="s">
        <v>51</v>
      </c>
      <c r="F409" s="27" t="s">
        <v>457</v>
      </c>
      <c r="G409" t="s">
        <v>1729</v>
      </c>
      <c r="H409" s="27" t="s">
        <v>447</v>
      </c>
      <c r="I409" s="27" t="s">
        <v>440</v>
      </c>
      <c r="J409" s="27" t="s">
        <v>448</v>
      </c>
      <c r="K409" s="27" t="s">
        <v>449</v>
      </c>
      <c r="L409" s="27" t="s">
        <v>1028</v>
      </c>
      <c r="M409" s="27" t="s">
        <v>1028</v>
      </c>
      <c r="N409" s="27" t="s">
        <v>1028</v>
      </c>
      <c r="O409" s="27" t="s">
        <v>449</v>
      </c>
      <c r="P409" s="27" t="s">
        <v>449</v>
      </c>
      <c r="Q409" s="27" t="s">
        <v>372</v>
      </c>
      <c r="R409" s="45">
        <v>0</v>
      </c>
      <c r="S409" s="45">
        <v>0</v>
      </c>
      <c r="T409" s="45">
        <v>0</v>
      </c>
      <c r="U409" s="45">
        <v>0</v>
      </c>
      <c r="V409" s="45">
        <v>0</v>
      </c>
      <c r="W409" s="45">
        <v>0</v>
      </c>
      <c r="X409" s="45">
        <v>0</v>
      </c>
      <c r="Y409" s="45">
        <v>0</v>
      </c>
      <c r="Z409" s="45">
        <v>0</v>
      </c>
      <c r="AA409" s="45">
        <v>0</v>
      </c>
      <c r="AB409" s="45">
        <v>0</v>
      </c>
      <c r="AC409" s="45">
        <v>-1346.09</v>
      </c>
      <c r="AD409" s="45">
        <v>0</v>
      </c>
      <c r="AE409" s="45">
        <v>0</v>
      </c>
      <c r="AF409" s="45">
        <v>-4339</v>
      </c>
      <c r="AG409" s="45">
        <v>-4962.5</v>
      </c>
      <c r="AH409" s="45"/>
      <c r="AI409" s="45"/>
      <c r="AJ409" s="45"/>
      <c r="AK409" s="45"/>
      <c r="AL409" s="45"/>
      <c r="AM409" s="45"/>
      <c r="AN409" s="45"/>
      <c r="AO409" s="45"/>
    </row>
    <row r="410" spans="2:41" outlineLevel="1" x14ac:dyDescent="0.35">
      <c r="B410" t="s">
        <v>1350</v>
      </c>
      <c r="C410" s="27" t="s">
        <v>51</v>
      </c>
      <c r="D410" s="27" t="s">
        <v>1929</v>
      </c>
      <c r="E410" s="27" t="s">
        <v>51</v>
      </c>
      <c r="F410" s="27" t="s">
        <v>377</v>
      </c>
      <c r="G410" t="s">
        <v>1730</v>
      </c>
      <c r="H410" s="27" t="s">
        <v>54</v>
      </c>
      <c r="I410" s="27" t="s">
        <v>55</v>
      </c>
      <c r="J410" s="27" t="s">
        <v>56</v>
      </c>
      <c r="K410" s="27" t="s">
        <v>371</v>
      </c>
      <c r="L410" s="27" t="s">
        <v>371</v>
      </c>
      <c r="M410" s="27" t="s">
        <v>371</v>
      </c>
      <c r="N410" s="27" t="s">
        <v>371</v>
      </c>
      <c r="O410" s="27" t="s">
        <v>371</v>
      </c>
      <c r="P410" s="27"/>
      <c r="Q410" s="27" t="s">
        <v>372</v>
      </c>
      <c r="R410" s="45">
        <v>0</v>
      </c>
      <c r="S410" s="45">
        <v>0</v>
      </c>
      <c r="T410" s="45">
        <v>0</v>
      </c>
      <c r="U410" s="45">
        <v>0</v>
      </c>
      <c r="V410" s="45">
        <v>0</v>
      </c>
      <c r="W410" s="45">
        <v>0</v>
      </c>
      <c r="X410" s="45">
        <v>0</v>
      </c>
      <c r="Y410" s="45">
        <v>0</v>
      </c>
      <c r="Z410" s="45">
        <v>0</v>
      </c>
      <c r="AA410" s="45">
        <v>0</v>
      </c>
      <c r="AB410" s="45">
        <v>0</v>
      </c>
      <c r="AC410" s="45">
        <v>-1756623.08</v>
      </c>
      <c r="AD410" s="45">
        <v>-1850769.54</v>
      </c>
      <c r="AE410" s="45">
        <v>-1953908.93</v>
      </c>
      <c r="AF410" s="45">
        <v>-2083206.91</v>
      </c>
      <c r="AG410" s="45">
        <v>-2083206.91</v>
      </c>
      <c r="AH410" s="45"/>
      <c r="AI410" s="45"/>
      <c r="AJ410" s="45"/>
      <c r="AK410" s="45"/>
      <c r="AL410" s="45"/>
      <c r="AM410" s="45"/>
      <c r="AN410" s="45"/>
      <c r="AO410" s="45"/>
    </row>
    <row r="411" spans="2:41" outlineLevel="1" x14ac:dyDescent="0.35">
      <c r="B411" t="s">
        <v>1002</v>
      </c>
      <c r="C411" s="27" t="s">
        <v>51</v>
      </c>
      <c r="D411" s="27" t="s">
        <v>1731</v>
      </c>
      <c r="E411" s="27" t="s">
        <v>51</v>
      </c>
      <c r="F411" s="27" t="s">
        <v>109</v>
      </c>
      <c r="G411" t="s">
        <v>1003</v>
      </c>
      <c r="H411" s="27" t="s">
        <v>54</v>
      </c>
      <c r="I411" s="27" t="s">
        <v>55</v>
      </c>
      <c r="J411" s="27" t="s">
        <v>101</v>
      </c>
      <c r="K411" s="27" t="s">
        <v>371</v>
      </c>
      <c r="L411" s="27" t="s">
        <v>371</v>
      </c>
      <c r="M411" s="27" t="s">
        <v>371</v>
      </c>
      <c r="N411" s="27" t="s">
        <v>371</v>
      </c>
      <c r="O411" s="27" t="s">
        <v>371</v>
      </c>
      <c r="P411" s="27"/>
      <c r="Q411" s="27" t="s">
        <v>372</v>
      </c>
      <c r="R411" s="45">
        <v>0</v>
      </c>
      <c r="S411" s="45">
        <v>0</v>
      </c>
      <c r="T411" s="45">
        <v>0</v>
      </c>
      <c r="U411" s="45">
        <v>0</v>
      </c>
      <c r="V411" s="45">
        <v>0</v>
      </c>
      <c r="W411" s="45">
        <v>0</v>
      </c>
      <c r="X411" s="45">
        <v>0</v>
      </c>
      <c r="Y411" s="45">
        <v>0</v>
      </c>
      <c r="Z411" s="45">
        <v>0</v>
      </c>
      <c r="AA411" s="45">
        <v>0</v>
      </c>
      <c r="AB411" s="45">
        <v>0</v>
      </c>
      <c r="AC411" s="45">
        <v>0</v>
      </c>
      <c r="AD411" s="45">
        <v>334950</v>
      </c>
      <c r="AE411" s="45">
        <v>334950</v>
      </c>
      <c r="AF411" s="45">
        <v>0</v>
      </c>
      <c r="AG411" s="45">
        <v>0</v>
      </c>
      <c r="AH411" s="45"/>
      <c r="AI411" s="45"/>
      <c r="AJ411" s="45"/>
      <c r="AK411" s="45"/>
      <c r="AL411" s="45"/>
      <c r="AM411" s="45"/>
      <c r="AN411" s="45"/>
      <c r="AO411" s="45"/>
    </row>
    <row r="412" spans="2:41" outlineLevel="1" x14ac:dyDescent="0.35">
      <c r="B412" t="s">
        <v>1004</v>
      </c>
      <c r="C412" s="27" t="s">
        <v>51</v>
      </c>
      <c r="D412" s="27" t="s">
        <v>1732</v>
      </c>
      <c r="E412" s="27" t="s">
        <v>51</v>
      </c>
      <c r="F412" t="s">
        <v>195</v>
      </c>
      <c r="G412" t="s">
        <v>1005</v>
      </c>
      <c r="H412" s="27" t="s">
        <v>54</v>
      </c>
      <c r="I412" s="27" t="s">
        <v>142</v>
      </c>
      <c r="J412" s="27" t="s">
        <v>197</v>
      </c>
      <c r="K412" s="27" t="s">
        <v>371</v>
      </c>
      <c r="L412" s="27" t="s">
        <v>371</v>
      </c>
      <c r="M412" s="27" t="s">
        <v>371</v>
      </c>
      <c r="N412" s="27" t="s">
        <v>371</v>
      </c>
      <c r="O412" s="27" t="s">
        <v>371</v>
      </c>
      <c r="P412" s="27" t="s">
        <v>371</v>
      </c>
      <c r="Q412" s="27" t="s">
        <v>372</v>
      </c>
      <c r="R412" s="45">
        <v>0</v>
      </c>
      <c r="S412" s="45">
        <v>0</v>
      </c>
      <c r="T412" s="45">
        <v>0</v>
      </c>
      <c r="U412" s="45">
        <v>0</v>
      </c>
      <c r="V412" s="45">
        <v>0</v>
      </c>
      <c r="W412" s="45">
        <v>0</v>
      </c>
      <c r="X412" s="45">
        <v>0</v>
      </c>
      <c r="Y412" s="45">
        <v>0</v>
      </c>
      <c r="Z412" s="45">
        <v>0</v>
      </c>
      <c r="AA412" s="45">
        <v>0</v>
      </c>
      <c r="AB412" s="45">
        <v>0</v>
      </c>
      <c r="AC412" s="45">
        <v>-3651.68</v>
      </c>
      <c r="AD412" s="45">
        <v>0</v>
      </c>
      <c r="AE412" s="45">
        <v>0</v>
      </c>
      <c r="AF412" s="45">
        <v>0</v>
      </c>
      <c r="AG412" s="45">
        <v>0</v>
      </c>
      <c r="AH412" s="45"/>
      <c r="AI412" s="45"/>
      <c r="AJ412" s="45"/>
      <c r="AK412" s="45"/>
      <c r="AL412" s="45"/>
      <c r="AM412" s="45"/>
      <c r="AN412" s="45"/>
      <c r="AO412" s="45"/>
    </row>
    <row r="413" spans="2:41" outlineLevel="1" x14ac:dyDescent="0.35">
      <c r="B413" t="s">
        <v>1006</v>
      </c>
      <c r="C413" s="27" t="s">
        <v>51</v>
      </c>
      <c r="D413" s="27" t="s">
        <v>1733</v>
      </c>
      <c r="E413" s="27" t="s">
        <v>51</v>
      </c>
      <c r="F413" t="s">
        <v>195</v>
      </c>
      <c r="G413" t="s">
        <v>1007</v>
      </c>
      <c r="H413" s="27" t="s">
        <v>54</v>
      </c>
      <c r="I413" s="27" t="s">
        <v>142</v>
      </c>
      <c r="J413" s="27" t="s">
        <v>197</v>
      </c>
      <c r="K413" s="27" t="s">
        <v>371</v>
      </c>
      <c r="L413" s="27" t="s">
        <v>371</v>
      </c>
      <c r="M413" s="27" t="s">
        <v>371</v>
      </c>
      <c r="N413" s="27" t="s">
        <v>371</v>
      </c>
      <c r="O413" s="27" t="s">
        <v>371</v>
      </c>
      <c r="P413" s="27" t="s">
        <v>371</v>
      </c>
      <c r="Q413" s="27" t="s">
        <v>372</v>
      </c>
      <c r="R413" s="45">
        <v>0</v>
      </c>
      <c r="S413" s="45">
        <v>0</v>
      </c>
      <c r="T413" s="45">
        <v>0</v>
      </c>
      <c r="U413" s="45">
        <v>0</v>
      </c>
      <c r="V413" s="45">
        <v>0</v>
      </c>
      <c r="W413" s="45">
        <v>0</v>
      </c>
      <c r="X413" s="45">
        <v>0</v>
      </c>
      <c r="Y413" s="45">
        <v>0</v>
      </c>
      <c r="Z413" s="45">
        <v>0</v>
      </c>
      <c r="AA413" s="45">
        <v>0</v>
      </c>
      <c r="AB413" s="45">
        <v>0</v>
      </c>
      <c r="AC413" s="45">
        <v>-170134.39999999999</v>
      </c>
      <c r="AD413" s="45">
        <v>-163258.20000000001</v>
      </c>
      <c r="AE413" s="45">
        <v>-163258.20000000001</v>
      </c>
      <c r="AF413" s="45">
        <v>0</v>
      </c>
      <c r="AG413" s="45">
        <v>0</v>
      </c>
      <c r="AH413" s="45"/>
      <c r="AI413" s="45"/>
      <c r="AJ413" s="45"/>
      <c r="AK413" s="45"/>
      <c r="AL413" s="45"/>
      <c r="AM413" s="45"/>
      <c r="AN413" s="45"/>
      <c r="AO413" s="45"/>
    </row>
    <row r="414" spans="2:41" outlineLevel="1" x14ac:dyDescent="0.35">
      <c r="B414" t="s">
        <v>1008</v>
      </c>
      <c r="C414" s="27" t="s">
        <v>51</v>
      </c>
      <c r="D414" s="27" t="s">
        <v>1734</v>
      </c>
      <c r="E414" s="27" t="s">
        <v>51</v>
      </c>
      <c r="F414" t="s">
        <v>195</v>
      </c>
      <c r="G414" t="s">
        <v>1009</v>
      </c>
      <c r="H414" s="27" t="s">
        <v>54</v>
      </c>
      <c r="I414" s="27" t="s">
        <v>142</v>
      </c>
      <c r="J414" s="27" t="s">
        <v>197</v>
      </c>
      <c r="K414" s="27" t="s">
        <v>371</v>
      </c>
      <c r="L414" s="27" t="s">
        <v>371</v>
      </c>
      <c r="M414" s="27" t="s">
        <v>371</v>
      </c>
      <c r="N414" s="27" t="s">
        <v>371</v>
      </c>
      <c r="O414" s="27" t="s">
        <v>371</v>
      </c>
      <c r="P414" s="27" t="s">
        <v>371</v>
      </c>
      <c r="Q414" s="27" t="s">
        <v>372</v>
      </c>
      <c r="R414" s="45">
        <v>0</v>
      </c>
      <c r="S414" s="45">
        <v>0</v>
      </c>
      <c r="T414" s="45">
        <v>0</v>
      </c>
      <c r="U414" s="45">
        <v>0</v>
      </c>
      <c r="V414" s="45">
        <v>0</v>
      </c>
      <c r="W414" s="45">
        <v>0</v>
      </c>
      <c r="X414" s="45">
        <v>0</v>
      </c>
      <c r="Y414" s="45">
        <v>0</v>
      </c>
      <c r="Z414" s="45">
        <v>0</v>
      </c>
      <c r="AA414" s="45">
        <v>0</v>
      </c>
      <c r="AB414" s="45">
        <v>0</v>
      </c>
      <c r="AC414" s="45">
        <v>-72834.399999999994</v>
      </c>
      <c r="AD414" s="45">
        <v>-71741.149999999994</v>
      </c>
      <c r="AE414" s="45">
        <v>-71741.149999999994</v>
      </c>
      <c r="AF414" s="45">
        <v>0</v>
      </c>
      <c r="AG414" s="45">
        <v>0</v>
      </c>
      <c r="AH414" s="45"/>
      <c r="AI414" s="45"/>
      <c r="AJ414" s="45"/>
      <c r="AK414" s="45"/>
      <c r="AL414" s="45"/>
      <c r="AM414" s="45"/>
      <c r="AN414" s="45"/>
      <c r="AO414" s="45"/>
    </row>
    <row r="415" spans="2:41" outlineLevel="1" x14ac:dyDescent="0.35">
      <c r="B415" t="s">
        <v>1010</v>
      </c>
      <c r="C415" s="27" t="s">
        <v>51</v>
      </c>
      <c r="D415" s="27" t="s">
        <v>1735</v>
      </c>
      <c r="E415" s="27" t="s">
        <v>51</v>
      </c>
      <c r="F415" t="s">
        <v>195</v>
      </c>
      <c r="G415" t="s">
        <v>1011</v>
      </c>
      <c r="H415" s="27" t="s">
        <v>54</v>
      </c>
      <c r="I415" s="27" t="s">
        <v>142</v>
      </c>
      <c r="J415" s="27" t="s">
        <v>197</v>
      </c>
      <c r="K415" s="27" t="s">
        <v>371</v>
      </c>
      <c r="L415" s="27" t="s">
        <v>371</v>
      </c>
      <c r="M415" s="27" t="s">
        <v>371</v>
      </c>
      <c r="N415" s="27" t="s">
        <v>371</v>
      </c>
      <c r="O415" s="27" t="s">
        <v>371</v>
      </c>
      <c r="P415" s="27" t="s">
        <v>371</v>
      </c>
      <c r="Q415" s="27" t="s">
        <v>372</v>
      </c>
      <c r="R415" s="45">
        <v>0</v>
      </c>
      <c r="S415" s="45">
        <v>0</v>
      </c>
      <c r="T415" s="45">
        <v>0</v>
      </c>
      <c r="U415" s="45">
        <v>0</v>
      </c>
      <c r="V415" s="45">
        <v>0</v>
      </c>
      <c r="W415" s="45">
        <v>0</v>
      </c>
      <c r="X415" s="45">
        <v>0</v>
      </c>
      <c r="Y415" s="45">
        <v>0</v>
      </c>
      <c r="Z415" s="45">
        <v>0</v>
      </c>
      <c r="AA415" s="45">
        <v>0</v>
      </c>
      <c r="AB415" s="45">
        <v>0</v>
      </c>
      <c r="AC415" s="45">
        <v>-35844</v>
      </c>
      <c r="AD415" s="45">
        <v>0</v>
      </c>
      <c r="AE415" s="45">
        <v>0</v>
      </c>
      <c r="AF415" s="45">
        <v>0</v>
      </c>
      <c r="AG415" s="45">
        <v>0</v>
      </c>
      <c r="AH415" s="45"/>
      <c r="AI415" s="45"/>
      <c r="AJ415" s="45"/>
      <c r="AK415" s="45"/>
      <c r="AL415" s="45"/>
      <c r="AM415" s="45"/>
      <c r="AN415" s="45"/>
      <c r="AO415" s="45"/>
    </row>
    <row r="416" spans="2:41" outlineLevel="1" x14ac:dyDescent="0.35">
      <c r="B416" t="s">
        <v>1012</v>
      </c>
      <c r="C416" s="27" t="s">
        <v>51</v>
      </c>
      <c r="D416" s="27" t="s">
        <v>1736</v>
      </c>
      <c r="E416" s="27" t="s">
        <v>51</v>
      </c>
      <c r="F416" t="s">
        <v>195</v>
      </c>
      <c r="G416" t="s">
        <v>1013</v>
      </c>
      <c r="H416" s="27" t="s">
        <v>54</v>
      </c>
      <c r="I416" s="27" t="s">
        <v>142</v>
      </c>
      <c r="J416" s="27" t="s">
        <v>197</v>
      </c>
      <c r="K416" s="27" t="s">
        <v>371</v>
      </c>
      <c r="L416" s="27" t="s">
        <v>371</v>
      </c>
      <c r="M416" s="27" t="s">
        <v>371</v>
      </c>
      <c r="N416" s="27" t="s">
        <v>371</v>
      </c>
      <c r="O416" s="27" t="s">
        <v>371</v>
      </c>
      <c r="P416" s="27" t="s">
        <v>371</v>
      </c>
      <c r="Q416" s="27" t="s">
        <v>372</v>
      </c>
      <c r="R416" s="45">
        <v>0</v>
      </c>
      <c r="S416" s="45">
        <v>0</v>
      </c>
      <c r="T416" s="45">
        <v>0</v>
      </c>
      <c r="U416" s="45">
        <v>0</v>
      </c>
      <c r="V416" s="45">
        <v>0</v>
      </c>
      <c r="W416" s="45">
        <v>0</v>
      </c>
      <c r="X416" s="45">
        <v>0</v>
      </c>
      <c r="Y416" s="45">
        <v>0</v>
      </c>
      <c r="Z416" s="45">
        <v>0</v>
      </c>
      <c r="AA416" s="45">
        <v>0</v>
      </c>
      <c r="AB416" s="45">
        <v>0</v>
      </c>
      <c r="AC416" s="45">
        <v>-4932706.17</v>
      </c>
      <c r="AD416" s="45">
        <v>0</v>
      </c>
      <c r="AE416" s="45">
        <v>0</v>
      </c>
      <c r="AF416" s="45">
        <v>0</v>
      </c>
      <c r="AG416" s="45">
        <v>0</v>
      </c>
      <c r="AH416" s="45"/>
      <c r="AI416" s="45"/>
      <c r="AJ416" s="45"/>
      <c r="AK416" s="45"/>
      <c r="AL416" s="45"/>
      <c r="AM416" s="45"/>
      <c r="AN416" s="45"/>
      <c r="AO416" s="45"/>
    </row>
    <row r="417" spans="2:41" outlineLevel="1" x14ac:dyDescent="0.35">
      <c r="B417" t="s">
        <v>1014</v>
      </c>
      <c r="C417" s="27" t="s">
        <v>51</v>
      </c>
      <c r="D417" s="27" t="s">
        <v>1737</v>
      </c>
      <c r="E417" s="27" t="s">
        <v>51</v>
      </c>
      <c r="F417" t="s">
        <v>195</v>
      </c>
      <c r="G417" t="s">
        <v>1015</v>
      </c>
      <c r="H417" s="27" t="s">
        <v>54</v>
      </c>
      <c r="I417" s="27" t="s">
        <v>142</v>
      </c>
      <c r="J417" s="27" t="s">
        <v>197</v>
      </c>
      <c r="K417" s="27" t="s">
        <v>371</v>
      </c>
      <c r="L417" s="27" t="s">
        <v>371</v>
      </c>
      <c r="M417" s="27" t="s">
        <v>371</v>
      </c>
      <c r="N417" s="27" t="s">
        <v>371</v>
      </c>
      <c r="O417" s="27" t="s">
        <v>371</v>
      </c>
      <c r="P417" s="27" t="s">
        <v>371</v>
      </c>
      <c r="Q417" s="27" t="s">
        <v>372</v>
      </c>
      <c r="R417" s="45">
        <v>0</v>
      </c>
      <c r="S417" s="45">
        <v>0</v>
      </c>
      <c r="T417" s="45">
        <v>0</v>
      </c>
      <c r="U417" s="45">
        <v>0</v>
      </c>
      <c r="V417" s="45">
        <v>0</v>
      </c>
      <c r="W417" s="45">
        <v>0</v>
      </c>
      <c r="X417" s="45">
        <v>0</v>
      </c>
      <c r="Y417" s="45">
        <v>0</v>
      </c>
      <c r="Z417" s="45">
        <v>0</v>
      </c>
      <c r="AA417" s="45">
        <v>0</v>
      </c>
      <c r="AB417" s="45">
        <v>0</v>
      </c>
      <c r="AC417" s="45">
        <v>-45000.01</v>
      </c>
      <c r="AD417" s="45">
        <v>0</v>
      </c>
      <c r="AE417" s="45">
        <v>0</v>
      </c>
      <c r="AF417" s="45">
        <v>0</v>
      </c>
      <c r="AG417" s="45">
        <v>0</v>
      </c>
      <c r="AH417" s="45"/>
      <c r="AI417" s="45"/>
      <c r="AJ417" s="45"/>
      <c r="AK417" s="45"/>
      <c r="AL417" s="45"/>
      <c r="AM417" s="45"/>
      <c r="AN417" s="45"/>
      <c r="AO417" s="45"/>
    </row>
    <row r="418" spans="2:41" ht="15" outlineLevel="1" x14ac:dyDescent="0.35">
      <c r="B418" t="s">
        <v>1351</v>
      </c>
      <c r="C418" s="27" t="s">
        <v>51</v>
      </c>
      <c r="D418" s="27" t="s">
        <v>1930</v>
      </c>
      <c r="E418" s="27" t="s">
        <v>51</v>
      </c>
      <c r="F418" t="s">
        <v>501</v>
      </c>
      <c r="G418" t="s">
        <v>1738</v>
      </c>
      <c r="H418" s="27" t="s">
        <v>447</v>
      </c>
      <c r="I418" s="27" t="s">
        <v>440</v>
      </c>
      <c r="J418" s="27" t="s">
        <v>448</v>
      </c>
      <c r="K418" s="27" t="s">
        <v>491</v>
      </c>
      <c r="L418" s="27" t="s">
        <v>822</v>
      </c>
      <c r="M418" s="102" t="s">
        <v>822</v>
      </c>
      <c r="N418" s="102" t="s">
        <v>822</v>
      </c>
      <c r="O418" s="27" t="s">
        <v>491</v>
      </c>
      <c r="P418" s="102" t="s">
        <v>822</v>
      </c>
      <c r="Q418" s="27" t="s">
        <v>372</v>
      </c>
      <c r="R418" s="45">
        <v>0</v>
      </c>
      <c r="S418" s="45">
        <v>0</v>
      </c>
      <c r="T418" s="45">
        <v>0</v>
      </c>
      <c r="U418" s="45">
        <v>0</v>
      </c>
      <c r="V418" s="45">
        <v>0</v>
      </c>
      <c r="W418" s="45">
        <v>0</v>
      </c>
      <c r="X418" s="45">
        <v>0</v>
      </c>
      <c r="Y418" s="45">
        <v>0</v>
      </c>
      <c r="Z418" s="45">
        <v>0</v>
      </c>
      <c r="AA418" s="45">
        <v>0</v>
      </c>
      <c r="AB418" s="45">
        <v>0</v>
      </c>
      <c r="AC418" s="45">
        <v>1756623.08</v>
      </c>
      <c r="AD418" s="45">
        <v>94146.46</v>
      </c>
      <c r="AE418" s="45">
        <v>197285.85</v>
      </c>
      <c r="AF418" s="45">
        <v>326583.83</v>
      </c>
      <c r="AG418" s="45">
        <v>326583.83</v>
      </c>
      <c r="AH418" s="45"/>
      <c r="AI418" s="45"/>
      <c r="AJ418" s="45"/>
      <c r="AK418" s="45"/>
      <c r="AL418" s="45"/>
      <c r="AM418" s="45"/>
      <c r="AN418" s="45"/>
      <c r="AO418" s="45"/>
    </row>
    <row r="419" spans="2:41" outlineLevel="1" x14ac:dyDescent="0.35">
      <c r="B419" s="267" t="s">
        <v>1017</v>
      </c>
      <c r="C419" s="27" t="s">
        <v>51</v>
      </c>
      <c r="D419" s="27" t="s">
        <v>1739</v>
      </c>
      <c r="E419" s="27" t="s">
        <v>51</v>
      </c>
      <c r="F419" s="27" t="e">
        <v>#N/A</v>
      </c>
      <c r="G419" s="267" t="s">
        <v>1018</v>
      </c>
      <c r="H419" s="27" t="s">
        <v>447</v>
      </c>
      <c r="I419" s="27" t="s">
        <v>440</v>
      </c>
      <c r="J419" s="27" t="s">
        <v>448</v>
      </c>
      <c r="K419" s="27" t="s">
        <v>491</v>
      </c>
      <c r="L419" s="27" t="s">
        <v>792</v>
      </c>
      <c r="M419" s="27" t="s">
        <v>792</v>
      </c>
      <c r="N419" s="27" t="s">
        <v>488</v>
      </c>
      <c r="O419" s="27" t="s">
        <v>491</v>
      </c>
      <c r="P419" s="27" t="s">
        <v>564</v>
      </c>
      <c r="Q419" s="27" t="s">
        <v>372</v>
      </c>
      <c r="R419" s="45">
        <v>0</v>
      </c>
      <c r="S419" s="45">
        <v>0</v>
      </c>
      <c r="T419" s="45">
        <v>0</v>
      </c>
      <c r="U419" s="45">
        <v>0</v>
      </c>
      <c r="V419" s="45">
        <v>0</v>
      </c>
      <c r="W419" s="45">
        <v>0</v>
      </c>
      <c r="X419" s="45">
        <v>0</v>
      </c>
      <c r="Y419" s="45">
        <v>0</v>
      </c>
      <c r="Z419" s="45">
        <v>0</v>
      </c>
      <c r="AA419" s="45">
        <v>0</v>
      </c>
      <c r="AB419" s="45">
        <v>0</v>
      </c>
      <c r="AC419" s="45">
        <v>1245840</v>
      </c>
      <c r="AD419" s="45">
        <v>0</v>
      </c>
      <c r="AE419" s="45">
        <v>0</v>
      </c>
      <c r="AF419" s="45">
        <v>0</v>
      </c>
      <c r="AG419" s="45">
        <v>0</v>
      </c>
      <c r="AH419" s="45"/>
      <c r="AI419" s="45"/>
      <c r="AJ419" s="45"/>
      <c r="AK419" s="45"/>
      <c r="AL419" s="45"/>
      <c r="AM419" s="45"/>
      <c r="AN419" s="45"/>
      <c r="AO419" s="45"/>
    </row>
    <row r="420" spans="2:41" outlineLevel="1" x14ac:dyDescent="0.35">
      <c r="B420" s="267" t="s">
        <v>322</v>
      </c>
      <c r="C420" s="27" t="s">
        <v>51</v>
      </c>
      <c r="D420" s="27" t="s">
        <v>1740</v>
      </c>
      <c r="E420" s="27" t="s">
        <v>51</v>
      </c>
      <c r="F420" s="27" t="s">
        <v>195</v>
      </c>
      <c r="G420" s="267" t="s">
        <v>324</v>
      </c>
      <c r="H420" s="27" t="s">
        <v>54</v>
      </c>
      <c r="I420" s="27" t="s">
        <v>142</v>
      </c>
      <c r="J420" s="27" t="s">
        <v>197</v>
      </c>
      <c r="K420" s="27" t="s">
        <v>371</v>
      </c>
      <c r="L420" s="27" t="s">
        <v>371</v>
      </c>
      <c r="M420" s="27" t="s">
        <v>371</v>
      </c>
      <c r="N420" s="27" t="s">
        <v>371</v>
      </c>
      <c r="O420" s="27" t="s">
        <v>371</v>
      </c>
      <c r="P420" s="27" t="s">
        <v>371</v>
      </c>
      <c r="Q420" s="27" t="s">
        <v>372</v>
      </c>
      <c r="AC420" s="45">
        <v>0</v>
      </c>
      <c r="AD420" s="45">
        <v>0.7</v>
      </c>
      <c r="AE420" s="45">
        <v>0.7</v>
      </c>
      <c r="AF420" s="45">
        <v>0</v>
      </c>
      <c r="AG420" s="45">
        <v>0</v>
      </c>
    </row>
    <row r="421" spans="2:41" outlineLevel="1" x14ac:dyDescent="0.35">
      <c r="B421" s="267" t="s">
        <v>1024</v>
      </c>
      <c r="C421" s="27" t="s">
        <v>51</v>
      </c>
      <c r="D421" s="27" t="s">
        <v>1741</v>
      </c>
      <c r="E421" s="27" t="s">
        <v>51</v>
      </c>
      <c r="F421" s="27" t="s">
        <v>195</v>
      </c>
      <c r="G421" s="267" t="s">
        <v>1025</v>
      </c>
      <c r="H421" s="27" t="s">
        <v>54</v>
      </c>
      <c r="I421" s="27" t="s">
        <v>142</v>
      </c>
      <c r="J421" s="27" t="s">
        <v>197</v>
      </c>
      <c r="K421" s="27" t="s">
        <v>371</v>
      </c>
      <c r="L421" s="27" t="s">
        <v>371</v>
      </c>
      <c r="M421" s="27" t="s">
        <v>371</v>
      </c>
      <c r="N421" s="27" t="s">
        <v>371</v>
      </c>
      <c r="O421" s="27" t="s">
        <v>371</v>
      </c>
      <c r="P421" s="27" t="s">
        <v>371</v>
      </c>
      <c r="Q421" s="27" t="s">
        <v>372</v>
      </c>
      <c r="AC421" s="45">
        <v>0</v>
      </c>
      <c r="AD421" s="45">
        <v>5873.23</v>
      </c>
      <c r="AE421" s="45">
        <v>5873.23</v>
      </c>
      <c r="AF421" s="45">
        <v>0</v>
      </c>
      <c r="AG421" s="45">
        <v>0</v>
      </c>
    </row>
    <row r="422" spans="2:41" outlineLevel="1" x14ac:dyDescent="0.35">
      <c r="B422" s="267" t="s">
        <v>1026</v>
      </c>
      <c r="C422" s="27" t="s">
        <v>51</v>
      </c>
      <c r="D422" s="27" t="s">
        <v>1742</v>
      </c>
      <c r="E422" s="27" t="s">
        <v>51</v>
      </c>
      <c r="F422" s="27" t="s">
        <v>195</v>
      </c>
      <c r="G422" s="267" t="s">
        <v>1027</v>
      </c>
      <c r="H422" s="27" t="s">
        <v>54</v>
      </c>
      <c r="I422" s="27" t="s">
        <v>142</v>
      </c>
      <c r="J422" s="27" t="s">
        <v>197</v>
      </c>
      <c r="K422" s="27" t="s">
        <v>371</v>
      </c>
      <c r="L422" s="27" t="s">
        <v>371</v>
      </c>
      <c r="M422" s="27" t="s">
        <v>371</v>
      </c>
      <c r="N422" s="27" t="s">
        <v>371</v>
      </c>
      <c r="O422" s="27" t="s">
        <v>371</v>
      </c>
      <c r="P422" s="27" t="s">
        <v>371</v>
      </c>
      <c r="Q422" s="27" t="s">
        <v>372</v>
      </c>
      <c r="AC422" s="45">
        <v>-398750</v>
      </c>
      <c r="AD422" s="45">
        <v>398750</v>
      </c>
      <c r="AE422" s="45">
        <v>398750</v>
      </c>
      <c r="AF422" s="45">
        <v>0</v>
      </c>
      <c r="AG422" s="45">
        <v>0</v>
      </c>
    </row>
    <row r="423" spans="2:41" outlineLevel="1" x14ac:dyDescent="0.35">
      <c r="B423" s="267" t="s">
        <v>1352</v>
      </c>
      <c r="C423" s="27" t="s">
        <v>51</v>
      </c>
      <c r="D423" s="27" t="s">
        <v>1931</v>
      </c>
      <c r="E423" s="27" t="s">
        <v>51</v>
      </c>
      <c r="F423" s="27" t="s">
        <v>102</v>
      </c>
      <c r="G423" s="267" t="s">
        <v>1743</v>
      </c>
      <c r="H423" s="27" t="s">
        <v>54</v>
      </c>
      <c r="I423" s="27" t="s">
        <v>142</v>
      </c>
      <c r="J423" s="27" t="s">
        <v>156</v>
      </c>
      <c r="K423" s="27" t="s">
        <v>371</v>
      </c>
      <c r="L423" s="27" t="s">
        <v>371</v>
      </c>
      <c r="M423" s="27" t="s">
        <v>371</v>
      </c>
      <c r="N423" s="27" t="s">
        <v>371</v>
      </c>
      <c r="O423" s="27" t="s">
        <v>371</v>
      </c>
      <c r="P423" s="27" t="s">
        <v>371</v>
      </c>
      <c r="Q423" s="27" t="s">
        <v>372</v>
      </c>
      <c r="AC423" s="45">
        <v>0</v>
      </c>
      <c r="AD423" s="45">
        <v>-6672329.4000000004</v>
      </c>
      <c r="AE423" s="45">
        <v>-5949180.9900000002</v>
      </c>
      <c r="AF423" s="45">
        <v>-6395821.2699999996</v>
      </c>
      <c r="AG423" s="45">
        <v>-5762811.8700000001</v>
      </c>
    </row>
    <row r="424" spans="2:41" outlineLevel="1" x14ac:dyDescent="0.35">
      <c r="B424" s="267" t="s">
        <v>1353</v>
      </c>
      <c r="C424" s="27" t="s">
        <v>51</v>
      </c>
      <c r="D424" s="27" t="s">
        <v>1932</v>
      </c>
      <c r="E424" s="27" t="s">
        <v>51</v>
      </c>
      <c r="F424" s="27" t="s">
        <v>442</v>
      </c>
      <c r="G424" s="335" t="s">
        <v>1744</v>
      </c>
      <c r="H424" s="27" t="s">
        <v>54</v>
      </c>
      <c r="I424" s="27" t="s">
        <v>440</v>
      </c>
      <c r="J424" s="27" t="s">
        <v>443</v>
      </c>
      <c r="K424" s="27" t="s">
        <v>371</v>
      </c>
      <c r="L424" s="27" t="s">
        <v>371</v>
      </c>
      <c r="M424" s="27" t="s">
        <v>371</v>
      </c>
      <c r="N424" s="27" t="s">
        <v>371</v>
      </c>
      <c r="O424" s="27" t="s">
        <v>371</v>
      </c>
      <c r="P424" s="27" t="s">
        <v>371</v>
      </c>
      <c r="Q424" s="27" t="s">
        <v>372</v>
      </c>
      <c r="AC424" s="45">
        <v>0</v>
      </c>
      <c r="AD424" s="45">
        <v>98610155.530000001</v>
      </c>
      <c r="AE424" s="45">
        <v>98610155.530000001</v>
      </c>
      <c r="AF424" s="45">
        <v>76118495.180000007</v>
      </c>
      <c r="AG424" s="45">
        <v>76118495.180000007</v>
      </c>
    </row>
    <row r="425" spans="2:41" outlineLevel="1" x14ac:dyDescent="0.35">
      <c r="B425" s="267" t="s">
        <v>1354</v>
      </c>
      <c r="C425" s="27" t="s">
        <v>51</v>
      </c>
      <c r="D425" s="27" t="s">
        <v>1933</v>
      </c>
      <c r="E425" s="27" t="s">
        <v>51</v>
      </c>
      <c r="F425" s="27" t="s">
        <v>457</v>
      </c>
      <c r="G425" s="267" t="s">
        <v>1745</v>
      </c>
      <c r="H425" s="27" t="s">
        <v>447</v>
      </c>
      <c r="I425" s="27" t="s">
        <v>440</v>
      </c>
      <c r="J425" s="27" t="s">
        <v>448</v>
      </c>
      <c r="K425" s="27" t="s">
        <v>449</v>
      </c>
      <c r="L425" s="27" t="s">
        <v>1028</v>
      </c>
      <c r="M425" s="27" t="s">
        <v>1028</v>
      </c>
      <c r="N425" s="27" t="s">
        <v>1028</v>
      </c>
      <c r="O425" s="27" t="s">
        <v>449</v>
      </c>
      <c r="P425" s="27" t="s">
        <v>449</v>
      </c>
      <c r="Q425" s="27" t="s">
        <v>372</v>
      </c>
      <c r="AC425" s="45">
        <v>0</v>
      </c>
      <c r="AD425" s="45">
        <v>-361728</v>
      </c>
      <c r="AE425" s="45">
        <v>-723456</v>
      </c>
      <c r="AF425" s="45">
        <v>-1085184</v>
      </c>
      <c r="AG425" s="45">
        <v>-1446912</v>
      </c>
    </row>
    <row r="426" spans="2:41" outlineLevel="1" x14ac:dyDescent="0.35">
      <c r="B426" s="267" t="s">
        <v>1355</v>
      </c>
      <c r="C426" s="27" t="s">
        <v>51</v>
      </c>
      <c r="D426" s="27" t="s">
        <v>1934</v>
      </c>
      <c r="E426" s="27" t="s">
        <v>51</v>
      </c>
      <c r="F426" s="27" t="s">
        <v>501</v>
      </c>
      <c r="G426" s="267" t="s">
        <v>1746</v>
      </c>
      <c r="H426" s="27" t="s">
        <v>447</v>
      </c>
      <c r="I426" s="27" t="s">
        <v>440</v>
      </c>
      <c r="J426" s="27" t="s">
        <v>448</v>
      </c>
      <c r="K426" s="27" t="s">
        <v>476</v>
      </c>
      <c r="L426" s="27" t="s">
        <v>2034</v>
      </c>
      <c r="M426" s="27" t="s">
        <v>2034</v>
      </c>
      <c r="N426" s="27" t="s">
        <v>2034</v>
      </c>
      <c r="O426" s="27" t="s">
        <v>480</v>
      </c>
      <c r="P426" s="27" t="s">
        <v>480</v>
      </c>
      <c r="Q426" s="27" t="s">
        <v>372</v>
      </c>
      <c r="AC426" s="45">
        <v>0</v>
      </c>
      <c r="AD426" s="45">
        <v>47687</v>
      </c>
      <c r="AE426" s="45">
        <v>47687</v>
      </c>
      <c r="AF426" s="45">
        <v>218470.32</v>
      </c>
      <c r="AG426" s="45">
        <v>218470.32</v>
      </c>
    </row>
    <row r="427" spans="2:41" outlineLevel="1" x14ac:dyDescent="0.35">
      <c r="B427" s="267" t="s">
        <v>1081</v>
      </c>
      <c r="C427" s="27" t="s">
        <v>51</v>
      </c>
      <c r="D427" s="27" t="s">
        <v>1747</v>
      </c>
      <c r="E427" s="27" t="s">
        <v>51</v>
      </c>
      <c r="F427" s="27" t="s">
        <v>109</v>
      </c>
      <c r="G427" s="267" t="s">
        <v>1082</v>
      </c>
      <c r="H427" s="27" t="s">
        <v>54</v>
      </c>
      <c r="I427" s="27" t="s">
        <v>55</v>
      </c>
      <c r="J427" s="27" t="s">
        <v>101</v>
      </c>
      <c r="K427" s="27" t="s">
        <v>371</v>
      </c>
      <c r="L427" s="27" t="s">
        <v>371</v>
      </c>
      <c r="M427" s="27" t="s">
        <v>371</v>
      </c>
      <c r="N427" s="27" t="s">
        <v>371</v>
      </c>
      <c r="O427" s="27" t="s">
        <v>371</v>
      </c>
      <c r="P427" s="27"/>
      <c r="Q427" s="27" t="s">
        <v>372</v>
      </c>
      <c r="AC427" s="45">
        <v>0</v>
      </c>
      <c r="AD427" s="45"/>
      <c r="AE427" s="45">
        <v>85003.43</v>
      </c>
      <c r="AF427" s="45">
        <v>0</v>
      </c>
      <c r="AG427" s="45">
        <v>0</v>
      </c>
    </row>
    <row r="428" spans="2:41" outlineLevel="1" x14ac:dyDescent="0.35">
      <c r="B428" s="267" t="s">
        <v>1083</v>
      </c>
      <c r="C428" s="27" t="s">
        <v>51</v>
      </c>
      <c r="D428" s="27" t="s">
        <v>1748</v>
      </c>
      <c r="E428" s="27" t="s">
        <v>51</v>
      </c>
      <c r="F428" s="27" t="s">
        <v>195</v>
      </c>
      <c r="G428" s="267" t="s">
        <v>654</v>
      </c>
      <c r="H428" s="27" t="s">
        <v>54</v>
      </c>
      <c r="I428" s="27" t="s">
        <v>142</v>
      </c>
      <c r="J428" s="27" t="s">
        <v>197</v>
      </c>
      <c r="K428" s="27" t="s">
        <v>371</v>
      </c>
      <c r="L428" s="27" t="s">
        <v>371</v>
      </c>
      <c r="M428" s="27" t="s">
        <v>371</v>
      </c>
      <c r="N428" s="27" t="s">
        <v>371</v>
      </c>
      <c r="O428" s="27" t="s">
        <v>371</v>
      </c>
      <c r="P428" s="27" t="s">
        <v>371</v>
      </c>
      <c r="Q428" s="27" t="s">
        <v>372</v>
      </c>
      <c r="AC428" s="45">
        <v>-197950.06</v>
      </c>
      <c r="AD428" s="45"/>
      <c r="AE428" s="45">
        <v>197950.06</v>
      </c>
      <c r="AF428" s="45">
        <v>0</v>
      </c>
      <c r="AG428" s="45">
        <v>0</v>
      </c>
    </row>
    <row r="429" spans="2:41" outlineLevel="1" x14ac:dyDescent="0.35">
      <c r="B429" s="267" t="s">
        <v>1084</v>
      </c>
      <c r="C429" s="27" t="s">
        <v>51</v>
      </c>
      <c r="D429" s="27" t="s">
        <v>1749</v>
      </c>
      <c r="E429" s="27" t="s">
        <v>51</v>
      </c>
      <c r="F429" s="27" t="s">
        <v>195</v>
      </c>
      <c r="G429" s="267" t="s">
        <v>1085</v>
      </c>
      <c r="H429" s="27" t="s">
        <v>54</v>
      </c>
      <c r="I429" s="27" t="s">
        <v>142</v>
      </c>
      <c r="J429" s="27" t="s">
        <v>197</v>
      </c>
      <c r="K429" s="27" t="s">
        <v>371</v>
      </c>
      <c r="L429" s="27" t="s">
        <v>371</v>
      </c>
      <c r="M429" s="27" t="s">
        <v>371</v>
      </c>
      <c r="N429" s="27" t="s">
        <v>371</v>
      </c>
      <c r="O429" s="27" t="s">
        <v>371</v>
      </c>
      <c r="P429" s="27" t="s">
        <v>371</v>
      </c>
      <c r="Q429" s="27" t="s">
        <v>372</v>
      </c>
      <c r="AC429" s="45">
        <v>0</v>
      </c>
      <c r="AD429" s="45"/>
      <c r="AE429" s="45">
        <v>-51156</v>
      </c>
      <c r="AF429" s="45">
        <v>0</v>
      </c>
      <c r="AG429" s="45">
        <v>0</v>
      </c>
    </row>
    <row r="430" spans="2:41" outlineLevel="1" x14ac:dyDescent="0.35">
      <c r="B430" s="267" t="s">
        <v>1086</v>
      </c>
      <c r="C430" s="27" t="s">
        <v>51</v>
      </c>
      <c r="D430" s="27" t="s">
        <v>1750</v>
      </c>
      <c r="E430" s="27" t="s">
        <v>51</v>
      </c>
      <c r="F430" s="27" t="s">
        <v>195</v>
      </c>
      <c r="G430" s="267" t="s">
        <v>1087</v>
      </c>
      <c r="H430" s="27" t="s">
        <v>54</v>
      </c>
      <c r="I430" s="27" t="s">
        <v>142</v>
      </c>
      <c r="J430" s="27" t="s">
        <v>197</v>
      </c>
      <c r="K430" s="27" t="s">
        <v>371</v>
      </c>
      <c r="L430" s="27" t="s">
        <v>371</v>
      </c>
      <c r="M430" s="27" t="s">
        <v>371</v>
      </c>
      <c r="N430" s="27" t="s">
        <v>371</v>
      </c>
      <c r="O430" s="27" t="s">
        <v>371</v>
      </c>
      <c r="P430" s="27" t="s">
        <v>371</v>
      </c>
      <c r="Q430" s="27" t="s">
        <v>372</v>
      </c>
      <c r="AC430" s="45">
        <v>0</v>
      </c>
      <c r="AD430" s="45"/>
      <c r="AE430" s="45">
        <v>-60320</v>
      </c>
      <c r="AF430" s="45">
        <v>0</v>
      </c>
      <c r="AG430" s="45">
        <v>0</v>
      </c>
    </row>
    <row r="431" spans="2:41" outlineLevel="1" x14ac:dyDescent="0.35">
      <c r="B431" s="267" t="s">
        <v>1088</v>
      </c>
      <c r="C431" s="27" t="s">
        <v>51</v>
      </c>
      <c r="D431" s="27" t="s">
        <v>1751</v>
      </c>
      <c r="E431" s="27" t="s">
        <v>51</v>
      </c>
      <c r="F431" s="27" t="s">
        <v>195</v>
      </c>
      <c r="G431" s="267" t="s">
        <v>1082</v>
      </c>
      <c r="H431" s="27" t="s">
        <v>54</v>
      </c>
      <c r="I431" s="27" t="s">
        <v>142</v>
      </c>
      <c r="J431" s="27" t="s">
        <v>197</v>
      </c>
      <c r="K431" s="27" t="s">
        <v>371</v>
      </c>
      <c r="L431" s="27" t="s">
        <v>371</v>
      </c>
      <c r="M431" s="27" t="s">
        <v>371</v>
      </c>
      <c r="N431" s="27" t="s">
        <v>371</v>
      </c>
      <c r="O431" s="27" t="s">
        <v>371</v>
      </c>
      <c r="P431" s="27" t="s">
        <v>371</v>
      </c>
      <c r="Q431" s="27" t="s">
        <v>372</v>
      </c>
      <c r="AC431" s="45">
        <v>0</v>
      </c>
      <c r="AD431" s="45"/>
      <c r="AE431" s="45">
        <v>-0.3</v>
      </c>
      <c r="AF431" s="45">
        <v>0</v>
      </c>
      <c r="AG431" s="45">
        <v>0</v>
      </c>
    </row>
    <row r="432" spans="2:41" outlineLevel="1" x14ac:dyDescent="0.35">
      <c r="B432" s="267" t="s">
        <v>1356</v>
      </c>
      <c r="C432" s="27" t="s">
        <v>51</v>
      </c>
      <c r="D432" s="27" t="s">
        <v>1935</v>
      </c>
      <c r="E432" s="27" t="s">
        <v>51</v>
      </c>
      <c r="F432" s="27" t="s">
        <v>501</v>
      </c>
      <c r="G432" s="267" t="s">
        <v>1752</v>
      </c>
      <c r="H432" s="27" t="s">
        <v>447</v>
      </c>
      <c r="I432" s="27" t="s">
        <v>440</v>
      </c>
      <c r="J432" s="27" t="s">
        <v>448</v>
      </c>
      <c r="K432" s="27" t="s">
        <v>476</v>
      </c>
      <c r="L432" s="27" t="s">
        <v>503</v>
      </c>
      <c r="M432" s="27" t="s">
        <v>503</v>
      </c>
      <c r="N432" s="27" t="s">
        <v>503</v>
      </c>
      <c r="O432" s="27" t="s">
        <v>480</v>
      </c>
      <c r="P432" s="27" t="s">
        <v>480</v>
      </c>
      <c r="Q432" s="27" t="s">
        <v>372</v>
      </c>
      <c r="AC432" s="45">
        <v>0</v>
      </c>
      <c r="AD432" s="45"/>
      <c r="AE432" s="45">
        <v>8391.6</v>
      </c>
      <c r="AF432" s="45">
        <v>8391.6</v>
      </c>
      <c r="AG432" s="45">
        <v>155189.84</v>
      </c>
    </row>
    <row r="433" spans="2:33" outlineLevel="1" x14ac:dyDescent="0.35">
      <c r="B433" s="267" t="s">
        <v>1357</v>
      </c>
      <c r="C433" s="27" t="s">
        <v>51</v>
      </c>
      <c r="D433" s="27" t="s">
        <v>1936</v>
      </c>
      <c r="E433" s="27" t="s">
        <v>51</v>
      </c>
      <c r="F433" s="27" t="s">
        <v>501</v>
      </c>
      <c r="G433" s="267" t="s">
        <v>1753</v>
      </c>
      <c r="H433" s="27" t="s">
        <v>447</v>
      </c>
      <c r="I433" s="27" t="s">
        <v>440</v>
      </c>
      <c r="J433" s="27" t="s">
        <v>448</v>
      </c>
      <c r="K433" s="27" t="s">
        <v>476</v>
      </c>
      <c r="L433" s="27" t="s">
        <v>937</v>
      </c>
      <c r="M433" s="27" t="s">
        <v>937</v>
      </c>
      <c r="N433" s="27" t="s">
        <v>937</v>
      </c>
      <c r="O433" s="27" t="s">
        <v>480</v>
      </c>
      <c r="P433" s="27" t="s">
        <v>480</v>
      </c>
      <c r="Q433" s="27" t="s">
        <v>372</v>
      </c>
      <c r="AC433" s="45">
        <v>0</v>
      </c>
      <c r="AD433" s="45"/>
      <c r="AE433" s="45">
        <v>66751.02</v>
      </c>
      <c r="AF433" s="45">
        <v>79261.02</v>
      </c>
      <c r="AG433" s="45">
        <v>79261.02</v>
      </c>
    </row>
    <row r="434" spans="2:33" outlineLevel="1" x14ac:dyDescent="0.35">
      <c r="B434" s="267" t="s">
        <v>1089</v>
      </c>
      <c r="C434" s="27" t="s">
        <v>51</v>
      </c>
      <c r="D434" s="27" t="s">
        <v>1754</v>
      </c>
      <c r="E434" s="27" t="s">
        <v>51</v>
      </c>
      <c r="F434" s="27" t="s">
        <v>195</v>
      </c>
      <c r="G434" s="267" t="s">
        <v>1090</v>
      </c>
      <c r="H434" s="27" t="s">
        <v>54</v>
      </c>
      <c r="I434" s="27" t="s">
        <v>142</v>
      </c>
      <c r="J434" s="27" t="s">
        <v>197</v>
      </c>
      <c r="K434" s="27" t="s">
        <v>371</v>
      </c>
      <c r="L434" s="27" t="s">
        <v>371</v>
      </c>
      <c r="M434" s="27" t="s">
        <v>371</v>
      </c>
      <c r="N434" s="27" t="s">
        <v>371</v>
      </c>
      <c r="O434" s="27" t="s">
        <v>371</v>
      </c>
      <c r="P434" s="27" t="s">
        <v>371</v>
      </c>
      <c r="Q434" s="27" t="s">
        <v>372</v>
      </c>
      <c r="AC434" s="45">
        <v>0</v>
      </c>
      <c r="AD434" s="45"/>
      <c r="AE434" s="45">
        <v>-0.01</v>
      </c>
      <c r="AF434" s="45">
        <v>0</v>
      </c>
      <c r="AG434" s="45">
        <v>0</v>
      </c>
    </row>
    <row r="435" spans="2:33" outlineLevel="1" x14ac:dyDescent="0.35">
      <c r="B435" s="267" t="s">
        <v>1358</v>
      </c>
      <c r="C435" s="27" t="s">
        <v>51</v>
      </c>
      <c r="D435" s="27" t="s">
        <v>1937</v>
      </c>
      <c r="E435" s="27" t="s">
        <v>51</v>
      </c>
      <c r="F435" s="27" t="s">
        <v>434</v>
      </c>
      <c r="G435" s="267" t="s">
        <v>1755</v>
      </c>
      <c r="H435" s="27" t="s">
        <v>54</v>
      </c>
      <c r="I435" s="27" t="s">
        <v>142</v>
      </c>
      <c r="J435" s="27" t="s">
        <v>436</v>
      </c>
      <c r="K435" s="27" t="s">
        <v>371</v>
      </c>
      <c r="L435" s="27" t="s">
        <v>371</v>
      </c>
      <c r="M435" s="27" t="s">
        <v>371</v>
      </c>
      <c r="N435" s="27" t="s">
        <v>371</v>
      </c>
      <c r="O435" s="27" t="s">
        <v>371</v>
      </c>
      <c r="P435" s="27" t="s">
        <v>371</v>
      </c>
      <c r="Q435" s="27" t="s">
        <v>372</v>
      </c>
      <c r="AC435" s="45">
        <v>0</v>
      </c>
      <c r="AD435" s="45"/>
      <c r="AE435" s="45">
        <v>-128.72999999999999</v>
      </c>
      <c r="AF435" s="45">
        <v>-2718.48</v>
      </c>
      <c r="AG435" s="45">
        <v>12674.02</v>
      </c>
    </row>
    <row r="436" spans="2:33" outlineLevel="1" x14ac:dyDescent="0.35">
      <c r="B436" s="533" t="s">
        <v>1359</v>
      </c>
      <c r="C436" s="27" t="s">
        <v>51</v>
      </c>
      <c r="D436" s="27" t="s">
        <v>1938</v>
      </c>
      <c r="E436" s="27" t="s">
        <v>51</v>
      </c>
      <c r="F436" s="27" t="s">
        <v>85</v>
      </c>
      <c r="G436" s="533" t="s">
        <v>1756</v>
      </c>
      <c r="H436" s="27" t="s">
        <v>54</v>
      </c>
      <c r="I436" s="27" t="s">
        <v>55</v>
      </c>
      <c r="J436" s="27" t="s">
        <v>101</v>
      </c>
      <c r="K436" s="27" t="s">
        <v>371</v>
      </c>
      <c r="L436" s="27" t="s">
        <v>371</v>
      </c>
      <c r="M436" s="27" t="s">
        <v>371</v>
      </c>
      <c r="N436" s="27" t="s">
        <v>371</v>
      </c>
      <c r="O436" s="27" t="s">
        <v>371</v>
      </c>
      <c r="P436" s="27" t="s">
        <v>371</v>
      </c>
      <c r="Q436" s="27" t="s">
        <v>372</v>
      </c>
      <c r="R436">
        <v>0</v>
      </c>
      <c r="S436">
        <v>0</v>
      </c>
      <c r="T436">
        <v>0</v>
      </c>
      <c r="U436">
        <v>0</v>
      </c>
      <c r="V436">
        <v>0</v>
      </c>
      <c r="W436">
        <v>0</v>
      </c>
      <c r="X436">
        <v>0</v>
      </c>
      <c r="Y436">
        <v>0</v>
      </c>
      <c r="Z436">
        <v>0</v>
      </c>
      <c r="AA436">
        <v>0</v>
      </c>
      <c r="AB436">
        <v>0</v>
      </c>
      <c r="AC436" s="45">
        <v>0</v>
      </c>
      <c r="AD436" s="45">
        <v>0</v>
      </c>
      <c r="AE436" s="45">
        <v>556987.85</v>
      </c>
      <c r="AF436" s="45">
        <v>287090.84999999998</v>
      </c>
      <c r="AG436" s="45">
        <v>-0.01</v>
      </c>
    </row>
    <row r="437" spans="2:33" outlineLevel="1" x14ac:dyDescent="0.35">
      <c r="B437" s="448" t="s">
        <v>1360</v>
      </c>
      <c r="C437" s="27" t="s">
        <v>51</v>
      </c>
      <c r="D437" s="27" t="s">
        <v>1939</v>
      </c>
      <c r="E437" s="27" t="s">
        <v>51</v>
      </c>
      <c r="F437" s="27" t="s">
        <v>85</v>
      </c>
      <c r="G437" s="448" t="s">
        <v>1757</v>
      </c>
      <c r="H437" s="27" t="s">
        <v>54</v>
      </c>
      <c r="I437" s="27" t="s">
        <v>55</v>
      </c>
      <c r="J437" s="27" t="s">
        <v>101</v>
      </c>
      <c r="K437" s="27" t="s">
        <v>371</v>
      </c>
      <c r="L437" s="27" t="s">
        <v>371</v>
      </c>
      <c r="M437" s="27" t="s">
        <v>371</v>
      </c>
      <c r="N437" s="27" t="s">
        <v>371</v>
      </c>
      <c r="O437" s="27" t="s">
        <v>371</v>
      </c>
      <c r="P437" s="27" t="s">
        <v>371</v>
      </c>
      <c r="Q437" s="27" t="s">
        <v>372</v>
      </c>
      <c r="AC437" s="45">
        <v>0</v>
      </c>
      <c r="AD437" s="45"/>
      <c r="AE437" s="45"/>
      <c r="AF437" s="45">
        <v>403471.76</v>
      </c>
      <c r="AG437" s="45">
        <v>385929.51</v>
      </c>
    </row>
    <row r="438" spans="2:33" outlineLevel="1" x14ac:dyDescent="0.35">
      <c r="B438" s="448" t="s">
        <v>1361</v>
      </c>
      <c r="C438" s="27" t="s">
        <v>51</v>
      </c>
      <c r="D438" s="27" t="s">
        <v>1940</v>
      </c>
      <c r="E438" s="27" t="s">
        <v>51</v>
      </c>
      <c r="F438" s="27" t="s">
        <v>109</v>
      </c>
      <c r="G438" s="448" t="s">
        <v>1758</v>
      </c>
      <c r="H438" s="27" t="s">
        <v>54</v>
      </c>
      <c r="I438" s="27" t="s">
        <v>55</v>
      </c>
      <c r="J438" s="27" t="s">
        <v>101</v>
      </c>
      <c r="K438" s="27" t="s">
        <v>371</v>
      </c>
      <c r="L438" s="27" t="s">
        <v>371</v>
      </c>
      <c r="M438" s="27" t="s">
        <v>371</v>
      </c>
      <c r="N438" s="27" t="s">
        <v>371</v>
      </c>
      <c r="O438" s="27" t="s">
        <v>371</v>
      </c>
      <c r="P438" t="s">
        <v>371</v>
      </c>
      <c r="Q438" s="27" t="s">
        <v>372</v>
      </c>
      <c r="AC438" s="45">
        <v>0</v>
      </c>
      <c r="AD438" s="45"/>
      <c r="AE438" s="45"/>
      <c r="AF438" s="45">
        <v>248531.45</v>
      </c>
      <c r="AG438" s="45">
        <v>307139.90000000002</v>
      </c>
    </row>
    <row r="439" spans="2:33" outlineLevel="1" x14ac:dyDescent="0.35">
      <c r="B439" s="448" t="s">
        <v>1096</v>
      </c>
      <c r="C439" s="27" t="s">
        <v>51</v>
      </c>
      <c r="D439" s="27" t="s">
        <v>1759</v>
      </c>
      <c r="E439" s="27" t="s">
        <v>51</v>
      </c>
      <c r="F439" s="27" t="s">
        <v>385</v>
      </c>
      <c r="G439" s="448" t="s">
        <v>1097</v>
      </c>
      <c r="H439" s="27" t="s">
        <v>54</v>
      </c>
      <c r="I439" s="27" t="s">
        <v>55</v>
      </c>
      <c r="J439" s="27" t="s">
        <v>393</v>
      </c>
      <c r="K439" s="27" t="s">
        <v>371</v>
      </c>
      <c r="L439" s="27" t="s">
        <v>371</v>
      </c>
      <c r="M439" s="27" t="s">
        <v>371</v>
      </c>
      <c r="N439" s="27" t="s">
        <v>371</v>
      </c>
      <c r="O439" s="27" t="s">
        <v>371</v>
      </c>
      <c r="P439" s="27" t="s">
        <v>371</v>
      </c>
      <c r="Q439" s="27" t="s">
        <v>372</v>
      </c>
      <c r="AC439" s="45">
        <v>0</v>
      </c>
      <c r="AD439" s="45"/>
      <c r="AF439" s="45">
        <v>34673132.829999998</v>
      </c>
      <c r="AG439" s="45">
        <v>0</v>
      </c>
    </row>
    <row r="440" spans="2:33" outlineLevel="1" x14ac:dyDescent="0.35">
      <c r="B440" s="448" t="s">
        <v>1362</v>
      </c>
      <c r="C440" s="27" t="s">
        <v>51</v>
      </c>
      <c r="D440" s="27" t="s">
        <v>1941</v>
      </c>
      <c r="E440" s="27" t="s">
        <v>51</v>
      </c>
      <c r="F440" s="27" t="s">
        <v>713</v>
      </c>
      <c r="G440" s="448" t="s">
        <v>1098</v>
      </c>
      <c r="H440" s="27" t="s">
        <v>54</v>
      </c>
      <c r="I440" s="27" t="s">
        <v>440</v>
      </c>
      <c r="J440" s="27" t="s">
        <v>441</v>
      </c>
      <c r="K440" s="27" t="s">
        <v>371</v>
      </c>
      <c r="L440" s="27" t="s">
        <v>371</v>
      </c>
      <c r="M440" s="27" t="s">
        <v>371</v>
      </c>
      <c r="N440" s="27" t="s">
        <v>371</v>
      </c>
      <c r="O440" s="27" t="s">
        <v>371</v>
      </c>
      <c r="P440" s="27" t="s">
        <v>371</v>
      </c>
      <c r="Q440" s="27" t="s">
        <v>372</v>
      </c>
      <c r="AC440" s="45">
        <v>-6205290</v>
      </c>
      <c r="AF440" s="45">
        <v>-14053842</v>
      </c>
      <c r="AG440" s="45">
        <v>-14053842</v>
      </c>
    </row>
    <row r="441" spans="2:33" outlineLevel="1" x14ac:dyDescent="0.35">
      <c r="B441" s="448" t="s">
        <v>1363</v>
      </c>
      <c r="C441" s="27" t="s">
        <v>51</v>
      </c>
      <c r="D441" s="27" t="s">
        <v>1942</v>
      </c>
      <c r="E441" s="27" t="s">
        <v>51</v>
      </c>
      <c r="F441" s="27" t="s">
        <v>713</v>
      </c>
      <c r="G441" s="448" t="s">
        <v>1760</v>
      </c>
      <c r="H441" s="27" t="s">
        <v>54</v>
      </c>
      <c r="I441" s="27" t="s">
        <v>440</v>
      </c>
      <c r="J441" s="27" t="s">
        <v>441</v>
      </c>
      <c r="K441" s="27" t="s">
        <v>371</v>
      </c>
      <c r="L441" s="27" t="s">
        <v>371</v>
      </c>
      <c r="M441" s="27" t="s">
        <v>371</v>
      </c>
      <c r="N441" s="27" t="s">
        <v>371</v>
      </c>
      <c r="O441" s="27" t="s">
        <v>371</v>
      </c>
      <c r="P441" s="27" t="s">
        <v>371</v>
      </c>
      <c r="Q441" s="27" t="s">
        <v>372</v>
      </c>
      <c r="AC441" s="45">
        <v>42685487.219999999</v>
      </c>
      <c r="AF441" s="45">
        <v>36880588.539999999</v>
      </c>
      <c r="AG441" s="45">
        <v>36880588.539999999</v>
      </c>
    </row>
    <row r="442" spans="2:33" outlineLevel="1" x14ac:dyDescent="0.35">
      <c r="B442" s="448" t="s">
        <v>1364</v>
      </c>
      <c r="C442" s="27" t="s">
        <v>51</v>
      </c>
      <c r="D442" s="27" t="s">
        <v>1943</v>
      </c>
      <c r="E442" s="27" t="s">
        <v>51</v>
      </c>
      <c r="F442" s="27" t="s">
        <v>713</v>
      </c>
      <c r="G442" s="448" t="s">
        <v>1099</v>
      </c>
      <c r="H442" s="27" t="s">
        <v>54</v>
      </c>
      <c r="I442" s="27" t="s">
        <v>440</v>
      </c>
      <c r="J442" s="27" t="s">
        <v>441</v>
      </c>
      <c r="K442" s="27" t="s">
        <v>371</v>
      </c>
      <c r="L442" s="27" t="s">
        <v>371</v>
      </c>
      <c r="M442" s="27" t="s">
        <v>371</v>
      </c>
      <c r="N442" s="27" t="s">
        <v>371</v>
      </c>
      <c r="O442" s="27" t="s">
        <v>371</v>
      </c>
      <c r="P442" s="27" t="s">
        <v>371</v>
      </c>
      <c r="Q442" s="27" t="s">
        <v>372</v>
      </c>
      <c r="AC442" s="45">
        <v>-42685487.219999999</v>
      </c>
      <c r="AF442" s="45">
        <v>-36880588.539999999</v>
      </c>
      <c r="AG442" s="45">
        <v>-36880588.539999999</v>
      </c>
    </row>
    <row r="443" spans="2:33" outlineLevel="1" x14ac:dyDescent="0.35">
      <c r="B443" s="448" t="s">
        <v>1365</v>
      </c>
      <c r="C443" s="27" t="s">
        <v>51</v>
      </c>
      <c r="D443" s="27" t="s">
        <v>1944</v>
      </c>
      <c r="E443" s="27" t="s">
        <v>51</v>
      </c>
      <c r="F443" s="27" t="s">
        <v>713</v>
      </c>
      <c r="G443" s="448" t="s">
        <v>1760</v>
      </c>
      <c r="H443" s="27" t="s">
        <v>54</v>
      </c>
      <c r="I443" s="27" t="s">
        <v>440</v>
      </c>
      <c r="J443" s="27" t="s">
        <v>441</v>
      </c>
      <c r="K443" s="27" t="s">
        <v>371</v>
      </c>
      <c r="L443" s="27" t="s">
        <v>371</v>
      </c>
      <c r="M443" s="27" t="s">
        <v>371</v>
      </c>
      <c r="N443" s="27" t="s">
        <v>371</v>
      </c>
      <c r="O443" s="27" t="s">
        <v>371</v>
      </c>
      <c r="P443" s="27" t="s">
        <v>371</v>
      </c>
      <c r="Q443" s="27" t="s">
        <v>372</v>
      </c>
      <c r="AC443" s="45">
        <v>6205290</v>
      </c>
      <c r="AF443" s="45">
        <v>14053842</v>
      </c>
      <c r="AG443" s="45">
        <v>14053842</v>
      </c>
    </row>
    <row r="444" spans="2:33" outlineLevel="1" x14ac:dyDescent="0.35">
      <c r="B444" t="s">
        <v>1945</v>
      </c>
      <c r="C444" s="27" t="s">
        <v>51</v>
      </c>
      <c r="D444" s="27" t="str">
        <f t="shared" ref="D444:D480" si="3">C444&amp;B444</f>
        <v>[VCN]100-100-100-2174</v>
      </c>
      <c r="E444" s="27" t="s">
        <v>51</v>
      </c>
      <c r="F444" s="27" t="s">
        <v>369</v>
      </c>
      <c r="G444" s="27" t="s">
        <v>1946</v>
      </c>
      <c r="H444" s="27" t="s">
        <v>54</v>
      </c>
      <c r="I444" s="27" t="s">
        <v>55</v>
      </c>
      <c r="J444" s="27" t="s">
        <v>370</v>
      </c>
      <c r="K444" s="27" t="s">
        <v>371</v>
      </c>
      <c r="L444" s="27" t="s">
        <v>371</v>
      </c>
      <c r="M444" s="27" t="s">
        <v>371</v>
      </c>
      <c r="N444" s="27" t="s">
        <v>371</v>
      </c>
      <c r="O444" s="27" t="s">
        <v>371</v>
      </c>
      <c r="P444" s="27" t="s">
        <v>371</v>
      </c>
      <c r="Q444" s="27" t="s">
        <v>372</v>
      </c>
      <c r="AC444" s="45">
        <v>0</v>
      </c>
      <c r="AG444" s="45">
        <v>20000</v>
      </c>
    </row>
    <row r="445" spans="2:33" outlineLevel="1" x14ac:dyDescent="0.35">
      <c r="B445" t="s">
        <v>1947</v>
      </c>
      <c r="C445" s="27" t="s">
        <v>51</v>
      </c>
      <c r="D445" s="27" t="str">
        <f t="shared" si="3"/>
        <v>[VCN]100-100-100-2175</v>
      </c>
      <c r="E445" s="27" t="s">
        <v>51</v>
      </c>
      <c r="F445" s="27" t="s">
        <v>369</v>
      </c>
      <c r="G445" s="27" t="s">
        <v>1948</v>
      </c>
      <c r="H445" s="27" t="s">
        <v>54</v>
      </c>
      <c r="I445" s="27" t="s">
        <v>55</v>
      </c>
      <c r="J445" s="27" t="s">
        <v>370</v>
      </c>
      <c r="K445" s="27" t="s">
        <v>371</v>
      </c>
      <c r="L445" s="27" t="s">
        <v>371</v>
      </c>
      <c r="M445" s="27" t="s">
        <v>371</v>
      </c>
      <c r="N445" s="27" t="s">
        <v>371</v>
      </c>
      <c r="O445" s="27" t="s">
        <v>371</v>
      </c>
      <c r="P445" s="27" t="s">
        <v>371</v>
      </c>
      <c r="Q445" s="27" t="s">
        <v>372</v>
      </c>
      <c r="AC445" s="45"/>
      <c r="AG445" s="45">
        <v>20000</v>
      </c>
    </row>
    <row r="446" spans="2:33" outlineLevel="1" x14ac:dyDescent="0.35">
      <c r="B446" t="s">
        <v>1949</v>
      </c>
      <c r="C446" s="27" t="s">
        <v>51</v>
      </c>
      <c r="D446" s="27" t="str">
        <f t="shared" si="3"/>
        <v>[VCN]100-100-100-2332</v>
      </c>
      <c r="E446" s="27" t="s">
        <v>51</v>
      </c>
      <c r="F446" s="27" t="s">
        <v>369</v>
      </c>
      <c r="G446" s="27" t="s">
        <v>1950</v>
      </c>
      <c r="H446" s="27" t="s">
        <v>54</v>
      </c>
      <c r="I446" s="27" t="s">
        <v>55</v>
      </c>
      <c r="J446" s="27" t="s">
        <v>370</v>
      </c>
      <c r="K446" s="27" t="s">
        <v>371</v>
      </c>
      <c r="L446" s="27" t="s">
        <v>371</v>
      </c>
      <c r="M446" s="27" t="s">
        <v>371</v>
      </c>
      <c r="N446" s="27" t="s">
        <v>371</v>
      </c>
      <c r="O446" s="27" t="s">
        <v>371</v>
      </c>
      <c r="P446" s="27" t="s">
        <v>371</v>
      </c>
      <c r="Q446" s="27" t="s">
        <v>372</v>
      </c>
      <c r="AC446" s="45"/>
      <c r="AG446" s="45">
        <v>0.01</v>
      </c>
    </row>
    <row r="447" spans="2:33" outlineLevel="1" x14ac:dyDescent="0.35">
      <c r="B447" t="s">
        <v>1951</v>
      </c>
      <c r="C447" s="27" t="s">
        <v>51</v>
      </c>
      <c r="D447" s="27" t="str">
        <f t="shared" si="3"/>
        <v>[VCN]100-100-100-3137</v>
      </c>
      <c r="E447" s="27" t="s">
        <v>51</v>
      </c>
      <c r="F447" s="27" t="s">
        <v>369</v>
      </c>
      <c r="G447" s="27" t="s">
        <v>1952</v>
      </c>
      <c r="H447" s="27" t="s">
        <v>54</v>
      </c>
      <c r="I447" s="27" t="s">
        <v>55</v>
      </c>
      <c r="J447" s="27" t="s">
        <v>370</v>
      </c>
      <c r="K447" s="27" t="s">
        <v>371</v>
      </c>
      <c r="L447" s="27" t="s">
        <v>371</v>
      </c>
      <c r="M447" s="27" t="s">
        <v>371</v>
      </c>
      <c r="N447" s="27" t="s">
        <v>371</v>
      </c>
      <c r="O447" s="27" t="s">
        <v>371</v>
      </c>
      <c r="P447" s="27" t="s">
        <v>371</v>
      </c>
      <c r="Q447" s="27" t="s">
        <v>372</v>
      </c>
      <c r="AC447" s="45"/>
      <c r="AG447" s="45">
        <v>1973000</v>
      </c>
    </row>
    <row r="448" spans="2:33" outlineLevel="1" x14ac:dyDescent="0.35">
      <c r="B448" t="s">
        <v>1953</v>
      </c>
      <c r="C448" s="27" t="s">
        <v>51</v>
      </c>
      <c r="D448" s="27" t="str">
        <f t="shared" si="3"/>
        <v>[VCN]100-100-100-4005</v>
      </c>
      <c r="E448" s="27" t="s">
        <v>51</v>
      </c>
      <c r="F448" s="27" t="s">
        <v>377</v>
      </c>
      <c r="G448" s="27" t="s">
        <v>1954</v>
      </c>
      <c r="H448" s="27" t="s">
        <v>54</v>
      </c>
      <c r="I448" s="27" t="s">
        <v>55</v>
      </c>
      <c r="J448" s="27" t="s">
        <v>56</v>
      </c>
      <c r="K448" s="27" t="s">
        <v>371</v>
      </c>
      <c r="L448" s="27" t="s">
        <v>371</v>
      </c>
      <c r="M448" s="27" t="s">
        <v>371</v>
      </c>
      <c r="N448" s="27" t="s">
        <v>371</v>
      </c>
      <c r="O448" s="27" t="s">
        <v>371</v>
      </c>
      <c r="P448" s="27"/>
      <c r="Q448" s="27" t="s">
        <v>372</v>
      </c>
      <c r="AC448" s="45"/>
      <c r="AG448" s="45">
        <v>-1303.51</v>
      </c>
    </row>
    <row r="449" spans="2:33" outlineLevel="1" x14ac:dyDescent="0.35">
      <c r="B449" t="s">
        <v>1955</v>
      </c>
      <c r="C449" s="27" t="s">
        <v>51</v>
      </c>
      <c r="D449" s="27" t="str">
        <f t="shared" si="3"/>
        <v>[VCN]100-100-520-0001</v>
      </c>
      <c r="E449" s="27" t="s">
        <v>51</v>
      </c>
      <c r="F449" s="27" t="s">
        <v>119</v>
      </c>
      <c r="G449" s="27" t="s">
        <v>1956</v>
      </c>
      <c r="H449" s="27" t="s">
        <v>54</v>
      </c>
      <c r="I449" s="27" t="s">
        <v>55</v>
      </c>
      <c r="J449" s="27" t="s">
        <v>56</v>
      </c>
      <c r="K449" s="27" t="s">
        <v>371</v>
      </c>
      <c r="L449" s="27" t="s">
        <v>371</v>
      </c>
      <c r="M449" s="27" t="s">
        <v>371</v>
      </c>
      <c r="N449" s="27" t="s">
        <v>371</v>
      </c>
      <c r="O449" s="27" t="s">
        <v>371</v>
      </c>
      <c r="Q449" s="27" t="s">
        <v>372</v>
      </c>
      <c r="AC449" s="45"/>
      <c r="AG449" s="45">
        <v>-3694.11</v>
      </c>
    </row>
    <row r="450" spans="2:33" outlineLevel="1" x14ac:dyDescent="0.35">
      <c r="B450" t="s">
        <v>1957</v>
      </c>
      <c r="C450" s="27" t="s">
        <v>51</v>
      </c>
      <c r="D450" s="27" t="str">
        <f t="shared" si="3"/>
        <v>[VCN]100-100-550-0002</v>
      </c>
      <c r="E450" s="27" t="s">
        <v>51</v>
      </c>
      <c r="F450" s="27" t="s">
        <v>974</v>
      </c>
      <c r="G450" s="27" t="s">
        <v>1958</v>
      </c>
      <c r="H450" s="27" t="s">
        <v>54</v>
      </c>
      <c r="I450" s="27" t="s">
        <v>55</v>
      </c>
      <c r="J450" s="27" t="s">
        <v>56</v>
      </c>
      <c r="K450" s="27" t="s">
        <v>371</v>
      </c>
      <c r="L450" s="27" t="s">
        <v>371</v>
      </c>
      <c r="M450" s="27" t="s">
        <v>371</v>
      </c>
      <c r="N450" s="27" t="s">
        <v>371</v>
      </c>
      <c r="O450" s="27" t="s">
        <v>371</v>
      </c>
      <c r="P450" s="27" t="s">
        <v>371</v>
      </c>
      <c r="Q450" s="27" t="s">
        <v>372</v>
      </c>
      <c r="AC450" s="45"/>
      <c r="AG450" s="45">
        <v>585118.05000000005</v>
      </c>
    </row>
    <row r="451" spans="2:33" outlineLevel="1" x14ac:dyDescent="0.35">
      <c r="B451" t="s">
        <v>1959</v>
      </c>
      <c r="C451" s="27" t="s">
        <v>51</v>
      </c>
      <c r="D451" s="27" t="str">
        <f t="shared" si="3"/>
        <v>[VCN]100-100-800-0004</v>
      </c>
      <c r="E451" s="27" t="s">
        <v>51</v>
      </c>
      <c r="F451" s="27" t="s">
        <v>378</v>
      </c>
      <c r="G451" s="27" t="s">
        <v>1960</v>
      </c>
      <c r="H451" s="27" t="s">
        <v>54</v>
      </c>
      <c r="I451" s="27" t="s">
        <v>55</v>
      </c>
      <c r="J451" s="27" t="s">
        <v>379</v>
      </c>
      <c r="K451" s="27" t="s">
        <v>371</v>
      </c>
      <c r="L451" s="27" t="s">
        <v>371</v>
      </c>
      <c r="M451" s="27" t="s">
        <v>371</v>
      </c>
      <c r="N451" s="27" t="s">
        <v>371</v>
      </c>
      <c r="O451" s="27" t="s">
        <v>371</v>
      </c>
      <c r="P451" s="27" t="s">
        <v>371</v>
      </c>
      <c r="Q451" s="27" t="s">
        <v>372</v>
      </c>
      <c r="AC451" s="45"/>
      <c r="AG451" s="45">
        <v>132165.6</v>
      </c>
    </row>
    <row r="452" spans="2:33" outlineLevel="1" x14ac:dyDescent="0.35">
      <c r="B452" t="s">
        <v>1964</v>
      </c>
      <c r="C452" s="27" t="s">
        <v>51</v>
      </c>
      <c r="D452" s="27" t="str">
        <f t="shared" si="3"/>
        <v>[VCN]100-200-100-8001</v>
      </c>
      <c r="E452" s="27" t="s">
        <v>51</v>
      </c>
      <c r="F452" s="27" t="s">
        <v>90</v>
      </c>
      <c r="G452" s="27" t="s">
        <v>1965</v>
      </c>
      <c r="H452" s="27" t="s">
        <v>54</v>
      </c>
      <c r="I452" s="27" t="s">
        <v>55</v>
      </c>
      <c r="J452" s="27" t="s">
        <v>393</v>
      </c>
      <c r="K452" s="27" t="s">
        <v>371</v>
      </c>
      <c r="L452" s="27" t="s">
        <v>371</v>
      </c>
      <c r="M452" s="27" t="s">
        <v>371</v>
      </c>
      <c r="N452" s="27" t="s">
        <v>371</v>
      </c>
      <c r="O452" s="27" t="s">
        <v>371</v>
      </c>
      <c r="P452" s="27" t="s">
        <v>371</v>
      </c>
      <c r="Q452" s="27" t="s">
        <v>372</v>
      </c>
      <c r="AC452" s="45"/>
      <c r="AG452" s="45">
        <v>7907751.0800000001</v>
      </c>
    </row>
    <row r="453" spans="2:33" outlineLevel="1" x14ac:dyDescent="0.35">
      <c r="B453" t="s">
        <v>1966</v>
      </c>
      <c r="C453" s="27" t="s">
        <v>51</v>
      </c>
      <c r="D453" s="27" t="str">
        <f t="shared" si="3"/>
        <v>[VCN]100-200-100-8003</v>
      </c>
      <c r="E453" s="27" t="s">
        <v>51</v>
      </c>
      <c r="F453" s="27" t="s">
        <v>90</v>
      </c>
      <c r="G453" s="27" t="s">
        <v>1967</v>
      </c>
      <c r="H453" s="27" t="s">
        <v>54</v>
      </c>
      <c r="I453" s="27" t="s">
        <v>55</v>
      </c>
      <c r="J453" s="27" t="s">
        <v>393</v>
      </c>
      <c r="K453" s="27" t="s">
        <v>371</v>
      </c>
      <c r="L453" s="27" t="s">
        <v>371</v>
      </c>
      <c r="M453" s="27" t="s">
        <v>371</v>
      </c>
      <c r="N453" s="27" t="s">
        <v>371</v>
      </c>
      <c r="O453" s="27" t="s">
        <v>371</v>
      </c>
      <c r="P453" s="27" t="s">
        <v>371</v>
      </c>
      <c r="Q453" s="27" t="s">
        <v>372</v>
      </c>
      <c r="AC453" s="45"/>
      <c r="AG453" s="45">
        <v>-1506238.33</v>
      </c>
    </row>
    <row r="454" spans="2:33" outlineLevel="1" x14ac:dyDescent="0.35">
      <c r="B454" t="s">
        <v>1972</v>
      </c>
      <c r="C454" s="27" t="s">
        <v>51</v>
      </c>
      <c r="D454" s="27" t="str">
        <f t="shared" si="3"/>
        <v>[VCN]100-200-100-9005</v>
      </c>
      <c r="E454" s="27" t="s">
        <v>51</v>
      </c>
      <c r="F454" s="27" t="s">
        <v>90</v>
      </c>
      <c r="G454" s="27" t="s">
        <v>1973</v>
      </c>
      <c r="H454" s="27" t="s">
        <v>54</v>
      </c>
      <c r="I454" s="27" t="s">
        <v>55</v>
      </c>
      <c r="J454" s="27" t="s">
        <v>393</v>
      </c>
      <c r="K454" s="27" t="s">
        <v>371</v>
      </c>
      <c r="L454" s="27" t="s">
        <v>371</v>
      </c>
      <c r="M454" s="27" t="s">
        <v>371</v>
      </c>
      <c r="N454" s="27" t="s">
        <v>371</v>
      </c>
      <c r="O454" s="27" t="s">
        <v>371</v>
      </c>
      <c r="P454" s="27" t="s">
        <v>371</v>
      </c>
      <c r="Q454" s="27" t="s">
        <v>372</v>
      </c>
      <c r="AC454" s="45"/>
      <c r="AG454" s="45">
        <v>4233399.3</v>
      </c>
    </row>
    <row r="455" spans="2:33" outlineLevel="1" x14ac:dyDescent="0.35">
      <c r="B455" t="s">
        <v>1974</v>
      </c>
      <c r="C455" s="27" t="s">
        <v>51</v>
      </c>
      <c r="D455" s="27" t="str">
        <f t="shared" si="3"/>
        <v>[VCN]100-200-100-9006</v>
      </c>
      <c r="E455" s="27" t="s">
        <v>51</v>
      </c>
      <c r="F455" s="27" t="s">
        <v>90</v>
      </c>
      <c r="G455" s="27" t="s">
        <v>1975</v>
      </c>
      <c r="H455" s="27" t="s">
        <v>54</v>
      </c>
      <c r="I455" s="27" t="s">
        <v>55</v>
      </c>
      <c r="J455" s="27" t="s">
        <v>393</v>
      </c>
      <c r="K455" s="27" t="s">
        <v>371</v>
      </c>
      <c r="L455" s="27" t="s">
        <v>371</v>
      </c>
      <c r="M455" s="27" t="s">
        <v>371</v>
      </c>
      <c r="N455" s="27" t="s">
        <v>371</v>
      </c>
      <c r="O455" s="27" t="s">
        <v>371</v>
      </c>
      <c r="P455" s="27" t="s">
        <v>371</v>
      </c>
      <c r="Q455" s="27" t="s">
        <v>372</v>
      </c>
      <c r="AC455" s="45"/>
      <c r="AG455" s="45">
        <v>-1786908.23</v>
      </c>
    </row>
    <row r="456" spans="2:33" outlineLevel="1" x14ac:dyDescent="0.35">
      <c r="B456" t="s">
        <v>1976</v>
      </c>
      <c r="C456" s="27" t="s">
        <v>51</v>
      </c>
      <c r="D456" s="27" t="str">
        <f t="shared" si="3"/>
        <v>[VCN]100-200-100-9008</v>
      </c>
      <c r="E456" s="27" t="s">
        <v>51</v>
      </c>
      <c r="F456" s="27" t="s">
        <v>90</v>
      </c>
      <c r="G456" s="27" t="s">
        <v>1977</v>
      </c>
      <c r="H456" s="27" t="s">
        <v>54</v>
      </c>
      <c r="I456" s="27" t="s">
        <v>55</v>
      </c>
      <c r="J456" s="27" t="s">
        <v>393</v>
      </c>
      <c r="K456" s="27" t="s">
        <v>371</v>
      </c>
      <c r="L456" s="27" t="s">
        <v>371</v>
      </c>
      <c r="M456" s="27" t="s">
        <v>371</v>
      </c>
      <c r="N456" s="27" t="s">
        <v>371</v>
      </c>
      <c r="O456" s="27" t="s">
        <v>371</v>
      </c>
      <c r="P456" s="27" t="s">
        <v>371</v>
      </c>
      <c r="Q456" s="27" t="s">
        <v>372</v>
      </c>
      <c r="AC456" s="45"/>
      <c r="AG456" s="45">
        <v>-3703805.72</v>
      </c>
    </row>
    <row r="457" spans="2:33" outlineLevel="1" x14ac:dyDescent="0.35">
      <c r="B457" t="s">
        <v>1978</v>
      </c>
      <c r="C457" s="27" t="s">
        <v>51</v>
      </c>
      <c r="D457" s="27" t="str">
        <f t="shared" si="3"/>
        <v>[VCN]100-200-100-9009</v>
      </c>
      <c r="E457" s="27" t="s">
        <v>51</v>
      </c>
      <c r="F457" s="27" t="s">
        <v>90</v>
      </c>
      <c r="G457" s="27" t="s">
        <v>1979</v>
      </c>
      <c r="H457" s="27" t="s">
        <v>54</v>
      </c>
      <c r="I457" s="27" t="s">
        <v>55</v>
      </c>
      <c r="J457" s="27" t="s">
        <v>393</v>
      </c>
      <c r="K457" s="27" t="s">
        <v>371</v>
      </c>
      <c r="L457" s="27" t="s">
        <v>371</v>
      </c>
      <c r="M457" s="27" t="s">
        <v>371</v>
      </c>
      <c r="N457" s="27" t="s">
        <v>371</v>
      </c>
      <c r="O457" s="27" t="s">
        <v>371</v>
      </c>
      <c r="P457" s="27" t="s">
        <v>371</v>
      </c>
      <c r="Q457" s="27" t="s">
        <v>372</v>
      </c>
      <c r="AC457" s="45"/>
      <c r="AG457" s="45">
        <v>14916623.93</v>
      </c>
    </row>
    <row r="458" spans="2:33" outlineLevel="1" x14ac:dyDescent="0.35">
      <c r="B458" t="s">
        <v>1980</v>
      </c>
      <c r="C458" s="27" t="s">
        <v>51</v>
      </c>
      <c r="D458" s="27" t="str">
        <f t="shared" si="3"/>
        <v>[VCN]100-200-100-9010</v>
      </c>
      <c r="E458" s="27" t="s">
        <v>51</v>
      </c>
      <c r="F458" s="27" t="s">
        <v>90</v>
      </c>
      <c r="G458" s="27" t="s">
        <v>1981</v>
      </c>
      <c r="H458" s="27" t="s">
        <v>54</v>
      </c>
      <c r="I458" s="27" t="s">
        <v>55</v>
      </c>
      <c r="J458" s="27" t="s">
        <v>393</v>
      </c>
      <c r="K458" s="27" t="s">
        <v>371</v>
      </c>
      <c r="L458" s="27" t="s">
        <v>371</v>
      </c>
      <c r="M458" s="27" t="s">
        <v>371</v>
      </c>
      <c r="N458" s="27" t="s">
        <v>371</v>
      </c>
      <c r="O458" s="27" t="s">
        <v>371</v>
      </c>
      <c r="P458" s="27" t="s">
        <v>371</v>
      </c>
      <c r="Q458" s="27" t="s">
        <v>372</v>
      </c>
      <c r="AC458" s="45"/>
      <c r="AG458" s="45">
        <v>-3726846.66</v>
      </c>
    </row>
    <row r="459" spans="2:33" outlineLevel="1" x14ac:dyDescent="0.35">
      <c r="B459" t="s">
        <v>1982</v>
      </c>
      <c r="C459" s="27" t="s">
        <v>51</v>
      </c>
      <c r="D459" s="27" t="str">
        <f t="shared" si="3"/>
        <v>[VCN]100-200-100-9012</v>
      </c>
      <c r="E459" s="27" t="s">
        <v>51</v>
      </c>
      <c r="F459" s="27" t="s">
        <v>90</v>
      </c>
      <c r="G459" s="27" t="s">
        <v>1983</v>
      </c>
      <c r="H459" s="27" t="s">
        <v>54</v>
      </c>
      <c r="I459" s="27" t="s">
        <v>55</v>
      </c>
      <c r="J459" s="27" t="s">
        <v>393</v>
      </c>
      <c r="K459" s="27" t="s">
        <v>371</v>
      </c>
      <c r="L459" s="27" t="s">
        <v>371</v>
      </c>
      <c r="M459" s="27" t="s">
        <v>371</v>
      </c>
      <c r="N459" s="27" t="s">
        <v>371</v>
      </c>
      <c r="O459" s="27" t="s">
        <v>371</v>
      </c>
      <c r="P459" s="27" t="s">
        <v>371</v>
      </c>
      <c r="Q459" s="27" t="s">
        <v>372</v>
      </c>
      <c r="AC459" s="45"/>
      <c r="AG459" s="45">
        <v>-4716638.8499999996</v>
      </c>
    </row>
    <row r="460" spans="2:33" outlineLevel="1" x14ac:dyDescent="0.35">
      <c r="B460" t="s">
        <v>1984</v>
      </c>
      <c r="C460" s="27" t="s">
        <v>51</v>
      </c>
      <c r="D460" s="27" t="str">
        <f t="shared" si="3"/>
        <v>[VCN]100-200-700-0008</v>
      </c>
      <c r="E460" s="27" t="s">
        <v>51</v>
      </c>
      <c r="F460" s="27" t="s">
        <v>85</v>
      </c>
      <c r="G460" s="27" t="s">
        <v>1985</v>
      </c>
      <c r="H460" s="27" t="s">
        <v>54</v>
      </c>
      <c r="I460" s="27" t="s">
        <v>55</v>
      </c>
      <c r="J460" s="27" t="s">
        <v>101</v>
      </c>
      <c r="K460" s="27" t="s">
        <v>371</v>
      </c>
      <c r="L460" s="27" t="s">
        <v>371</v>
      </c>
      <c r="M460" s="27" t="s">
        <v>371</v>
      </c>
      <c r="N460" s="27" t="s">
        <v>371</v>
      </c>
      <c r="O460" s="27" t="s">
        <v>371</v>
      </c>
      <c r="P460" s="27" t="s">
        <v>371</v>
      </c>
      <c r="Q460" s="27" t="s">
        <v>372</v>
      </c>
      <c r="AC460" s="45"/>
      <c r="AG460" s="45">
        <v>2500720.13</v>
      </c>
    </row>
    <row r="461" spans="2:33" outlineLevel="1" x14ac:dyDescent="0.35">
      <c r="B461" t="s">
        <v>1986</v>
      </c>
      <c r="C461" s="27" t="s">
        <v>51</v>
      </c>
      <c r="D461" s="27" t="str">
        <f t="shared" si="3"/>
        <v>[VCN]200-100-700-5009</v>
      </c>
      <c r="E461" s="27" t="s">
        <v>51</v>
      </c>
      <c r="F461" s="27" t="s">
        <v>434</v>
      </c>
      <c r="G461" s="27" t="s">
        <v>1987</v>
      </c>
      <c r="H461" s="27" t="s">
        <v>54</v>
      </c>
      <c r="I461" s="27" t="s">
        <v>142</v>
      </c>
      <c r="J461" s="27" t="s">
        <v>436</v>
      </c>
      <c r="K461" s="27" t="s">
        <v>371</v>
      </c>
      <c r="L461" s="27" t="s">
        <v>371</v>
      </c>
      <c r="M461" s="27" t="s">
        <v>371</v>
      </c>
      <c r="N461" s="27" t="s">
        <v>371</v>
      </c>
      <c r="O461" s="27" t="s">
        <v>371</v>
      </c>
      <c r="P461" s="27" t="s">
        <v>371</v>
      </c>
      <c r="Q461" s="27" t="s">
        <v>372</v>
      </c>
      <c r="AC461" s="45"/>
      <c r="AG461" s="45">
        <v>-35107.5</v>
      </c>
    </row>
    <row r="462" spans="2:33" outlineLevel="1" x14ac:dyDescent="0.35">
      <c r="B462" t="s">
        <v>1988</v>
      </c>
      <c r="C462" s="27" t="s">
        <v>51</v>
      </c>
      <c r="D462" s="27" t="str">
        <f t="shared" si="3"/>
        <v>[VCN]200-100-800-0003</v>
      </c>
      <c r="E462" s="27" t="s">
        <v>51</v>
      </c>
      <c r="F462" s="27" t="s">
        <v>434</v>
      </c>
      <c r="G462" s="27" t="s">
        <v>1989</v>
      </c>
      <c r="H462" s="27" t="s">
        <v>54</v>
      </c>
      <c r="I462" s="27" t="s">
        <v>142</v>
      </c>
      <c r="J462" s="27" t="s">
        <v>436</v>
      </c>
      <c r="K462" s="27" t="s">
        <v>371</v>
      </c>
      <c r="L462" s="27" t="s">
        <v>371</v>
      </c>
      <c r="M462" s="27" t="s">
        <v>371</v>
      </c>
      <c r="N462" s="27" t="s">
        <v>371</v>
      </c>
      <c r="O462" s="27" t="s">
        <v>371</v>
      </c>
      <c r="P462" s="27" t="s">
        <v>371</v>
      </c>
      <c r="Q462" s="27" t="s">
        <v>372</v>
      </c>
      <c r="AC462" s="45"/>
      <c r="AG462" s="45">
        <v>10520</v>
      </c>
    </row>
    <row r="463" spans="2:33" outlineLevel="1" x14ac:dyDescent="0.35">
      <c r="B463" t="s">
        <v>1990</v>
      </c>
      <c r="C463" s="27" t="s">
        <v>51</v>
      </c>
      <c r="D463" s="27" t="str">
        <f t="shared" si="3"/>
        <v>[VCN]200-101-100-1009</v>
      </c>
      <c r="E463" s="27" t="s">
        <v>51</v>
      </c>
      <c r="F463" s="27" t="s">
        <v>434</v>
      </c>
      <c r="G463" s="27" t="s">
        <v>1991</v>
      </c>
      <c r="H463" s="27" t="s">
        <v>54</v>
      </c>
      <c r="I463" s="27" t="s">
        <v>142</v>
      </c>
      <c r="J463" s="27" t="s">
        <v>436</v>
      </c>
      <c r="K463" s="27" t="s">
        <v>371</v>
      </c>
      <c r="L463" s="27" t="s">
        <v>371</v>
      </c>
      <c r="M463" s="27" t="s">
        <v>371</v>
      </c>
      <c r="N463" s="27" t="s">
        <v>371</v>
      </c>
      <c r="O463" s="27" t="s">
        <v>371</v>
      </c>
      <c r="P463" s="27" t="s">
        <v>371</v>
      </c>
      <c r="Q463" s="27" t="s">
        <v>372</v>
      </c>
      <c r="AC463" s="45"/>
      <c r="AG463" s="45">
        <v>39278.019999999997</v>
      </c>
    </row>
    <row r="464" spans="2:33" outlineLevel="1" x14ac:dyDescent="0.35">
      <c r="B464" t="s">
        <v>1992</v>
      </c>
      <c r="C464" s="27" t="s">
        <v>51</v>
      </c>
      <c r="D464" s="27" t="str">
        <f t="shared" si="3"/>
        <v>[VCN]200-101-101-1003</v>
      </c>
      <c r="E464" s="27" t="s">
        <v>51</v>
      </c>
      <c r="F464" s="27" t="s">
        <v>434</v>
      </c>
      <c r="G464" s="27" t="s">
        <v>1993</v>
      </c>
      <c r="H464" s="27" t="s">
        <v>54</v>
      </c>
      <c r="I464" s="27" t="s">
        <v>142</v>
      </c>
      <c r="J464" s="27" t="s">
        <v>436</v>
      </c>
      <c r="K464" s="27" t="s">
        <v>371</v>
      </c>
      <c r="L464" s="27" t="s">
        <v>371</v>
      </c>
      <c r="M464" s="27" t="s">
        <v>371</v>
      </c>
      <c r="N464" s="27" t="s">
        <v>371</v>
      </c>
      <c r="O464" s="27" t="s">
        <v>371</v>
      </c>
      <c r="P464" s="27" t="s">
        <v>371</v>
      </c>
      <c r="Q464" s="27" t="s">
        <v>372</v>
      </c>
      <c r="AC464" s="45"/>
      <c r="AG464" s="45">
        <v>-20764</v>
      </c>
    </row>
    <row r="465" spans="2:33" outlineLevel="1" x14ac:dyDescent="0.35">
      <c r="B465" t="s">
        <v>1994</v>
      </c>
      <c r="C465" s="27" t="s">
        <v>51</v>
      </c>
      <c r="D465" s="27" t="str">
        <f t="shared" si="3"/>
        <v>[VCN]200-101-101-1009</v>
      </c>
      <c r="E465" s="27" t="s">
        <v>51</v>
      </c>
      <c r="F465" s="27" t="s">
        <v>434</v>
      </c>
      <c r="G465" s="27" t="s">
        <v>1995</v>
      </c>
      <c r="H465" s="27" t="s">
        <v>54</v>
      </c>
      <c r="I465" s="27" t="s">
        <v>142</v>
      </c>
      <c r="J465" s="27" t="s">
        <v>436</v>
      </c>
      <c r="K465" s="27" t="s">
        <v>371</v>
      </c>
      <c r="L465" s="27" t="s">
        <v>371</v>
      </c>
      <c r="M465" s="27" t="s">
        <v>371</v>
      </c>
      <c r="N465" s="27" t="s">
        <v>371</v>
      </c>
      <c r="O465" s="27" t="s">
        <v>371</v>
      </c>
      <c r="P465" s="27" t="s">
        <v>371</v>
      </c>
      <c r="Q465" s="27" t="s">
        <v>372</v>
      </c>
      <c r="AC465" s="45"/>
      <c r="AG465" s="45">
        <v>-22148.34</v>
      </c>
    </row>
    <row r="466" spans="2:33" outlineLevel="1" x14ac:dyDescent="0.35">
      <c r="B466" t="s">
        <v>1996</v>
      </c>
      <c r="C466" s="27" t="s">
        <v>51</v>
      </c>
      <c r="D466" s="27" t="str">
        <f t="shared" si="3"/>
        <v>[VCN]200-200-400-0005</v>
      </c>
      <c r="E466" s="27" t="s">
        <v>51</v>
      </c>
      <c r="F466" s="27" t="s">
        <v>780</v>
      </c>
      <c r="G466" s="27" t="s">
        <v>1997</v>
      </c>
      <c r="H466" s="27" t="s">
        <v>54</v>
      </c>
      <c r="I466" s="27" t="s">
        <v>142</v>
      </c>
      <c r="J466" s="27" t="s">
        <v>781</v>
      </c>
      <c r="K466" s="27" t="s">
        <v>371</v>
      </c>
      <c r="L466" s="27" t="s">
        <v>371</v>
      </c>
      <c r="M466" s="27" t="s">
        <v>371</v>
      </c>
      <c r="N466" s="27" t="s">
        <v>371</v>
      </c>
      <c r="O466" s="27" t="s">
        <v>371</v>
      </c>
      <c r="P466" s="27" t="s">
        <v>371</v>
      </c>
      <c r="Q466" s="27" t="s">
        <v>372</v>
      </c>
      <c r="AC466" s="45"/>
      <c r="AG466" s="45">
        <v>-1423125</v>
      </c>
    </row>
    <row r="467" spans="2:33" outlineLevel="1" x14ac:dyDescent="0.35">
      <c r="B467" t="s">
        <v>1998</v>
      </c>
      <c r="C467" s="27" t="s">
        <v>51</v>
      </c>
      <c r="D467" s="27" t="str">
        <f t="shared" si="3"/>
        <v>[VCN]600-300-200-0003</v>
      </c>
      <c r="E467" s="27" t="s">
        <v>51</v>
      </c>
      <c r="F467" s="27" t="s">
        <v>539</v>
      </c>
      <c r="G467" s="27" t="s">
        <v>1503</v>
      </c>
      <c r="H467" s="27" t="s">
        <v>447</v>
      </c>
      <c r="I467" s="27" t="s">
        <v>440</v>
      </c>
      <c r="J467" s="27" t="s">
        <v>448</v>
      </c>
      <c r="K467" s="27" t="s">
        <v>476</v>
      </c>
      <c r="L467" s="27" t="s">
        <v>542</v>
      </c>
      <c r="M467" s="27" t="s">
        <v>542</v>
      </c>
      <c r="N467" s="27" t="s">
        <v>541</v>
      </c>
      <c r="O467" s="27" t="s">
        <v>480</v>
      </c>
      <c r="Q467" s="27"/>
      <c r="AC467" s="45"/>
      <c r="AG467" s="45">
        <v>58766.34</v>
      </c>
    </row>
    <row r="468" spans="2:33" outlineLevel="1" x14ac:dyDescent="0.35">
      <c r="B468" t="s">
        <v>1999</v>
      </c>
      <c r="C468" s="27" t="s">
        <v>51</v>
      </c>
      <c r="D468" s="27" t="str">
        <f t="shared" si="3"/>
        <v>[VCN]600-300-300-0002</v>
      </c>
      <c r="E468" s="27" t="s">
        <v>51</v>
      </c>
      <c r="F468" s="27" t="s">
        <v>539</v>
      </c>
      <c r="G468" s="27" t="s">
        <v>2000</v>
      </c>
      <c r="H468" s="27" t="s">
        <v>447</v>
      </c>
      <c r="I468" s="27" t="s">
        <v>440</v>
      </c>
      <c r="J468" s="27" t="s">
        <v>448</v>
      </c>
      <c r="K468" s="27" t="s">
        <v>476</v>
      </c>
      <c r="L468" s="27" t="s">
        <v>1016</v>
      </c>
      <c r="M468" s="27" t="s">
        <v>1016</v>
      </c>
      <c r="N468" s="27" t="s">
        <v>1016</v>
      </c>
      <c r="O468" s="27" t="s">
        <v>480</v>
      </c>
      <c r="Q468" s="27"/>
      <c r="AC468" s="45"/>
      <c r="AG468" s="45">
        <v>34321.56</v>
      </c>
    </row>
    <row r="469" spans="2:33" outlineLevel="1" x14ac:dyDescent="0.35">
      <c r="B469" t="s">
        <v>2001</v>
      </c>
      <c r="C469" s="27" t="s">
        <v>51</v>
      </c>
      <c r="D469" s="27" t="str">
        <f t="shared" si="3"/>
        <v>[VCN]600-300-300-0007</v>
      </c>
      <c r="E469" s="27" t="s">
        <v>51</v>
      </c>
      <c r="F469" s="27" t="s">
        <v>501</v>
      </c>
      <c r="G469" s="27" t="s">
        <v>2002</v>
      </c>
      <c r="H469" s="27" t="s">
        <v>447</v>
      </c>
      <c r="I469" s="27" t="s">
        <v>440</v>
      </c>
      <c r="J469" s="27" t="s">
        <v>448</v>
      </c>
      <c r="K469" s="27" t="s">
        <v>476</v>
      </c>
      <c r="L469" s="27" t="s">
        <v>1016</v>
      </c>
      <c r="M469" s="27" t="s">
        <v>1016</v>
      </c>
      <c r="N469" s="27" t="s">
        <v>1016</v>
      </c>
      <c r="O469" s="27" t="s">
        <v>480</v>
      </c>
      <c r="Q469" s="27"/>
      <c r="AC469" s="45"/>
      <c r="AG469" s="45">
        <v>750.07</v>
      </c>
    </row>
    <row r="470" spans="2:33" outlineLevel="1" x14ac:dyDescent="0.35">
      <c r="B470" t="s">
        <v>2003</v>
      </c>
      <c r="C470" s="27" t="s">
        <v>51</v>
      </c>
      <c r="D470" s="27" t="str">
        <f t="shared" si="3"/>
        <v>[VCN]600-300-403-0001</v>
      </c>
      <c r="E470" s="27" t="s">
        <v>51</v>
      </c>
      <c r="F470" s="27" t="s">
        <v>501</v>
      </c>
      <c r="G470" s="27" t="s">
        <v>2004</v>
      </c>
      <c r="H470" s="27" t="s">
        <v>447</v>
      </c>
      <c r="I470" s="27" t="s">
        <v>440</v>
      </c>
      <c r="J470" s="27" t="s">
        <v>448</v>
      </c>
      <c r="K470" s="27" t="s">
        <v>476</v>
      </c>
      <c r="L470" s="27" t="s">
        <v>503</v>
      </c>
      <c r="M470" s="27" t="s">
        <v>503</v>
      </c>
      <c r="N470" s="27" t="s">
        <v>503</v>
      </c>
      <c r="O470" s="27" t="s">
        <v>480</v>
      </c>
      <c r="Q470" s="27"/>
      <c r="AC470" s="45"/>
      <c r="AG470" s="45">
        <v>5842.65</v>
      </c>
    </row>
    <row r="471" spans="2:33" outlineLevel="1" x14ac:dyDescent="0.35">
      <c r="B471" t="s">
        <v>2005</v>
      </c>
      <c r="C471" s="27" t="s">
        <v>51</v>
      </c>
      <c r="D471" s="27" t="str">
        <f t="shared" si="3"/>
        <v>[VCN]600-300-409-0002</v>
      </c>
      <c r="E471" s="27" t="s">
        <v>51</v>
      </c>
      <c r="F471" s="27" t="s">
        <v>501</v>
      </c>
      <c r="G471" s="27" t="s">
        <v>2006</v>
      </c>
      <c r="H471" s="27" t="s">
        <v>447</v>
      </c>
      <c r="I471" s="27" t="s">
        <v>440</v>
      </c>
      <c r="J471" s="27" t="s">
        <v>448</v>
      </c>
      <c r="K471" s="27" t="s">
        <v>476</v>
      </c>
      <c r="L471" s="27" t="s">
        <v>502</v>
      </c>
      <c r="M471" s="27" t="s">
        <v>502</v>
      </c>
      <c r="N471" s="27" t="s">
        <v>502</v>
      </c>
      <c r="O471" s="27" t="s">
        <v>480</v>
      </c>
      <c r="Q471" s="27"/>
      <c r="AG471" s="45">
        <v>79202</v>
      </c>
    </row>
    <row r="472" spans="2:33" outlineLevel="1" x14ac:dyDescent="0.35">
      <c r="B472" t="s">
        <v>2007</v>
      </c>
      <c r="C472" s="27" t="s">
        <v>51</v>
      </c>
      <c r="D472" s="27" t="str">
        <f t="shared" si="3"/>
        <v>[VCN]600-300-410-0003</v>
      </c>
      <c r="E472" s="27" t="s">
        <v>51</v>
      </c>
      <c r="F472" s="27" t="s">
        <v>501</v>
      </c>
      <c r="G472" s="27" t="s">
        <v>2008</v>
      </c>
      <c r="H472" s="27" t="s">
        <v>447</v>
      </c>
      <c r="I472" s="27" t="s">
        <v>440</v>
      </c>
      <c r="J472" s="27" t="s">
        <v>448</v>
      </c>
      <c r="K472" s="27" t="s">
        <v>476</v>
      </c>
      <c r="L472" s="27" t="s">
        <v>904</v>
      </c>
      <c r="M472" s="27" t="s">
        <v>904</v>
      </c>
      <c r="N472" s="27" t="s">
        <v>904</v>
      </c>
      <c r="O472" s="27" t="s">
        <v>480</v>
      </c>
      <c r="Q472" s="27"/>
      <c r="AG472" s="45">
        <v>47103.37</v>
      </c>
    </row>
    <row r="473" spans="2:33" outlineLevel="1" x14ac:dyDescent="0.35">
      <c r="B473" t="s">
        <v>2009</v>
      </c>
      <c r="C473" s="27" t="s">
        <v>51</v>
      </c>
      <c r="D473" s="27" t="str">
        <f t="shared" si="3"/>
        <v>[VCN]600-300-410-0004</v>
      </c>
      <c r="E473" s="27" t="s">
        <v>51</v>
      </c>
      <c r="F473" s="27" t="s">
        <v>501</v>
      </c>
      <c r="G473" s="27" t="s">
        <v>2010</v>
      </c>
      <c r="H473" s="27" t="s">
        <v>447</v>
      </c>
      <c r="I473" s="27" t="s">
        <v>440</v>
      </c>
      <c r="J473" s="27" t="s">
        <v>448</v>
      </c>
      <c r="K473" s="27" t="s">
        <v>476</v>
      </c>
      <c r="L473" s="27" t="s">
        <v>502</v>
      </c>
      <c r="M473" s="27" t="s">
        <v>502</v>
      </c>
      <c r="N473" s="27" t="s">
        <v>502</v>
      </c>
      <c r="O473" s="27" t="s">
        <v>480</v>
      </c>
      <c r="Q473" s="27"/>
      <c r="AG473" s="45">
        <v>6419.54</v>
      </c>
    </row>
    <row r="474" spans="2:33" outlineLevel="1" x14ac:dyDescent="0.35">
      <c r="B474" t="s">
        <v>2011</v>
      </c>
      <c r="C474" s="27" t="s">
        <v>51</v>
      </c>
      <c r="D474" s="27" t="str">
        <f t="shared" si="3"/>
        <v>[VCN]600-300-410-0005</v>
      </c>
      <c r="E474" s="27" t="s">
        <v>51</v>
      </c>
      <c r="F474" s="27" t="s">
        <v>501</v>
      </c>
      <c r="G474" s="27" t="s">
        <v>2012</v>
      </c>
      <c r="H474" s="27" t="s">
        <v>447</v>
      </c>
      <c r="I474" s="27" t="s">
        <v>440</v>
      </c>
      <c r="J474" s="27" t="s">
        <v>448</v>
      </c>
      <c r="K474" s="27" t="s">
        <v>476</v>
      </c>
      <c r="L474" s="27" t="s">
        <v>502</v>
      </c>
      <c r="M474" s="27" t="s">
        <v>502</v>
      </c>
      <c r="N474" s="27" t="s">
        <v>502</v>
      </c>
      <c r="O474" s="27" t="s">
        <v>480</v>
      </c>
      <c r="Q474" s="27"/>
      <c r="AG474" s="45">
        <v>174015.89</v>
      </c>
    </row>
    <row r="475" spans="2:33" outlineLevel="1" x14ac:dyDescent="0.35">
      <c r="B475" t="s">
        <v>2013</v>
      </c>
      <c r="C475" s="27" t="s">
        <v>51</v>
      </c>
      <c r="D475" s="27" t="str">
        <f t="shared" si="3"/>
        <v>[VCN]600-300-411-0004</v>
      </c>
      <c r="E475" s="27" t="s">
        <v>51</v>
      </c>
      <c r="F475" s="27" t="s">
        <v>501</v>
      </c>
      <c r="G475" s="27" t="s">
        <v>2014</v>
      </c>
      <c r="H475" s="27" t="s">
        <v>447</v>
      </c>
      <c r="I475" s="27" t="s">
        <v>440</v>
      </c>
      <c r="J475" s="27" t="s">
        <v>448</v>
      </c>
      <c r="K475" s="27" t="s">
        <v>491</v>
      </c>
      <c r="L475" s="27" t="s">
        <v>668</v>
      </c>
      <c r="M475" s="27" t="s">
        <v>668</v>
      </c>
      <c r="N475" s="27" t="s">
        <v>668</v>
      </c>
      <c r="O475" s="27" t="s">
        <v>491</v>
      </c>
      <c r="Q475" s="27"/>
      <c r="AG475" s="45">
        <v>176400</v>
      </c>
    </row>
    <row r="476" spans="2:33" outlineLevel="1" x14ac:dyDescent="0.35">
      <c r="B476" t="s">
        <v>2015</v>
      </c>
      <c r="C476" s="27" t="s">
        <v>51</v>
      </c>
      <c r="D476" s="27" t="str">
        <f t="shared" si="3"/>
        <v>[VCN]600-300-416-0002</v>
      </c>
      <c r="E476" s="27" t="s">
        <v>51</v>
      </c>
      <c r="F476" s="27" t="s">
        <v>501</v>
      </c>
      <c r="G476" s="27" t="s">
        <v>2016</v>
      </c>
      <c r="H476" s="27" t="s">
        <v>447</v>
      </c>
      <c r="I476" s="27" t="s">
        <v>440</v>
      </c>
      <c r="J476" s="27" t="s">
        <v>448</v>
      </c>
      <c r="K476" s="27" t="s">
        <v>476</v>
      </c>
      <c r="L476" s="27" t="s">
        <v>502</v>
      </c>
      <c r="M476" s="27" t="s">
        <v>502</v>
      </c>
      <c r="N476" s="27" t="s">
        <v>502</v>
      </c>
      <c r="O476" s="27" t="s">
        <v>480</v>
      </c>
      <c r="Q476" s="27"/>
      <c r="AG476" s="45">
        <v>13948.6</v>
      </c>
    </row>
    <row r="477" spans="2:33" outlineLevel="1" x14ac:dyDescent="0.35">
      <c r="B477" t="s">
        <v>2019</v>
      </c>
      <c r="C477" s="27" t="s">
        <v>51</v>
      </c>
      <c r="D477" s="27" t="str">
        <f t="shared" si="3"/>
        <v>[VCN]600-700-000-9006</v>
      </c>
      <c r="E477" s="27" t="s">
        <v>51</v>
      </c>
      <c r="F477" s="27" t="s">
        <v>556</v>
      </c>
      <c r="G477" s="27" t="s">
        <v>2020</v>
      </c>
      <c r="H477" s="27" t="s">
        <v>447</v>
      </c>
      <c r="I477" s="27" t="s">
        <v>440</v>
      </c>
      <c r="J477" s="27" t="s">
        <v>448</v>
      </c>
      <c r="K477" s="27" t="s">
        <v>557</v>
      </c>
      <c r="L477" s="27" t="s">
        <v>557</v>
      </c>
      <c r="M477" s="27" t="s">
        <v>560</v>
      </c>
      <c r="N477" s="27" t="s">
        <v>560</v>
      </c>
      <c r="O477" s="27" t="s">
        <v>557</v>
      </c>
      <c r="Q477" s="27"/>
      <c r="AG477" s="45">
        <v>391961.62</v>
      </c>
    </row>
    <row r="478" spans="2:33" outlineLevel="1" x14ac:dyDescent="0.35">
      <c r="B478" t="s">
        <v>2021</v>
      </c>
      <c r="C478" s="27" t="s">
        <v>51</v>
      </c>
      <c r="D478" s="27" t="str">
        <f t="shared" si="3"/>
        <v>[VCN]600-700-000-9008</v>
      </c>
      <c r="E478" s="27" t="s">
        <v>51</v>
      </c>
      <c r="F478" s="27" t="s">
        <v>556</v>
      </c>
      <c r="G478" s="27" t="s">
        <v>2022</v>
      </c>
      <c r="H478" s="27" t="s">
        <v>447</v>
      </c>
      <c r="I478" s="27" t="s">
        <v>440</v>
      </c>
      <c r="J478" s="27" t="s">
        <v>448</v>
      </c>
      <c r="K478" s="27" t="s">
        <v>557</v>
      </c>
      <c r="L478" s="27" t="s">
        <v>557</v>
      </c>
      <c r="M478" s="27" t="s">
        <v>560</v>
      </c>
      <c r="N478" s="27" t="s">
        <v>560</v>
      </c>
      <c r="O478" s="27" t="s">
        <v>557</v>
      </c>
      <c r="Q478" s="27"/>
      <c r="AG478" s="45">
        <v>870134.48</v>
      </c>
    </row>
    <row r="479" spans="2:33" outlineLevel="1" x14ac:dyDescent="0.35">
      <c r="B479" t="s">
        <v>2023</v>
      </c>
      <c r="C479" s="27" t="s">
        <v>51</v>
      </c>
      <c r="D479" s="27" t="str">
        <f t="shared" si="3"/>
        <v>[VCN]600-700-000-9010</v>
      </c>
      <c r="E479" s="27" t="s">
        <v>51</v>
      </c>
      <c r="F479" s="27" t="s">
        <v>556</v>
      </c>
      <c r="G479" s="27" t="s">
        <v>2024</v>
      </c>
      <c r="H479" s="27" t="s">
        <v>447</v>
      </c>
      <c r="I479" s="27" t="s">
        <v>440</v>
      </c>
      <c r="J479" s="27" t="s">
        <v>448</v>
      </c>
      <c r="K479" s="27" t="s">
        <v>557</v>
      </c>
      <c r="L479" s="27" t="s">
        <v>557</v>
      </c>
      <c r="M479" s="27" t="s">
        <v>560</v>
      </c>
      <c r="N479" s="27" t="s">
        <v>560</v>
      </c>
      <c r="O479" s="27" t="s">
        <v>557</v>
      </c>
      <c r="Q479" s="27"/>
      <c r="AG479" s="45">
        <v>569595.04</v>
      </c>
    </row>
    <row r="480" spans="2:33" outlineLevel="1" x14ac:dyDescent="0.35">
      <c r="B480" t="s">
        <v>2025</v>
      </c>
      <c r="C480" s="27" t="s">
        <v>51</v>
      </c>
      <c r="D480" s="27" t="str">
        <f t="shared" si="3"/>
        <v>[VCN]600-700-000-9012</v>
      </c>
      <c r="E480" s="27" t="s">
        <v>51</v>
      </c>
      <c r="F480" s="27" t="s">
        <v>556</v>
      </c>
      <c r="G480" s="27" t="s">
        <v>2026</v>
      </c>
      <c r="H480" s="27" t="s">
        <v>447</v>
      </c>
      <c r="I480" s="27" t="s">
        <v>440</v>
      </c>
      <c r="J480" s="27" t="s">
        <v>448</v>
      </c>
      <c r="K480" s="27" t="s">
        <v>557</v>
      </c>
      <c r="L480" s="27" t="s">
        <v>557</v>
      </c>
      <c r="M480" s="27" t="s">
        <v>560</v>
      </c>
      <c r="N480" s="27" t="s">
        <v>560</v>
      </c>
      <c r="O480" s="27" t="s">
        <v>557</v>
      </c>
      <c r="Q480" s="27"/>
      <c r="AG480" s="45">
        <v>934303.17</v>
      </c>
    </row>
    <row r="481" spans="1:41" outlineLevel="1" x14ac:dyDescent="0.35">
      <c r="B481" t="s">
        <v>2027</v>
      </c>
      <c r="C481" s="27" t="s">
        <v>51</v>
      </c>
      <c r="D481" s="27" t="str">
        <f>C481&amp;B481</f>
        <v>[VCN]700-400-000-0007</v>
      </c>
      <c r="E481" s="27" t="s">
        <v>51</v>
      </c>
      <c r="F481" s="27" t="s">
        <v>501</v>
      </c>
      <c r="G481" s="27" t="s">
        <v>2028</v>
      </c>
      <c r="H481" s="27" t="s">
        <v>447</v>
      </c>
      <c r="I481" s="27" t="s">
        <v>440</v>
      </c>
      <c r="J481" s="27" t="s">
        <v>448</v>
      </c>
      <c r="K481" s="27" t="s">
        <v>476</v>
      </c>
      <c r="L481" s="27" t="s">
        <v>502</v>
      </c>
      <c r="M481" s="27" t="s">
        <v>502</v>
      </c>
      <c r="N481" s="27" t="s">
        <v>502</v>
      </c>
      <c r="O481" s="27" t="s">
        <v>480</v>
      </c>
      <c r="Q481" s="27"/>
      <c r="AG481" s="45">
        <v>0.66</v>
      </c>
    </row>
    <row r="482" spans="1:41" outlineLevel="1" x14ac:dyDescent="0.35">
      <c r="B482" s="27" t="s">
        <v>1251</v>
      </c>
      <c r="C482" s="27" t="s">
        <v>51</v>
      </c>
      <c r="D482" s="27" t="str">
        <f t="shared" ref="D482" si="4">C482&amp;B482</f>
        <v>[VCN]600-300-200-0007</v>
      </c>
      <c r="E482" s="27" t="s">
        <v>51</v>
      </c>
      <c r="F482" s="27" t="s">
        <v>539</v>
      </c>
      <c r="G482" s="27" t="s">
        <v>1508</v>
      </c>
      <c r="H482" s="27" t="s">
        <v>447</v>
      </c>
      <c r="I482" s="27" t="s">
        <v>440</v>
      </c>
      <c r="J482" s="27" t="s">
        <v>448</v>
      </c>
      <c r="K482" s="27" t="s">
        <v>476</v>
      </c>
      <c r="L482" s="27" t="s">
        <v>582</v>
      </c>
      <c r="M482" s="27" t="s">
        <v>582</v>
      </c>
      <c r="N482" s="27" t="s">
        <v>582</v>
      </c>
      <c r="O482" s="27" t="s">
        <v>480</v>
      </c>
      <c r="Q482" s="27"/>
      <c r="R482" s="45">
        <v>307164</v>
      </c>
      <c r="S482" s="45">
        <v>614328</v>
      </c>
      <c r="T482" s="45">
        <v>1548301.0019364699</v>
      </c>
      <c r="U482" s="45">
        <v>2067687.78999994</v>
      </c>
      <c r="V482" s="45">
        <v>2587074.6117584701</v>
      </c>
      <c r="W482" s="45">
        <v>3106461.3899999601</v>
      </c>
      <c r="X482" s="45">
        <v>3809640.4336402901</v>
      </c>
      <c r="Y482" s="45">
        <v>4512819.39000005</v>
      </c>
      <c r="Z482" s="45">
        <v>5215998.3899999997</v>
      </c>
      <c r="AA482" s="45">
        <v>5919177.4845527299</v>
      </c>
      <c r="AB482" s="45">
        <v>6622356.3900000099</v>
      </c>
      <c r="AC482" s="45">
        <v>7325535.5184943601</v>
      </c>
      <c r="AD482" s="45">
        <v>587518.23333328997</v>
      </c>
      <c r="AE482" s="45">
        <v>1193866.71052181</v>
      </c>
      <c r="AF482" s="45">
        <v>1838604.7156251799</v>
      </c>
      <c r="AG482" s="45">
        <v>2483918.6387853199</v>
      </c>
    </row>
    <row r="483" spans="1:41" outlineLevel="1" x14ac:dyDescent="0.35">
      <c r="B483" s="27" t="s">
        <v>1227</v>
      </c>
      <c r="C483" s="27" t="s">
        <v>51</v>
      </c>
      <c r="D483" s="27" t="s">
        <v>1806</v>
      </c>
      <c r="E483" s="27" t="s">
        <v>51</v>
      </c>
      <c r="F483" s="27" t="s">
        <v>457</v>
      </c>
      <c r="G483" s="27" t="s">
        <v>1465</v>
      </c>
      <c r="H483" s="27" t="s">
        <v>447</v>
      </c>
      <c r="I483" s="27" t="s">
        <v>440</v>
      </c>
      <c r="J483" s="27" t="s">
        <v>448</v>
      </c>
      <c r="K483" s="27" t="s">
        <v>449</v>
      </c>
      <c r="L483" s="27" t="s">
        <v>1028</v>
      </c>
      <c r="M483" s="27" t="s">
        <v>1028</v>
      </c>
      <c r="N483" s="27" t="s">
        <v>1028</v>
      </c>
      <c r="O483" s="27" t="s">
        <v>449</v>
      </c>
      <c r="P483" s="27" t="s">
        <v>449</v>
      </c>
      <c r="Q483" s="27" t="s">
        <v>372</v>
      </c>
      <c r="R483" s="45">
        <v>-59388</v>
      </c>
      <c r="S483" s="45">
        <v>-118776</v>
      </c>
      <c r="T483" s="45">
        <v>-178164</v>
      </c>
      <c r="U483" s="45">
        <v>-237552</v>
      </c>
      <c r="V483" s="45">
        <v>-1104744.0699999998</v>
      </c>
      <c r="W483" s="45">
        <v>-1336005.07</v>
      </c>
      <c r="X483" s="45">
        <v>-1395393.07</v>
      </c>
      <c r="Y483" s="45">
        <v>-1553217.07</v>
      </c>
      <c r="Z483" s="45">
        <v>-5825700.0700000003</v>
      </c>
      <c r="AA483" s="45">
        <v>-6737396.0700000003</v>
      </c>
      <c r="AB483" s="45">
        <v>-6895220.0700000003</v>
      </c>
      <c r="AC483" s="45">
        <v>-7053044.0700000003</v>
      </c>
      <c r="AD483" s="45">
        <v>-157824</v>
      </c>
      <c r="AE483" s="45">
        <v>-315648</v>
      </c>
      <c r="AF483" s="45">
        <v>-571908</v>
      </c>
      <c r="AG483" s="45">
        <v>-631296</v>
      </c>
    </row>
    <row r="484" spans="1:41" ht="15" outlineLevel="1" x14ac:dyDescent="0.35">
      <c r="B484" t="s">
        <v>2059</v>
      </c>
      <c r="C484" s="27" t="s">
        <v>51</v>
      </c>
      <c r="D484" s="27" t="str">
        <f t="shared" ref="D484" si="5">C484&amp;B484</f>
        <v>[VCN]400-100-100-0014</v>
      </c>
      <c r="E484" s="27" t="s">
        <v>51</v>
      </c>
      <c r="F484" s="27" t="s">
        <v>445</v>
      </c>
      <c r="G484" t="s">
        <v>1468</v>
      </c>
      <c r="H484" s="27" t="s">
        <v>447</v>
      </c>
      <c r="I484" s="27" t="s">
        <v>440</v>
      </c>
      <c r="J484" s="27" t="s">
        <v>448</v>
      </c>
      <c r="K484" s="27" t="s">
        <v>449</v>
      </c>
      <c r="L484" s="27" t="s">
        <v>458</v>
      </c>
      <c r="M484" s="102" t="s">
        <v>502</v>
      </c>
      <c r="N484" s="102" t="s">
        <v>502</v>
      </c>
      <c r="O484" s="27" t="s">
        <v>449</v>
      </c>
      <c r="P484" t="s">
        <v>449</v>
      </c>
      <c r="Q484" s="27" t="s">
        <v>372</v>
      </c>
      <c r="AG484" s="45">
        <v>-352124.86</v>
      </c>
    </row>
    <row r="485" spans="1:41" ht="15" outlineLevel="1" x14ac:dyDescent="0.35">
      <c r="E485" s="27"/>
      <c r="F485" s="27"/>
      <c r="G485" s="27"/>
      <c r="H485" s="27"/>
      <c r="I485" s="27"/>
      <c r="J485" s="27"/>
      <c r="K485" s="27"/>
      <c r="L485" s="27"/>
      <c r="M485" s="102"/>
      <c r="N485" s="102"/>
      <c r="O485" s="27"/>
      <c r="Q485" s="27"/>
    </row>
    <row r="487" spans="1:41" x14ac:dyDescent="0.35">
      <c r="AC487" s="44"/>
      <c r="AD487" s="44"/>
      <c r="AE487" s="44"/>
      <c r="AF487" s="44"/>
      <c r="AG487" s="44"/>
      <c r="AH487" s="44"/>
      <c r="AI487" s="44"/>
      <c r="AJ487" s="44"/>
      <c r="AK487" s="44"/>
      <c r="AL487" s="44"/>
      <c r="AM487" s="44"/>
      <c r="AN487" s="44"/>
      <c r="AO487" s="44"/>
    </row>
    <row r="488" spans="1:41" x14ac:dyDescent="0.35">
      <c r="H488" s="27"/>
      <c r="I488" s="27"/>
      <c r="J488" s="27"/>
      <c r="K488" s="27"/>
      <c r="L488" s="27"/>
      <c r="M488" s="27"/>
      <c r="N488" s="27"/>
      <c r="O488" s="27"/>
      <c r="P488" s="27"/>
      <c r="Q488" s="27"/>
      <c r="R488" s="44"/>
    </row>
    <row r="489" spans="1:41" ht="17.5" customHeight="1" x14ac:dyDescent="0.35">
      <c r="R489" s="195">
        <f>SUBTOTAL(9,R491:R921)</f>
        <v>116999.99</v>
      </c>
      <c r="S489" s="195">
        <f t="shared" ref="S489:AG489" si="6">SUBTOTAL(9,S491:S921)</f>
        <v>70999.999999999985</v>
      </c>
      <c r="T489" s="195">
        <f t="shared" si="6"/>
        <v>29999.989999999991</v>
      </c>
      <c r="U489" s="195">
        <f t="shared" si="6"/>
        <v>96999.990000000049</v>
      </c>
      <c r="V489" s="195">
        <f t="shared" si="6"/>
        <v>20129.999999999942</v>
      </c>
      <c r="W489" s="195">
        <f t="shared" si="6"/>
        <v>131999.99</v>
      </c>
      <c r="X489" s="195">
        <f t="shared" si="6"/>
        <v>26000.000000000058</v>
      </c>
      <c r="Y489" s="195">
        <f t="shared" si="6"/>
        <v>190999.99999999994</v>
      </c>
      <c r="Z489" s="195">
        <f t="shared" si="6"/>
        <v>41298.270000000019</v>
      </c>
      <c r="AA489" s="195">
        <f t="shared" si="6"/>
        <v>110344.82000000007</v>
      </c>
      <c r="AB489" s="195">
        <f t="shared" si="6"/>
        <v>0</v>
      </c>
      <c r="AC489" s="195">
        <f t="shared" si="6"/>
        <v>262125</v>
      </c>
      <c r="AD489" s="195">
        <f>SUBTOTAL(9,AD491:AD921)</f>
        <v>90080.89</v>
      </c>
      <c r="AE489" s="195">
        <f t="shared" si="6"/>
        <v>51890.000000000015</v>
      </c>
      <c r="AF489" s="195">
        <f t="shared" si="6"/>
        <v>139531.53999999998</v>
      </c>
      <c r="AG489" s="195">
        <f t="shared" si="6"/>
        <v>834134.48</v>
      </c>
      <c r="AH489" s="44"/>
      <c r="AI489" s="44"/>
      <c r="AJ489" s="44"/>
      <c r="AK489" s="44"/>
      <c r="AL489" s="44"/>
      <c r="AM489" s="44"/>
      <c r="AN489" s="44"/>
      <c r="AO489" s="44"/>
    </row>
    <row r="490" spans="1:41" x14ac:dyDescent="0.35">
      <c r="B490" s="30" t="s">
        <v>34</v>
      </c>
      <c r="C490" s="29" t="s">
        <v>35</v>
      </c>
      <c r="D490" s="29" t="s">
        <v>36</v>
      </c>
      <c r="E490" s="29" t="s">
        <v>37</v>
      </c>
      <c r="F490" s="173" t="s">
        <v>38</v>
      </c>
      <c r="G490" s="173" t="s">
        <v>39</v>
      </c>
      <c r="H490" s="29" t="s">
        <v>40</v>
      </c>
      <c r="I490" s="29" t="s">
        <v>41</v>
      </c>
      <c r="J490" s="29" t="s">
        <v>42</v>
      </c>
      <c r="K490" s="172" t="s">
        <v>363</v>
      </c>
      <c r="L490" s="172" t="s">
        <v>804</v>
      </c>
      <c r="M490" s="172" t="s">
        <v>365</v>
      </c>
      <c r="N490" s="172" t="s">
        <v>366</v>
      </c>
      <c r="O490" s="172" t="s">
        <v>367</v>
      </c>
      <c r="P490" s="172" t="s">
        <v>805</v>
      </c>
      <c r="Q490" s="30" t="s">
        <v>368</v>
      </c>
      <c r="R490" s="28">
        <v>45658</v>
      </c>
      <c r="S490" s="28">
        <v>45689</v>
      </c>
      <c r="T490" s="28">
        <v>45717</v>
      </c>
      <c r="U490" s="28">
        <v>45748</v>
      </c>
      <c r="V490" s="28">
        <v>45778</v>
      </c>
      <c r="W490" s="28">
        <v>45809</v>
      </c>
      <c r="X490" s="28">
        <v>45839</v>
      </c>
      <c r="Y490" s="28">
        <v>45870</v>
      </c>
      <c r="Z490" s="28">
        <v>45901</v>
      </c>
      <c r="AA490" s="28">
        <v>45931</v>
      </c>
      <c r="AB490" s="28">
        <v>45962</v>
      </c>
      <c r="AC490" s="28">
        <v>45992</v>
      </c>
      <c r="AD490" s="28">
        <v>46023</v>
      </c>
      <c r="AE490" s="28">
        <v>46054</v>
      </c>
      <c r="AF490" s="28">
        <v>46082</v>
      </c>
      <c r="AG490" s="28">
        <v>46113</v>
      </c>
      <c r="AH490" s="28">
        <v>46143</v>
      </c>
      <c r="AI490" s="28">
        <v>46174</v>
      </c>
      <c r="AJ490" s="28">
        <v>46204</v>
      </c>
      <c r="AK490" s="28">
        <v>46235</v>
      </c>
      <c r="AL490" s="28">
        <v>46266</v>
      </c>
      <c r="AM490" s="28">
        <v>46296</v>
      </c>
      <c r="AN490" s="28">
        <v>46327</v>
      </c>
      <c r="AO490" s="28">
        <v>46357</v>
      </c>
    </row>
    <row r="491" spans="1:41" hidden="1" outlineLevel="1" x14ac:dyDescent="0.35">
      <c r="A491" t="b">
        <f t="shared" ref="A491:A554" si="7">B13=B491</f>
        <v>1</v>
      </c>
      <c r="B491" s="27" t="s">
        <v>1185</v>
      </c>
      <c r="C491" s="27" t="s">
        <v>51</v>
      </c>
      <c r="D491" s="27" t="s">
        <v>1764</v>
      </c>
      <c r="E491" s="27" t="s">
        <v>51</v>
      </c>
      <c r="F491" s="27" t="s">
        <v>369</v>
      </c>
      <c r="G491" s="27" t="s">
        <v>1366</v>
      </c>
      <c r="H491" s="27" t="s">
        <v>54</v>
      </c>
      <c r="I491" s="27" t="s">
        <v>55</v>
      </c>
      <c r="J491" s="27" t="s">
        <v>370</v>
      </c>
      <c r="K491" s="27" t="s">
        <v>371</v>
      </c>
      <c r="L491" s="27" t="s">
        <v>371</v>
      </c>
      <c r="M491" s="27" t="s">
        <v>371</v>
      </c>
      <c r="N491" s="27" t="s">
        <v>371</v>
      </c>
      <c r="O491" s="27" t="s">
        <v>371</v>
      </c>
      <c r="P491" s="27" t="s">
        <v>371</v>
      </c>
      <c r="Q491" s="27" t="s">
        <v>372</v>
      </c>
      <c r="R491" s="556">
        <f t="shared" ref="R491:R554" si="8">+IF(R$10="Actuals",IF($O13="Revenue",-IF($H13="BS",R13,IF($H13="P&amp;L",R13,0)),IF($H13="BS",R13,IF($H13="P&amp;L",R13,0))),0)</f>
        <v>20031.38</v>
      </c>
      <c r="S491" s="556">
        <f t="shared" ref="S491:AC491" si="9">+IF(S$10="Actuals",IF($O13="Revenue",-IF($H13="BS",S13,IF($H13="P&amp;L",S13-R13,0)),IF($H13="BS",S13,IF($H13="P&amp;L",S13-R13,0))),0)</f>
        <v>21420.23</v>
      </c>
      <c r="T491" s="556">
        <f t="shared" si="9"/>
        <v>22234.020000000019</v>
      </c>
      <c r="U491" s="556">
        <f t="shared" si="9"/>
        <v>26807.430000000051</v>
      </c>
      <c r="V491" s="556">
        <f t="shared" si="9"/>
        <v>66331.129999999888</v>
      </c>
      <c r="W491" s="556">
        <f t="shared" si="9"/>
        <v>22588.75</v>
      </c>
      <c r="X491" s="556">
        <f t="shared" si="9"/>
        <v>23381.08</v>
      </c>
      <c r="Y491" s="556">
        <f t="shared" si="9"/>
        <v>27964.86</v>
      </c>
      <c r="Z491" s="556">
        <f t="shared" si="9"/>
        <v>20825.670000000042</v>
      </c>
      <c r="AA491" s="556">
        <f t="shared" si="9"/>
        <v>23424.05</v>
      </c>
      <c r="AB491" s="556">
        <f t="shared" si="9"/>
        <v>28191.62</v>
      </c>
      <c r="AC491" s="556">
        <f t="shared" si="9"/>
        <v>22993.18</v>
      </c>
      <c r="AD491" s="556">
        <f t="shared" ref="AD491:AD554" si="10">+IF(AD$10="Actuals",IF($O13="Revenue",-IF($H13="BS",AD13,IF($H13="P&amp;L",AD13,0)),IF($H13="BS",AD13,IF($H13="P&amp;L",AD13,0))),0)</f>
        <v>22017.25</v>
      </c>
      <c r="AE491" s="556">
        <f t="shared" ref="AE491:AG510" si="11">+IF(AE$10="Actuals",IF($O13="Revenue",-IF($H13="BS",AE13,IF($H13="P&amp;L",AE13-AD13,0)),IF($H13="BS",AE13,IF($H13="P&amp;L",AE13-AD13,0))),0)</f>
        <v>22615.11</v>
      </c>
      <c r="AF491" s="556">
        <f t="shared" si="11"/>
        <v>20949.5</v>
      </c>
      <c r="AG491" s="556">
        <f t="shared" si="11"/>
        <v>25559.23</v>
      </c>
      <c r="AH491" s="556"/>
      <c r="AI491" s="556"/>
      <c r="AJ491" s="556"/>
      <c r="AK491" s="556"/>
      <c r="AL491" s="556"/>
      <c r="AM491" s="556"/>
      <c r="AN491" s="556"/>
      <c r="AO491" s="556"/>
    </row>
    <row r="492" spans="1:41" hidden="1" outlineLevel="1" x14ac:dyDescent="0.35">
      <c r="A492" t="b">
        <f t="shared" si="7"/>
        <v>1</v>
      </c>
      <c r="B492" s="27" t="s">
        <v>1186</v>
      </c>
      <c r="C492" s="27" t="s">
        <v>51</v>
      </c>
      <c r="D492" s="27" t="s">
        <v>1765</v>
      </c>
      <c r="E492" s="27" t="s">
        <v>51</v>
      </c>
      <c r="F492" s="27" t="s">
        <v>369</v>
      </c>
      <c r="G492" s="27" t="s">
        <v>1367</v>
      </c>
      <c r="H492" s="27" t="s">
        <v>54</v>
      </c>
      <c r="I492" s="27" t="s">
        <v>55</v>
      </c>
      <c r="J492" s="27" t="s">
        <v>370</v>
      </c>
      <c r="K492" s="27" t="s">
        <v>371</v>
      </c>
      <c r="L492" s="27" t="s">
        <v>371</v>
      </c>
      <c r="M492" s="27" t="s">
        <v>371</v>
      </c>
      <c r="N492" s="27" t="s">
        <v>371</v>
      </c>
      <c r="O492" s="27" t="s">
        <v>371</v>
      </c>
      <c r="P492" s="27" t="s">
        <v>371</v>
      </c>
      <c r="Q492" s="27" t="s">
        <v>372</v>
      </c>
      <c r="R492" s="556">
        <f t="shared" si="8"/>
        <v>526087.72</v>
      </c>
      <c r="S492" s="556">
        <f t="shared" ref="S492:S555" si="12">+IF(S$10="Actuals",IF($O14="Revenue",-IF($H14="BS",S14,IF($H14="P&amp;L",S14-R14,0)),IF($H14="BS",S14,IF($H14="P&amp;L",S14-R14,0))),0)</f>
        <v>293884.71000000002</v>
      </c>
      <c r="T492" s="556">
        <f t="shared" ref="T492:T555" si="13">+IF(T$10="Actuals",IF($O14="Revenue",-IF($H14="BS",T14,IF($H14="P&amp;L",T14-S14,0)),IF($H14="BS",T14,IF($H14="P&amp;L",T14-S14,0))),0)</f>
        <v>508032.10000000149</v>
      </c>
      <c r="U492" s="556">
        <f t="shared" ref="U492:U555" si="14">+IF(U$10="Actuals",IF($O14="Revenue",-IF($H14="BS",U14,IF($H14="P&amp;L",U14-T14,0)),IF($H14="BS",U14,IF($H14="P&amp;L",U14-T14,0))),0)</f>
        <v>34605.570000004023</v>
      </c>
      <c r="V492" s="556">
        <f t="shared" ref="V492:V555" si="15">+IF(V$10="Actuals",IF($O14="Revenue",-IF($H14="BS",V14,IF($H14="P&amp;L",V14-U14,0)),IF($H14="BS",V14,IF($H14="P&amp;L",V14-U14,0))),0)</f>
        <v>59376.679999999702</v>
      </c>
      <c r="W492" s="556">
        <f t="shared" ref="W492:W555" si="16">+IF(W$10="Actuals",IF($O14="Revenue",-IF($H14="BS",W14,IF($H14="P&amp;L",W14-V14,0)),IF($H14="BS",W14,IF($H14="P&amp;L",W14-V14,0))),0)</f>
        <v>41538.440000012517</v>
      </c>
      <c r="X492" s="556">
        <f t="shared" ref="X492:X555" si="17">+IF(X$10="Actuals",IF($O14="Revenue",-IF($H14="BS",X14,IF($H14="P&amp;L",X14-W14,0)),IF($H14="BS",X14,IF($H14="P&amp;L",X14-W14,0))),0)</f>
        <v>12757941.17</v>
      </c>
      <c r="Y492" s="556">
        <f t="shared" ref="Y492:Y555" si="18">+IF(Y$10="Actuals",IF($O14="Revenue",-IF($H14="BS",Y14,IF($H14="P&amp;L",Y14-X14,0)),IF($H14="BS",Y14,IF($H14="P&amp;L",Y14-X14,0))),0)</f>
        <v>228982.2</v>
      </c>
      <c r="Z492" s="556">
        <f t="shared" ref="Z492:Z555" si="19">+IF(Z$10="Actuals",IF($O14="Revenue",-IF($H14="BS",Z14,IF($H14="P&amp;L",Z14-Y14,0)),IF($H14="BS",Z14,IF($H14="P&amp;L",Z14-Y14,0))),0)</f>
        <v>2564835.9100000113</v>
      </c>
      <c r="AA492" s="556">
        <f t="shared" ref="AA492:AA555" si="20">+IF(AA$10="Actuals",IF($O14="Revenue",-IF($H14="BS",AA14,IF($H14="P&amp;L",AA14-Z14,0)),IF($H14="BS",AA14,IF($H14="P&amp;L",AA14-Z14,0))),0)</f>
        <v>439539.16</v>
      </c>
      <c r="AB492" s="556">
        <f t="shared" ref="AB492:AB555" si="21">+IF(AB$10="Actuals",IF($O14="Revenue",-IF($H14="BS",AB14,IF($H14="P&amp;L",AB14-AA14,0)),IF($H14="BS",AB14,IF($H14="P&amp;L",AB14-AA14,0))),0)</f>
        <v>37090.51</v>
      </c>
      <c r="AC492" s="556">
        <f t="shared" ref="AC492:AC555" si="22">+IF(AC$10="Actuals",IF($O14="Revenue",-IF($H14="BS",AC14,IF($H14="P&amp;L",AC14-AB14,0)),IF($H14="BS",AC14,IF($H14="P&amp;L",AC14-AB14,0))),0)</f>
        <v>14635514.689999999</v>
      </c>
      <c r="AD492" s="556">
        <f t="shared" si="10"/>
        <v>597273.38</v>
      </c>
      <c r="AE492" s="556">
        <f t="shared" si="11"/>
        <v>461002.64</v>
      </c>
      <c r="AF492" s="556">
        <f t="shared" si="11"/>
        <v>1468592.53</v>
      </c>
      <c r="AG492" s="556">
        <f t="shared" si="11"/>
        <v>8637.42</v>
      </c>
      <c r="AH492" s="556"/>
      <c r="AI492" s="556"/>
      <c r="AJ492" s="556"/>
      <c r="AK492" s="556"/>
      <c r="AL492" s="556"/>
      <c r="AM492" s="556"/>
      <c r="AN492" s="556"/>
      <c r="AO492" s="556"/>
    </row>
    <row r="493" spans="1:41" hidden="1" outlineLevel="1" x14ac:dyDescent="0.35">
      <c r="A493" t="b">
        <f t="shared" si="7"/>
        <v>1</v>
      </c>
      <c r="B493" s="27" t="s">
        <v>373</v>
      </c>
      <c r="C493" s="27" t="s">
        <v>51</v>
      </c>
      <c r="D493" s="27" t="s">
        <v>1368</v>
      </c>
      <c r="E493" s="27" t="s">
        <v>51</v>
      </c>
      <c r="F493" s="27" t="s">
        <v>369</v>
      </c>
      <c r="G493" s="27" t="s">
        <v>374</v>
      </c>
      <c r="H493" s="27" t="s">
        <v>54</v>
      </c>
      <c r="I493" s="27" t="s">
        <v>55</v>
      </c>
      <c r="J493" s="27" t="s">
        <v>370</v>
      </c>
      <c r="K493" s="27" t="s">
        <v>371</v>
      </c>
      <c r="L493" s="27" t="s">
        <v>371</v>
      </c>
      <c r="M493" s="27" t="s">
        <v>371</v>
      </c>
      <c r="N493" s="27" t="s">
        <v>371</v>
      </c>
      <c r="O493" s="27" t="s">
        <v>371</v>
      </c>
      <c r="P493" s="27" t="s">
        <v>371</v>
      </c>
      <c r="Q493" s="27" t="s">
        <v>372</v>
      </c>
      <c r="R493" s="556">
        <f t="shared" si="8"/>
        <v>0</v>
      </c>
      <c r="S493" s="556">
        <f t="shared" si="12"/>
        <v>0</v>
      </c>
      <c r="T493" s="556">
        <f t="shared" si="13"/>
        <v>0</v>
      </c>
      <c r="U493" s="556">
        <f t="shared" si="14"/>
        <v>0</v>
      </c>
      <c r="V493" s="556">
        <f t="shared" si="15"/>
        <v>0</v>
      </c>
      <c r="W493" s="556">
        <f t="shared" si="16"/>
        <v>0</v>
      </c>
      <c r="X493" s="556">
        <f t="shared" si="17"/>
        <v>0</v>
      </c>
      <c r="Y493" s="556">
        <f t="shared" si="18"/>
        <v>0</v>
      </c>
      <c r="Z493" s="556">
        <f t="shared" si="19"/>
        <v>0</v>
      </c>
      <c r="AA493" s="556">
        <f t="shared" si="20"/>
        <v>0</v>
      </c>
      <c r="AB493" s="556">
        <f t="shared" si="21"/>
        <v>0</v>
      </c>
      <c r="AC493" s="556">
        <f t="shared" si="22"/>
        <v>0</v>
      </c>
      <c r="AD493" s="556">
        <f t="shared" si="10"/>
        <v>0</v>
      </c>
      <c r="AE493" s="556">
        <f t="shared" si="11"/>
        <v>0</v>
      </c>
      <c r="AF493" s="556">
        <f t="shared" si="11"/>
        <v>0</v>
      </c>
      <c r="AG493" s="556">
        <f t="shared" si="11"/>
        <v>0</v>
      </c>
    </row>
    <row r="494" spans="1:41" hidden="1" outlineLevel="1" x14ac:dyDescent="0.35">
      <c r="A494" t="b">
        <f t="shared" si="7"/>
        <v>1</v>
      </c>
      <c r="B494" s="27" t="s">
        <v>375</v>
      </c>
      <c r="C494" s="27" t="s">
        <v>51</v>
      </c>
      <c r="D494" s="27" t="s">
        <v>1369</v>
      </c>
      <c r="E494" s="27" t="s">
        <v>51</v>
      </c>
      <c r="F494" s="27" t="s">
        <v>369</v>
      </c>
      <c r="G494" s="27" t="s">
        <v>376</v>
      </c>
      <c r="H494" s="27" t="s">
        <v>54</v>
      </c>
      <c r="I494" s="27" t="s">
        <v>55</v>
      </c>
      <c r="J494" s="27" t="s">
        <v>370</v>
      </c>
      <c r="K494" s="27" t="s">
        <v>371</v>
      </c>
      <c r="L494" s="27" t="s">
        <v>371</v>
      </c>
      <c r="M494" s="27" t="s">
        <v>371</v>
      </c>
      <c r="N494" s="27" t="s">
        <v>371</v>
      </c>
      <c r="O494" s="27" t="s">
        <v>371</v>
      </c>
      <c r="P494" s="27" t="s">
        <v>371</v>
      </c>
      <c r="Q494" s="27" t="s">
        <v>372</v>
      </c>
      <c r="R494" s="556">
        <f t="shared" si="8"/>
        <v>1300000.04</v>
      </c>
      <c r="S494" s="556">
        <f t="shared" si="12"/>
        <v>0.04</v>
      </c>
      <c r="T494" s="556">
        <f t="shared" si="13"/>
        <v>1201013.8400000003</v>
      </c>
      <c r="U494" s="556">
        <f t="shared" si="14"/>
        <v>100023.23999999929</v>
      </c>
      <c r="V494" s="556">
        <f t="shared" si="15"/>
        <v>270079.01000000013</v>
      </c>
      <c r="W494" s="556">
        <f t="shared" si="16"/>
        <v>250207.34000000032</v>
      </c>
      <c r="X494" s="556">
        <f t="shared" si="17"/>
        <v>0</v>
      </c>
      <c r="Y494" s="556">
        <f t="shared" si="18"/>
        <v>0</v>
      </c>
      <c r="Z494" s="556">
        <f t="shared" si="19"/>
        <v>0</v>
      </c>
      <c r="AA494" s="556">
        <f t="shared" si="20"/>
        <v>0</v>
      </c>
      <c r="AB494" s="556">
        <f t="shared" si="21"/>
        <v>0</v>
      </c>
      <c r="AC494" s="556">
        <f t="shared" si="22"/>
        <v>0</v>
      </c>
      <c r="AD494" s="556">
        <f t="shared" si="10"/>
        <v>0</v>
      </c>
      <c r="AE494" s="556">
        <f t="shared" si="11"/>
        <v>0</v>
      </c>
      <c r="AF494" s="556">
        <f t="shared" si="11"/>
        <v>0</v>
      </c>
      <c r="AG494" s="556">
        <f t="shared" si="11"/>
        <v>0</v>
      </c>
    </row>
    <row r="495" spans="1:41" hidden="1" outlineLevel="1" x14ac:dyDescent="0.35">
      <c r="A495" t="b">
        <f t="shared" si="7"/>
        <v>1</v>
      </c>
      <c r="B495" s="27" t="s">
        <v>48</v>
      </c>
      <c r="C495" s="27" t="s">
        <v>51</v>
      </c>
      <c r="D495" s="27" t="s">
        <v>1370</v>
      </c>
      <c r="E495" s="27" t="s">
        <v>51</v>
      </c>
      <c r="F495" s="27" t="s">
        <v>377</v>
      </c>
      <c r="G495" s="27" t="s">
        <v>53</v>
      </c>
      <c r="H495" s="27" t="s">
        <v>54</v>
      </c>
      <c r="I495" s="27" t="s">
        <v>55</v>
      </c>
      <c r="J495" s="27" t="s">
        <v>56</v>
      </c>
      <c r="K495" s="27" t="s">
        <v>371</v>
      </c>
      <c r="L495" s="27" t="s">
        <v>371</v>
      </c>
      <c r="M495" s="27" t="s">
        <v>371</v>
      </c>
      <c r="N495" s="27" t="s">
        <v>371</v>
      </c>
      <c r="O495" s="27" t="s">
        <v>371</v>
      </c>
      <c r="P495" s="27" t="s">
        <v>371</v>
      </c>
      <c r="Q495" s="27" t="s">
        <v>372</v>
      </c>
      <c r="R495" s="556">
        <f t="shared" si="8"/>
        <v>1541.37</v>
      </c>
      <c r="S495" s="556">
        <f t="shared" si="12"/>
        <v>-66111.16</v>
      </c>
      <c r="T495" s="556">
        <f t="shared" si="13"/>
        <v>-1132238.6100000003</v>
      </c>
      <c r="U495" s="556">
        <f t="shared" si="14"/>
        <v>0</v>
      </c>
      <c r="V495" s="556">
        <f t="shared" si="15"/>
        <v>0</v>
      </c>
      <c r="W495" s="556">
        <f t="shared" si="16"/>
        <v>0</v>
      </c>
      <c r="X495" s="556">
        <f t="shared" si="17"/>
        <v>0</v>
      </c>
      <c r="Y495" s="556">
        <f t="shared" si="18"/>
        <v>0</v>
      </c>
      <c r="Z495" s="556">
        <f t="shared" si="19"/>
        <v>0</v>
      </c>
      <c r="AA495" s="556">
        <f t="shared" si="20"/>
        <v>0</v>
      </c>
      <c r="AB495" s="556">
        <f t="shared" si="21"/>
        <v>0</v>
      </c>
      <c r="AC495" s="556">
        <f t="shared" si="22"/>
        <v>0</v>
      </c>
      <c r="AD495" s="556">
        <f t="shared" si="10"/>
        <v>0</v>
      </c>
      <c r="AE495" s="556">
        <f t="shared" si="11"/>
        <v>0</v>
      </c>
      <c r="AF495" s="556">
        <f t="shared" si="11"/>
        <v>0</v>
      </c>
      <c r="AG495" s="556">
        <f t="shared" si="11"/>
        <v>0</v>
      </c>
    </row>
    <row r="496" spans="1:41" hidden="1" outlineLevel="1" x14ac:dyDescent="0.35">
      <c r="A496" t="b">
        <f t="shared" si="7"/>
        <v>1</v>
      </c>
      <c r="B496" s="27" t="s">
        <v>1187</v>
      </c>
      <c r="C496" s="27" t="s">
        <v>51</v>
      </c>
      <c r="D496" s="27" t="s">
        <v>1766</v>
      </c>
      <c r="E496" s="27" t="s">
        <v>51</v>
      </c>
      <c r="F496" s="27" t="s">
        <v>377</v>
      </c>
      <c r="G496" s="27" t="s">
        <v>1371</v>
      </c>
      <c r="H496" s="27" t="s">
        <v>54</v>
      </c>
      <c r="I496" s="27" t="s">
        <v>55</v>
      </c>
      <c r="J496" s="27" t="s">
        <v>56</v>
      </c>
      <c r="K496" s="27" t="s">
        <v>371</v>
      </c>
      <c r="L496" s="27" t="s">
        <v>371</v>
      </c>
      <c r="M496" s="27" t="s">
        <v>371</v>
      </c>
      <c r="N496" s="27" t="s">
        <v>371</v>
      </c>
      <c r="O496" s="27" t="s">
        <v>371</v>
      </c>
      <c r="P496" s="27" t="s">
        <v>371</v>
      </c>
      <c r="Q496" s="27" t="s">
        <v>372</v>
      </c>
      <c r="R496" s="556">
        <f t="shared" si="8"/>
        <v>5623755.79</v>
      </c>
      <c r="S496" s="556">
        <f t="shared" si="12"/>
        <v>5625363.0599999996</v>
      </c>
      <c r="T496" s="556">
        <f t="shared" si="13"/>
        <v>5623755.79</v>
      </c>
      <c r="U496" s="556">
        <f t="shared" si="14"/>
        <v>5794985.8000000007</v>
      </c>
      <c r="V496" s="556">
        <f t="shared" si="15"/>
        <v>7100654.5100000007</v>
      </c>
      <c r="W496" s="556">
        <f t="shared" si="16"/>
        <v>6244661.620000001</v>
      </c>
      <c r="X496" s="556">
        <f t="shared" si="17"/>
        <v>6426751.8500000006</v>
      </c>
      <c r="Y496" s="556">
        <f t="shared" si="18"/>
        <v>6106871.4300000006</v>
      </c>
      <c r="Z496" s="556">
        <f t="shared" si="19"/>
        <v>2292333.2299999995</v>
      </c>
      <c r="AA496" s="556">
        <f t="shared" si="20"/>
        <v>3139705.1799999997</v>
      </c>
      <c r="AB496" s="556">
        <f t="shared" si="21"/>
        <v>2099648.0200000005</v>
      </c>
      <c r="AC496" s="556">
        <f t="shared" si="22"/>
        <v>2459412.9700000002</v>
      </c>
      <c r="AD496" s="556">
        <f t="shared" si="10"/>
        <v>2608893.2199999993</v>
      </c>
      <c r="AE496" s="556">
        <f t="shared" si="11"/>
        <v>5717142.459999999</v>
      </c>
      <c r="AF496" s="556">
        <f t="shared" si="11"/>
        <v>5916840.8100000005</v>
      </c>
      <c r="AG496" s="556">
        <f t="shared" si="11"/>
        <v>3586543.16</v>
      </c>
    </row>
    <row r="497" spans="1:33" hidden="1" outlineLevel="1" x14ac:dyDescent="0.35">
      <c r="A497" t="b">
        <f t="shared" si="7"/>
        <v>1</v>
      </c>
      <c r="B497" s="27" t="s">
        <v>64</v>
      </c>
      <c r="C497" s="27" t="s">
        <v>51</v>
      </c>
      <c r="D497" s="27" t="s">
        <v>1372</v>
      </c>
      <c r="E497" s="27" t="s">
        <v>51</v>
      </c>
      <c r="F497" s="27" t="s">
        <v>377</v>
      </c>
      <c r="G497" s="27" t="s">
        <v>66</v>
      </c>
      <c r="H497" s="27" t="s">
        <v>54</v>
      </c>
      <c r="I497" s="27" t="s">
        <v>55</v>
      </c>
      <c r="J497" s="27" t="s">
        <v>56</v>
      </c>
      <c r="K497" s="27" t="s">
        <v>371</v>
      </c>
      <c r="L497" s="27" t="s">
        <v>371</v>
      </c>
      <c r="M497" s="27" t="s">
        <v>371</v>
      </c>
      <c r="N497" s="27" t="s">
        <v>371</v>
      </c>
      <c r="O497" s="27" t="s">
        <v>371</v>
      </c>
      <c r="P497" s="27" t="s">
        <v>371</v>
      </c>
      <c r="Q497" s="27" t="s">
        <v>372</v>
      </c>
      <c r="R497" s="556">
        <f t="shared" si="8"/>
        <v>0</v>
      </c>
      <c r="S497" s="556">
        <f t="shared" si="12"/>
        <v>0</v>
      </c>
      <c r="T497" s="556">
        <f t="shared" si="13"/>
        <v>0</v>
      </c>
      <c r="U497" s="556">
        <f t="shared" si="14"/>
        <v>0</v>
      </c>
      <c r="V497" s="556">
        <f t="shared" si="15"/>
        <v>0</v>
      </c>
      <c r="W497" s="556">
        <f t="shared" si="16"/>
        <v>0</v>
      </c>
      <c r="X497" s="556">
        <f t="shared" si="17"/>
        <v>0</v>
      </c>
      <c r="Y497" s="556">
        <f t="shared" si="18"/>
        <v>0</v>
      </c>
      <c r="Z497" s="556">
        <f t="shared" si="19"/>
        <v>0</v>
      </c>
      <c r="AA497" s="556">
        <f t="shared" si="20"/>
        <v>0</v>
      </c>
      <c r="AB497" s="556">
        <f t="shared" si="21"/>
        <v>0</v>
      </c>
      <c r="AC497" s="556">
        <f t="shared" si="22"/>
        <v>0</v>
      </c>
      <c r="AD497" s="556">
        <f t="shared" si="10"/>
        <v>0</v>
      </c>
      <c r="AE497" s="556">
        <f t="shared" si="11"/>
        <v>0</v>
      </c>
      <c r="AF497" s="556">
        <f t="shared" si="11"/>
        <v>0</v>
      </c>
      <c r="AG497" s="556">
        <f t="shared" si="11"/>
        <v>0</v>
      </c>
    </row>
    <row r="498" spans="1:33" hidden="1" outlineLevel="1" x14ac:dyDescent="0.35">
      <c r="A498" t="b">
        <f t="shared" si="7"/>
        <v>1</v>
      </c>
      <c r="B498" s="27" t="s">
        <v>67</v>
      </c>
      <c r="C498" s="27" t="s">
        <v>51</v>
      </c>
      <c r="D498" s="27" t="s">
        <v>1373</v>
      </c>
      <c r="E498" s="27" t="s">
        <v>51</v>
      </c>
      <c r="F498" s="27" t="s">
        <v>377</v>
      </c>
      <c r="G498" s="27" t="s">
        <v>69</v>
      </c>
      <c r="H498" s="27" t="s">
        <v>54</v>
      </c>
      <c r="I498" s="27" t="s">
        <v>55</v>
      </c>
      <c r="J498" s="27" t="s">
        <v>56</v>
      </c>
      <c r="K498" s="27" t="s">
        <v>371</v>
      </c>
      <c r="L498" s="27" t="s">
        <v>371</v>
      </c>
      <c r="M498" s="27" t="s">
        <v>371</v>
      </c>
      <c r="N498" s="27" t="s">
        <v>371</v>
      </c>
      <c r="O498" s="27" t="s">
        <v>371</v>
      </c>
      <c r="P498" s="27" t="s">
        <v>371</v>
      </c>
      <c r="Q498" s="27" t="s">
        <v>372</v>
      </c>
      <c r="R498" s="556">
        <f t="shared" si="8"/>
        <v>0</v>
      </c>
      <c r="S498" s="556">
        <f t="shared" si="12"/>
        <v>0</v>
      </c>
      <c r="T498" s="556">
        <f t="shared" si="13"/>
        <v>0</v>
      </c>
      <c r="U498" s="556">
        <f t="shared" si="14"/>
        <v>0</v>
      </c>
      <c r="V498" s="556">
        <f t="shared" si="15"/>
        <v>0</v>
      </c>
      <c r="W498" s="556">
        <f t="shared" si="16"/>
        <v>0</v>
      </c>
      <c r="X498" s="556">
        <f t="shared" si="17"/>
        <v>0</v>
      </c>
      <c r="Y498" s="556">
        <f t="shared" si="18"/>
        <v>0</v>
      </c>
      <c r="Z498" s="556">
        <f t="shared" si="19"/>
        <v>0</v>
      </c>
      <c r="AA498" s="556">
        <f t="shared" si="20"/>
        <v>0</v>
      </c>
      <c r="AB498" s="556">
        <f t="shared" si="21"/>
        <v>0</v>
      </c>
      <c r="AC498" s="556">
        <f t="shared" si="22"/>
        <v>0</v>
      </c>
      <c r="AD498" s="556">
        <f t="shared" si="10"/>
        <v>0</v>
      </c>
      <c r="AE498" s="556">
        <f t="shared" si="11"/>
        <v>0</v>
      </c>
      <c r="AF498" s="556">
        <f t="shared" si="11"/>
        <v>0</v>
      </c>
      <c r="AG498" s="556">
        <f t="shared" si="11"/>
        <v>0</v>
      </c>
    </row>
    <row r="499" spans="1:33" hidden="1" outlineLevel="1" x14ac:dyDescent="0.35">
      <c r="A499" t="b">
        <f t="shared" si="7"/>
        <v>1</v>
      </c>
      <c r="B499" s="27" t="s">
        <v>70</v>
      </c>
      <c r="C499" s="27" t="s">
        <v>51</v>
      </c>
      <c r="D499" s="27" t="s">
        <v>1374</v>
      </c>
      <c r="E499" s="27" t="s">
        <v>51</v>
      </c>
      <c r="F499" s="27" t="s">
        <v>377</v>
      </c>
      <c r="G499" s="27" t="s">
        <v>72</v>
      </c>
      <c r="H499" s="27" t="s">
        <v>54</v>
      </c>
      <c r="I499" s="27" t="s">
        <v>55</v>
      </c>
      <c r="J499" s="27" t="s">
        <v>56</v>
      </c>
      <c r="K499" s="27" t="s">
        <v>371</v>
      </c>
      <c r="L499" s="27" t="s">
        <v>371</v>
      </c>
      <c r="M499" s="27" t="s">
        <v>371</v>
      </c>
      <c r="N499" s="27" t="s">
        <v>371</v>
      </c>
      <c r="O499" s="27" t="s">
        <v>371</v>
      </c>
      <c r="P499" s="27" t="s">
        <v>371</v>
      </c>
      <c r="Q499" s="27" t="s">
        <v>372</v>
      </c>
      <c r="R499" s="556">
        <f t="shared" si="8"/>
        <v>0</v>
      </c>
      <c r="S499" s="556">
        <f t="shared" si="12"/>
        <v>0</v>
      </c>
      <c r="T499" s="556">
        <f t="shared" si="13"/>
        <v>0</v>
      </c>
      <c r="U499" s="556">
        <f t="shared" si="14"/>
        <v>0</v>
      </c>
      <c r="V499" s="556">
        <f t="shared" si="15"/>
        <v>0</v>
      </c>
      <c r="W499" s="556">
        <f t="shared" si="16"/>
        <v>0</v>
      </c>
      <c r="X499" s="556">
        <f t="shared" si="17"/>
        <v>0</v>
      </c>
      <c r="Y499" s="556">
        <f t="shared" si="18"/>
        <v>0</v>
      </c>
      <c r="Z499" s="556">
        <f t="shared" si="19"/>
        <v>0</v>
      </c>
      <c r="AA499" s="556">
        <f t="shared" si="20"/>
        <v>0</v>
      </c>
      <c r="AB499" s="556">
        <f t="shared" si="21"/>
        <v>0</v>
      </c>
      <c r="AC499" s="556">
        <f t="shared" si="22"/>
        <v>0</v>
      </c>
      <c r="AD499" s="556">
        <f t="shared" si="10"/>
        <v>0</v>
      </c>
      <c r="AE499" s="556">
        <f t="shared" si="11"/>
        <v>0</v>
      </c>
      <c r="AF499" s="556">
        <f t="shared" si="11"/>
        <v>0</v>
      </c>
      <c r="AG499" s="556">
        <f t="shared" si="11"/>
        <v>0</v>
      </c>
    </row>
    <row r="500" spans="1:33" hidden="1" outlineLevel="1" x14ac:dyDescent="0.35">
      <c r="A500" t="b">
        <f t="shared" si="7"/>
        <v>1</v>
      </c>
      <c r="B500" s="27" t="s">
        <v>73</v>
      </c>
      <c r="C500" s="27" t="s">
        <v>51</v>
      </c>
      <c r="D500" s="27" t="s">
        <v>1375</v>
      </c>
      <c r="E500" s="27" t="s">
        <v>51</v>
      </c>
      <c r="F500" s="27" t="s">
        <v>377</v>
      </c>
      <c r="G500" s="27" t="s">
        <v>75</v>
      </c>
      <c r="H500" s="27" t="s">
        <v>54</v>
      </c>
      <c r="I500" s="27" t="s">
        <v>55</v>
      </c>
      <c r="J500" s="27" t="s">
        <v>56</v>
      </c>
      <c r="K500" s="27" t="s">
        <v>371</v>
      </c>
      <c r="L500" s="27" t="s">
        <v>371</v>
      </c>
      <c r="M500" s="27" t="s">
        <v>371</v>
      </c>
      <c r="N500" s="27" t="s">
        <v>371</v>
      </c>
      <c r="O500" s="27" t="s">
        <v>371</v>
      </c>
      <c r="P500" s="27" t="s">
        <v>371</v>
      </c>
      <c r="Q500" s="27" t="s">
        <v>372</v>
      </c>
      <c r="R500" s="556">
        <f t="shared" si="8"/>
        <v>0</v>
      </c>
      <c r="S500" s="556">
        <f t="shared" si="12"/>
        <v>0</v>
      </c>
      <c r="T500" s="556">
        <f t="shared" si="13"/>
        <v>0</v>
      </c>
      <c r="U500" s="556">
        <f t="shared" si="14"/>
        <v>0</v>
      </c>
      <c r="V500" s="556">
        <f t="shared" si="15"/>
        <v>0</v>
      </c>
      <c r="W500" s="556">
        <f t="shared" si="16"/>
        <v>0</v>
      </c>
      <c r="X500" s="556">
        <f t="shared" si="17"/>
        <v>0</v>
      </c>
      <c r="Y500" s="556">
        <f t="shared" si="18"/>
        <v>0</v>
      </c>
      <c r="Z500" s="556">
        <f t="shared" si="19"/>
        <v>0</v>
      </c>
      <c r="AA500" s="556">
        <f t="shared" si="20"/>
        <v>0</v>
      </c>
      <c r="AB500" s="556">
        <f t="shared" si="21"/>
        <v>0</v>
      </c>
      <c r="AC500" s="556">
        <f t="shared" si="22"/>
        <v>0</v>
      </c>
      <c r="AD500" s="556">
        <f t="shared" si="10"/>
        <v>0</v>
      </c>
      <c r="AE500" s="556">
        <f t="shared" si="11"/>
        <v>0</v>
      </c>
      <c r="AF500" s="556">
        <f t="shared" si="11"/>
        <v>0</v>
      </c>
      <c r="AG500" s="556">
        <f t="shared" si="11"/>
        <v>0</v>
      </c>
    </row>
    <row r="501" spans="1:33" hidden="1" outlineLevel="1" x14ac:dyDescent="0.35">
      <c r="A501" t="b">
        <f t="shared" si="7"/>
        <v>1</v>
      </c>
      <c r="B501" s="27" t="s">
        <v>76</v>
      </c>
      <c r="C501" s="27" t="s">
        <v>51</v>
      </c>
      <c r="D501" s="27" t="s">
        <v>1376</v>
      </c>
      <c r="E501" s="27" t="s">
        <v>51</v>
      </c>
      <c r="F501" s="27" t="s">
        <v>377</v>
      </c>
      <c r="G501" s="27" t="s">
        <v>78</v>
      </c>
      <c r="H501" s="27" t="s">
        <v>54</v>
      </c>
      <c r="I501" s="27" t="s">
        <v>55</v>
      </c>
      <c r="J501" s="27" t="s">
        <v>56</v>
      </c>
      <c r="K501" s="27" t="s">
        <v>371</v>
      </c>
      <c r="L501" s="27" t="s">
        <v>371</v>
      </c>
      <c r="M501" s="27" t="s">
        <v>371</v>
      </c>
      <c r="N501" s="27" t="s">
        <v>371</v>
      </c>
      <c r="O501" s="27" t="s">
        <v>371</v>
      </c>
      <c r="P501" s="27" t="s">
        <v>371</v>
      </c>
      <c r="Q501" s="27" t="s">
        <v>372</v>
      </c>
      <c r="R501" s="556">
        <f t="shared" si="8"/>
        <v>0</v>
      </c>
      <c r="S501" s="556">
        <f t="shared" si="12"/>
        <v>0</v>
      </c>
      <c r="T501" s="556">
        <f t="shared" si="13"/>
        <v>0</v>
      </c>
      <c r="U501" s="556">
        <f t="shared" si="14"/>
        <v>0</v>
      </c>
      <c r="V501" s="556">
        <f t="shared" si="15"/>
        <v>0</v>
      </c>
      <c r="W501" s="556">
        <f t="shared" si="16"/>
        <v>0</v>
      </c>
      <c r="X501" s="556">
        <f t="shared" si="17"/>
        <v>0</v>
      </c>
      <c r="Y501" s="556">
        <f t="shared" si="18"/>
        <v>0</v>
      </c>
      <c r="Z501" s="556">
        <f t="shared" si="19"/>
        <v>0</v>
      </c>
      <c r="AA501" s="556">
        <f t="shared" si="20"/>
        <v>0</v>
      </c>
      <c r="AB501" s="556">
        <f t="shared" si="21"/>
        <v>0</v>
      </c>
      <c r="AC501" s="556">
        <f t="shared" si="22"/>
        <v>0</v>
      </c>
      <c r="AD501" s="556">
        <f t="shared" si="10"/>
        <v>0</v>
      </c>
      <c r="AE501" s="556">
        <f t="shared" si="11"/>
        <v>0</v>
      </c>
      <c r="AF501" s="556">
        <f t="shared" si="11"/>
        <v>0</v>
      </c>
      <c r="AG501" s="556">
        <f t="shared" si="11"/>
        <v>0</v>
      </c>
    </row>
    <row r="502" spans="1:33" hidden="1" outlineLevel="1" x14ac:dyDescent="0.35">
      <c r="A502" t="b">
        <f t="shared" si="7"/>
        <v>1</v>
      </c>
      <c r="B502" s="27" t="s">
        <v>82</v>
      </c>
      <c r="C502" s="27" t="s">
        <v>51</v>
      </c>
      <c r="D502" s="27" t="s">
        <v>1377</v>
      </c>
      <c r="E502" s="27" t="s">
        <v>51</v>
      </c>
      <c r="F502" s="27" t="s">
        <v>377</v>
      </c>
      <c r="G502" s="27" t="s">
        <v>84</v>
      </c>
      <c r="H502" s="27" t="s">
        <v>54</v>
      </c>
      <c r="I502" s="27" t="s">
        <v>55</v>
      </c>
      <c r="J502" s="27" t="s">
        <v>56</v>
      </c>
      <c r="K502" s="27" t="s">
        <v>371</v>
      </c>
      <c r="L502" s="27" t="s">
        <v>371</v>
      </c>
      <c r="M502" s="27" t="s">
        <v>371</v>
      </c>
      <c r="N502" s="27" t="s">
        <v>371</v>
      </c>
      <c r="O502" s="27" t="s">
        <v>371</v>
      </c>
      <c r="P502" s="27" t="s">
        <v>371</v>
      </c>
      <c r="Q502" s="27" t="s">
        <v>372</v>
      </c>
      <c r="R502" s="556">
        <f t="shared" si="8"/>
        <v>692427.19</v>
      </c>
      <c r="S502" s="556">
        <f t="shared" si="12"/>
        <v>692427.19</v>
      </c>
      <c r="T502" s="556">
        <f t="shared" si="13"/>
        <v>692427.19</v>
      </c>
      <c r="U502" s="556">
        <f t="shared" si="14"/>
        <v>692427.19</v>
      </c>
      <c r="V502" s="556">
        <f t="shared" si="15"/>
        <v>-0.01</v>
      </c>
      <c r="W502" s="556">
        <f t="shared" si="16"/>
        <v>0</v>
      </c>
      <c r="X502" s="556">
        <f t="shared" si="17"/>
        <v>0</v>
      </c>
      <c r="Y502" s="556">
        <f t="shared" si="18"/>
        <v>0</v>
      </c>
      <c r="Z502" s="556">
        <f t="shared" si="19"/>
        <v>0</v>
      </c>
      <c r="AA502" s="556">
        <f t="shared" si="20"/>
        <v>0</v>
      </c>
      <c r="AB502" s="556">
        <f t="shared" si="21"/>
        <v>0</v>
      </c>
      <c r="AC502" s="556">
        <f t="shared" si="22"/>
        <v>0</v>
      </c>
      <c r="AD502" s="556">
        <f t="shared" si="10"/>
        <v>0</v>
      </c>
      <c r="AE502" s="556">
        <f t="shared" si="11"/>
        <v>0</v>
      </c>
      <c r="AF502" s="556">
        <f t="shared" si="11"/>
        <v>0</v>
      </c>
      <c r="AG502" s="556">
        <f t="shared" si="11"/>
        <v>0</v>
      </c>
    </row>
    <row r="503" spans="1:33" hidden="1" outlineLevel="1" x14ac:dyDescent="0.35">
      <c r="A503" t="b">
        <f t="shared" si="7"/>
        <v>1</v>
      </c>
      <c r="B503" s="27" t="s">
        <v>1188</v>
      </c>
      <c r="C503" s="27" t="s">
        <v>51</v>
      </c>
      <c r="D503" s="27" t="s">
        <v>1767</v>
      </c>
      <c r="E503" s="27" t="s">
        <v>51</v>
      </c>
      <c r="F503" s="27" t="s">
        <v>63</v>
      </c>
      <c r="G503" s="27" t="s">
        <v>1378</v>
      </c>
      <c r="H503" s="27" t="s">
        <v>54</v>
      </c>
      <c r="I503" s="27" t="s">
        <v>55</v>
      </c>
      <c r="J503" s="27" t="s">
        <v>89</v>
      </c>
      <c r="K503" s="27" t="s">
        <v>371</v>
      </c>
      <c r="L503" s="27" t="s">
        <v>371</v>
      </c>
      <c r="M503" s="27" t="s">
        <v>371</v>
      </c>
      <c r="N503" s="27" t="s">
        <v>371</v>
      </c>
      <c r="O503" s="27" t="s">
        <v>371</v>
      </c>
      <c r="P503" s="27" t="s">
        <v>371</v>
      </c>
      <c r="Q503" s="27" t="s">
        <v>372</v>
      </c>
      <c r="R503" s="556">
        <f t="shared" si="8"/>
        <v>1488820.06</v>
      </c>
      <c r="S503" s="556">
        <f t="shared" si="12"/>
        <v>2.73</v>
      </c>
      <c r="T503" s="556">
        <f t="shared" si="13"/>
        <v>0</v>
      </c>
      <c r="U503" s="556">
        <f t="shared" si="14"/>
        <v>2.7699999995529652</v>
      </c>
      <c r="V503" s="556">
        <f t="shared" si="15"/>
        <v>882814.1099999994</v>
      </c>
      <c r="W503" s="556">
        <f t="shared" si="16"/>
        <v>5699087.5800000001</v>
      </c>
      <c r="X503" s="556">
        <f t="shared" si="17"/>
        <v>5546057</v>
      </c>
      <c r="Y503" s="556">
        <f t="shared" si="18"/>
        <v>14921957.510000002</v>
      </c>
      <c r="Z503" s="556">
        <f t="shared" si="19"/>
        <v>28154999.909999996</v>
      </c>
      <c r="AA503" s="556">
        <f t="shared" si="20"/>
        <v>25159415.609999999</v>
      </c>
      <c r="AB503" s="556">
        <f t="shared" si="21"/>
        <v>30897634.800000001</v>
      </c>
      <c r="AC503" s="556">
        <f t="shared" si="22"/>
        <v>17710571.77</v>
      </c>
      <c r="AD503" s="556">
        <f t="shared" si="10"/>
        <v>24525109.440000001</v>
      </c>
      <c r="AE503" s="556">
        <f t="shared" si="11"/>
        <v>18113805.369999997</v>
      </c>
      <c r="AF503" s="556">
        <f t="shared" si="11"/>
        <v>21948867.740000002</v>
      </c>
      <c r="AG503" s="556">
        <f t="shared" si="11"/>
        <v>23021362.25</v>
      </c>
    </row>
    <row r="504" spans="1:33" hidden="1" outlineLevel="1" x14ac:dyDescent="0.35">
      <c r="A504" t="b">
        <f t="shared" si="7"/>
        <v>1</v>
      </c>
      <c r="B504" s="27" t="s">
        <v>91</v>
      </c>
      <c r="C504" s="27" t="s">
        <v>51</v>
      </c>
      <c r="D504" s="27" t="s">
        <v>1379</v>
      </c>
      <c r="E504" s="27" t="s">
        <v>51</v>
      </c>
      <c r="F504" s="27" t="s">
        <v>63</v>
      </c>
      <c r="G504" s="27" t="s">
        <v>93</v>
      </c>
      <c r="H504" s="27" t="s">
        <v>54</v>
      </c>
      <c r="I504" s="27" t="s">
        <v>55</v>
      </c>
      <c r="J504" s="27" t="s">
        <v>89</v>
      </c>
      <c r="K504" s="27" t="s">
        <v>371</v>
      </c>
      <c r="L504" s="27" t="s">
        <v>371</v>
      </c>
      <c r="M504" s="27" t="s">
        <v>371</v>
      </c>
      <c r="N504" s="27" t="s">
        <v>371</v>
      </c>
      <c r="O504" s="27" t="s">
        <v>371</v>
      </c>
      <c r="P504" s="27" t="s">
        <v>371</v>
      </c>
      <c r="Q504" s="27" t="s">
        <v>372</v>
      </c>
      <c r="R504" s="556">
        <f t="shared" si="8"/>
        <v>1677534.03</v>
      </c>
      <c r="S504" s="556">
        <f t="shared" si="12"/>
        <v>1577534.03</v>
      </c>
      <c r="T504" s="556">
        <f t="shared" si="13"/>
        <v>1581768.03</v>
      </c>
      <c r="U504" s="556">
        <f t="shared" si="14"/>
        <v>0</v>
      </c>
      <c r="V504" s="556">
        <f t="shared" si="15"/>
        <v>0</v>
      </c>
      <c r="W504" s="556">
        <f t="shared" si="16"/>
        <v>0</v>
      </c>
      <c r="X504" s="556">
        <f t="shared" si="17"/>
        <v>0</v>
      </c>
      <c r="Y504" s="556">
        <f t="shared" si="18"/>
        <v>0</v>
      </c>
      <c r="Z504" s="556">
        <f t="shared" si="19"/>
        <v>0</v>
      </c>
      <c r="AA504" s="556">
        <f t="shared" si="20"/>
        <v>0</v>
      </c>
      <c r="AB504" s="556">
        <f t="shared" si="21"/>
        <v>0</v>
      </c>
      <c r="AC504" s="556">
        <f t="shared" si="22"/>
        <v>0</v>
      </c>
      <c r="AD504" s="556">
        <f t="shared" si="10"/>
        <v>0</v>
      </c>
      <c r="AE504" s="556">
        <f t="shared" si="11"/>
        <v>0</v>
      </c>
      <c r="AF504" s="556">
        <f t="shared" si="11"/>
        <v>0</v>
      </c>
      <c r="AG504" s="556">
        <f t="shared" si="11"/>
        <v>0</v>
      </c>
    </row>
    <row r="505" spans="1:33" hidden="1" outlineLevel="1" x14ac:dyDescent="0.35">
      <c r="A505" t="b">
        <f t="shared" si="7"/>
        <v>1</v>
      </c>
      <c r="B505" s="27" t="s">
        <v>95</v>
      </c>
      <c r="C505" s="27" t="s">
        <v>51</v>
      </c>
      <c r="D505" s="27" t="s">
        <v>1380</v>
      </c>
      <c r="E505" s="27" t="s">
        <v>51</v>
      </c>
      <c r="F505" s="27" t="s">
        <v>63</v>
      </c>
      <c r="G505" s="27" t="s">
        <v>97</v>
      </c>
      <c r="H505" s="27" t="s">
        <v>54</v>
      </c>
      <c r="I505" s="27" t="s">
        <v>55</v>
      </c>
      <c r="J505" s="27" t="s">
        <v>89</v>
      </c>
      <c r="K505" s="27" t="s">
        <v>371</v>
      </c>
      <c r="L505" s="27" t="s">
        <v>371</v>
      </c>
      <c r="M505" s="27" t="s">
        <v>371</v>
      </c>
      <c r="N505" s="27" t="s">
        <v>371</v>
      </c>
      <c r="O505" s="27" t="s">
        <v>371</v>
      </c>
      <c r="P505" s="27" t="s">
        <v>371</v>
      </c>
      <c r="Q505" s="27" t="s">
        <v>372</v>
      </c>
      <c r="R505" s="556">
        <f t="shared" si="8"/>
        <v>0</v>
      </c>
      <c r="S505" s="556">
        <f t="shared" si="12"/>
        <v>0</v>
      </c>
      <c r="T505" s="556">
        <f t="shared" si="13"/>
        <v>0</v>
      </c>
      <c r="U505" s="556">
        <f t="shared" si="14"/>
        <v>0</v>
      </c>
      <c r="V505" s="556">
        <f t="shared" si="15"/>
        <v>0</v>
      </c>
      <c r="W505" s="556">
        <f t="shared" si="16"/>
        <v>0</v>
      </c>
      <c r="X505" s="556">
        <f t="shared" si="17"/>
        <v>0</v>
      </c>
      <c r="Y505" s="556">
        <f t="shared" si="18"/>
        <v>0</v>
      </c>
      <c r="Z505" s="556">
        <f t="shared" si="19"/>
        <v>0</v>
      </c>
      <c r="AA505" s="556">
        <f t="shared" si="20"/>
        <v>0</v>
      </c>
      <c r="AB505" s="556">
        <f t="shared" si="21"/>
        <v>0</v>
      </c>
      <c r="AC505" s="556">
        <f t="shared" si="22"/>
        <v>0</v>
      </c>
      <c r="AD505" s="556">
        <f t="shared" si="10"/>
        <v>0</v>
      </c>
      <c r="AE505" s="556">
        <f t="shared" si="11"/>
        <v>0</v>
      </c>
      <c r="AF505" s="556">
        <f t="shared" si="11"/>
        <v>0</v>
      </c>
      <c r="AG505" s="556">
        <f t="shared" si="11"/>
        <v>0</v>
      </c>
    </row>
    <row r="506" spans="1:33" hidden="1" outlineLevel="1" x14ac:dyDescent="0.35">
      <c r="A506" t="b">
        <f t="shared" si="7"/>
        <v>1</v>
      </c>
      <c r="B506" s="27" t="s">
        <v>98</v>
      </c>
      <c r="C506" s="27" t="s">
        <v>51</v>
      </c>
      <c r="D506" s="27" t="s">
        <v>1381</v>
      </c>
      <c r="E506" s="27" t="s">
        <v>51</v>
      </c>
      <c r="F506" s="27" t="s">
        <v>85</v>
      </c>
      <c r="G506" s="27" t="s">
        <v>100</v>
      </c>
      <c r="H506" s="27" t="s">
        <v>54</v>
      </c>
      <c r="I506" s="27" t="s">
        <v>55</v>
      </c>
      <c r="J506" s="27" t="s">
        <v>101</v>
      </c>
      <c r="K506" s="27" t="s">
        <v>371</v>
      </c>
      <c r="L506" s="27" t="s">
        <v>371</v>
      </c>
      <c r="M506" s="27" t="s">
        <v>371</v>
      </c>
      <c r="N506" s="27" t="s">
        <v>371</v>
      </c>
      <c r="O506" s="27" t="s">
        <v>371</v>
      </c>
      <c r="P506" s="27" t="s">
        <v>371</v>
      </c>
      <c r="Q506" s="27" t="s">
        <v>372</v>
      </c>
      <c r="R506" s="556">
        <f t="shared" si="8"/>
        <v>195644.95</v>
      </c>
      <c r="S506" s="556">
        <f t="shared" si="12"/>
        <v>171189.33</v>
      </c>
      <c r="T506" s="556">
        <f t="shared" si="13"/>
        <v>146733.71</v>
      </c>
      <c r="U506" s="556">
        <f t="shared" si="14"/>
        <v>122278.09</v>
      </c>
      <c r="V506" s="556">
        <f t="shared" si="15"/>
        <v>97822.47</v>
      </c>
      <c r="W506" s="556">
        <f t="shared" si="16"/>
        <v>73366.850000000006</v>
      </c>
      <c r="X506" s="556">
        <f t="shared" si="17"/>
        <v>48911.23</v>
      </c>
      <c r="Y506" s="556">
        <f t="shared" si="18"/>
        <v>24455.61</v>
      </c>
      <c r="Z506" s="556">
        <f t="shared" si="19"/>
        <v>-9.9999999983992893E-3</v>
      </c>
      <c r="AA506" s="556">
        <f t="shared" si="20"/>
        <v>-0.01</v>
      </c>
      <c r="AB506" s="556">
        <f t="shared" si="21"/>
        <v>0</v>
      </c>
      <c r="AC506" s="556">
        <f t="shared" si="22"/>
        <v>0</v>
      </c>
      <c r="AD506" s="556">
        <f t="shared" si="10"/>
        <v>0</v>
      </c>
      <c r="AE506" s="556">
        <f t="shared" si="11"/>
        <v>0</v>
      </c>
      <c r="AF506" s="556">
        <f t="shared" si="11"/>
        <v>0</v>
      </c>
      <c r="AG506" s="556">
        <f t="shared" si="11"/>
        <v>0</v>
      </c>
    </row>
    <row r="507" spans="1:33" hidden="1" outlineLevel="1" x14ac:dyDescent="0.35">
      <c r="A507" t="b">
        <f t="shared" si="7"/>
        <v>1</v>
      </c>
      <c r="B507" s="27" t="s">
        <v>103</v>
      </c>
      <c r="C507" s="27" t="s">
        <v>51</v>
      </c>
      <c r="D507" s="27" t="s">
        <v>1382</v>
      </c>
      <c r="E507" s="27" t="s">
        <v>51</v>
      </c>
      <c r="F507" s="27" t="s">
        <v>85</v>
      </c>
      <c r="G507" s="27" t="s">
        <v>105</v>
      </c>
      <c r="H507" s="27" t="s">
        <v>54</v>
      </c>
      <c r="I507" s="27" t="s">
        <v>55</v>
      </c>
      <c r="J507" s="27" t="s">
        <v>101</v>
      </c>
      <c r="K507" s="27" t="s">
        <v>371</v>
      </c>
      <c r="L507" s="27" t="s">
        <v>371</v>
      </c>
      <c r="M507" s="27" t="s">
        <v>371</v>
      </c>
      <c r="N507" s="27" t="s">
        <v>371</v>
      </c>
      <c r="O507" s="27" t="s">
        <v>371</v>
      </c>
      <c r="P507" s="27" t="s">
        <v>371</v>
      </c>
      <c r="Q507" s="27" t="s">
        <v>372</v>
      </c>
      <c r="R507" s="556">
        <f t="shared" si="8"/>
        <v>0</v>
      </c>
      <c r="S507" s="556">
        <f t="shared" si="12"/>
        <v>0</v>
      </c>
      <c r="T507" s="556">
        <f t="shared" si="13"/>
        <v>0</v>
      </c>
      <c r="U507" s="556">
        <f t="shared" si="14"/>
        <v>0</v>
      </c>
      <c r="V507" s="556">
        <f t="shared" si="15"/>
        <v>0</v>
      </c>
      <c r="W507" s="556">
        <f t="shared" si="16"/>
        <v>0</v>
      </c>
      <c r="X507" s="556">
        <f t="shared" si="17"/>
        <v>0</v>
      </c>
      <c r="Y507" s="556">
        <f t="shared" si="18"/>
        <v>0</v>
      </c>
      <c r="Z507" s="556">
        <f t="shared" si="19"/>
        <v>0</v>
      </c>
      <c r="AA507" s="556">
        <f t="shared" si="20"/>
        <v>0</v>
      </c>
      <c r="AB507" s="556">
        <f t="shared" si="21"/>
        <v>0</v>
      </c>
      <c r="AC507" s="556">
        <f t="shared" si="22"/>
        <v>0</v>
      </c>
      <c r="AD507" s="556">
        <f t="shared" si="10"/>
        <v>0</v>
      </c>
      <c r="AE507" s="556">
        <f t="shared" si="11"/>
        <v>0</v>
      </c>
      <c r="AF507" s="556">
        <f t="shared" si="11"/>
        <v>0</v>
      </c>
      <c r="AG507" s="556">
        <f t="shared" si="11"/>
        <v>0</v>
      </c>
    </row>
    <row r="508" spans="1:33" hidden="1" outlineLevel="1" x14ac:dyDescent="0.35">
      <c r="A508" t="b">
        <f t="shared" si="7"/>
        <v>1</v>
      </c>
      <c r="B508" s="27" t="s">
        <v>1189</v>
      </c>
      <c r="C508" s="27" t="s">
        <v>51</v>
      </c>
      <c r="D508" s="27" t="s">
        <v>1768</v>
      </c>
      <c r="E508" s="27" t="s">
        <v>51</v>
      </c>
      <c r="F508" s="27" t="s">
        <v>378</v>
      </c>
      <c r="G508" s="27" t="s">
        <v>1383</v>
      </c>
      <c r="H508" s="27" t="s">
        <v>54</v>
      </c>
      <c r="I508" s="27" t="s">
        <v>55</v>
      </c>
      <c r="J508" s="27" t="s">
        <v>379</v>
      </c>
      <c r="K508" s="27" t="s">
        <v>371</v>
      </c>
      <c r="L508" s="27" t="s">
        <v>371</v>
      </c>
      <c r="M508" s="27" t="s">
        <v>371</v>
      </c>
      <c r="N508" s="27" t="s">
        <v>371</v>
      </c>
      <c r="O508" s="27" t="s">
        <v>371</v>
      </c>
      <c r="P508" s="27" t="s">
        <v>371</v>
      </c>
      <c r="Q508" s="27" t="s">
        <v>372</v>
      </c>
      <c r="R508" s="556">
        <f t="shared" si="8"/>
        <v>17659561.780000001</v>
      </c>
      <c r="S508" s="556">
        <f t="shared" si="12"/>
        <v>18601338.75</v>
      </c>
      <c r="T508" s="556">
        <f t="shared" si="13"/>
        <v>18601338.75</v>
      </c>
      <c r="U508" s="556">
        <f t="shared" si="14"/>
        <v>22137153.100000001</v>
      </c>
      <c r="V508" s="556">
        <f t="shared" si="15"/>
        <v>26114838.290000003</v>
      </c>
      <c r="W508" s="556">
        <f t="shared" si="16"/>
        <v>26114838.289999999</v>
      </c>
      <c r="X508" s="556">
        <f t="shared" si="17"/>
        <v>40818103.619999997</v>
      </c>
      <c r="Y508" s="556">
        <f t="shared" si="18"/>
        <v>44005861.520000003</v>
      </c>
      <c r="Z508" s="556">
        <f t="shared" si="19"/>
        <v>50333054.410000004</v>
      </c>
      <c r="AA508" s="556">
        <f t="shared" si="20"/>
        <v>58252367.590000004</v>
      </c>
      <c r="AB508" s="556">
        <f t="shared" si="21"/>
        <v>64407173.82</v>
      </c>
      <c r="AC508" s="556">
        <f t="shared" si="22"/>
        <v>67839711.689999998</v>
      </c>
      <c r="AD508" s="556">
        <f t="shared" si="10"/>
        <v>71673267.959999993</v>
      </c>
      <c r="AE508" s="556">
        <f t="shared" si="11"/>
        <v>76312957.540000007</v>
      </c>
      <c r="AF508" s="556">
        <f t="shared" si="11"/>
        <v>84084058.579999998</v>
      </c>
      <c r="AG508" s="556">
        <f t="shared" si="11"/>
        <v>89276677.829999998</v>
      </c>
    </row>
    <row r="509" spans="1:33" hidden="1" outlineLevel="1" x14ac:dyDescent="0.35">
      <c r="A509" t="b">
        <f t="shared" si="7"/>
        <v>1</v>
      </c>
      <c r="B509" s="27" t="s">
        <v>1190</v>
      </c>
      <c r="C509" s="27" t="s">
        <v>51</v>
      </c>
      <c r="D509" s="27" t="s">
        <v>1769</v>
      </c>
      <c r="E509" s="27" t="s">
        <v>51</v>
      </c>
      <c r="F509" s="27" t="s">
        <v>378</v>
      </c>
      <c r="G509" s="27" t="s">
        <v>1384</v>
      </c>
      <c r="H509" s="27" t="s">
        <v>54</v>
      </c>
      <c r="I509" s="27" t="s">
        <v>55</v>
      </c>
      <c r="J509" s="27" t="s">
        <v>379</v>
      </c>
      <c r="K509" s="27" t="s">
        <v>371</v>
      </c>
      <c r="L509" s="27" t="s">
        <v>371</v>
      </c>
      <c r="M509" s="27" t="s">
        <v>371</v>
      </c>
      <c r="N509" s="27" t="s">
        <v>371</v>
      </c>
      <c r="O509" s="27" t="s">
        <v>371</v>
      </c>
      <c r="P509" s="27" t="s">
        <v>371</v>
      </c>
      <c r="Q509" s="27" t="s">
        <v>372</v>
      </c>
      <c r="R509" s="556">
        <f t="shared" si="8"/>
        <v>6374.13</v>
      </c>
      <c r="S509" s="556">
        <f t="shared" si="12"/>
        <v>6493.35</v>
      </c>
      <c r="T509" s="556">
        <f t="shared" si="13"/>
        <v>9287.09</v>
      </c>
      <c r="U509" s="556">
        <f t="shared" si="14"/>
        <v>13481.59</v>
      </c>
      <c r="V509" s="556">
        <f t="shared" si="15"/>
        <v>28965.25</v>
      </c>
      <c r="W509" s="556">
        <f t="shared" si="16"/>
        <v>38454.699999999997</v>
      </c>
      <c r="X509" s="556">
        <f t="shared" si="17"/>
        <v>63113.2</v>
      </c>
      <c r="Y509" s="556">
        <f t="shared" si="18"/>
        <v>68088.2</v>
      </c>
      <c r="Z509" s="556">
        <f t="shared" si="19"/>
        <v>70456.87999999999</v>
      </c>
      <c r="AA509" s="556">
        <f t="shared" si="20"/>
        <v>70895.45</v>
      </c>
      <c r="AB509" s="556">
        <f t="shared" si="21"/>
        <v>72597.8</v>
      </c>
      <c r="AC509" s="556">
        <f t="shared" si="22"/>
        <v>72597.8</v>
      </c>
      <c r="AD509" s="556">
        <f t="shared" si="10"/>
        <v>72597.8</v>
      </c>
      <c r="AE509" s="556">
        <f t="shared" si="11"/>
        <v>72597.8</v>
      </c>
      <c r="AF509" s="556">
        <f t="shared" si="11"/>
        <v>72597.8</v>
      </c>
      <c r="AG509" s="556">
        <f t="shared" si="11"/>
        <v>79249.69</v>
      </c>
    </row>
    <row r="510" spans="1:33" hidden="1" outlineLevel="1" x14ac:dyDescent="0.35">
      <c r="A510" t="b">
        <f t="shared" si="7"/>
        <v>1</v>
      </c>
      <c r="B510" s="27" t="s">
        <v>380</v>
      </c>
      <c r="C510" s="27" t="s">
        <v>51</v>
      </c>
      <c r="D510" s="27" t="s">
        <v>1385</v>
      </c>
      <c r="E510" s="27" t="s">
        <v>51</v>
      </c>
      <c r="F510" s="27" t="s">
        <v>381</v>
      </c>
      <c r="G510" s="27" t="s">
        <v>382</v>
      </c>
      <c r="H510" s="27" t="s">
        <v>54</v>
      </c>
      <c r="I510" s="27" t="s">
        <v>55</v>
      </c>
      <c r="J510" s="27" t="s">
        <v>383</v>
      </c>
      <c r="K510" s="27" t="s">
        <v>371</v>
      </c>
      <c r="L510" s="27" t="s">
        <v>371</v>
      </c>
      <c r="M510" s="27" t="s">
        <v>371</v>
      </c>
      <c r="N510" s="27" t="s">
        <v>371</v>
      </c>
      <c r="O510" s="27" t="s">
        <v>371</v>
      </c>
      <c r="P510" s="27" t="s">
        <v>371</v>
      </c>
      <c r="Q510" s="27" t="s">
        <v>372</v>
      </c>
      <c r="R510" s="556">
        <f t="shared" si="8"/>
        <v>0</v>
      </c>
      <c r="S510" s="556">
        <f t="shared" si="12"/>
        <v>0</v>
      </c>
      <c r="T510" s="556">
        <f t="shared" si="13"/>
        <v>0</v>
      </c>
      <c r="U510" s="556">
        <f t="shared" si="14"/>
        <v>0</v>
      </c>
      <c r="V510" s="556">
        <f t="shared" si="15"/>
        <v>0</v>
      </c>
      <c r="W510" s="556">
        <f t="shared" si="16"/>
        <v>0</v>
      </c>
      <c r="X510" s="556">
        <f t="shared" si="17"/>
        <v>0</v>
      </c>
      <c r="Y510" s="556">
        <f t="shared" si="18"/>
        <v>0</v>
      </c>
      <c r="Z510" s="556">
        <f t="shared" si="19"/>
        <v>0</v>
      </c>
      <c r="AA510" s="556">
        <f t="shared" si="20"/>
        <v>0</v>
      </c>
      <c r="AB510" s="556">
        <f t="shared" si="21"/>
        <v>0</v>
      </c>
      <c r="AC510" s="556">
        <f t="shared" si="22"/>
        <v>0</v>
      </c>
      <c r="AD510" s="556">
        <f t="shared" si="10"/>
        <v>0</v>
      </c>
      <c r="AE510" s="556">
        <f t="shared" si="11"/>
        <v>0</v>
      </c>
      <c r="AF510" s="556">
        <f t="shared" si="11"/>
        <v>0</v>
      </c>
      <c r="AG510" s="556">
        <f t="shared" si="11"/>
        <v>0</v>
      </c>
    </row>
    <row r="511" spans="1:33" hidden="1" outlineLevel="1" x14ac:dyDescent="0.35">
      <c r="A511" t="b">
        <f t="shared" si="7"/>
        <v>1</v>
      </c>
      <c r="B511" s="27" t="s">
        <v>384</v>
      </c>
      <c r="C511" s="27" t="s">
        <v>51</v>
      </c>
      <c r="D511" s="27" t="s">
        <v>1386</v>
      </c>
      <c r="E511" s="27" t="s">
        <v>51</v>
      </c>
      <c r="F511" s="27" t="s">
        <v>381</v>
      </c>
      <c r="G511" s="27" t="s">
        <v>386</v>
      </c>
      <c r="H511" s="27" t="s">
        <v>54</v>
      </c>
      <c r="I511" s="27" t="s">
        <v>55</v>
      </c>
      <c r="J511" s="27" t="s">
        <v>383</v>
      </c>
      <c r="K511" s="27" t="s">
        <v>371</v>
      </c>
      <c r="L511" s="27" t="s">
        <v>371</v>
      </c>
      <c r="M511" s="27" t="s">
        <v>371</v>
      </c>
      <c r="N511" s="27" t="s">
        <v>371</v>
      </c>
      <c r="O511" s="27" t="s">
        <v>371</v>
      </c>
      <c r="P511" s="27" t="s">
        <v>371</v>
      </c>
      <c r="Q511" s="27" t="s">
        <v>372</v>
      </c>
      <c r="R511" s="556">
        <f t="shared" si="8"/>
        <v>0</v>
      </c>
      <c r="S511" s="556">
        <f t="shared" si="12"/>
        <v>0</v>
      </c>
      <c r="T511" s="556">
        <f t="shared" si="13"/>
        <v>0</v>
      </c>
      <c r="U511" s="556">
        <f t="shared" si="14"/>
        <v>0</v>
      </c>
      <c r="V511" s="556">
        <f t="shared" si="15"/>
        <v>0</v>
      </c>
      <c r="W511" s="556">
        <f t="shared" si="16"/>
        <v>0</v>
      </c>
      <c r="X511" s="556">
        <f t="shared" si="17"/>
        <v>0</v>
      </c>
      <c r="Y511" s="556">
        <f t="shared" si="18"/>
        <v>0</v>
      </c>
      <c r="Z511" s="556">
        <f t="shared" si="19"/>
        <v>0</v>
      </c>
      <c r="AA511" s="556">
        <f t="shared" si="20"/>
        <v>0</v>
      </c>
      <c r="AB511" s="556">
        <f t="shared" si="21"/>
        <v>0</v>
      </c>
      <c r="AC511" s="556">
        <f t="shared" si="22"/>
        <v>0</v>
      </c>
      <c r="AD511" s="556">
        <f t="shared" si="10"/>
        <v>0</v>
      </c>
      <c r="AE511" s="556">
        <f t="shared" ref="AE511:AG530" si="23">+IF(AE$10="Actuals",IF($O33="Revenue",-IF($H33="BS",AE33,IF($H33="P&amp;L",AE33-AD33,0)),IF($H33="BS",AE33,IF($H33="P&amp;L",AE33-AD33,0))),0)</f>
        <v>0</v>
      </c>
      <c r="AF511" s="556">
        <f t="shared" si="23"/>
        <v>0</v>
      </c>
      <c r="AG511" s="556">
        <f t="shared" si="23"/>
        <v>0</v>
      </c>
    </row>
    <row r="512" spans="1:33" hidden="1" outlineLevel="1" x14ac:dyDescent="0.35">
      <c r="A512" t="b">
        <f t="shared" si="7"/>
        <v>1</v>
      </c>
      <c r="B512" s="27" t="s">
        <v>387</v>
      </c>
      <c r="C512" s="27" t="s">
        <v>51</v>
      </c>
      <c r="D512" s="27" t="s">
        <v>1387</v>
      </c>
      <c r="E512" s="27" t="s">
        <v>51</v>
      </c>
      <c r="F512" s="27" t="s">
        <v>381</v>
      </c>
      <c r="G512" s="27" t="s">
        <v>388</v>
      </c>
      <c r="H512" s="27" t="s">
        <v>54</v>
      </c>
      <c r="I512" s="27" t="s">
        <v>55</v>
      </c>
      <c r="J512" s="27" t="s">
        <v>383</v>
      </c>
      <c r="K512" s="27" t="s">
        <v>371</v>
      </c>
      <c r="L512" s="27" t="s">
        <v>371</v>
      </c>
      <c r="M512" s="27" t="s">
        <v>371</v>
      </c>
      <c r="N512" s="27" t="s">
        <v>371</v>
      </c>
      <c r="O512" s="27" t="s">
        <v>371</v>
      </c>
      <c r="P512" s="27" t="s">
        <v>371</v>
      </c>
      <c r="Q512" s="27" t="s">
        <v>372</v>
      </c>
      <c r="R512" s="556">
        <f t="shared" si="8"/>
        <v>0</v>
      </c>
      <c r="S512" s="556">
        <f t="shared" si="12"/>
        <v>0</v>
      </c>
      <c r="T512" s="556">
        <f t="shared" si="13"/>
        <v>0</v>
      </c>
      <c r="U512" s="556">
        <f t="shared" si="14"/>
        <v>0</v>
      </c>
      <c r="V512" s="556">
        <f t="shared" si="15"/>
        <v>0</v>
      </c>
      <c r="W512" s="556">
        <f t="shared" si="16"/>
        <v>0</v>
      </c>
      <c r="X512" s="556">
        <f t="shared" si="17"/>
        <v>0</v>
      </c>
      <c r="Y512" s="556">
        <f t="shared" si="18"/>
        <v>0</v>
      </c>
      <c r="Z512" s="556">
        <f t="shared" si="19"/>
        <v>0</v>
      </c>
      <c r="AA512" s="556">
        <f t="shared" si="20"/>
        <v>0</v>
      </c>
      <c r="AB512" s="556">
        <f t="shared" si="21"/>
        <v>0</v>
      </c>
      <c r="AC512" s="556">
        <f t="shared" si="22"/>
        <v>0</v>
      </c>
      <c r="AD512" s="556">
        <f t="shared" si="10"/>
        <v>0</v>
      </c>
      <c r="AE512" s="556">
        <f t="shared" si="23"/>
        <v>0</v>
      </c>
      <c r="AF512" s="556">
        <f t="shared" si="23"/>
        <v>0</v>
      </c>
      <c r="AG512" s="556">
        <f t="shared" si="23"/>
        <v>0</v>
      </c>
    </row>
    <row r="513" spans="1:33" hidden="1" outlineLevel="1" x14ac:dyDescent="0.35">
      <c r="A513" t="b">
        <f t="shared" si="7"/>
        <v>1</v>
      </c>
      <c r="B513" s="27" t="s">
        <v>389</v>
      </c>
      <c r="C513" s="27" t="s">
        <v>51</v>
      </c>
      <c r="D513" s="27" t="s">
        <v>1388</v>
      </c>
      <c r="E513" s="27" t="s">
        <v>51</v>
      </c>
      <c r="F513" s="27" t="s">
        <v>381</v>
      </c>
      <c r="G513" s="27" t="s">
        <v>390</v>
      </c>
      <c r="H513" s="27" t="s">
        <v>54</v>
      </c>
      <c r="I513" s="27" t="s">
        <v>55</v>
      </c>
      <c r="J513" s="27" t="s">
        <v>383</v>
      </c>
      <c r="K513" s="27" t="s">
        <v>371</v>
      </c>
      <c r="L513" s="27" t="s">
        <v>371</v>
      </c>
      <c r="M513" s="27" t="s">
        <v>371</v>
      </c>
      <c r="N513" s="27" t="s">
        <v>371</v>
      </c>
      <c r="O513" s="27" t="s">
        <v>371</v>
      </c>
      <c r="P513" s="27" t="s">
        <v>371</v>
      </c>
      <c r="Q513" s="27" t="s">
        <v>372</v>
      </c>
      <c r="R513" s="556">
        <f t="shared" si="8"/>
        <v>0</v>
      </c>
      <c r="S513" s="556">
        <f t="shared" si="12"/>
        <v>0</v>
      </c>
      <c r="T513" s="556">
        <f t="shared" si="13"/>
        <v>0</v>
      </c>
      <c r="U513" s="556">
        <f t="shared" si="14"/>
        <v>0</v>
      </c>
      <c r="V513" s="556">
        <f t="shared" si="15"/>
        <v>0</v>
      </c>
      <c r="W513" s="556">
        <f t="shared" si="16"/>
        <v>0</v>
      </c>
      <c r="X513" s="556">
        <f t="shared" si="17"/>
        <v>0</v>
      </c>
      <c r="Y513" s="556">
        <f t="shared" si="18"/>
        <v>0</v>
      </c>
      <c r="Z513" s="556">
        <f t="shared" si="19"/>
        <v>0</v>
      </c>
      <c r="AA513" s="556">
        <f t="shared" si="20"/>
        <v>0</v>
      </c>
      <c r="AB513" s="556">
        <f t="shared" si="21"/>
        <v>0</v>
      </c>
      <c r="AC513" s="556">
        <f t="shared" si="22"/>
        <v>0</v>
      </c>
      <c r="AD513" s="556">
        <f t="shared" si="10"/>
        <v>0</v>
      </c>
      <c r="AE513" s="556">
        <f t="shared" si="23"/>
        <v>0</v>
      </c>
      <c r="AF513" s="556">
        <f t="shared" si="23"/>
        <v>0</v>
      </c>
      <c r="AG513" s="556">
        <f t="shared" si="23"/>
        <v>0</v>
      </c>
    </row>
    <row r="514" spans="1:33" hidden="1" outlineLevel="1" x14ac:dyDescent="0.35">
      <c r="A514" t="b">
        <f t="shared" si="7"/>
        <v>1</v>
      </c>
      <c r="B514" s="27" t="s">
        <v>391</v>
      </c>
      <c r="C514" s="27" t="s">
        <v>51</v>
      </c>
      <c r="D514" s="27" t="s">
        <v>1389</v>
      </c>
      <c r="E514" s="27" t="s">
        <v>51</v>
      </c>
      <c r="F514" s="27" t="s">
        <v>378</v>
      </c>
      <c r="G514" s="27" t="s">
        <v>392</v>
      </c>
      <c r="H514" s="27" t="s">
        <v>54</v>
      </c>
      <c r="I514" s="27" t="s">
        <v>55</v>
      </c>
      <c r="J514" s="27" t="s">
        <v>379</v>
      </c>
      <c r="K514" s="27" t="s">
        <v>371</v>
      </c>
      <c r="L514" s="27" t="s">
        <v>371</v>
      </c>
      <c r="M514" s="27" t="s">
        <v>371</v>
      </c>
      <c r="N514" s="27" t="s">
        <v>371</v>
      </c>
      <c r="O514" s="27" t="s">
        <v>371</v>
      </c>
      <c r="P514" s="27" t="s">
        <v>371</v>
      </c>
      <c r="Q514" s="27" t="s">
        <v>372</v>
      </c>
      <c r="R514" s="556">
        <f t="shared" si="8"/>
        <v>3531770.76</v>
      </c>
      <c r="S514" s="556">
        <f t="shared" si="12"/>
        <v>0</v>
      </c>
      <c r="T514" s="556">
        <f t="shared" si="13"/>
        <v>2939431.78</v>
      </c>
      <c r="U514" s="556">
        <f t="shared" si="14"/>
        <v>0</v>
      </c>
      <c r="V514" s="556">
        <f t="shared" si="15"/>
        <v>0</v>
      </c>
      <c r="W514" s="556">
        <f t="shared" si="16"/>
        <v>5478284.5800000001</v>
      </c>
      <c r="X514" s="556">
        <f t="shared" si="17"/>
        <v>0</v>
      </c>
      <c r="Y514" s="556">
        <f t="shared" si="18"/>
        <v>0</v>
      </c>
      <c r="Z514" s="556">
        <f t="shared" si="19"/>
        <v>0</v>
      </c>
      <c r="AA514" s="556">
        <f t="shared" si="20"/>
        <v>0</v>
      </c>
      <c r="AB514" s="556">
        <f t="shared" si="21"/>
        <v>0</v>
      </c>
      <c r="AC514" s="556">
        <f t="shared" si="22"/>
        <v>0</v>
      </c>
      <c r="AD514" s="556">
        <f t="shared" si="10"/>
        <v>0</v>
      </c>
      <c r="AE514" s="556">
        <f t="shared" si="23"/>
        <v>0</v>
      </c>
      <c r="AF514" s="556">
        <f t="shared" si="23"/>
        <v>0</v>
      </c>
      <c r="AG514" s="556">
        <f t="shared" si="23"/>
        <v>0</v>
      </c>
    </row>
    <row r="515" spans="1:33" hidden="1" outlineLevel="1" x14ac:dyDescent="0.35">
      <c r="A515" t="b">
        <f t="shared" si="7"/>
        <v>1</v>
      </c>
      <c r="B515" s="27" t="s">
        <v>1191</v>
      </c>
      <c r="C515" s="27" t="s">
        <v>51</v>
      </c>
      <c r="D515" s="27" t="s">
        <v>1770</v>
      </c>
      <c r="E515" s="27" t="s">
        <v>51</v>
      </c>
      <c r="F515" s="27" t="s">
        <v>378</v>
      </c>
      <c r="G515" s="27" t="s">
        <v>1390</v>
      </c>
      <c r="H515" s="27" t="s">
        <v>54</v>
      </c>
      <c r="I515" s="27" t="s">
        <v>55</v>
      </c>
      <c r="J515" s="27" t="s">
        <v>379</v>
      </c>
      <c r="K515" s="27" t="s">
        <v>371</v>
      </c>
      <c r="L515" s="27" t="s">
        <v>371</v>
      </c>
      <c r="M515" s="27" t="s">
        <v>371</v>
      </c>
      <c r="N515" s="27" t="s">
        <v>371</v>
      </c>
      <c r="O515" s="27" t="s">
        <v>371</v>
      </c>
      <c r="P515" s="27" t="s">
        <v>371</v>
      </c>
      <c r="Q515" s="27" t="s">
        <v>372</v>
      </c>
      <c r="R515" s="556">
        <f t="shared" si="8"/>
        <v>13042990.939999999</v>
      </c>
      <c r="S515" s="556">
        <f t="shared" si="12"/>
        <v>11301841.5</v>
      </c>
      <c r="T515" s="556">
        <f t="shared" si="13"/>
        <v>12407963.51</v>
      </c>
      <c r="U515" s="556">
        <f t="shared" si="14"/>
        <v>10826359.34</v>
      </c>
      <c r="V515" s="556">
        <f t="shared" si="15"/>
        <v>14675646.119999997</v>
      </c>
      <c r="W515" s="556">
        <f t="shared" si="16"/>
        <v>16052073.859999999</v>
      </c>
      <c r="X515" s="556">
        <f t="shared" si="17"/>
        <v>7105158.1200000001</v>
      </c>
      <c r="Y515" s="556">
        <f t="shared" si="18"/>
        <v>7444099.5300000003</v>
      </c>
      <c r="Z515" s="556">
        <f t="shared" si="19"/>
        <v>6117797.790000001</v>
      </c>
      <c r="AA515" s="556">
        <f t="shared" si="20"/>
        <v>1723927.63</v>
      </c>
      <c r="AB515" s="556">
        <f t="shared" si="21"/>
        <v>1199480.46</v>
      </c>
      <c r="AC515" s="556">
        <f t="shared" si="22"/>
        <v>6275426.7599999998</v>
      </c>
      <c r="AD515" s="556">
        <f t="shared" si="10"/>
        <v>5473740.3200000003</v>
      </c>
      <c r="AE515" s="556">
        <f t="shared" si="23"/>
        <v>3114710.53</v>
      </c>
      <c r="AF515" s="556">
        <f t="shared" si="23"/>
        <v>1418207.25</v>
      </c>
      <c r="AG515" s="556">
        <f t="shared" si="23"/>
        <v>1511759.99</v>
      </c>
    </row>
    <row r="516" spans="1:33" hidden="1" outlineLevel="1" x14ac:dyDescent="0.35">
      <c r="A516" t="b">
        <f t="shared" si="7"/>
        <v>1</v>
      </c>
      <c r="B516" s="27" t="s">
        <v>1192</v>
      </c>
      <c r="C516" s="27" t="s">
        <v>51</v>
      </c>
      <c r="D516" s="27" t="s">
        <v>1771</v>
      </c>
      <c r="E516" s="27" t="s">
        <v>51</v>
      </c>
      <c r="F516" s="27" t="s">
        <v>385</v>
      </c>
      <c r="G516" s="27" t="s">
        <v>1391</v>
      </c>
      <c r="H516" s="27" t="s">
        <v>54</v>
      </c>
      <c r="I516" s="27" t="s">
        <v>55</v>
      </c>
      <c r="J516" s="27" t="s">
        <v>393</v>
      </c>
      <c r="K516" s="27" t="s">
        <v>371</v>
      </c>
      <c r="L516" s="27" t="s">
        <v>371</v>
      </c>
      <c r="M516" s="27" t="s">
        <v>371</v>
      </c>
      <c r="N516" s="27" t="s">
        <v>371</v>
      </c>
      <c r="O516" s="27" t="s">
        <v>371</v>
      </c>
      <c r="P516" s="27" t="s">
        <v>371</v>
      </c>
      <c r="Q516" s="27" t="s">
        <v>372</v>
      </c>
      <c r="R516" s="556">
        <f t="shared" si="8"/>
        <v>5310646.17</v>
      </c>
      <c r="S516" s="556">
        <f t="shared" si="12"/>
        <v>5310646.17</v>
      </c>
      <c r="T516" s="556">
        <f t="shared" si="13"/>
        <v>5310646.17</v>
      </c>
      <c r="U516" s="556">
        <f t="shared" si="14"/>
        <v>5310646.17</v>
      </c>
      <c r="V516" s="556">
        <f t="shared" si="15"/>
        <v>5310646.17</v>
      </c>
      <c r="W516" s="556">
        <f t="shared" si="16"/>
        <v>5310646.17</v>
      </c>
      <c r="X516" s="556">
        <f t="shared" si="17"/>
        <v>5310646.17</v>
      </c>
      <c r="Y516" s="556">
        <f t="shared" si="18"/>
        <v>5352970.25</v>
      </c>
      <c r="Z516" s="556">
        <f t="shared" si="19"/>
        <v>5449609.25</v>
      </c>
      <c r="AA516" s="556">
        <f t="shared" si="20"/>
        <v>5536475.6100000003</v>
      </c>
      <c r="AB516" s="556">
        <f t="shared" si="21"/>
        <v>5560855.6100000003</v>
      </c>
      <c r="AC516" s="556">
        <f t="shared" si="22"/>
        <v>6061805.6100000003</v>
      </c>
      <c r="AD516" s="556">
        <f t="shared" si="10"/>
        <v>5746751.2300000004</v>
      </c>
      <c r="AE516" s="556">
        <f t="shared" si="23"/>
        <v>5933234.2300000004</v>
      </c>
      <c r="AF516" s="556">
        <f t="shared" si="23"/>
        <v>6497792.0100000007</v>
      </c>
      <c r="AG516" s="556">
        <f t="shared" si="23"/>
        <v>6497792.0099999998</v>
      </c>
    </row>
    <row r="517" spans="1:33" hidden="1" outlineLevel="1" x14ac:dyDescent="0.35">
      <c r="A517" t="b">
        <f t="shared" si="7"/>
        <v>1</v>
      </c>
      <c r="B517" s="27" t="s">
        <v>1193</v>
      </c>
      <c r="C517" s="27" t="s">
        <v>51</v>
      </c>
      <c r="D517" s="27" t="s">
        <v>1772</v>
      </c>
      <c r="E517" s="27" t="s">
        <v>51</v>
      </c>
      <c r="F517" s="27" t="s">
        <v>90</v>
      </c>
      <c r="G517" s="27" t="s">
        <v>1968</v>
      </c>
      <c r="H517" s="27" t="s">
        <v>54</v>
      </c>
      <c r="I517" s="27" t="s">
        <v>55</v>
      </c>
      <c r="J517" s="27" t="s">
        <v>393</v>
      </c>
      <c r="K517" s="27" t="s">
        <v>371</v>
      </c>
      <c r="L517" s="27" t="s">
        <v>371</v>
      </c>
      <c r="M517" s="27" t="s">
        <v>371</v>
      </c>
      <c r="N517" s="27" t="s">
        <v>371</v>
      </c>
      <c r="O517" s="27" t="s">
        <v>371</v>
      </c>
      <c r="P517" s="27" t="s">
        <v>371</v>
      </c>
      <c r="Q517" s="27" t="s">
        <v>372</v>
      </c>
      <c r="R517" s="556">
        <f t="shared" si="8"/>
        <v>33711028.719999999</v>
      </c>
      <c r="S517" s="556">
        <f t="shared" si="12"/>
        <v>33985062.450000003</v>
      </c>
      <c r="T517" s="556">
        <f t="shared" si="13"/>
        <v>38647986.960000001</v>
      </c>
      <c r="U517" s="556">
        <f t="shared" si="14"/>
        <v>38647986.960000001</v>
      </c>
      <c r="V517" s="556">
        <f t="shared" si="15"/>
        <v>38688443.149999999</v>
      </c>
      <c r="W517" s="556">
        <f t="shared" si="16"/>
        <v>39034322.219999999</v>
      </c>
      <c r="X517" s="556">
        <f t="shared" si="17"/>
        <v>39034322.219999999</v>
      </c>
      <c r="Y517" s="556">
        <f t="shared" si="18"/>
        <v>39089270.039999999</v>
      </c>
      <c r="Z517" s="556">
        <f t="shared" si="19"/>
        <v>39095552.310000002</v>
      </c>
      <c r="AA517" s="556">
        <f t="shared" si="20"/>
        <v>43681002.270000003</v>
      </c>
      <c r="AB517" s="556">
        <f t="shared" si="21"/>
        <v>44553665.890000001</v>
      </c>
      <c r="AC517" s="556">
        <f t="shared" si="22"/>
        <v>58178297.890000001</v>
      </c>
      <c r="AD517" s="556">
        <f t="shared" si="10"/>
        <v>58958033.530000001</v>
      </c>
      <c r="AE517" s="556">
        <f t="shared" si="23"/>
        <v>59290955</v>
      </c>
      <c r="AF517" s="556">
        <f t="shared" si="23"/>
        <v>64300786.539999999</v>
      </c>
      <c r="AG517" s="556">
        <f t="shared" si="23"/>
        <v>62200122.869999997</v>
      </c>
    </row>
    <row r="518" spans="1:33" hidden="1" outlineLevel="1" x14ac:dyDescent="0.35">
      <c r="A518" t="b">
        <f t="shared" si="7"/>
        <v>1</v>
      </c>
      <c r="B518" s="27" t="s">
        <v>1194</v>
      </c>
      <c r="C518" s="27" t="s">
        <v>51</v>
      </c>
      <c r="D518" s="27" t="s">
        <v>1773</v>
      </c>
      <c r="E518" s="27" t="s">
        <v>51</v>
      </c>
      <c r="F518" s="27" t="s">
        <v>90</v>
      </c>
      <c r="G518" s="27" t="s">
        <v>1392</v>
      </c>
      <c r="H518" s="27" t="s">
        <v>54</v>
      </c>
      <c r="I518" s="27" t="s">
        <v>55</v>
      </c>
      <c r="J518" s="27" t="s">
        <v>393</v>
      </c>
      <c r="K518" s="27" t="s">
        <v>371</v>
      </c>
      <c r="L518" s="27" t="s">
        <v>371</v>
      </c>
      <c r="M518" s="27" t="s">
        <v>371</v>
      </c>
      <c r="N518" s="27" t="s">
        <v>371</v>
      </c>
      <c r="O518" s="27" t="s">
        <v>371</v>
      </c>
      <c r="P518" s="27" t="s">
        <v>371</v>
      </c>
      <c r="Q518" s="27" t="s">
        <v>372</v>
      </c>
      <c r="R518" s="556">
        <f t="shared" si="8"/>
        <v>83533190.069999993</v>
      </c>
      <c r="S518" s="556">
        <f t="shared" si="12"/>
        <v>83533190.069999993</v>
      </c>
      <c r="T518" s="556">
        <f t="shared" si="13"/>
        <v>83533190.069999993</v>
      </c>
      <c r="U518" s="556">
        <f t="shared" si="14"/>
        <v>139355662.20999998</v>
      </c>
      <c r="V518" s="556">
        <f t="shared" si="15"/>
        <v>139355662.21000001</v>
      </c>
      <c r="W518" s="556">
        <f t="shared" si="16"/>
        <v>139355662.21000001</v>
      </c>
      <c r="X518" s="556">
        <f t="shared" si="17"/>
        <v>152271552.63999999</v>
      </c>
      <c r="Y518" s="556">
        <f t="shared" si="18"/>
        <v>152271552.63999999</v>
      </c>
      <c r="Z518" s="556">
        <f t="shared" si="19"/>
        <v>152271552.63999999</v>
      </c>
      <c r="AA518" s="556">
        <f t="shared" si="20"/>
        <v>153493415.03</v>
      </c>
      <c r="AB518" s="556">
        <f t="shared" si="21"/>
        <v>171855315.58000001</v>
      </c>
      <c r="AC518" s="556">
        <f t="shared" si="22"/>
        <v>334737208.39999998</v>
      </c>
      <c r="AD518" s="556">
        <f t="shared" si="10"/>
        <v>343103712.49000001</v>
      </c>
      <c r="AE518" s="556">
        <f t="shared" si="23"/>
        <v>343103712.49000001</v>
      </c>
      <c r="AF518" s="556">
        <f t="shared" si="23"/>
        <v>406650303.51999998</v>
      </c>
      <c r="AG518" s="556">
        <f t="shared" si="23"/>
        <v>400390597.29000002</v>
      </c>
    </row>
    <row r="519" spans="1:33" hidden="1" outlineLevel="1" x14ac:dyDescent="0.35">
      <c r="A519" t="b">
        <f t="shared" si="7"/>
        <v>1</v>
      </c>
      <c r="B519" s="27" t="s">
        <v>1195</v>
      </c>
      <c r="C519" s="27" t="s">
        <v>51</v>
      </c>
      <c r="D519" s="27" t="s">
        <v>1774</v>
      </c>
      <c r="E519" s="27" t="s">
        <v>51</v>
      </c>
      <c r="F519" s="27" t="s">
        <v>90</v>
      </c>
      <c r="G519" s="27" t="s">
        <v>1970</v>
      </c>
      <c r="H519" s="27" t="s">
        <v>54</v>
      </c>
      <c r="I519" s="27" t="s">
        <v>55</v>
      </c>
      <c r="J519" s="27" t="s">
        <v>393</v>
      </c>
      <c r="K519" s="27" t="s">
        <v>371</v>
      </c>
      <c r="L519" s="27" t="s">
        <v>371</v>
      </c>
      <c r="M519" s="27" t="s">
        <v>371</v>
      </c>
      <c r="N519" s="27" t="s">
        <v>371</v>
      </c>
      <c r="O519" s="27" t="s">
        <v>371</v>
      </c>
      <c r="P519" s="27" t="s">
        <v>371</v>
      </c>
      <c r="Q519" s="27" t="s">
        <v>372</v>
      </c>
      <c r="R519" s="556">
        <f t="shared" si="8"/>
        <v>1385189.66</v>
      </c>
      <c r="S519" s="556">
        <f t="shared" si="12"/>
        <v>1825393.38</v>
      </c>
      <c r="T519" s="556">
        <f t="shared" si="13"/>
        <v>1825393.38</v>
      </c>
      <c r="U519" s="556">
        <f t="shared" si="14"/>
        <v>1825393.38</v>
      </c>
      <c r="V519" s="556">
        <f t="shared" si="15"/>
        <v>1825393.38</v>
      </c>
      <c r="W519" s="556">
        <f t="shared" si="16"/>
        <v>1825393.38</v>
      </c>
      <c r="X519" s="556">
        <f t="shared" si="17"/>
        <v>1825393.38</v>
      </c>
      <c r="Y519" s="556">
        <f t="shared" si="18"/>
        <v>1825393.38</v>
      </c>
      <c r="Z519" s="556">
        <f t="shared" si="19"/>
        <v>1825393.38</v>
      </c>
      <c r="AA519" s="556">
        <f t="shared" si="20"/>
        <v>1825393.38</v>
      </c>
      <c r="AB519" s="556">
        <f t="shared" si="21"/>
        <v>2074690.82</v>
      </c>
      <c r="AC519" s="556">
        <f t="shared" si="22"/>
        <v>3533243.51</v>
      </c>
      <c r="AD519" s="556">
        <f t="shared" si="10"/>
        <v>3533243.51</v>
      </c>
      <c r="AE519" s="556">
        <f t="shared" si="23"/>
        <v>3673239.23</v>
      </c>
      <c r="AF519" s="556">
        <f t="shared" si="23"/>
        <v>3673239.23</v>
      </c>
      <c r="AG519" s="556">
        <f t="shared" si="23"/>
        <v>252042582.25999999</v>
      </c>
    </row>
    <row r="520" spans="1:33" hidden="1" outlineLevel="1" x14ac:dyDescent="0.35">
      <c r="A520" t="b">
        <f t="shared" si="7"/>
        <v>1</v>
      </c>
      <c r="B520" s="27" t="s">
        <v>1196</v>
      </c>
      <c r="C520" s="27" t="s">
        <v>51</v>
      </c>
      <c r="D520" s="27" t="s">
        <v>1775</v>
      </c>
      <c r="E520" s="27" t="s">
        <v>51</v>
      </c>
      <c r="F520" s="27" t="s">
        <v>90</v>
      </c>
      <c r="G520" s="27" t="s">
        <v>1393</v>
      </c>
      <c r="H520" s="27" t="s">
        <v>54</v>
      </c>
      <c r="I520" s="27" t="s">
        <v>55</v>
      </c>
      <c r="J520" s="27" t="s">
        <v>393</v>
      </c>
      <c r="K520" s="27" t="s">
        <v>371</v>
      </c>
      <c r="L520" s="27" t="s">
        <v>371</v>
      </c>
      <c r="M520" s="27" t="s">
        <v>371</v>
      </c>
      <c r="N520" s="27" t="s">
        <v>371</v>
      </c>
      <c r="O520" s="27" t="s">
        <v>371</v>
      </c>
      <c r="P520" s="27" t="s">
        <v>371</v>
      </c>
      <c r="Q520" s="27" t="s">
        <v>372</v>
      </c>
      <c r="R520" s="556">
        <f t="shared" si="8"/>
        <v>4836978.7</v>
      </c>
      <c r="S520" s="556">
        <f t="shared" si="12"/>
        <v>5919004.7000000002</v>
      </c>
      <c r="T520" s="556">
        <f t="shared" si="13"/>
        <v>5919004.7000000002</v>
      </c>
      <c r="U520" s="556">
        <f t="shared" si="14"/>
        <v>5919004.7000000002</v>
      </c>
      <c r="V520" s="556">
        <f t="shared" si="15"/>
        <v>5981504.7000000002</v>
      </c>
      <c r="W520" s="556">
        <f t="shared" si="16"/>
        <v>5919004.7000000002</v>
      </c>
      <c r="X520" s="556">
        <f t="shared" si="17"/>
        <v>5352935.7</v>
      </c>
      <c r="Y520" s="556">
        <f t="shared" si="18"/>
        <v>5775828.2999999998</v>
      </c>
      <c r="Z520" s="556">
        <f t="shared" si="19"/>
        <v>5930991.5099999998</v>
      </c>
      <c r="AA520" s="556">
        <f t="shared" si="20"/>
        <v>6434120.7000000002</v>
      </c>
      <c r="AB520" s="556">
        <f t="shared" si="21"/>
        <v>6434120.7000000002</v>
      </c>
      <c r="AC520" s="556">
        <f t="shared" si="22"/>
        <v>6434120.7000000002</v>
      </c>
      <c r="AD520" s="556">
        <f t="shared" si="10"/>
        <v>6434120.7000000002</v>
      </c>
      <c r="AE520" s="556">
        <f t="shared" si="23"/>
        <v>6434120.7000000002</v>
      </c>
      <c r="AF520" s="556">
        <f t="shared" si="23"/>
        <v>7543547.1100000003</v>
      </c>
      <c r="AG520" s="556">
        <f t="shared" si="23"/>
        <v>10279156.77</v>
      </c>
    </row>
    <row r="521" spans="1:33" hidden="1" outlineLevel="1" x14ac:dyDescent="0.35">
      <c r="A521" t="b">
        <f t="shared" si="7"/>
        <v>1</v>
      </c>
      <c r="B521" s="27" t="s">
        <v>1197</v>
      </c>
      <c r="C521" s="27" t="s">
        <v>51</v>
      </c>
      <c r="D521" s="27" t="s">
        <v>1776</v>
      </c>
      <c r="E521" s="27" t="s">
        <v>51</v>
      </c>
      <c r="F521" s="27" t="s">
        <v>90</v>
      </c>
      <c r="G521" s="27" t="s">
        <v>1394</v>
      </c>
      <c r="H521" s="27" t="s">
        <v>54</v>
      </c>
      <c r="I521" s="27" t="s">
        <v>55</v>
      </c>
      <c r="J521" s="27" t="s">
        <v>393</v>
      </c>
      <c r="K521" s="27" t="s">
        <v>371</v>
      </c>
      <c r="L521" s="27" t="s">
        <v>371</v>
      </c>
      <c r="M521" s="27" t="s">
        <v>371</v>
      </c>
      <c r="N521" s="27" t="s">
        <v>371</v>
      </c>
      <c r="O521" s="27" t="s">
        <v>371</v>
      </c>
      <c r="P521" s="27" t="s">
        <v>371</v>
      </c>
      <c r="Q521" s="27" t="s">
        <v>372</v>
      </c>
      <c r="R521" s="556">
        <f t="shared" si="8"/>
        <v>1228739.27</v>
      </c>
      <c r="S521" s="556">
        <f t="shared" si="12"/>
        <v>1228739.27</v>
      </c>
      <c r="T521" s="556">
        <f t="shared" si="13"/>
        <v>1228739.27</v>
      </c>
      <c r="U521" s="556">
        <f t="shared" si="14"/>
        <v>1228739.27</v>
      </c>
      <c r="V521" s="556">
        <f t="shared" si="15"/>
        <v>1228739.27</v>
      </c>
      <c r="W521" s="556">
        <f t="shared" si="16"/>
        <v>1228739.27</v>
      </c>
      <c r="X521" s="556">
        <f t="shared" si="17"/>
        <v>1228739.27</v>
      </c>
      <c r="Y521" s="556">
        <f t="shared" si="18"/>
        <v>1228739.27</v>
      </c>
      <c r="Z521" s="556">
        <f t="shared" si="19"/>
        <v>1228739.27</v>
      </c>
      <c r="AA521" s="556">
        <f t="shared" si="20"/>
        <v>1228739.27</v>
      </c>
      <c r="AB521" s="556">
        <f t="shared" si="21"/>
        <v>1228739.27</v>
      </c>
      <c r="AC521" s="556">
        <f t="shared" si="22"/>
        <v>1228739.27</v>
      </c>
      <c r="AD521" s="556">
        <f t="shared" si="10"/>
        <v>1228739.27</v>
      </c>
      <c r="AE521" s="556">
        <f t="shared" si="23"/>
        <v>1228739.27</v>
      </c>
      <c r="AF521" s="556">
        <f t="shared" si="23"/>
        <v>1228739.27</v>
      </c>
      <c r="AG521" s="556">
        <f t="shared" si="23"/>
        <v>37248602.579999998</v>
      </c>
    </row>
    <row r="522" spans="1:33" hidden="1" outlineLevel="1" x14ac:dyDescent="0.35">
      <c r="A522" t="b">
        <f t="shared" si="7"/>
        <v>1</v>
      </c>
      <c r="B522" s="27" t="s">
        <v>395</v>
      </c>
      <c r="C522" s="27" t="s">
        <v>51</v>
      </c>
      <c r="D522" s="27" t="s">
        <v>1395</v>
      </c>
      <c r="E522" s="27" t="s">
        <v>51</v>
      </c>
      <c r="F522" s="27" t="s">
        <v>385</v>
      </c>
      <c r="G522" s="27" t="s">
        <v>396</v>
      </c>
      <c r="H522" s="27" t="s">
        <v>54</v>
      </c>
      <c r="I522" s="27" t="s">
        <v>55</v>
      </c>
      <c r="J522" s="27" t="s">
        <v>393</v>
      </c>
      <c r="K522" s="27" t="s">
        <v>371</v>
      </c>
      <c r="L522" s="27" t="s">
        <v>371</v>
      </c>
      <c r="M522" s="27" t="s">
        <v>371</v>
      </c>
      <c r="N522" s="27" t="s">
        <v>371</v>
      </c>
      <c r="O522" s="27" t="s">
        <v>371</v>
      </c>
      <c r="P522" s="27" t="s">
        <v>371</v>
      </c>
      <c r="Q522" s="27" t="s">
        <v>372</v>
      </c>
      <c r="R522" s="556">
        <f t="shared" si="8"/>
        <v>3979368.45</v>
      </c>
      <c r="S522" s="556">
        <f t="shared" si="12"/>
        <v>3979368.45</v>
      </c>
      <c r="T522" s="556">
        <f t="shared" si="13"/>
        <v>3979368.45</v>
      </c>
      <c r="U522" s="556">
        <f t="shared" si="14"/>
        <v>3979368.45</v>
      </c>
      <c r="V522" s="556">
        <f t="shared" si="15"/>
        <v>4041868.45</v>
      </c>
      <c r="W522" s="556">
        <f t="shared" si="16"/>
        <v>3979368.45</v>
      </c>
      <c r="X522" s="556">
        <f t="shared" si="17"/>
        <v>3979368.45</v>
      </c>
      <c r="Y522" s="556">
        <f t="shared" si="18"/>
        <v>3979368.45</v>
      </c>
      <c r="Z522" s="556">
        <f t="shared" si="19"/>
        <v>3979368.45</v>
      </c>
      <c r="AA522" s="556">
        <f t="shared" si="20"/>
        <v>3979368.45</v>
      </c>
      <c r="AB522" s="556">
        <f t="shared" si="21"/>
        <v>3979368.45</v>
      </c>
      <c r="AC522" s="556">
        <f t="shared" si="22"/>
        <v>4502108.9800000004</v>
      </c>
      <c r="AD522" s="556">
        <f t="shared" si="10"/>
        <v>4502108.9800000004</v>
      </c>
      <c r="AE522" s="556">
        <f t="shared" si="23"/>
        <v>4502108.9800000004</v>
      </c>
      <c r="AF522" s="556">
        <f t="shared" si="23"/>
        <v>4502108.9800000004</v>
      </c>
      <c r="AG522" s="556">
        <f t="shared" si="23"/>
        <v>0</v>
      </c>
    </row>
    <row r="523" spans="1:33" hidden="1" outlineLevel="1" x14ac:dyDescent="0.35">
      <c r="A523" t="b">
        <f t="shared" si="7"/>
        <v>1</v>
      </c>
      <c r="B523" s="27" t="s">
        <v>397</v>
      </c>
      <c r="C523" s="27" t="s">
        <v>51</v>
      </c>
      <c r="D523" s="27" t="s">
        <v>1396</v>
      </c>
      <c r="E523" s="27" t="s">
        <v>51</v>
      </c>
      <c r="F523" s="27" t="s">
        <v>385</v>
      </c>
      <c r="G523" s="27" t="s">
        <v>398</v>
      </c>
      <c r="H523" s="27" t="s">
        <v>54</v>
      </c>
      <c r="I523" s="27" t="s">
        <v>55</v>
      </c>
      <c r="J523" s="27" t="s">
        <v>393</v>
      </c>
      <c r="K523" s="27" t="s">
        <v>371</v>
      </c>
      <c r="L523" s="27" t="s">
        <v>371</v>
      </c>
      <c r="M523" s="27" t="s">
        <v>371</v>
      </c>
      <c r="N523" s="27" t="s">
        <v>371</v>
      </c>
      <c r="O523" s="27" t="s">
        <v>371</v>
      </c>
      <c r="P523" s="27" t="s">
        <v>371</v>
      </c>
      <c r="Q523" s="27" t="s">
        <v>372</v>
      </c>
      <c r="R523" s="556">
        <f t="shared" si="8"/>
        <v>413348.92</v>
      </c>
      <c r="S523" s="556">
        <f t="shared" si="12"/>
        <v>413348.92</v>
      </c>
      <c r="T523" s="556">
        <f t="shared" si="13"/>
        <v>413348.92</v>
      </c>
      <c r="U523" s="556">
        <f t="shared" si="14"/>
        <v>413348.92</v>
      </c>
      <c r="V523" s="556">
        <f t="shared" si="15"/>
        <v>413348.92</v>
      </c>
      <c r="W523" s="556">
        <f t="shared" si="16"/>
        <v>413348.92</v>
      </c>
      <c r="X523" s="556">
        <f t="shared" si="17"/>
        <v>413348.92</v>
      </c>
      <c r="Y523" s="556">
        <f t="shared" si="18"/>
        <v>413348.92</v>
      </c>
      <c r="Z523" s="556">
        <f t="shared" si="19"/>
        <v>413348.92</v>
      </c>
      <c r="AA523" s="556">
        <f t="shared" si="20"/>
        <v>413348.92</v>
      </c>
      <c r="AB523" s="556">
        <f t="shared" si="21"/>
        <v>413348.92</v>
      </c>
      <c r="AC523" s="556">
        <f t="shared" si="22"/>
        <v>413348.92</v>
      </c>
      <c r="AD523" s="556">
        <f t="shared" si="10"/>
        <v>413348.92</v>
      </c>
      <c r="AE523" s="556">
        <f t="shared" si="23"/>
        <v>413348.92</v>
      </c>
      <c r="AF523" s="556">
        <f t="shared" si="23"/>
        <v>413348.92</v>
      </c>
      <c r="AG523" s="556">
        <f t="shared" si="23"/>
        <v>0</v>
      </c>
    </row>
    <row r="524" spans="1:33" hidden="1" outlineLevel="1" x14ac:dyDescent="0.35">
      <c r="A524" t="b">
        <f t="shared" si="7"/>
        <v>1</v>
      </c>
      <c r="B524" s="27" t="s">
        <v>399</v>
      </c>
      <c r="C524" s="27" t="s">
        <v>51</v>
      </c>
      <c r="D524" s="27" t="s">
        <v>1397</v>
      </c>
      <c r="E524" s="27" t="s">
        <v>51</v>
      </c>
      <c r="F524" s="27" t="s">
        <v>385</v>
      </c>
      <c r="G524" s="27" t="s">
        <v>400</v>
      </c>
      <c r="H524" s="27" t="s">
        <v>54</v>
      </c>
      <c r="I524" s="27" t="s">
        <v>55</v>
      </c>
      <c r="J524" s="27" t="s">
        <v>393</v>
      </c>
      <c r="K524" s="27" t="s">
        <v>371</v>
      </c>
      <c r="L524" s="27" t="s">
        <v>371</v>
      </c>
      <c r="M524" s="27" t="s">
        <v>371</v>
      </c>
      <c r="N524" s="27" t="s">
        <v>371</v>
      </c>
      <c r="O524" s="27" t="s">
        <v>371</v>
      </c>
      <c r="P524" s="27" t="s">
        <v>371</v>
      </c>
      <c r="Q524" s="27" t="s">
        <v>372</v>
      </c>
      <c r="R524" s="556">
        <f t="shared" si="8"/>
        <v>667368.97</v>
      </c>
      <c r="S524" s="556">
        <f t="shared" si="12"/>
        <v>877758.97</v>
      </c>
      <c r="T524" s="556">
        <f t="shared" si="13"/>
        <v>877758.97</v>
      </c>
      <c r="U524" s="556">
        <f t="shared" si="14"/>
        <v>877758.97</v>
      </c>
      <c r="V524" s="556">
        <f t="shared" si="15"/>
        <v>940258.97</v>
      </c>
      <c r="W524" s="556">
        <f t="shared" si="16"/>
        <v>877758.97</v>
      </c>
      <c r="X524" s="556">
        <f t="shared" si="17"/>
        <v>877758.97</v>
      </c>
      <c r="Y524" s="556">
        <f t="shared" si="18"/>
        <v>877758.97</v>
      </c>
      <c r="Z524" s="556">
        <f t="shared" si="19"/>
        <v>877758.97</v>
      </c>
      <c r="AA524" s="556">
        <f t="shared" si="20"/>
        <v>877758.97</v>
      </c>
      <c r="AB524" s="556">
        <f t="shared" si="21"/>
        <v>877758.97</v>
      </c>
      <c r="AC524" s="556">
        <f t="shared" si="22"/>
        <v>877758.97</v>
      </c>
      <c r="AD524" s="556">
        <f t="shared" si="10"/>
        <v>1167110.9099999999</v>
      </c>
      <c r="AE524" s="556">
        <f t="shared" si="23"/>
        <v>1167110.9099999999</v>
      </c>
      <c r="AF524" s="556">
        <f t="shared" si="23"/>
        <v>1167110.9099999999</v>
      </c>
      <c r="AG524" s="556">
        <f t="shared" si="23"/>
        <v>0</v>
      </c>
    </row>
    <row r="525" spans="1:33" hidden="1" outlineLevel="1" x14ac:dyDescent="0.35">
      <c r="A525" t="b">
        <f t="shared" si="7"/>
        <v>1</v>
      </c>
      <c r="B525" s="27" t="s">
        <v>401</v>
      </c>
      <c r="C525" s="27" t="s">
        <v>51</v>
      </c>
      <c r="D525" s="27" t="s">
        <v>1398</v>
      </c>
      <c r="E525" s="27" t="s">
        <v>51</v>
      </c>
      <c r="F525" s="27" t="s">
        <v>385</v>
      </c>
      <c r="G525" s="27" t="s">
        <v>402</v>
      </c>
      <c r="H525" s="27" t="s">
        <v>54</v>
      </c>
      <c r="I525" s="27" t="s">
        <v>55</v>
      </c>
      <c r="J525" s="27" t="s">
        <v>393</v>
      </c>
      <c r="K525" s="27" t="s">
        <v>371</v>
      </c>
      <c r="L525" s="27" t="s">
        <v>371</v>
      </c>
      <c r="M525" s="27" t="s">
        <v>371</v>
      </c>
      <c r="N525" s="27" t="s">
        <v>371</v>
      </c>
      <c r="O525" s="27" t="s">
        <v>371</v>
      </c>
      <c r="P525" s="27" t="s">
        <v>371</v>
      </c>
      <c r="Q525" s="27" t="s">
        <v>372</v>
      </c>
      <c r="R525" s="556">
        <f t="shared" si="8"/>
        <v>292242.51</v>
      </c>
      <c r="S525" s="556">
        <f t="shared" si="12"/>
        <v>292242.51</v>
      </c>
      <c r="T525" s="556">
        <f t="shared" si="13"/>
        <v>292242.51</v>
      </c>
      <c r="U525" s="556">
        <f t="shared" si="14"/>
        <v>292242.51</v>
      </c>
      <c r="V525" s="556">
        <f t="shared" si="15"/>
        <v>292242.51</v>
      </c>
      <c r="W525" s="556">
        <f t="shared" si="16"/>
        <v>292242.51</v>
      </c>
      <c r="X525" s="556">
        <f t="shared" si="17"/>
        <v>292242.51</v>
      </c>
      <c r="Y525" s="556">
        <f t="shared" si="18"/>
        <v>292242.51</v>
      </c>
      <c r="Z525" s="556">
        <f t="shared" si="19"/>
        <v>292242.51</v>
      </c>
      <c r="AA525" s="556">
        <f t="shared" si="20"/>
        <v>292242.51</v>
      </c>
      <c r="AB525" s="556">
        <f t="shared" si="21"/>
        <v>292242.51</v>
      </c>
      <c r="AC525" s="556">
        <f t="shared" si="22"/>
        <v>292242.51</v>
      </c>
      <c r="AD525" s="556">
        <f t="shared" si="10"/>
        <v>292242.51</v>
      </c>
      <c r="AE525" s="556">
        <f t="shared" si="23"/>
        <v>292242.51</v>
      </c>
      <c r="AF525" s="556">
        <f t="shared" si="23"/>
        <v>292242.51</v>
      </c>
      <c r="AG525" s="556">
        <f t="shared" si="23"/>
        <v>0</v>
      </c>
    </row>
    <row r="526" spans="1:33" hidden="1" outlineLevel="1" x14ac:dyDescent="0.35">
      <c r="A526" t="b">
        <f t="shared" si="7"/>
        <v>1</v>
      </c>
      <c r="B526" s="27" t="s">
        <v>403</v>
      </c>
      <c r="C526" s="27" t="s">
        <v>51</v>
      </c>
      <c r="D526" s="27" t="s">
        <v>1399</v>
      </c>
      <c r="E526" s="27" t="s">
        <v>51</v>
      </c>
      <c r="F526" s="27" t="s">
        <v>385</v>
      </c>
      <c r="G526" s="27" t="s">
        <v>404</v>
      </c>
      <c r="H526" s="27" t="s">
        <v>54</v>
      </c>
      <c r="I526" s="27" t="s">
        <v>55</v>
      </c>
      <c r="J526" s="27" t="s">
        <v>393</v>
      </c>
      <c r="K526" s="27" t="s">
        <v>371</v>
      </c>
      <c r="L526" s="27" t="s">
        <v>371</v>
      </c>
      <c r="M526" s="27" t="s">
        <v>371</v>
      </c>
      <c r="N526" s="27" t="s">
        <v>371</v>
      </c>
      <c r="O526" s="27" t="s">
        <v>371</v>
      </c>
      <c r="P526" s="27" t="s">
        <v>371</v>
      </c>
      <c r="Q526" s="27" t="s">
        <v>372</v>
      </c>
      <c r="R526" s="556">
        <f t="shared" si="8"/>
        <v>3675066.63</v>
      </c>
      <c r="S526" s="556">
        <f t="shared" si="12"/>
        <v>4202834.95</v>
      </c>
      <c r="T526" s="556">
        <f t="shared" si="13"/>
        <v>5882630.71</v>
      </c>
      <c r="U526" s="556">
        <f t="shared" si="14"/>
        <v>5882630.71</v>
      </c>
      <c r="V526" s="556">
        <f t="shared" si="15"/>
        <v>5945130.71</v>
      </c>
      <c r="W526" s="556">
        <f t="shared" si="16"/>
        <v>5882630.71</v>
      </c>
      <c r="X526" s="556">
        <f t="shared" si="17"/>
        <v>5882630.71</v>
      </c>
      <c r="Y526" s="556">
        <f t="shared" si="18"/>
        <v>5882630.71</v>
      </c>
      <c r="Z526" s="556">
        <f t="shared" si="19"/>
        <v>5882630.71</v>
      </c>
      <c r="AA526" s="556">
        <f t="shared" si="20"/>
        <v>5882630.71</v>
      </c>
      <c r="AB526" s="556">
        <f t="shared" si="21"/>
        <v>5882630.71</v>
      </c>
      <c r="AC526" s="556">
        <f t="shared" si="22"/>
        <v>6516672.5899999999</v>
      </c>
      <c r="AD526" s="556">
        <f t="shared" si="10"/>
        <v>6516672.5899999999</v>
      </c>
      <c r="AE526" s="556">
        <f t="shared" si="23"/>
        <v>6516672.5899999999</v>
      </c>
      <c r="AF526" s="556">
        <f t="shared" si="23"/>
        <v>6516672.5899999999</v>
      </c>
      <c r="AG526" s="556">
        <f t="shared" si="23"/>
        <v>0</v>
      </c>
    </row>
    <row r="527" spans="1:33" hidden="1" outlineLevel="1" x14ac:dyDescent="0.35">
      <c r="A527" t="b">
        <f t="shared" si="7"/>
        <v>1</v>
      </c>
      <c r="B527" s="27" t="s">
        <v>405</v>
      </c>
      <c r="C527" s="27" t="s">
        <v>51</v>
      </c>
      <c r="D527" s="27" t="s">
        <v>1400</v>
      </c>
      <c r="E527" s="27" t="s">
        <v>51</v>
      </c>
      <c r="F527" s="27" t="s">
        <v>385</v>
      </c>
      <c r="G527" s="27" t="s">
        <v>406</v>
      </c>
      <c r="H527" s="27" t="s">
        <v>54</v>
      </c>
      <c r="I527" s="27" t="s">
        <v>55</v>
      </c>
      <c r="J527" s="27" t="s">
        <v>393</v>
      </c>
      <c r="K527" s="27" t="s">
        <v>371</v>
      </c>
      <c r="L527" s="27" t="s">
        <v>371</v>
      </c>
      <c r="M527" s="27" t="s">
        <v>371</v>
      </c>
      <c r="N527" s="27" t="s">
        <v>371</v>
      </c>
      <c r="O527" s="27" t="s">
        <v>371</v>
      </c>
      <c r="P527" s="27" t="s">
        <v>371</v>
      </c>
      <c r="Q527" s="27" t="s">
        <v>372</v>
      </c>
      <c r="R527" s="556">
        <f t="shared" si="8"/>
        <v>19767187.300000001</v>
      </c>
      <c r="S527" s="556">
        <f t="shared" si="12"/>
        <v>19767187.300000001</v>
      </c>
      <c r="T527" s="556">
        <f t="shared" si="13"/>
        <v>19767187.300000001</v>
      </c>
      <c r="U527" s="556">
        <f t="shared" si="14"/>
        <v>19767187.300000001</v>
      </c>
      <c r="V527" s="556">
        <f t="shared" si="15"/>
        <v>19829687.300000001</v>
      </c>
      <c r="W527" s="556">
        <f t="shared" si="16"/>
        <v>19767187.300000001</v>
      </c>
      <c r="X527" s="556">
        <f t="shared" si="17"/>
        <v>19767187.300000001</v>
      </c>
      <c r="Y527" s="556">
        <f t="shared" si="18"/>
        <v>19767187.300000001</v>
      </c>
      <c r="Z527" s="556">
        <f t="shared" si="19"/>
        <v>19767187.300000001</v>
      </c>
      <c r="AA527" s="556">
        <f t="shared" si="20"/>
        <v>19767187.300000001</v>
      </c>
      <c r="AB527" s="556">
        <f t="shared" si="21"/>
        <v>19767187.300000001</v>
      </c>
      <c r="AC527" s="556">
        <f t="shared" si="22"/>
        <v>20937043.829999998</v>
      </c>
      <c r="AD527" s="556">
        <f t="shared" si="10"/>
        <v>20937043.829999998</v>
      </c>
      <c r="AE527" s="556">
        <f t="shared" si="23"/>
        <v>21069488.829999998</v>
      </c>
      <c r="AF527" s="556">
        <f t="shared" si="23"/>
        <v>21084228.829999998</v>
      </c>
      <c r="AG527" s="556">
        <f t="shared" si="23"/>
        <v>0</v>
      </c>
    </row>
    <row r="528" spans="1:33" hidden="1" outlineLevel="1" x14ac:dyDescent="0.35">
      <c r="A528" t="b">
        <f t="shared" si="7"/>
        <v>1</v>
      </c>
      <c r="B528" s="27" t="s">
        <v>407</v>
      </c>
      <c r="C528" s="27" t="s">
        <v>51</v>
      </c>
      <c r="D528" s="27" t="s">
        <v>1401</v>
      </c>
      <c r="E528" s="27" t="s">
        <v>51</v>
      </c>
      <c r="F528" s="27" t="s">
        <v>385</v>
      </c>
      <c r="G528" s="27" t="s">
        <v>408</v>
      </c>
      <c r="H528" s="27" t="s">
        <v>54</v>
      </c>
      <c r="I528" s="27" t="s">
        <v>55</v>
      </c>
      <c r="J528" s="27" t="s">
        <v>393</v>
      </c>
      <c r="K528" s="27" t="s">
        <v>371</v>
      </c>
      <c r="L528" s="27" t="s">
        <v>371</v>
      </c>
      <c r="M528" s="27" t="s">
        <v>371</v>
      </c>
      <c r="N528" s="27" t="s">
        <v>371</v>
      </c>
      <c r="O528" s="27" t="s">
        <v>371</v>
      </c>
      <c r="P528" s="27" t="s">
        <v>371</v>
      </c>
      <c r="Q528" s="27" t="s">
        <v>372</v>
      </c>
      <c r="R528" s="556">
        <f t="shared" si="8"/>
        <v>216866.43</v>
      </c>
      <c r="S528" s="556">
        <f t="shared" si="12"/>
        <v>216866.43</v>
      </c>
      <c r="T528" s="556">
        <f t="shared" si="13"/>
        <v>216866.43</v>
      </c>
      <c r="U528" s="556">
        <f t="shared" si="14"/>
        <v>216866.43</v>
      </c>
      <c r="V528" s="556">
        <f t="shared" si="15"/>
        <v>216866.43</v>
      </c>
      <c r="W528" s="556">
        <f t="shared" si="16"/>
        <v>216866.43</v>
      </c>
      <c r="X528" s="556">
        <f t="shared" si="17"/>
        <v>216866.43</v>
      </c>
      <c r="Y528" s="556">
        <f t="shared" si="18"/>
        <v>216866.43</v>
      </c>
      <c r="Z528" s="556">
        <f t="shared" si="19"/>
        <v>216866.43</v>
      </c>
      <c r="AA528" s="556">
        <f t="shared" si="20"/>
        <v>216866.43</v>
      </c>
      <c r="AB528" s="556">
        <f t="shared" si="21"/>
        <v>216866.43</v>
      </c>
      <c r="AC528" s="556">
        <f t="shared" si="22"/>
        <v>216866.43</v>
      </c>
      <c r="AD528" s="556">
        <f t="shared" si="10"/>
        <v>216866.43</v>
      </c>
      <c r="AE528" s="556">
        <f t="shared" si="23"/>
        <v>216866.43</v>
      </c>
      <c r="AF528" s="556">
        <f t="shared" si="23"/>
        <v>216866.43</v>
      </c>
      <c r="AG528" s="556">
        <f t="shared" si="23"/>
        <v>0</v>
      </c>
    </row>
    <row r="529" spans="1:33" hidden="1" outlineLevel="1" x14ac:dyDescent="0.35">
      <c r="A529" t="b">
        <f t="shared" si="7"/>
        <v>1</v>
      </c>
      <c r="B529" s="27" t="s">
        <v>409</v>
      </c>
      <c r="C529" s="27" t="s">
        <v>51</v>
      </c>
      <c r="D529" s="27" t="s">
        <v>1402</v>
      </c>
      <c r="E529" s="27" t="s">
        <v>51</v>
      </c>
      <c r="F529" s="27" t="s">
        <v>385</v>
      </c>
      <c r="G529" s="27" t="s">
        <v>410</v>
      </c>
      <c r="H529" s="27" t="s">
        <v>54</v>
      </c>
      <c r="I529" s="27" t="s">
        <v>55</v>
      </c>
      <c r="J529" s="27" t="s">
        <v>393</v>
      </c>
      <c r="K529" s="27" t="s">
        <v>371</v>
      </c>
      <c r="L529" s="27" t="s">
        <v>371</v>
      </c>
      <c r="M529" s="27" t="s">
        <v>371</v>
      </c>
      <c r="N529" s="27" t="s">
        <v>371</v>
      </c>
      <c r="O529" s="27" t="s">
        <v>371</v>
      </c>
      <c r="P529" s="27" t="s">
        <v>371</v>
      </c>
      <c r="Q529" s="27" t="s">
        <v>372</v>
      </c>
      <c r="R529" s="556">
        <f t="shared" si="8"/>
        <v>7864.94</v>
      </c>
      <c r="S529" s="556">
        <f t="shared" si="12"/>
        <v>7864.94</v>
      </c>
      <c r="T529" s="556">
        <f t="shared" si="13"/>
        <v>7864.94</v>
      </c>
      <c r="U529" s="556">
        <f t="shared" si="14"/>
        <v>7864.94</v>
      </c>
      <c r="V529" s="556">
        <f t="shared" si="15"/>
        <v>7864.94</v>
      </c>
      <c r="W529" s="556">
        <f t="shared" si="16"/>
        <v>7864.94</v>
      </c>
      <c r="X529" s="556">
        <f t="shared" si="17"/>
        <v>7864.94</v>
      </c>
      <c r="Y529" s="556">
        <f t="shared" si="18"/>
        <v>7864.94</v>
      </c>
      <c r="Z529" s="556">
        <f t="shared" si="19"/>
        <v>7864.94</v>
      </c>
      <c r="AA529" s="556">
        <f t="shared" si="20"/>
        <v>7864.94</v>
      </c>
      <c r="AB529" s="556">
        <f t="shared" si="21"/>
        <v>7864.94</v>
      </c>
      <c r="AC529" s="556">
        <f t="shared" si="22"/>
        <v>7864.94</v>
      </c>
      <c r="AD529" s="556">
        <f t="shared" si="10"/>
        <v>7864.94</v>
      </c>
      <c r="AE529" s="556">
        <f t="shared" si="23"/>
        <v>7864.94</v>
      </c>
      <c r="AF529" s="556">
        <f t="shared" si="23"/>
        <v>7864.94</v>
      </c>
      <c r="AG529" s="556">
        <f t="shared" si="23"/>
        <v>0</v>
      </c>
    </row>
    <row r="530" spans="1:33" hidden="1" outlineLevel="1" x14ac:dyDescent="0.35">
      <c r="A530" t="b">
        <f t="shared" si="7"/>
        <v>1</v>
      </c>
      <c r="B530" s="27" t="s">
        <v>411</v>
      </c>
      <c r="C530" s="27" t="s">
        <v>51</v>
      </c>
      <c r="D530" s="27" t="s">
        <v>1403</v>
      </c>
      <c r="E530" s="27" t="s">
        <v>51</v>
      </c>
      <c r="F530" s="27" t="s">
        <v>385</v>
      </c>
      <c r="G530" s="27" t="s">
        <v>412</v>
      </c>
      <c r="H530" s="27" t="s">
        <v>54</v>
      </c>
      <c r="I530" s="27" t="s">
        <v>55</v>
      </c>
      <c r="J530" s="27" t="s">
        <v>393</v>
      </c>
      <c r="K530" s="27" t="s">
        <v>371</v>
      </c>
      <c r="L530" s="27" t="s">
        <v>371</v>
      </c>
      <c r="M530" s="27" t="s">
        <v>371</v>
      </c>
      <c r="N530" s="27" t="s">
        <v>371</v>
      </c>
      <c r="O530" s="27" t="s">
        <v>371</v>
      </c>
      <c r="P530" s="27" t="s">
        <v>371</v>
      </c>
      <c r="Q530" s="27" t="s">
        <v>372</v>
      </c>
      <c r="R530" s="556">
        <f t="shared" si="8"/>
        <v>463382.99</v>
      </c>
      <c r="S530" s="556">
        <f t="shared" si="12"/>
        <v>463382.99</v>
      </c>
      <c r="T530" s="556">
        <f t="shared" si="13"/>
        <v>463382.99</v>
      </c>
      <c r="U530" s="556">
        <f t="shared" si="14"/>
        <v>463382.99</v>
      </c>
      <c r="V530" s="556">
        <f t="shared" si="15"/>
        <v>463382.99</v>
      </c>
      <c r="W530" s="556">
        <f t="shared" si="16"/>
        <v>463382.99</v>
      </c>
      <c r="X530" s="556">
        <f t="shared" si="17"/>
        <v>463382.99</v>
      </c>
      <c r="Y530" s="556">
        <f t="shared" si="18"/>
        <v>463382.99</v>
      </c>
      <c r="Z530" s="556">
        <f t="shared" si="19"/>
        <v>463382.99</v>
      </c>
      <c r="AA530" s="556">
        <f t="shared" si="20"/>
        <v>463382.99</v>
      </c>
      <c r="AB530" s="556">
        <f t="shared" si="21"/>
        <v>463382.99</v>
      </c>
      <c r="AC530" s="556">
        <f t="shared" si="22"/>
        <v>463382.99</v>
      </c>
      <c r="AD530" s="556">
        <f t="shared" si="10"/>
        <v>463382.99</v>
      </c>
      <c r="AE530" s="556">
        <f t="shared" si="23"/>
        <v>463382.99</v>
      </c>
      <c r="AF530" s="556">
        <f t="shared" si="23"/>
        <v>463382.99</v>
      </c>
      <c r="AG530" s="556">
        <f t="shared" si="23"/>
        <v>0</v>
      </c>
    </row>
    <row r="531" spans="1:33" hidden="1" outlineLevel="1" x14ac:dyDescent="0.35">
      <c r="A531" t="b">
        <f t="shared" si="7"/>
        <v>1</v>
      </c>
      <c r="B531" s="27" t="s">
        <v>413</v>
      </c>
      <c r="C531" s="27" t="s">
        <v>51</v>
      </c>
      <c r="D531" s="27" t="s">
        <v>1404</v>
      </c>
      <c r="E531" s="27" t="s">
        <v>51</v>
      </c>
      <c r="F531" s="27" t="s">
        <v>385</v>
      </c>
      <c r="G531" s="27" t="s">
        <v>414</v>
      </c>
      <c r="H531" s="27" t="s">
        <v>54</v>
      </c>
      <c r="I531" s="27" t="s">
        <v>55</v>
      </c>
      <c r="J531" s="27" t="s">
        <v>393</v>
      </c>
      <c r="K531" s="27" t="s">
        <v>371</v>
      </c>
      <c r="L531" s="27" t="s">
        <v>371</v>
      </c>
      <c r="M531" s="27" t="s">
        <v>371</v>
      </c>
      <c r="N531" s="27" t="s">
        <v>371</v>
      </c>
      <c r="O531" s="27" t="s">
        <v>371</v>
      </c>
      <c r="P531" s="27" t="s">
        <v>371</v>
      </c>
      <c r="Q531" s="27" t="s">
        <v>372</v>
      </c>
      <c r="R531" s="556">
        <f t="shared" si="8"/>
        <v>160975.06</v>
      </c>
      <c r="S531" s="556">
        <f t="shared" si="12"/>
        <v>160975.06</v>
      </c>
      <c r="T531" s="556">
        <f t="shared" si="13"/>
        <v>160975.06</v>
      </c>
      <c r="U531" s="556">
        <f t="shared" si="14"/>
        <v>160975.06</v>
      </c>
      <c r="V531" s="556">
        <f t="shared" si="15"/>
        <v>160975.06</v>
      </c>
      <c r="W531" s="556">
        <f t="shared" si="16"/>
        <v>160975.06</v>
      </c>
      <c r="X531" s="556">
        <f t="shared" si="17"/>
        <v>160975.06</v>
      </c>
      <c r="Y531" s="556">
        <f t="shared" si="18"/>
        <v>160975.06</v>
      </c>
      <c r="Z531" s="556">
        <f t="shared" si="19"/>
        <v>160975.06</v>
      </c>
      <c r="AA531" s="556">
        <f t="shared" si="20"/>
        <v>160975.06</v>
      </c>
      <c r="AB531" s="556">
        <f t="shared" si="21"/>
        <v>160975.06</v>
      </c>
      <c r="AC531" s="556">
        <f t="shared" si="22"/>
        <v>160975.06</v>
      </c>
      <c r="AD531" s="556">
        <f t="shared" si="10"/>
        <v>160975.06</v>
      </c>
      <c r="AE531" s="556">
        <f t="shared" ref="AE531:AG550" si="24">+IF(AE$10="Actuals",IF($O53="Revenue",-IF($H53="BS",AE53,IF($H53="P&amp;L",AE53-AD53,0)),IF($H53="BS",AE53,IF($H53="P&amp;L",AE53-AD53,0))),0)</f>
        <v>160975.06</v>
      </c>
      <c r="AF531" s="556">
        <f t="shared" si="24"/>
        <v>160975.06</v>
      </c>
      <c r="AG531" s="556">
        <f t="shared" si="24"/>
        <v>0</v>
      </c>
    </row>
    <row r="532" spans="1:33" hidden="1" outlineLevel="1" x14ac:dyDescent="0.35">
      <c r="A532" t="b">
        <f t="shared" si="7"/>
        <v>1</v>
      </c>
      <c r="B532" s="27" t="s">
        <v>415</v>
      </c>
      <c r="C532" s="27" t="s">
        <v>51</v>
      </c>
      <c r="D532" s="27" t="s">
        <v>1405</v>
      </c>
      <c r="E532" s="27" t="s">
        <v>51</v>
      </c>
      <c r="F532" s="27" t="s">
        <v>385</v>
      </c>
      <c r="G532" s="27" t="s">
        <v>416</v>
      </c>
      <c r="H532" s="27" t="s">
        <v>54</v>
      </c>
      <c r="I532" s="27" t="s">
        <v>55</v>
      </c>
      <c r="J532" s="27" t="s">
        <v>393</v>
      </c>
      <c r="K532" s="27" t="s">
        <v>371</v>
      </c>
      <c r="L532" s="27" t="s">
        <v>371</v>
      </c>
      <c r="M532" s="27" t="s">
        <v>371</v>
      </c>
      <c r="N532" s="27" t="s">
        <v>371</v>
      </c>
      <c r="O532" s="27" t="s">
        <v>371</v>
      </c>
      <c r="P532" s="27" t="s">
        <v>371</v>
      </c>
      <c r="Q532" s="27" t="s">
        <v>372</v>
      </c>
      <c r="R532" s="556">
        <f t="shared" si="8"/>
        <v>28405.58</v>
      </c>
      <c r="S532" s="556">
        <f t="shared" si="12"/>
        <v>28405.58</v>
      </c>
      <c r="T532" s="556">
        <f t="shared" si="13"/>
        <v>28405.58</v>
      </c>
      <c r="U532" s="556">
        <f t="shared" si="14"/>
        <v>28405.58</v>
      </c>
      <c r="V532" s="556">
        <f t="shared" si="15"/>
        <v>28405.58</v>
      </c>
      <c r="W532" s="556">
        <f t="shared" si="16"/>
        <v>28405.58</v>
      </c>
      <c r="X532" s="556">
        <f t="shared" si="17"/>
        <v>28405.58</v>
      </c>
      <c r="Y532" s="556">
        <f t="shared" si="18"/>
        <v>28405.58</v>
      </c>
      <c r="Z532" s="556">
        <f t="shared" si="19"/>
        <v>28405.58</v>
      </c>
      <c r="AA532" s="556">
        <f t="shared" si="20"/>
        <v>28405.58</v>
      </c>
      <c r="AB532" s="556">
        <f t="shared" si="21"/>
        <v>28405.58</v>
      </c>
      <c r="AC532" s="556">
        <f t="shared" si="22"/>
        <v>28405.58</v>
      </c>
      <c r="AD532" s="556">
        <f t="shared" si="10"/>
        <v>28405.58</v>
      </c>
      <c r="AE532" s="556">
        <f t="shared" si="24"/>
        <v>28405.58</v>
      </c>
      <c r="AF532" s="556">
        <f t="shared" si="24"/>
        <v>28405.58</v>
      </c>
      <c r="AG532" s="556">
        <f t="shared" si="24"/>
        <v>0</v>
      </c>
    </row>
    <row r="533" spans="1:33" hidden="1" outlineLevel="1" x14ac:dyDescent="0.35">
      <c r="A533" t="b">
        <f t="shared" si="7"/>
        <v>1</v>
      </c>
      <c r="B533" s="27" t="s">
        <v>417</v>
      </c>
      <c r="C533" s="27" t="s">
        <v>51</v>
      </c>
      <c r="D533" s="27" t="s">
        <v>1406</v>
      </c>
      <c r="E533" s="27" t="s">
        <v>51</v>
      </c>
      <c r="F533" s="27" t="s">
        <v>385</v>
      </c>
      <c r="G533" s="27" t="s">
        <v>418</v>
      </c>
      <c r="H533" s="27" t="s">
        <v>54</v>
      </c>
      <c r="I533" s="27" t="s">
        <v>55</v>
      </c>
      <c r="J533" s="27" t="s">
        <v>393</v>
      </c>
      <c r="K533" s="27" t="s">
        <v>371</v>
      </c>
      <c r="L533" s="27" t="s">
        <v>371</v>
      </c>
      <c r="M533" s="27" t="s">
        <v>371</v>
      </c>
      <c r="N533" s="27" t="s">
        <v>371</v>
      </c>
      <c r="O533" s="27" t="s">
        <v>371</v>
      </c>
      <c r="P533" s="27" t="s">
        <v>371</v>
      </c>
      <c r="Q533" s="27" t="s">
        <v>372</v>
      </c>
      <c r="R533" s="556">
        <f t="shared" si="8"/>
        <v>88376.73</v>
      </c>
      <c r="S533" s="556">
        <f t="shared" si="12"/>
        <v>88376.73</v>
      </c>
      <c r="T533" s="556">
        <f t="shared" si="13"/>
        <v>88376.73</v>
      </c>
      <c r="U533" s="556">
        <f t="shared" si="14"/>
        <v>88376.73</v>
      </c>
      <c r="V533" s="556">
        <f t="shared" si="15"/>
        <v>88376.73</v>
      </c>
      <c r="W533" s="556">
        <f t="shared" si="16"/>
        <v>88376.73</v>
      </c>
      <c r="X533" s="556">
        <f t="shared" si="17"/>
        <v>88376.73</v>
      </c>
      <c r="Y533" s="556">
        <f t="shared" si="18"/>
        <v>88376.73</v>
      </c>
      <c r="Z533" s="556">
        <f t="shared" si="19"/>
        <v>88376.73</v>
      </c>
      <c r="AA533" s="556">
        <f t="shared" si="20"/>
        <v>88376.73</v>
      </c>
      <c r="AB533" s="556">
        <f t="shared" si="21"/>
        <v>88376.73</v>
      </c>
      <c r="AC533" s="556">
        <f t="shared" si="22"/>
        <v>88376.73</v>
      </c>
      <c r="AD533" s="556">
        <f t="shared" si="10"/>
        <v>88376.73</v>
      </c>
      <c r="AE533" s="556">
        <f t="shared" si="24"/>
        <v>88376.73</v>
      </c>
      <c r="AF533" s="556">
        <f t="shared" si="24"/>
        <v>88376.73</v>
      </c>
      <c r="AG533" s="556">
        <f t="shared" si="24"/>
        <v>0</v>
      </c>
    </row>
    <row r="534" spans="1:33" hidden="1" outlineLevel="1" x14ac:dyDescent="0.35">
      <c r="A534" t="b">
        <f t="shared" si="7"/>
        <v>1</v>
      </c>
      <c r="B534" s="27" t="s">
        <v>419</v>
      </c>
      <c r="C534" s="27" t="s">
        <v>51</v>
      </c>
      <c r="D534" s="27" t="s">
        <v>1407</v>
      </c>
      <c r="E534" s="27" t="s">
        <v>51</v>
      </c>
      <c r="F534" s="27" t="s">
        <v>385</v>
      </c>
      <c r="G534" s="27" t="s">
        <v>420</v>
      </c>
      <c r="H534" s="27" t="s">
        <v>54</v>
      </c>
      <c r="I534" s="27" t="s">
        <v>55</v>
      </c>
      <c r="J534" s="27" t="s">
        <v>393</v>
      </c>
      <c r="K534" s="27" t="s">
        <v>371</v>
      </c>
      <c r="L534" s="27" t="s">
        <v>371</v>
      </c>
      <c r="M534" s="27" t="s">
        <v>371</v>
      </c>
      <c r="N534" s="27" t="s">
        <v>371</v>
      </c>
      <c r="O534" s="27" t="s">
        <v>371</v>
      </c>
      <c r="P534" s="27" t="s">
        <v>371</v>
      </c>
      <c r="Q534" s="27" t="s">
        <v>372</v>
      </c>
      <c r="R534" s="556">
        <f t="shared" si="8"/>
        <v>77369.02</v>
      </c>
      <c r="S534" s="556">
        <f t="shared" si="12"/>
        <v>77369.02</v>
      </c>
      <c r="T534" s="556">
        <f t="shared" si="13"/>
        <v>77369.02</v>
      </c>
      <c r="U534" s="556">
        <f t="shared" si="14"/>
        <v>77369.02</v>
      </c>
      <c r="V534" s="556">
        <f t="shared" si="15"/>
        <v>77369.02</v>
      </c>
      <c r="W534" s="556">
        <f t="shared" si="16"/>
        <v>77369.02</v>
      </c>
      <c r="X534" s="556">
        <f t="shared" si="17"/>
        <v>77369.02</v>
      </c>
      <c r="Y534" s="556">
        <f t="shared" si="18"/>
        <v>77369.02</v>
      </c>
      <c r="Z534" s="556">
        <f t="shared" si="19"/>
        <v>77369.02</v>
      </c>
      <c r="AA534" s="556">
        <f t="shared" si="20"/>
        <v>77369.02</v>
      </c>
      <c r="AB534" s="556">
        <f t="shared" si="21"/>
        <v>77369.02</v>
      </c>
      <c r="AC534" s="556">
        <f t="shared" si="22"/>
        <v>77369.02</v>
      </c>
      <c r="AD534" s="556">
        <f t="shared" si="10"/>
        <v>77369.02</v>
      </c>
      <c r="AE534" s="556">
        <f t="shared" si="24"/>
        <v>77369.02</v>
      </c>
      <c r="AF534" s="556">
        <f t="shared" si="24"/>
        <v>77369.02</v>
      </c>
      <c r="AG534" s="556">
        <f t="shared" si="24"/>
        <v>0</v>
      </c>
    </row>
    <row r="535" spans="1:33" hidden="1" outlineLevel="1" x14ac:dyDescent="0.35">
      <c r="A535" t="b">
        <f t="shared" si="7"/>
        <v>1</v>
      </c>
      <c r="B535" s="27" t="s">
        <v>421</v>
      </c>
      <c r="C535" s="27" t="s">
        <v>51</v>
      </c>
      <c r="D535" s="27" t="s">
        <v>1408</v>
      </c>
      <c r="E535" s="27" t="s">
        <v>51</v>
      </c>
      <c r="F535" s="27" t="s">
        <v>385</v>
      </c>
      <c r="G535" s="27" t="s">
        <v>422</v>
      </c>
      <c r="H535" s="27" t="s">
        <v>54</v>
      </c>
      <c r="I535" s="27" t="s">
        <v>55</v>
      </c>
      <c r="J535" s="27" t="s">
        <v>393</v>
      </c>
      <c r="K535" s="27" t="s">
        <v>371</v>
      </c>
      <c r="L535" s="27" t="s">
        <v>371</v>
      </c>
      <c r="M535" s="27" t="s">
        <v>371</v>
      </c>
      <c r="N535" s="27" t="s">
        <v>371</v>
      </c>
      <c r="O535" s="27" t="s">
        <v>371</v>
      </c>
      <c r="P535" s="27" t="s">
        <v>371</v>
      </c>
      <c r="Q535" s="27" t="s">
        <v>372</v>
      </c>
      <c r="R535" s="556">
        <f t="shared" si="8"/>
        <v>147267.17000000001</v>
      </c>
      <c r="S535" s="556">
        <f t="shared" si="12"/>
        <v>147267.17000000001</v>
      </c>
      <c r="T535" s="556">
        <f t="shared" si="13"/>
        <v>147267.17000000001</v>
      </c>
      <c r="U535" s="556">
        <f t="shared" si="14"/>
        <v>147267.17000000001</v>
      </c>
      <c r="V535" s="556">
        <f t="shared" si="15"/>
        <v>147267.17000000001</v>
      </c>
      <c r="W535" s="556">
        <f t="shared" si="16"/>
        <v>147267.17000000001</v>
      </c>
      <c r="X535" s="556">
        <f t="shared" si="17"/>
        <v>147267.17000000001</v>
      </c>
      <c r="Y535" s="556">
        <f t="shared" si="18"/>
        <v>147267.17000000001</v>
      </c>
      <c r="Z535" s="556">
        <f t="shared" si="19"/>
        <v>147267.17000000001</v>
      </c>
      <c r="AA535" s="556">
        <f t="shared" si="20"/>
        <v>147267.17000000001</v>
      </c>
      <c r="AB535" s="556">
        <f t="shared" si="21"/>
        <v>147267.17000000001</v>
      </c>
      <c r="AC535" s="556">
        <f t="shared" si="22"/>
        <v>147267.17000000001</v>
      </c>
      <c r="AD535" s="556">
        <f t="shared" si="10"/>
        <v>147267.17000000001</v>
      </c>
      <c r="AE535" s="556">
        <f t="shared" si="24"/>
        <v>147267.17000000001</v>
      </c>
      <c r="AF535" s="556">
        <f t="shared" si="24"/>
        <v>147267.17000000001</v>
      </c>
      <c r="AG535" s="556">
        <f t="shared" si="24"/>
        <v>0</v>
      </c>
    </row>
    <row r="536" spans="1:33" hidden="1" outlineLevel="1" x14ac:dyDescent="0.35">
      <c r="A536" t="b">
        <f t="shared" si="7"/>
        <v>1</v>
      </c>
      <c r="B536" s="27" t="s">
        <v>423</v>
      </c>
      <c r="C536" s="27" t="s">
        <v>51</v>
      </c>
      <c r="D536" s="27" t="s">
        <v>1409</v>
      </c>
      <c r="E536" s="27" t="s">
        <v>51</v>
      </c>
      <c r="F536" s="27" t="s">
        <v>385</v>
      </c>
      <c r="G536" s="27" t="s">
        <v>424</v>
      </c>
      <c r="H536" s="27" t="s">
        <v>54</v>
      </c>
      <c r="I536" s="27" t="s">
        <v>55</v>
      </c>
      <c r="J536" s="27" t="s">
        <v>393</v>
      </c>
      <c r="K536" s="27" t="s">
        <v>371</v>
      </c>
      <c r="L536" s="27" t="s">
        <v>371</v>
      </c>
      <c r="M536" s="27" t="s">
        <v>371</v>
      </c>
      <c r="N536" s="27" t="s">
        <v>371</v>
      </c>
      <c r="O536" s="27" t="s">
        <v>371</v>
      </c>
      <c r="P536" s="27" t="s">
        <v>371</v>
      </c>
      <c r="Q536" s="27" t="s">
        <v>372</v>
      </c>
      <c r="R536" s="556">
        <f t="shared" si="8"/>
        <v>68559.990000000005</v>
      </c>
      <c r="S536" s="556">
        <f t="shared" si="12"/>
        <v>68559.990000000005</v>
      </c>
      <c r="T536" s="556">
        <f t="shared" si="13"/>
        <v>68559.990000000005</v>
      </c>
      <c r="U536" s="556">
        <f t="shared" si="14"/>
        <v>68559.990000000005</v>
      </c>
      <c r="V536" s="556">
        <f t="shared" si="15"/>
        <v>68559.990000000005</v>
      </c>
      <c r="W536" s="556">
        <f t="shared" si="16"/>
        <v>68559.990000000005</v>
      </c>
      <c r="X536" s="556">
        <f t="shared" si="17"/>
        <v>68559.990000000005</v>
      </c>
      <c r="Y536" s="556">
        <f t="shared" si="18"/>
        <v>68559.990000000005</v>
      </c>
      <c r="Z536" s="556">
        <f t="shared" si="19"/>
        <v>68559.990000000005</v>
      </c>
      <c r="AA536" s="556">
        <f t="shared" si="20"/>
        <v>68559.990000000005</v>
      </c>
      <c r="AB536" s="556">
        <f t="shared" si="21"/>
        <v>68559.990000000005</v>
      </c>
      <c r="AC536" s="556">
        <f t="shared" si="22"/>
        <v>68559.990000000005</v>
      </c>
      <c r="AD536" s="556">
        <f t="shared" si="10"/>
        <v>68559.990000000005</v>
      </c>
      <c r="AE536" s="556">
        <f t="shared" si="24"/>
        <v>68559.990000000005</v>
      </c>
      <c r="AF536" s="556">
        <f t="shared" si="24"/>
        <v>68559.990000000005</v>
      </c>
      <c r="AG536" s="556">
        <f t="shared" si="24"/>
        <v>0</v>
      </c>
    </row>
    <row r="537" spans="1:33" hidden="1" outlineLevel="1" x14ac:dyDescent="0.35">
      <c r="A537" t="b">
        <f t="shared" si="7"/>
        <v>1</v>
      </c>
      <c r="B537" s="27" t="s">
        <v>425</v>
      </c>
      <c r="C537" s="27" t="s">
        <v>51</v>
      </c>
      <c r="D537" s="27" t="s">
        <v>1410</v>
      </c>
      <c r="E537" s="27" t="s">
        <v>51</v>
      </c>
      <c r="F537" s="27" t="s">
        <v>385</v>
      </c>
      <c r="G537" s="27" t="s">
        <v>426</v>
      </c>
      <c r="H537" s="27" t="s">
        <v>54</v>
      </c>
      <c r="I537" s="27" t="s">
        <v>55</v>
      </c>
      <c r="J537" s="27" t="s">
        <v>393</v>
      </c>
      <c r="K537" s="27" t="s">
        <v>371</v>
      </c>
      <c r="L537" s="27" t="s">
        <v>371</v>
      </c>
      <c r="M537" s="27" t="s">
        <v>371</v>
      </c>
      <c r="N537" s="27" t="s">
        <v>371</v>
      </c>
      <c r="O537" s="27" t="s">
        <v>371</v>
      </c>
      <c r="P537" s="27" t="s">
        <v>371</v>
      </c>
      <c r="Q537" s="27" t="s">
        <v>372</v>
      </c>
      <c r="R537" s="556">
        <f t="shared" si="8"/>
        <v>194979.88</v>
      </c>
      <c r="S537" s="556">
        <f t="shared" si="12"/>
        <v>194979.88</v>
      </c>
      <c r="T537" s="556">
        <f t="shared" si="13"/>
        <v>194979.88</v>
      </c>
      <c r="U537" s="556">
        <f t="shared" si="14"/>
        <v>194979.88</v>
      </c>
      <c r="V537" s="556">
        <f t="shared" si="15"/>
        <v>194979.88</v>
      </c>
      <c r="W537" s="556">
        <f t="shared" si="16"/>
        <v>194979.88</v>
      </c>
      <c r="X537" s="556">
        <f t="shared" si="17"/>
        <v>194979.88</v>
      </c>
      <c r="Y537" s="556">
        <f t="shared" si="18"/>
        <v>194979.88</v>
      </c>
      <c r="Z537" s="556">
        <f t="shared" si="19"/>
        <v>194979.88</v>
      </c>
      <c r="AA537" s="556">
        <f t="shared" si="20"/>
        <v>194979.88</v>
      </c>
      <c r="AB537" s="556">
        <f t="shared" si="21"/>
        <v>194979.88</v>
      </c>
      <c r="AC537" s="556">
        <f t="shared" si="22"/>
        <v>194979.88</v>
      </c>
      <c r="AD537" s="556">
        <f t="shared" si="10"/>
        <v>194979.88</v>
      </c>
      <c r="AE537" s="556">
        <f t="shared" si="24"/>
        <v>194979.88</v>
      </c>
      <c r="AF537" s="556">
        <f t="shared" si="24"/>
        <v>194979.88</v>
      </c>
      <c r="AG537" s="556">
        <f t="shared" si="24"/>
        <v>0</v>
      </c>
    </row>
    <row r="538" spans="1:33" hidden="1" outlineLevel="1" x14ac:dyDescent="0.35">
      <c r="A538" t="b">
        <f t="shared" si="7"/>
        <v>1</v>
      </c>
      <c r="B538" s="27" t="s">
        <v>427</v>
      </c>
      <c r="C538" s="27" t="s">
        <v>51</v>
      </c>
      <c r="D538" s="27" t="s">
        <v>1411</v>
      </c>
      <c r="E538" s="27" t="s">
        <v>51</v>
      </c>
      <c r="F538" s="27" t="s">
        <v>385</v>
      </c>
      <c r="G538" s="27" t="s">
        <v>428</v>
      </c>
      <c r="H538" s="27" t="s">
        <v>54</v>
      </c>
      <c r="I538" s="27" t="s">
        <v>55</v>
      </c>
      <c r="J538" s="27" t="s">
        <v>393</v>
      </c>
      <c r="K538" s="27" t="s">
        <v>371</v>
      </c>
      <c r="L538" s="27" t="s">
        <v>371</v>
      </c>
      <c r="M538" s="27" t="s">
        <v>371</v>
      </c>
      <c r="N538" s="27" t="s">
        <v>371</v>
      </c>
      <c r="O538" s="27" t="s">
        <v>371</v>
      </c>
      <c r="P538" s="27" t="s">
        <v>371</v>
      </c>
      <c r="Q538" s="27" t="s">
        <v>372</v>
      </c>
      <c r="R538" s="556">
        <f t="shared" si="8"/>
        <v>520532.95</v>
      </c>
      <c r="S538" s="556">
        <f t="shared" si="12"/>
        <v>520532.95</v>
      </c>
      <c r="T538" s="556">
        <f t="shared" si="13"/>
        <v>520532.95</v>
      </c>
      <c r="U538" s="556">
        <f t="shared" si="14"/>
        <v>520532.95</v>
      </c>
      <c r="V538" s="556">
        <f t="shared" si="15"/>
        <v>520532.95</v>
      </c>
      <c r="W538" s="556">
        <f t="shared" si="16"/>
        <v>520532.95</v>
      </c>
      <c r="X538" s="556">
        <f t="shared" si="17"/>
        <v>520532.95</v>
      </c>
      <c r="Y538" s="556">
        <f t="shared" si="18"/>
        <v>520532.95</v>
      </c>
      <c r="Z538" s="556">
        <f t="shared" si="19"/>
        <v>520532.95</v>
      </c>
      <c r="AA538" s="556">
        <f t="shared" si="20"/>
        <v>520532.95</v>
      </c>
      <c r="AB538" s="556">
        <f t="shared" si="21"/>
        <v>520532.95</v>
      </c>
      <c r="AC538" s="556">
        <f t="shared" si="22"/>
        <v>520532.95</v>
      </c>
      <c r="AD538" s="556">
        <f t="shared" si="10"/>
        <v>520532.95</v>
      </c>
      <c r="AE538" s="556">
        <f t="shared" si="24"/>
        <v>520532.95</v>
      </c>
      <c r="AF538" s="556">
        <f t="shared" si="24"/>
        <v>520532.95</v>
      </c>
      <c r="AG538" s="556">
        <f t="shared" si="24"/>
        <v>0</v>
      </c>
    </row>
    <row r="539" spans="1:33" hidden="1" outlineLevel="1" x14ac:dyDescent="0.35">
      <c r="A539" t="b">
        <f t="shared" si="7"/>
        <v>1</v>
      </c>
      <c r="B539" s="27" t="s">
        <v>429</v>
      </c>
      <c r="C539" s="27" t="s">
        <v>51</v>
      </c>
      <c r="D539" s="27" t="s">
        <v>1412</v>
      </c>
      <c r="E539" s="27" t="s">
        <v>51</v>
      </c>
      <c r="F539" s="27" t="s">
        <v>385</v>
      </c>
      <c r="G539" s="27" t="s">
        <v>430</v>
      </c>
      <c r="H539" s="27" t="s">
        <v>54</v>
      </c>
      <c r="I539" s="27" t="s">
        <v>55</v>
      </c>
      <c r="J539" s="27" t="s">
        <v>393</v>
      </c>
      <c r="K539" s="27" t="s">
        <v>371</v>
      </c>
      <c r="L539" s="27" t="s">
        <v>371</v>
      </c>
      <c r="M539" s="27" t="s">
        <v>371</v>
      </c>
      <c r="N539" s="27" t="s">
        <v>371</v>
      </c>
      <c r="O539" s="27" t="s">
        <v>371</v>
      </c>
      <c r="P539" s="27" t="s">
        <v>371</v>
      </c>
      <c r="Q539" s="27" t="s">
        <v>372</v>
      </c>
      <c r="R539" s="556">
        <f t="shared" si="8"/>
        <v>765374.27</v>
      </c>
      <c r="S539" s="556">
        <f t="shared" si="12"/>
        <v>765374.27</v>
      </c>
      <c r="T539" s="556">
        <f t="shared" si="13"/>
        <v>765374.27</v>
      </c>
      <c r="U539" s="556">
        <f t="shared" si="14"/>
        <v>765374.27</v>
      </c>
      <c r="V539" s="556">
        <f t="shared" si="15"/>
        <v>765374.27</v>
      </c>
      <c r="W539" s="556">
        <f t="shared" si="16"/>
        <v>765374.27</v>
      </c>
      <c r="X539" s="556">
        <f t="shared" si="17"/>
        <v>765374.27</v>
      </c>
      <c r="Y539" s="556">
        <f t="shared" si="18"/>
        <v>765374.27</v>
      </c>
      <c r="Z539" s="556">
        <f t="shared" si="19"/>
        <v>765374.27</v>
      </c>
      <c r="AA539" s="556">
        <f t="shared" si="20"/>
        <v>765374.27</v>
      </c>
      <c r="AB539" s="556">
        <f t="shared" si="21"/>
        <v>765374.27</v>
      </c>
      <c r="AC539" s="556">
        <f t="shared" si="22"/>
        <v>765374.27</v>
      </c>
      <c r="AD539" s="556">
        <f t="shared" si="10"/>
        <v>765374.27</v>
      </c>
      <c r="AE539" s="556">
        <f t="shared" si="24"/>
        <v>765374.27</v>
      </c>
      <c r="AF539" s="556">
        <f t="shared" si="24"/>
        <v>765374.27</v>
      </c>
      <c r="AG539" s="556">
        <f t="shared" si="24"/>
        <v>0</v>
      </c>
    </row>
    <row r="540" spans="1:33" hidden="1" outlineLevel="1" x14ac:dyDescent="0.35">
      <c r="A540" t="b">
        <f t="shared" si="7"/>
        <v>1</v>
      </c>
      <c r="B540" s="27" t="s">
        <v>1198</v>
      </c>
      <c r="C540" s="27" t="s">
        <v>51</v>
      </c>
      <c r="D540" s="27" t="s">
        <v>1777</v>
      </c>
      <c r="E540" s="27" t="s">
        <v>51</v>
      </c>
      <c r="F540" s="27" t="s">
        <v>385</v>
      </c>
      <c r="G540" s="27" t="s">
        <v>1962</v>
      </c>
      <c r="H540" s="27" t="s">
        <v>54</v>
      </c>
      <c r="I540" s="27" t="s">
        <v>55</v>
      </c>
      <c r="J540" s="27" t="s">
        <v>393</v>
      </c>
      <c r="K540" s="27" t="s">
        <v>371</v>
      </c>
      <c r="L540" s="27" t="s">
        <v>371</v>
      </c>
      <c r="M540" s="27" t="s">
        <v>371</v>
      </c>
      <c r="N540" s="27" t="s">
        <v>371</v>
      </c>
      <c r="O540" s="27" t="s">
        <v>371</v>
      </c>
      <c r="P540" s="27" t="s">
        <v>371</v>
      </c>
      <c r="Q540" s="27" t="s">
        <v>372</v>
      </c>
      <c r="R540" s="556">
        <f t="shared" si="8"/>
        <v>-1026459.2</v>
      </c>
      <c r="S540" s="556">
        <f t="shared" si="12"/>
        <v>-1070714.58</v>
      </c>
      <c r="T540" s="556">
        <f t="shared" si="13"/>
        <v>-1114969.96</v>
      </c>
      <c r="U540" s="556">
        <f t="shared" si="14"/>
        <v>-1159225.3399999999</v>
      </c>
      <c r="V540" s="556">
        <f t="shared" si="15"/>
        <v>-1203480.72</v>
      </c>
      <c r="W540" s="556">
        <f t="shared" si="16"/>
        <v>-1247736.0999999999</v>
      </c>
      <c r="X540" s="556">
        <f t="shared" si="17"/>
        <v>-1291991.48</v>
      </c>
      <c r="Y540" s="556">
        <f t="shared" si="18"/>
        <v>-1336246.8600000001</v>
      </c>
      <c r="Z540" s="556">
        <f t="shared" si="19"/>
        <v>-1380854.9500000002</v>
      </c>
      <c r="AA540" s="556">
        <f t="shared" si="20"/>
        <v>-1426268.36</v>
      </c>
      <c r="AB540" s="556">
        <f t="shared" si="21"/>
        <v>-1472405.66</v>
      </c>
      <c r="AC540" s="556">
        <f t="shared" si="22"/>
        <v>-1518746.12</v>
      </c>
      <c r="AD540" s="556">
        <f t="shared" si="10"/>
        <v>-1566469.92</v>
      </c>
      <c r="AE540" s="556">
        <f t="shared" si="24"/>
        <v>-1614507.82</v>
      </c>
      <c r="AF540" s="556">
        <f t="shared" si="24"/>
        <v>-1672325.19</v>
      </c>
      <c r="AG540" s="556">
        <f t="shared" si="24"/>
        <v>-1726471.19</v>
      </c>
    </row>
    <row r="541" spans="1:33" hidden="1" outlineLevel="1" x14ac:dyDescent="0.35">
      <c r="A541" t="b">
        <f t="shared" si="7"/>
        <v>1</v>
      </c>
      <c r="B541" s="27" t="s">
        <v>1199</v>
      </c>
      <c r="C541" s="27" t="s">
        <v>51</v>
      </c>
      <c r="D541" s="27" t="s">
        <v>1778</v>
      </c>
      <c r="E541" s="27" t="s">
        <v>51</v>
      </c>
      <c r="F541" s="27" t="s">
        <v>90</v>
      </c>
      <c r="G541" s="27" t="s">
        <v>1969</v>
      </c>
      <c r="H541" s="27" t="s">
        <v>54</v>
      </c>
      <c r="I541" s="27" t="s">
        <v>55</v>
      </c>
      <c r="J541" s="27" t="s">
        <v>393</v>
      </c>
      <c r="K541" s="27" t="s">
        <v>371</v>
      </c>
      <c r="L541" s="27" t="s">
        <v>371</v>
      </c>
      <c r="M541" s="27" t="s">
        <v>371</v>
      </c>
      <c r="N541" s="27" t="s">
        <v>371</v>
      </c>
      <c r="O541" s="27" t="s">
        <v>371</v>
      </c>
      <c r="P541" s="27" t="s">
        <v>371</v>
      </c>
      <c r="Q541" s="27" t="s">
        <v>372</v>
      </c>
      <c r="R541" s="556">
        <f t="shared" si="8"/>
        <v>-6432542.2300000004</v>
      </c>
      <c r="S541" s="556">
        <f t="shared" si="12"/>
        <v>-6805445.1600000001</v>
      </c>
      <c r="T541" s="556">
        <f t="shared" si="13"/>
        <v>-7181202.6100000003</v>
      </c>
      <c r="U541" s="556">
        <f t="shared" si="14"/>
        <v>-7605532.1900000004</v>
      </c>
      <c r="V541" s="556">
        <f t="shared" si="15"/>
        <v>-8029861.7700000005</v>
      </c>
      <c r="W541" s="556">
        <f t="shared" si="16"/>
        <v>-8454612.7699999996</v>
      </c>
      <c r="X541" s="556">
        <f t="shared" si="17"/>
        <v>-9026396.9600000009</v>
      </c>
      <c r="Y541" s="556">
        <f t="shared" si="18"/>
        <v>-9475240.9100000001</v>
      </c>
      <c r="Z541" s="556">
        <f t="shared" si="19"/>
        <v>-9924657.2300000004</v>
      </c>
      <c r="AA541" s="556">
        <f t="shared" si="20"/>
        <v>-10374138.99</v>
      </c>
      <c r="AB541" s="556">
        <f t="shared" si="21"/>
        <v>-10871385.85</v>
      </c>
      <c r="AC541" s="556">
        <f t="shared" si="22"/>
        <v>-11377722.960000001</v>
      </c>
      <c r="AD541" s="556">
        <f t="shared" si="10"/>
        <v>-12025983.32</v>
      </c>
      <c r="AE541" s="556">
        <f t="shared" si="24"/>
        <v>-12611726.66</v>
      </c>
      <c r="AF541" s="556">
        <f t="shared" si="24"/>
        <v>-13371610.949999999</v>
      </c>
      <c r="AG541" s="556">
        <f t="shared" si="24"/>
        <v>-8583671.0600000005</v>
      </c>
    </row>
    <row r="542" spans="1:33" hidden="1" outlineLevel="1" x14ac:dyDescent="0.35">
      <c r="A542" t="b">
        <f t="shared" si="7"/>
        <v>1</v>
      </c>
      <c r="B542" s="27" t="s">
        <v>1200</v>
      </c>
      <c r="C542" s="27" t="s">
        <v>51</v>
      </c>
      <c r="D542" s="27" t="s">
        <v>1779</v>
      </c>
      <c r="E542" s="27" t="s">
        <v>51</v>
      </c>
      <c r="F542" s="27" t="s">
        <v>90</v>
      </c>
      <c r="G542" s="27" t="s">
        <v>1414</v>
      </c>
      <c r="H542" s="27" t="s">
        <v>54</v>
      </c>
      <c r="I542" s="27" t="s">
        <v>55</v>
      </c>
      <c r="J542" s="27" t="s">
        <v>393</v>
      </c>
      <c r="K542" s="27" t="s">
        <v>371</v>
      </c>
      <c r="L542" s="27" t="s">
        <v>371</v>
      </c>
      <c r="M542" s="27" t="s">
        <v>371</v>
      </c>
      <c r="N542" s="27" t="s">
        <v>371</v>
      </c>
      <c r="O542" s="27" t="s">
        <v>371</v>
      </c>
      <c r="P542" s="27" t="s">
        <v>371</v>
      </c>
      <c r="Q542" s="27" t="s">
        <v>372</v>
      </c>
      <c r="R542" s="556">
        <f t="shared" si="8"/>
        <v>-15867350.390000001</v>
      </c>
      <c r="S542" s="556">
        <f t="shared" si="12"/>
        <v>-16653492.26</v>
      </c>
      <c r="T542" s="556">
        <f t="shared" si="13"/>
        <v>-17402800.419999998</v>
      </c>
      <c r="U542" s="556">
        <f t="shared" si="14"/>
        <v>-18610567.190000001</v>
      </c>
      <c r="V542" s="556">
        <f t="shared" si="15"/>
        <v>-19677972.240000002</v>
      </c>
      <c r="W542" s="556">
        <f t="shared" si="16"/>
        <v>-20745377.829999998</v>
      </c>
      <c r="X542" s="556">
        <f t="shared" si="17"/>
        <v>-21861540</v>
      </c>
      <c r="Y542" s="556">
        <f t="shared" si="18"/>
        <v>-23000677.640000001</v>
      </c>
      <c r="Z542" s="556">
        <f t="shared" si="19"/>
        <v>-24139815.280000001</v>
      </c>
      <c r="AA542" s="556">
        <f t="shared" si="20"/>
        <v>-25320348.379999999</v>
      </c>
      <c r="AB542" s="556">
        <f t="shared" si="21"/>
        <v>-26681625.57</v>
      </c>
      <c r="AC542" s="556">
        <f t="shared" si="22"/>
        <v>-34893391.25</v>
      </c>
      <c r="AD542" s="556">
        <f t="shared" si="10"/>
        <v>-37408238.939999998</v>
      </c>
      <c r="AE542" s="556">
        <f t="shared" si="24"/>
        <v>-39923086.310000002</v>
      </c>
      <c r="AF542" s="556">
        <f t="shared" si="24"/>
        <v>-42741469.520000003</v>
      </c>
      <c r="AG542" s="556">
        <f t="shared" si="24"/>
        <v>-44014652.93</v>
      </c>
    </row>
    <row r="543" spans="1:33" hidden="1" outlineLevel="1" x14ac:dyDescent="0.35">
      <c r="A543" t="b">
        <f t="shared" si="7"/>
        <v>1</v>
      </c>
      <c r="B543" s="27" t="s">
        <v>1201</v>
      </c>
      <c r="C543" s="27" t="s">
        <v>51</v>
      </c>
      <c r="D543" s="27" t="s">
        <v>1780</v>
      </c>
      <c r="E543" s="27" t="s">
        <v>51</v>
      </c>
      <c r="F543" s="27" t="s">
        <v>90</v>
      </c>
      <c r="G543" s="27" t="s">
        <v>1971</v>
      </c>
      <c r="H543" s="27" t="s">
        <v>54</v>
      </c>
      <c r="I543" s="27" t="s">
        <v>55</v>
      </c>
      <c r="J543" s="27" t="s">
        <v>393</v>
      </c>
      <c r="K543" s="27" t="s">
        <v>371</v>
      </c>
      <c r="L543" s="27" t="s">
        <v>371</v>
      </c>
      <c r="M543" s="27" t="s">
        <v>371</v>
      </c>
      <c r="N543" s="27" t="s">
        <v>371</v>
      </c>
      <c r="O543" s="27" t="s">
        <v>371</v>
      </c>
      <c r="P543" s="27" t="s">
        <v>371</v>
      </c>
      <c r="Q543" s="27" t="s">
        <v>372</v>
      </c>
      <c r="R543" s="556">
        <f t="shared" si="8"/>
        <v>-6787163.9699999997</v>
      </c>
      <c r="S543" s="556">
        <f t="shared" si="12"/>
        <v>-7407836.6399999997</v>
      </c>
      <c r="T543" s="556">
        <f t="shared" si="13"/>
        <v>-8052809.4299999997</v>
      </c>
      <c r="U543" s="556">
        <f t="shared" si="14"/>
        <v>-8840473.0800000001</v>
      </c>
      <c r="V543" s="556">
        <f t="shared" si="15"/>
        <v>-9636114.0500000007</v>
      </c>
      <c r="W543" s="556">
        <f t="shared" si="16"/>
        <v>-10448542.380000001</v>
      </c>
      <c r="X543" s="556">
        <f t="shared" si="17"/>
        <v>-11684656.67</v>
      </c>
      <c r="Y543" s="556">
        <f t="shared" si="18"/>
        <v>-12557398.91</v>
      </c>
      <c r="Z543" s="556">
        <f t="shared" si="19"/>
        <v>-13425116.15</v>
      </c>
      <c r="AA543" s="556">
        <f t="shared" si="20"/>
        <v>-14303976.029999999</v>
      </c>
      <c r="AB543" s="556">
        <f t="shared" si="21"/>
        <v>-15359897.939999999</v>
      </c>
      <c r="AC543" s="556">
        <f t="shared" si="22"/>
        <v>-16468690.449999999</v>
      </c>
      <c r="AD543" s="556">
        <f t="shared" si="10"/>
        <v>-18242793.640000001</v>
      </c>
      <c r="AE543" s="556">
        <f t="shared" si="24"/>
        <v>-19985241.510000002</v>
      </c>
      <c r="AF543" s="556">
        <f t="shared" si="24"/>
        <v>-21892601.870000001</v>
      </c>
      <c r="AG543" s="556">
        <f t="shared" si="24"/>
        <v>-15330099.300000001</v>
      </c>
    </row>
    <row r="544" spans="1:33" hidden="1" outlineLevel="1" x14ac:dyDescent="0.35">
      <c r="A544" t="b">
        <f t="shared" si="7"/>
        <v>1</v>
      </c>
      <c r="B544" s="27" t="s">
        <v>117</v>
      </c>
      <c r="C544" s="27" t="s">
        <v>51</v>
      </c>
      <c r="D544" s="27" t="s">
        <v>1415</v>
      </c>
      <c r="E544" s="27" t="s">
        <v>51</v>
      </c>
      <c r="F544" s="27" t="s">
        <v>974</v>
      </c>
      <c r="G544" s="27" t="s">
        <v>120</v>
      </c>
      <c r="H544" s="27" t="s">
        <v>54</v>
      </c>
      <c r="I544" s="27" t="s">
        <v>55</v>
      </c>
      <c r="J544" s="27" t="s">
        <v>56</v>
      </c>
      <c r="K544" s="27" t="s">
        <v>371</v>
      </c>
      <c r="L544" s="27" t="s">
        <v>371</v>
      </c>
      <c r="M544" s="27" t="s">
        <v>371</v>
      </c>
      <c r="N544" s="27" t="s">
        <v>371</v>
      </c>
      <c r="O544" s="27" t="s">
        <v>371</v>
      </c>
      <c r="P544" s="27" t="s">
        <v>371</v>
      </c>
      <c r="Q544" s="27" t="s">
        <v>372</v>
      </c>
      <c r="R544" s="556">
        <f t="shared" si="8"/>
        <v>1744431.04</v>
      </c>
      <c r="S544" s="556">
        <f t="shared" si="12"/>
        <v>0</v>
      </c>
      <c r="T544" s="556">
        <f t="shared" si="13"/>
        <v>0</v>
      </c>
      <c r="U544" s="556">
        <f t="shared" si="14"/>
        <v>0</v>
      </c>
      <c r="V544" s="556">
        <f t="shared" si="15"/>
        <v>0</v>
      </c>
      <c r="W544" s="556">
        <f t="shared" si="16"/>
        <v>16096.97</v>
      </c>
      <c r="X544" s="556">
        <f t="shared" si="17"/>
        <v>0</v>
      </c>
      <c r="Y544" s="556">
        <f t="shared" si="18"/>
        <v>0</v>
      </c>
      <c r="Z544" s="556">
        <f t="shared" si="19"/>
        <v>0</v>
      </c>
      <c r="AA544" s="556">
        <f t="shared" si="20"/>
        <v>0</v>
      </c>
      <c r="AB544" s="556">
        <f t="shared" si="21"/>
        <v>0</v>
      </c>
      <c r="AC544" s="556">
        <f t="shared" si="22"/>
        <v>0</v>
      </c>
      <c r="AD544" s="556">
        <f t="shared" si="10"/>
        <v>0</v>
      </c>
      <c r="AE544" s="556">
        <f t="shared" si="24"/>
        <v>20293.88</v>
      </c>
      <c r="AF544" s="556">
        <f t="shared" si="24"/>
        <v>0</v>
      </c>
      <c r="AG544" s="556">
        <f t="shared" si="24"/>
        <v>0</v>
      </c>
    </row>
    <row r="545" spans="1:33" hidden="1" outlineLevel="1" x14ac:dyDescent="0.35">
      <c r="A545" t="b">
        <f t="shared" si="7"/>
        <v>1</v>
      </c>
      <c r="B545" s="27" t="s">
        <v>1202</v>
      </c>
      <c r="C545" s="27" t="s">
        <v>51</v>
      </c>
      <c r="D545" s="27" t="s">
        <v>1781</v>
      </c>
      <c r="E545" s="27" t="s">
        <v>51</v>
      </c>
      <c r="F545" s="27" t="s">
        <v>974</v>
      </c>
      <c r="G545" s="27" t="s">
        <v>1416</v>
      </c>
      <c r="H545" s="27" t="s">
        <v>54</v>
      </c>
      <c r="I545" s="27" t="s">
        <v>55</v>
      </c>
      <c r="J545" s="27" t="s">
        <v>56</v>
      </c>
      <c r="K545" s="27" t="s">
        <v>371</v>
      </c>
      <c r="L545" s="27" t="s">
        <v>371</v>
      </c>
      <c r="M545" s="27" t="s">
        <v>371</v>
      </c>
      <c r="N545" s="27" t="s">
        <v>371</v>
      </c>
      <c r="O545" s="27" t="s">
        <v>371</v>
      </c>
      <c r="P545" s="27" t="s">
        <v>371</v>
      </c>
      <c r="Q545" s="27" t="s">
        <v>372</v>
      </c>
      <c r="R545" s="556">
        <f t="shared" si="8"/>
        <v>2511665.2800000003</v>
      </c>
      <c r="S545" s="556">
        <f t="shared" si="12"/>
        <v>2511665.2800000003</v>
      </c>
      <c r="T545" s="556">
        <f t="shared" si="13"/>
        <v>2511665.2800000003</v>
      </c>
      <c r="U545" s="556">
        <f t="shared" si="14"/>
        <v>3101665.2800000003</v>
      </c>
      <c r="V545" s="556">
        <f t="shared" si="15"/>
        <v>3972104.04</v>
      </c>
      <c r="W545" s="556">
        <f t="shared" si="16"/>
        <v>5066978</v>
      </c>
      <c r="X545" s="556">
        <f t="shared" si="17"/>
        <v>5066978</v>
      </c>
      <c r="Y545" s="556">
        <f t="shared" si="18"/>
        <v>5066978</v>
      </c>
      <c r="Z545" s="556">
        <f t="shared" si="19"/>
        <v>5066978</v>
      </c>
      <c r="AA545" s="556">
        <f t="shared" si="20"/>
        <v>5072754.28</v>
      </c>
      <c r="AB545" s="556">
        <f t="shared" si="21"/>
        <v>5387664.3299999991</v>
      </c>
      <c r="AC545" s="556">
        <f t="shared" si="22"/>
        <v>6475144.3299999991</v>
      </c>
      <c r="AD545" s="556">
        <f t="shared" si="10"/>
        <v>6889144.3299999991</v>
      </c>
      <c r="AE545" s="556">
        <f t="shared" si="24"/>
        <v>7276938.129999999</v>
      </c>
      <c r="AF545" s="556">
        <f t="shared" si="24"/>
        <v>7223449.3299999991</v>
      </c>
      <c r="AG545" s="556">
        <f t="shared" si="24"/>
        <v>6890593.0300000003</v>
      </c>
    </row>
    <row r="546" spans="1:33" hidden="1" outlineLevel="1" x14ac:dyDescent="0.35">
      <c r="A546" t="b">
        <f t="shared" si="7"/>
        <v>1</v>
      </c>
      <c r="B546" s="27" t="s">
        <v>130</v>
      </c>
      <c r="C546" s="27" t="s">
        <v>51</v>
      </c>
      <c r="D546" s="27" t="s">
        <v>1417</v>
      </c>
      <c r="E546" s="27" t="s">
        <v>51</v>
      </c>
      <c r="F546" s="27" t="s">
        <v>431</v>
      </c>
      <c r="G546" s="27" t="s">
        <v>132</v>
      </c>
      <c r="H546" s="27" t="s">
        <v>54</v>
      </c>
      <c r="I546" s="27" t="s">
        <v>55</v>
      </c>
      <c r="J546" s="27" t="s">
        <v>56</v>
      </c>
      <c r="K546" s="27" t="s">
        <v>371</v>
      </c>
      <c r="L546" s="27" t="s">
        <v>371</v>
      </c>
      <c r="M546" s="27" t="s">
        <v>371</v>
      </c>
      <c r="N546" s="27" t="s">
        <v>371</v>
      </c>
      <c r="O546" s="27" t="s">
        <v>371</v>
      </c>
      <c r="P546" s="27" t="s">
        <v>371</v>
      </c>
      <c r="Q546" s="27" t="s">
        <v>372</v>
      </c>
      <c r="R546" s="556">
        <f t="shared" si="8"/>
        <v>0</v>
      </c>
      <c r="S546" s="556">
        <f t="shared" si="12"/>
        <v>0</v>
      </c>
      <c r="T546" s="556">
        <f t="shared" si="13"/>
        <v>0</v>
      </c>
      <c r="U546" s="556">
        <f t="shared" si="14"/>
        <v>0</v>
      </c>
      <c r="V546" s="556">
        <f t="shared" si="15"/>
        <v>0</v>
      </c>
      <c r="W546" s="556">
        <f t="shared" si="16"/>
        <v>0</v>
      </c>
      <c r="X546" s="556">
        <f t="shared" si="17"/>
        <v>0</v>
      </c>
      <c r="Y546" s="556">
        <f t="shared" si="18"/>
        <v>0</v>
      </c>
      <c r="Z546" s="556">
        <f t="shared" si="19"/>
        <v>0</v>
      </c>
      <c r="AA546" s="556">
        <f t="shared" si="20"/>
        <v>0</v>
      </c>
      <c r="AB546" s="556">
        <f t="shared" si="21"/>
        <v>0</v>
      </c>
      <c r="AC546" s="556">
        <f t="shared" si="22"/>
        <v>0</v>
      </c>
      <c r="AD546" s="556">
        <f t="shared" si="10"/>
        <v>0</v>
      </c>
      <c r="AE546" s="556">
        <f t="shared" si="24"/>
        <v>0</v>
      </c>
      <c r="AF546" s="556">
        <f t="shared" si="24"/>
        <v>0</v>
      </c>
      <c r="AG546" s="556">
        <f t="shared" si="24"/>
        <v>0</v>
      </c>
    </row>
    <row r="547" spans="1:33" hidden="1" outlineLevel="1" x14ac:dyDescent="0.35">
      <c r="A547" t="b">
        <f t="shared" si="7"/>
        <v>1</v>
      </c>
      <c r="B547" s="27" t="s">
        <v>1203</v>
      </c>
      <c r="C547" s="27" t="s">
        <v>51</v>
      </c>
      <c r="D547" s="27" t="s">
        <v>1782</v>
      </c>
      <c r="E547" s="27" t="s">
        <v>51</v>
      </c>
      <c r="F547" s="27" t="s">
        <v>195</v>
      </c>
      <c r="G547" s="27" t="s">
        <v>1418</v>
      </c>
      <c r="H547" s="27" t="s">
        <v>54</v>
      </c>
      <c r="I547" s="27" t="s">
        <v>142</v>
      </c>
      <c r="J547" s="27" t="s">
        <v>197</v>
      </c>
      <c r="K547" s="27" t="s">
        <v>371</v>
      </c>
      <c r="L547" s="27" t="s">
        <v>371</v>
      </c>
      <c r="M547" s="27" t="s">
        <v>371</v>
      </c>
      <c r="N547" s="27" t="s">
        <v>371</v>
      </c>
      <c r="O547" s="27" t="s">
        <v>371</v>
      </c>
      <c r="P547" s="27" t="s">
        <v>371</v>
      </c>
      <c r="Q547" s="27" t="s">
        <v>372</v>
      </c>
      <c r="R547" s="556">
        <f t="shared" si="8"/>
        <v>-6608.09</v>
      </c>
      <c r="S547" s="556">
        <f t="shared" si="12"/>
        <v>-6608.09</v>
      </c>
      <c r="T547" s="556">
        <f t="shared" si="13"/>
        <v>-6608.0899999999965</v>
      </c>
      <c r="U547" s="556">
        <f t="shared" si="14"/>
        <v>-6608.0899999999965</v>
      </c>
      <c r="V547" s="556">
        <f t="shared" si="15"/>
        <v>-6608.0899999999965</v>
      </c>
      <c r="W547" s="556">
        <f t="shared" si="16"/>
        <v>-6608.0899999999965</v>
      </c>
      <c r="X547" s="556">
        <f t="shared" si="17"/>
        <v>0</v>
      </c>
      <c r="Y547" s="556">
        <f t="shared" si="18"/>
        <v>0</v>
      </c>
      <c r="Z547" s="556">
        <f t="shared" si="19"/>
        <v>0</v>
      </c>
      <c r="AA547" s="556">
        <f t="shared" si="20"/>
        <v>0</v>
      </c>
      <c r="AB547" s="556">
        <f t="shared" si="21"/>
        <v>0</v>
      </c>
      <c r="AC547" s="556">
        <f t="shared" si="22"/>
        <v>-575078.12</v>
      </c>
      <c r="AD547" s="556">
        <f t="shared" si="10"/>
        <v>-354355.36</v>
      </c>
      <c r="AE547" s="556">
        <f t="shared" si="24"/>
        <v>-1020959.5299999999</v>
      </c>
      <c r="AF547" s="556">
        <f t="shared" si="24"/>
        <v>-1609040.6799999997</v>
      </c>
      <c r="AG547" s="556">
        <f t="shared" si="24"/>
        <v>-9072955.6600000001</v>
      </c>
    </row>
    <row r="548" spans="1:33" hidden="1" outlineLevel="1" x14ac:dyDescent="0.35">
      <c r="A548" t="b">
        <f t="shared" si="7"/>
        <v>1</v>
      </c>
      <c r="B548" s="27" t="s">
        <v>198</v>
      </c>
      <c r="C548" s="27" t="s">
        <v>51</v>
      </c>
      <c r="D548" s="27" t="s">
        <v>1419</v>
      </c>
      <c r="E548" s="27" t="s">
        <v>51</v>
      </c>
      <c r="F548" s="27" t="s">
        <v>195</v>
      </c>
      <c r="G548" s="27" t="s">
        <v>200</v>
      </c>
      <c r="H548" s="27" t="s">
        <v>54</v>
      </c>
      <c r="I548" s="27" t="s">
        <v>142</v>
      </c>
      <c r="J548" s="27" t="s">
        <v>197</v>
      </c>
      <c r="K548" s="27" t="s">
        <v>371</v>
      </c>
      <c r="L548" s="27" t="s">
        <v>371</v>
      </c>
      <c r="M548" s="27" t="s">
        <v>371</v>
      </c>
      <c r="N548" s="27" t="s">
        <v>371</v>
      </c>
      <c r="O548" s="27" t="s">
        <v>371</v>
      </c>
      <c r="P548" s="27" t="s">
        <v>371</v>
      </c>
      <c r="Q548" s="27" t="s">
        <v>372</v>
      </c>
      <c r="R548" s="556">
        <f t="shared" si="8"/>
        <v>-220445.45</v>
      </c>
      <c r="S548" s="556">
        <f t="shared" si="12"/>
        <v>-192076.96</v>
      </c>
      <c r="T548" s="556">
        <f t="shared" si="13"/>
        <v>-163708.47</v>
      </c>
      <c r="U548" s="556">
        <f t="shared" si="14"/>
        <v>-114459.43</v>
      </c>
      <c r="V548" s="556">
        <f t="shared" si="15"/>
        <v>-86090.939999999988</v>
      </c>
      <c r="W548" s="556">
        <f t="shared" si="16"/>
        <v>-57722.45</v>
      </c>
      <c r="X548" s="556">
        <f t="shared" si="17"/>
        <v>-35856.43</v>
      </c>
      <c r="Y548" s="556">
        <f t="shared" si="18"/>
        <v>-7487.94</v>
      </c>
      <c r="Z548" s="556">
        <f t="shared" si="19"/>
        <v>0</v>
      </c>
      <c r="AA548" s="556">
        <f t="shared" si="20"/>
        <v>0</v>
      </c>
      <c r="AB548" s="556">
        <f t="shared" si="21"/>
        <v>0</v>
      </c>
      <c r="AC548" s="556">
        <f t="shared" si="22"/>
        <v>0</v>
      </c>
      <c r="AD548" s="556">
        <f t="shared" si="10"/>
        <v>0</v>
      </c>
      <c r="AE548" s="556">
        <f t="shared" si="24"/>
        <v>0</v>
      </c>
      <c r="AF548" s="556">
        <f t="shared" si="24"/>
        <v>0</v>
      </c>
      <c r="AG548" s="556">
        <f t="shared" si="24"/>
        <v>0</v>
      </c>
    </row>
    <row r="549" spans="1:33" hidden="1" outlineLevel="1" x14ac:dyDescent="0.35">
      <c r="A549" t="b">
        <f t="shared" si="7"/>
        <v>1</v>
      </c>
      <c r="B549" s="27" t="s">
        <v>201</v>
      </c>
      <c r="C549" s="27" t="s">
        <v>51</v>
      </c>
      <c r="D549" s="27" t="s">
        <v>1420</v>
      </c>
      <c r="E549" s="27" t="s">
        <v>51</v>
      </c>
      <c r="F549" s="27" t="s">
        <v>195</v>
      </c>
      <c r="G549" s="27" t="s">
        <v>159</v>
      </c>
      <c r="H549" s="27" t="s">
        <v>54</v>
      </c>
      <c r="I549" s="27" t="s">
        <v>142</v>
      </c>
      <c r="J549" s="27" t="s">
        <v>197</v>
      </c>
      <c r="K549" s="27" t="s">
        <v>371</v>
      </c>
      <c r="L549" s="27" t="s">
        <v>371</v>
      </c>
      <c r="M549" s="27" t="s">
        <v>371</v>
      </c>
      <c r="N549" s="27" t="s">
        <v>371</v>
      </c>
      <c r="O549" s="27" t="s">
        <v>371</v>
      </c>
      <c r="P549" s="27" t="s">
        <v>371</v>
      </c>
      <c r="Q549" s="27" t="s">
        <v>372</v>
      </c>
      <c r="R549" s="556">
        <f t="shared" si="8"/>
        <v>-190672.39</v>
      </c>
      <c r="S549" s="556">
        <f t="shared" si="12"/>
        <v>-190672.39</v>
      </c>
      <c r="T549" s="556">
        <f t="shared" si="13"/>
        <v>-190672.39</v>
      </c>
      <c r="U549" s="556">
        <f t="shared" si="14"/>
        <v>-190672.39</v>
      </c>
      <c r="V549" s="556">
        <f t="shared" si="15"/>
        <v>-190672.39</v>
      </c>
      <c r="W549" s="556">
        <f t="shared" si="16"/>
        <v>-190672.39</v>
      </c>
      <c r="X549" s="556">
        <f t="shared" si="17"/>
        <v>0</v>
      </c>
      <c r="Y549" s="556">
        <f t="shared" si="18"/>
        <v>0</v>
      </c>
      <c r="Z549" s="556">
        <f t="shared" si="19"/>
        <v>0</v>
      </c>
      <c r="AA549" s="556">
        <f t="shared" si="20"/>
        <v>0</v>
      </c>
      <c r="AB549" s="556">
        <f t="shared" si="21"/>
        <v>0</v>
      </c>
      <c r="AC549" s="556">
        <f t="shared" si="22"/>
        <v>0</v>
      </c>
      <c r="AD549" s="556">
        <f t="shared" si="10"/>
        <v>0</v>
      </c>
      <c r="AE549" s="556">
        <f t="shared" si="24"/>
        <v>0</v>
      </c>
      <c r="AF549" s="556">
        <f t="shared" si="24"/>
        <v>0</v>
      </c>
      <c r="AG549" s="556">
        <f t="shared" si="24"/>
        <v>0</v>
      </c>
    </row>
    <row r="550" spans="1:33" hidden="1" outlineLevel="1" x14ac:dyDescent="0.35">
      <c r="A550" t="b">
        <f t="shared" si="7"/>
        <v>1</v>
      </c>
      <c r="B550" s="27" t="s">
        <v>203</v>
      </c>
      <c r="C550" s="27" t="s">
        <v>51</v>
      </c>
      <c r="D550" s="27" t="s">
        <v>1421</v>
      </c>
      <c r="E550" s="27" t="s">
        <v>51</v>
      </c>
      <c r="F550" s="27" t="s">
        <v>195</v>
      </c>
      <c r="G550" s="27" t="s">
        <v>205</v>
      </c>
      <c r="H550" s="27" t="s">
        <v>54</v>
      </c>
      <c r="I550" s="27" t="s">
        <v>142</v>
      </c>
      <c r="J550" s="27" t="s">
        <v>197</v>
      </c>
      <c r="K550" s="27" t="s">
        <v>371</v>
      </c>
      <c r="L550" s="27" t="s">
        <v>371</v>
      </c>
      <c r="M550" s="27" t="s">
        <v>371</v>
      </c>
      <c r="N550" s="27" t="s">
        <v>371</v>
      </c>
      <c r="O550" s="27" t="s">
        <v>371</v>
      </c>
      <c r="P550" s="27" t="s">
        <v>371</v>
      </c>
      <c r="Q550" s="27" t="s">
        <v>372</v>
      </c>
      <c r="R550" s="556">
        <f t="shared" si="8"/>
        <v>-987</v>
      </c>
      <c r="S550" s="556">
        <f t="shared" si="12"/>
        <v>-987</v>
      </c>
      <c r="T550" s="556">
        <f t="shared" si="13"/>
        <v>-987</v>
      </c>
      <c r="U550" s="556">
        <f t="shared" si="14"/>
        <v>-987</v>
      </c>
      <c r="V550" s="556">
        <f t="shared" si="15"/>
        <v>-987</v>
      </c>
      <c r="W550" s="556">
        <f t="shared" si="16"/>
        <v>-987</v>
      </c>
      <c r="X550" s="556">
        <f t="shared" si="17"/>
        <v>0</v>
      </c>
      <c r="Y550" s="556">
        <f t="shared" si="18"/>
        <v>0</v>
      </c>
      <c r="Z550" s="556">
        <f t="shared" si="19"/>
        <v>0</v>
      </c>
      <c r="AA550" s="556">
        <f t="shared" si="20"/>
        <v>0</v>
      </c>
      <c r="AB550" s="556">
        <f t="shared" si="21"/>
        <v>0</v>
      </c>
      <c r="AC550" s="556">
        <f t="shared" si="22"/>
        <v>0</v>
      </c>
      <c r="AD550" s="556">
        <f t="shared" si="10"/>
        <v>0</v>
      </c>
      <c r="AE550" s="556">
        <f t="shared" si="24"/>
        <v>0</v>
      </c>
      <c r="AF550" s="556">
        <f t="shared" si="24"/>
        <v>0</v>
      </c>
      <c r="AG550" s="556">
        <f t="shared" si="24"/>
        <v>0</v>
      </c>
    </row>
    <row r="551" spans="1:33" hidden="1" outlineLevel="1" x14ac:dyDescent="0.35">
      <c r="A551" t="b">
        <f t="shared" si="7"/>
        <v>1</v>
      </c>
      <c r="B551" s="27" t="s">
        <v>206</v>
      </c>
      <c r="C551" s="27" t="s">
        <v>51</v>
      </c>
      <c r="D551" s="27" t="s">
        <v>1422</v>
      </c>
      <c r="E551" s="27" t="s">
        <v>51</v>
      </c>
      <c r="F551" s="27" t="s">
        <v>195</v>
      </c>
      <c r="G551" s="27" t="s">
        <v>208</v>
      </c>
      <c r="H551" s="27" t="s">
        <v>54</v>
      </c>
      <c r="I551" s="27" t="s">
        <v>142</v>
      </c>
      <c r="J551" s="27" t="s">
        <v>197</v>
      </c>
      <c r="K551" s="27" t="s">
        <v>371</v>
      </c>
      <c r="L551" s="27" t="s">
        <v>371</v>
      </c>
      <c r="M551" s="27" t="s">
        <v>371</v>
      </c>
      <c r="N551" s="27" t="s">
        <v>371</v>
      </c>
      <c r="O551" s="27" t="s">
        <v>371</v>
      </c>
      <c r="P551" s="27" t="s">
        <v>371</v>
      </c>
      <c r="Q551" s="27" t="s">
        <v>372</v>
      </c>
      <c r="R551" s="556">
        <f t="shared" si="8"/>
        <v>-500473.26</v>
      </c>
      <c r="S551" s="556">
        <f t="shared" si="12"/>
        <v>-500473.26</v>
      </c>
      <c r="T551" s="556">
        <f t="shared" si="13"/>
        <v>-500673.26</v>
      </c>
      <c r="U551" s="556">
        <f t="shared" si="14"/>
        <v>-861542.76</v>
      </c>
      <c r="V551" s="556">
        <f t="shared" si="15"/>
        <v>-420090.54999999993</v>
      </c>
      <c r="W551" s="556">
        <f t="shared" si="16"/>
        <v>-418844.32</v>
      </c>
      <c r="X551" s="556">
        <f t="shared" si="17"/>
        <v>-418844.32</v>
      </c>
      <c r="Y551" s="556">
        <f t="shared" si="18"/>
        <v>-418844.32</v>
      </c>
      <c r="Z551" s="556">
        <f t="shared" si="19"/>
        <v>-427729.24999999994</v>
      </c>
      <c r="AA551" s="556">
        <f t="shared" si="20"/>
        <v>-427729.25</v>
      </c>
      <c r="AB551" s="556">
        <f t="shared" si="21"/>
        <v>-948735.71</v>
      </c>
      <c r="AC551" s="556">
        <f t="shared" si="22"/>
        <v>-895492.52</v>
      </c>
      <c r="AD551" s="556">
        <f t="shared" si="10"/>
        <v>-427729.25</v>
      </c>
      <c r="AE551" s="556">
        <f t="shared" ref="AE551:AG570" si="25">+IF(AE$10="Actuals",IF($O73="Revenue",-IF($H73="BS",AE73,IF($H73="P&amp;L",AE73-AD73,0)),IF($H73="BS",AE73,IF($H73="P&amp;L",AE73-AD73,0))),0)</f>
        <v>-427729.15</v>
      </c>
      <c r="AF551" s="556">
        <f t="shared" si="25"/>
        <v>0</v>
      </c>
      <c r="AG551" s="556">
        <f t="shared" si="25"/>
        <v>0</v>
      </c>
    </row>
    <row r="552" spans="1:33" hidden="1" outlineLevel="1" x14ac:dyDescent="0.35">
      <c r="A552" t="b">
        <f t="shared" si="7"/>
        <v>1</v>
      </c>
      <c r="B552" s="27" t="s">
        <v>212</v>
      </c>
      <c r="C552" s="27" t="s">
        <v>51</v>
      </c>
      <c r="D552" s="27" t="s">
        <v>1423</v>
      </c>
      <c r="E552" s="27" t="s">
        <v>51</v>
      </c>
      <c r="F552" s="27" t="s">
        <v>195</v>
      </c>
      <c r="G552" s="27" t="s">
        <v>214</v>
      </c>
      <c r="H552" s="27" t="s">
        <v>54</v>
      </c>
      <c r="I552" s="27" t="s">
        <v>142</v>
      </c>
      <c r="J552" s="27" t="s">
        <v>197</v>
      </c>
      <c r="K552" s="27" t="s">
        <v>371</v>
      </c>
      <c r="L552" s="27" t="s">
        <v>371</v>
      </c>
      <c r="M552" s="27" t="s">
        <v>371</v>
      </c>
      <c r="N552" s="27" t="s">
        <v>371</v>
      </c>
      <c r="O552" s="27" t="s">
        <v>371</v>
      </c>
      <c r="P552" s="27" t="s">
        <v>371</v>
      </c>
      <c r="Q552" s="27" t="s">
        <v>372</v>
      </c>
      <c r="R552" s="556">
        <f t="shared" si="8"/>
        <v>0</v>
      </c>
      <c r="S552" s="556">
        <f t="shared" si="12"/>
        <v>-582165.29</v>
      </c>
      <c r="T552" s="556">
        <f t="shared" si="13"/>
        <v>-582165.29</v>
      </c>
      <c r="U552" s="556">
        <f t="shared" si="14"/>
        <v>-582165.29</v>
      </c>
      <c r="V552" s="556">
        <f t="shared" si="15"/>
        <v>-582165.29</v>
      </c>
      <c r="W552" s="556">
        <f t="shared" si="16"/>
        <v>-582165.29</v>
      </c>
      <c r="X552" s="556">
        <f t="shared" si="17"/>
        <v>0</v>
      </c>
      <c r="Y552" s="556">
        <f t="shared" si="18"/>
        <v>0</v>
      </c>
      <c r="Z552" s="556">
        <f t="shared" si="19"/>
        <v>0</v>
      </c>
      <c r="AA552" s="556">
        <f t="shared" si="20"/>
        <v>-855538.8</v>
      </c>
      <c r="AB552" s="556">
        <f t="shared" si="21"/>
        <v>0</v>
      </c>
      <c r="AC552" s="556">
        <f t="shared" si="22"/>
        <v>0</v>
      </c>
      <c r="AD552" s="556">
        <f t="shared" si="10"/>
        <v>0</v>
      </c>
      <c r="AE552" s="556">
        <f t="shared" si="25"/>
        <v>0</v>
      </c>
      <c r="AF552" s="556">
        <f t="shared" si="25"/>
        <v>0</v>
      </c>
      <c r="AG552" s="556">
        <f t="shared" si="25"/>
        <v>0</v>
      </c>
    </row>
    <row r="553" spans="1:33" hidden="1" outlineLevel="1" x14ac:dyDescent="0.35">
      <c r="A553" t="b">
        <f t="shared" si="7"/>
        <v>1</v>
      </c>
      <c r="B553" s="27" t="s">
        <v>218</v>
      </c>
      <c r="C553" s="27" t="s">
        <v>51</v>
      </c>
      <c r="D553" s="27" t="s">
        <v>1424</v>
      </c>
      <c r="E553" s="27" t="s">
        <v>51</v>
      </c>
      <c r="F553" s="27" t="s">
        <v>195</v>
      </c>
      <c r="G553" s="27" t="s">
        <v>220</v>
      </c>
      <c r="H553" s="27" t="s">
        <v>54</v>
      </c>
      <c r="I553" s="27" t="s">
        <v>142</v>
      </c>
      <c r="J553" s="27" t="s">
        <v>197</v>
      </c>
      <c r="K553" s="27" t="s">
        <v>371</v>
      </c>
      <c r="L553" s="27" t="s">
        <v>371</v>
      </c>
      <c r="M553" s="27" t="s">
        <v>371</v>
      </c>
      <c r="N553" s="27" t="s">
        <v>371</v>
      </c>
      <c r="O553" s="27" t="s">
        <v>371</v>
      </c>
      <c r="P553" s="27" t="s">
        <v>371</v>
      </c>
      <c r="Q553" s="27" t="s">
        <v>372</v>
      </c>
      <c r="R553" s="556">
        <f t="shared" si="8"/>
        <v>-1461600</v>
      </c>
      <c r="S553" s="556">
        <f t="shared" si="12"/>
        <v>-201600</v>
      </c>
      <c r="T553" s="556">
        <f t="shared" si="13"/>
        <v>-201600</v>
      </c>
      <c r="U553" s="556">
        <f t="shared" si="14"/>
        <v>0</v>
      </c>
      <c r="V553" s="556">
        <f t="shared" si="15"/>
        <v>0</v>
      </c>
      <c r="W553" s="556">
        <f t="shared" si="16"/>
        <v>0</v>
      </c>
      <c r="X553" s="556">
        <f t="shared" si="17"/>
        <v>0</v>
      </c>
      <c r="Y553" s="556">
        <f t="shared" si="18"/>
        <v>0</v>
      </c>
      <c r="Z553" s="556">
        <f t="shared" si="19"/>
        <v>0</v>
      </c>
      <c r="AA553" s="556">
        <f t="shared" si="20"/>
        <v>0</v>
      </c>
      <c r="AB553" s="556">
        <f t="shared" si="21"/>
        <v>0</v>
      </c>
      <c r="AC553" s="556">
        <f t="shared" si="22"/>
        <v>0</v>
      </c>
      <c r="AD553" s="556">
        <f t="shared" si="10"/>
        <v>0</v>
      </c>
      <c r="AE553" s="556">
        <f t="shared" si="25"/>
        <v>0</v>
      </c>
      <c r="AF553" s="556">
        <f t="shared" si="25"/>
        <v>0</v>
      </c>
      <c r="AG553" s="556">
        <f t="shared" si="25"/>
        <v>0</v>
      </c>
    </row>
    <row r="554" spans="1:33" hidden="1" outlineLevel="1" x14ac:dyDescent="0.35">
      <c r="A554" t="b">
        <f t="shared" si="7"/>
        <v>1</v>
      </c>
      <c r="B554" s="27" t="s">
        <v>224</v>
      </c>
      <c r="C554" s="27" t="s">
        <v>51</v>
      </c>
      <c r="D554" s="27" t="s">
        <v>1425</v>
      </c>
      <c r="E554" s="27" t="s">
        <v>51</v>
      </c>
      <c r="F554" s="27" t="s">
        <v>195</v>
      </c>
      <c r="G554" s="27" t="s">
        <v>135</v>
      </c>
      <c r="H554" s="27" t="s">
        <v>54</v>
      </c>
      <c r="I554" s="27" t="s">
        <v>142</v>
      </c>
      <c r="J554" s="27" t="s">
        <v>197</v>
      </c>
      <c r="K554" s="27" t="s">
        <v>371</v>
      </c>
      <c r="L554" s="27" t="s">
        <v>371</v>
      </c>
      <c r="M554" s="27" t="s">
        <v>371</v>
      </c>
      <c r="N554" s="27" t="s">
        <v>371</v>
      </c>
      <c r="O554" s="27" t="s">
        <v>371</v>
      </c>
      <c r="P554" s="27" t="s">
        <v>371</v>
      </c>
      <c r="Q554" s="27" t="s">
        <v>372</v>
      </c>
      <c r="R554" s="556">
        <f t="shared" si="8"/>
        <v>0</v>
      </c>
      <c r="S554" s="556">
        <f t="shared" si="12"/>
        <v>0</v>
      </c>
      <c r="T554" s="556">
        <f t="shared" si="13"/>
        <v>0</v>
      </c>
      <c r="U554" s="556">
        <f t="shared" si="14"/>
        <v>0</v>
      </c>
      <c r="V554" s="556">
        <f t="shared" si="15"/>
        <v>0</v>
      </c>
      <c r="W554" s="556">
        <f t="shared" si="16"/>
        <v>0</v>
      </c>
      <c r="X554" s="556">
        <f t="shared" si="17"/>
        <v>0</v>
      </c>
      <c r="Y554" s="556">
        <f t="shared" si="18"/>
        <v>-24767.58</v>
      </c>
      <c r="Z554" s="556">
        <f t="shared" si="19"/>
        <v>0</v>
      </c>
      <c r="AA554" s="556">
        <f t="shared" si="20"/>
        <v>0</v>
      </c>
      <c r="AB554" s="556">
        <f t="shared" si="21"/>
        <v>0</v>
      </c>
      <c r="AC554" s="556">
        <f t="shared" si="22"/>
        <v>0</v>
      </c>
      <c r="AD554" s="556">
        <f t="shared" si="10"/>
        <v>0</v>
      </c>
      <c r="AE554" s="556">
        <f t="shared" si="25"/>
        <v>0</v>
      </c>
      <c r="AF554" s="556">
        <f t="shared" si="25"/>
        <v>0</v>
      </c>
      <c r="AG554" s="556">
        <f t="shared" si="25"/>
        <v>0</v>
      </c>
    </row>
    <row r="555" spans="1:33" hidden="1" outlineLevel="1" x14ac:dyDescent="0.35">
      <c r="A555" t="b">
        <f t="shared" ref="A555:A618" si="26">B77=B555</f>
        <v>1</v>
      </c>
      <c r="B555" s="27" t="s">
        <v>226</v>
      </c>
      <c r="C555" s="27" t="s">
        <v>51</v>
      </c>
      <c r="D555" s="27" t="s">
        <v>1426</v>
      </c>
      <c r="E555" s="27" t="s">
        <v>51</v>
      </c>
      <c r="F555" s="27" t="s">
        <v>195</v>
      </c>
      <c r="G555" s="27" t="s">
        <v>228</v>
      </c>
      <c r="H555" s="27" t="s">
        <v>54</v>
      </c>
      <c r="I555" s="27" t="s">
        <v>142</v>
      </c>
      <c r="J555" s="27" t="s">
        <v>197</v>
      </c>
      <c r="K555" s="27" t="s">
        <v>371</v>
      </c>
      <c r="L555" s="27" t="s">
        <v>371</v>
      </c>
      <c r="M555" s="27" t="s">
        <v>371</v>
      </c>
      <c r="N555" s="27" t="s">
        <v>371</v>
      </c>
      <c r="O555" s="27" t="s">
        <v>371</v>
      </c>
      <c r="P555" s="27" t="s">
        <v>371</v>
      </c>
      <c r="Q555" s="27" t="s">
        <v>372</v>
      </c>
      <c r="R555" s="556">
        <f t="shared" ref="R555:R618" si="27">+IF(R$10="Actuals",IF($O77="Revenue",-IF($H77="BS",R77,IF($H77="P&amp;L",R77,0)),IF($H77="BS",R77,IF($H77="P&amp;L",R77,0))),0)</f>
        <v>-26712.13</v>
      </c>
      <c r="S555" s="556">
        <f t="shared" si="12"/>
        <v>-26712.13</v>
      </c>
      <c r="T555" s="556">
        <f t="shared" si="13"/>
        <v>-26712.13</v>
      </c>
      <c r="U555" s="556">
        <f t="shared" si="14"/>
        <v>-26712.13</v>
      </c>
      <c r="V555" s="556">
        <f t="shared" si="15"/>
        <v>-26712.13</v>
      </c>
      <c r="W555" s="556">
        <f t="shared" si="16"/>
        <v>-26712.13</v>
      </c>
      <c r="X555" s="556">
        <f t="shared" si="17"/>
        <v>0</v>
      </c>
      <c r="Y555" s="556">
        <f t="shared" si="18"/>
        <v>0</v>
      </c>
      <c r="Z555" s="556">
        <f t="shared" si="19"/>
        <v>0</v>
      </c>
      <c r="AA555" s="556">
        <f t="shared" si="20"/>
        <v>0</v>
      </c>
      <c r="AB555" s="556">
        <f t="shared" si="21"/>
        <v>0</v>
      </c>
      <c r="AC555" s="556">
        <f t="shared" si="22"/>
        <v>0</v>
      </c>
      <c r="AD555" s="556">
        <f t="shared" ref="AD555:AD618" si="28">+IF(AD$10="Actuals",IF($O77="Revenue",-IF($H77="BS",AD77,IF($H77="P&amp;L",AD77,0)),IF($H77="BS",AD77,IF($H77="P&amp;L",AD77,0))),0)</f>
        <v>0</v>
      </c>
      <c r="AE555" s="556">
        <f t="shared" si="25"/>
        <v>0</v>
      </c>
      <c r="AF555" s="556">
        <f t="shared" si="25"/>
        <v>0</v>
      </c>
      <c r="AG555" s="556">
        <f t="shared" si="25"/>
        <v>0</v>
      </c>
    </row>
    <row r="556" spans="1:33" hidden="1" outlineLevel="1" x14ac:dyDescent="0.35">
      <c r="A556" t="b">
        <f t="shared" si="26"/>
        <v>1</v>
      </c>
      <c r="B556" s="27" t="s">
        <v>235</v>
      </c>
      <c r="C556" s="27" t="s">
        <v>51</v>
      </c>
      <c r="D556" s="27" t="s">
        <v>1427</v>
      </c>
      <c r="E556" s="27" t="s">
        <v>51</v>
      </c>
      <c r="F556" s="27" t="s">
        <v>195</v>
      </c>
      <c r="G556" s="27" t="s">
        <v>237</v>
      </c>
      <c r="H556" s="27" t="s">
        <v>54</v>
      </c>
      <c r="I556" s="27" t="s">
        <v>142</v>
      </c>
      <c r="J556" s="27" t="s">
        <v>197</v>
      </c>
      <c r="K556" s="27" t="s">
        <v>371</v>
      </c>
      <c r="L556" s="27" t="s">
        <v>371</v>
      </c>
      <c r="M556" s="27" t="s">
        <v>371</v>
      </c>
      <c r="N556" s="27" t="s">
        <v>371</v>
      </c>
      <c r="O556" s="27" t="s">
        <v>371</v>
      </c>
      <c r="P556" s="27" t="s">
        <v>371</v>
      </c>
      <c r="Q556" s="27" t="s">
        <v>372</v>
      </c>
      <c r="R556" s="556">
        <f t="shared" si="27"/>
        <v>-0.01</v>
      </c>
      <c r="S556" s="556">
        <f t="shared" ref="S556:S619" si="29">+IF(S$10="Actuals",IF($O78="Revenue",-IF($H78="BS",S78,IF($H78="P&amp;L",S78-R78,0)),IF($H78="BS",S78,IF($H78="P&amp;L",S78-R78,0))),0)</f>
        <v>-0.01</v>
      </c>
      <c r="T556" s="556">
        <f t="shared" ref="T556:T619" si="30">+IF(T$10="Actuals",IF($O78="Revenue",-IF($H78="BS",T78,IF($H78="P&amp;L",T78-S78,0)),IF($H78="BS",T78,IF($H78="P&amp;L",T78-S78,0))),0)</f>
        <v>-1.0000000000218279E-2</v>
      </c>
      <c r="U556" s="556">
        <f t="shared" ref="U556:U619" si="31">+IF(U$10="Actuals",IF($O78="Revenue",-IF($H78="BS",U78,IF($H78="P&amp;L",U78-T78,0)),IF($H78="BS",U78,IF($H78="P&amp;L",U78-T78,0))),0)</f>
        <v>-1.0000000000218279E-2</v>
      </c>
      <c r="V556" s="556">
        <f t="shared" ref="V556:V619" si="32">+IF(V$10="Actuals",IF($O78="Revenue",-IF($H78="BS",V78,IF($H78="P&amp;L",V78-U78,0)),IF($H78="BS",V78,IF($H78="P&amp;L",V78-U78,0))),0)</f>
        <v>-1.0000000000218279E-2</v>
      </c>
      <c r="W556" s="556">
        <f t="shared" ref="W556:W619" si="33">+IF(W$10="Actuals",IF($O78="Revenue",-IF($H78="BS",W78,IF($H78="P&amp;L",W78-V78,0)),IF($H78="BS",W78,IF($H78="P&amp;L",W78-V78,0))),0)</f>
        <v>0</v>
      </c>
      <c r="X556" s="556">
        <f t="shared" ref="X556:X619" si="34">+IF(X$10="Actuals",IF($O78="Revenue",-IF($H78="BS",X78,IF($H78="P&amp;L",X78-W78,0)),IF($H78="BS",X78,IF($H78="P&amp;L",X78-W78,0))),0)</f>
        <v>0</v>
      </c>
      <c r="Y556" s="556">
        <f t="shared" ref="Y556:Y619" si="35">+IF(Y$10="Actuals",IF($O78="Revenue",-IF($H78="BS",Y78,IF($H78="P&amp;L",Y78-X78,0)),IF($H78="BS",Y78,IF($H78="P&amp;L",Y78-X78,0))),0)</f>
        <v>0</v>
      </c>
      <c r="Z556" s="556">
        <f t="shared" ref="Z556:Z619" si="36">+IF(Z$10="Actuals",IF($O78="Revenue",-IF($H78="BS",Z78,IF($H78="P&amp;L",Z78-Y78,0)),IF($H78="BS",Z78,IF($H78="P&amp;L",Z78-Y78,0))),0)</f>
        <v>0</v>
      </c>
      <c r="AA556" s="556">
        <f t="shared" ref="AA556:AA619" si="37">+IF(AA$10="Actuals",IF($O78="Revenue",-IF($H78="BS",AA78,IF($H78="P&amp;L",AA78-Z78,0)),IF($H78="BS",AA78,IF($H78="P&amp;L",AA78-Z78,0))),0)</f>
        <v>0</v>
      </c>
      <c r="AB556" s="556">
        <f t="shared" ref="AB556:AB619" si="38">+IF(AB$10="Actuals",IF($O78="Revenue",-IF($H78="BS",AB78,IF($H78="P&amp;L",AB78-AA78,0)),IF($H78="BS",AB78,IF($H78="P&amp;L",AB78-AA78,0))),0)</f>
        <v>0</v>
      </c>
      <c r="AC556" s="556">
        <f t="shared" ref="AC556:AC619" si="39">+IF(AC$10="Actuals",IF($O78="Revenue",-IF($H78="BS",AC78,IF($H78="P&amp;L",AC78-AB78,0)),IF($H78="BS",AC78,IF($H78="P&amp;L",AC78-AB78,0))),0)</f>
        <v>0</v>
      </c>
      <c r="AD556" s="556">
        <f t="shared" si="28"/>
        <v>0</v>
      </c>
      <c r="AE556" s="556">
        <f t="shared" si="25"/>
        <v>-0.12</v>
      </c>
      <c r="AF556" s="556">
        <f t="shared" si="25"/>
        <v>0</v>
      </c>
      <c r="AG556" s="556">
        <f t="shared" si="25"/>
        <v>0</v>
      </c>
    </row>
    <row r="557" spans="1:33" hidden="1" outlineLevel="1" x14ac:dyDescent="0.35">
      <c r="A557" t="b">
        <f t="shared" si="26"/>
        <v>1</v>
      </c>
      <c r="B557" s="27" t="s">
        <v>238</v>
      </c>
      <c r="C557" s="27" t="s">
        <v>51</v>
      </c>
      <c r="D557" s="27" t="s">
        <v>1428</v>
      </c>
      <c r="E557" s="27" t="s">
        <v>51</v>
      </c>
      <c r="F557" s="27" t="s">
        <v>195</v>
      </c>
      <c r="G557" s="27" t="s">
        <v>240</v>
      </c>
      <c r="H557" s="27" t="s">
        <v>54</v>
      </c>
      <c r="I557" s="27" t="s">
        <v>142</v>
      </c>
      <c r="J557" s="27" t="s">
        <v>197</v>
      </c>
      <c r="K557" s="27" t="s">
        <v>371</v>
      </c>
      <c r="L557" s="27" t="s">
        <v>371</v>
      </c>
      <c r="M557" s="27" t="s">
        <v>371</v>
      </c>
      <c r="N557" s="27" t="s">
        <v>371</v>
      </c>
      <c r="O557" s="27" t="s">
        <v>371</v>
      </c>
      <c r="P557" s="27" t="s">
        <v>371</v>
      </c>
      <c r="Q557" s="27" t="s">
        <v>372</v>
      </c>
      <c r="R557" s="556">
        <f t="shared" si="27"/>
        <v>0</v>
      </c>
      <c r="S557" s="556">
        <f t="shared" si="29"/>
        <v>0</v>
      </c>
      <c r="T557" s="556">
        <f t="shared" si="30"/>
        <v>0</v>
      </c>
      <c r="U557" s="556">
        <f t="shared" si="31"/>
        <v>0</v>
      </c>
      <c r="V557" s="556">
        <f t="shared" si="32"/>
        <v>0</v>
      </c>
      <c r="W557" s="556">
        <f t="shared" si="33"/>
        <v>0</v>
      </c>
      <c r="X557" s="556">
        <f t="shared" si="34"/>
        <v>0</v>
      </c>
      <c r="Y557" s="556">
        <f t="shared" si="35"/>
        <v>0</v>
      </c>
      <c r="Z557" s="556">
        <f t="shared" si="36"/>
        <v>0</v>
      </c>
      <c r="AA557" s="556">
        <f t="shared" si="37"/>
        <v>0</v>
      </c>
      <c r="AB557" s="556">
        <f t="shared" si="38"/>
        <v>0</v>
      </c>
      <c r="AC557" s="556">
        <f t="shared" si="39"/>
        <v>-7819.57</v>
      </c>
      <c r="AD557" s="556">
        <f t="shared" si="28"/>
        <v>0.43</v>
      </c>
      <c r="AE557" s="556">
        <f t="shared" si="25"/>
        <v>0.43</v>
      </c>
      <c r="AF557" s="556">
        <f t="shared" si="25"/>
        <v>0</v>
      </c>
      <c r="AG557" s="556">
        <f t="shared" si="25"/>
        <v>0</v>
      </c>
    </row>
    <row r="558" spans="1:33" hidden="1" outlineLevel="1" x14ac:dyDescent="0.35">
      <c r="A558" t="b">
        <f t="shared" si="26"/>
        <v>1</v>
      </c>
      <c r="B558" s="27" t="s">
        <v>1204</v>
      </c>
      <c r="C558" s="27" t="s">
        <v>51</v>
      </c>
      <c r="D558" s="27" t="s">
        <v>1783</v>
      </c>
      <c r="E558" s="27" t="s">
        <v>51</v>
      </c>
      <c r="F558" s="27" t="s">
        <v>432</v>
      </c>
      <c r="G558" s="27" t="s">
        <v>1429</v>
      </c>
      <c r="H558" s="27" t="s">
        <v>54</v>
      </c>
      <c r="I558" s="27" t="s">
        <v>142</v>
      </c>
      <c r="J558" s="27" t="s">
        <v>143</v>
      </c>
      <c r="K558" s="27" t="s">
        <v>371</v>
      </c>
      <c r="L558" s="27" t="s">
        <v>371</v>
      </c>
      <c r="M558" s="27" t="s">
        <v>371</v>
      </c>
      <c r="N558" s="27" t="s">
        <v>371</v>
      </c>
      <c r="O558" s="27" t="s">
        <v>371</v>
      </c>
      <c r="P558" s="27" t="s">
        <v>371</v>
      </c>
      <c r="Q558" s="27" t="s">
        <v>372</v>
      </c>
      <c r="R558" s="556">
        <f t="shared" si="27"/>
        <v>-344259.37</v>
      </c>
      <c r="S558" s="556">
        <f t="shared" si="29"/>
        <v>-362780.69</v>
      </c>
      <c r="T558" s="556">
        <f t="shared" si="30"/>
        <v>-381302.01</v>
      </c>
      <c r="U558" s="556">
        <f t="shared" si="31"/>
        <v>-399823.33</v>
      </c>
      <c r="V558" s="556">
        <f t="shared" si="32"/>
        <v>-418344.64999999997</v>
      </c>
      <c r="W558" s="556">
        <f t="shared" si="33"/>
        <v>-436865.97000000003</v>
      </c>
      <c r="X558" s="556">
        <f t="shared" si="34"/>
        <v>-600057.63</v>
      </c>
      <c r="Y558" s="556">
        <f t="shared" si="35"/>
        <v>-821095.23</v>
      </c>
      <c r="Z558" s="556">
        <f t="shared" si="36"/>
        <v>-462724.37</v>
      </c>
      <c r="AA558" s="556">
        <f t="shared" si="37"/>
        <v>-531619.37</v>
      </c>
      <c r="AB558" s="556">
        <f t="shared" si="38"/>
        <v>-176741.37</v>
      </c>
      <c r="AC558" s="556">
        <f t="shared" si="39"/>
        <v>-708450.89</v>
      </c>
      <c r="AD558" s="556">
        <f t="shared" si="28"/>
        <v>-744529.89</v>
      </c>
      <c r="AE558" s="556">
        <f t="shared" si="25"/>
        <v>-692383.98</v>
      </c>
      <c r="AF558" s="556">
        <f t="shared" si="25"/>
        <v>-437978.98</v>
      </c>
      <c r="AG558" s="556">
        <f t="shared" si="25"/>
        <v>-479267.98</v>
      </c>
    </row>
    <row r="559" spans="1:33" hidden="1" outlineLevel="1" x14ac:dyDescent="0.35">
      <c r="A559" t="b">
        <f t="shared" si="26"/>
        <v>1</v>
      </c>
      <c r="B559" s="27" t="s">
        <v>244</v>
      </c>
      <c r="C559" s="27" t="s">
        <v>51</v>
      </c>
      <c r="D559" s="27" t="s">
        <v>1430</v>
      </c>
      <c r="E559" s="27" t="s">
        <v>51</v>
      </c>
      <c r="F559" s="27" t="s">
        <v>195</v>
      </c>
      <c r="G559" s="27" t="s">
        <v>246</v>
      </c>
      <c r="H559" s="27" t="s">
        <v>54</v>
      </c>
      <c r="I559" s="27" t="s">
        <v>142</v>
      </c>
      <c r="J559" s="27" t="s">
        <v>197</v>
      </c>
      <c r="K559" s="27" t="s">
        <v>371</v>
      </c>
      <c r="L559" s="27" t="s">
        <v>371</v>
      </c>
      <c r="M559" s="27" t="s">
        <v>371</v>
      </c>
      <c r="N559" s="27" t="s">
        <v>371</v>
      </c>
      <c r="O559" s="27" t="s">
        <v>371</v>
      </c>
      <c r="P559" s="27" t="s">
        <v>371</v>
      </c>
      <c r="Q559" s="27" t="s">
        <v>372</v>
      </c>
      <c r="R559" s="556">
        <f t="shared" si="27"/>
        <v>0</v>
      </c>
      <c r="S559" s="556">
        <f t="shared" si="29"/>
        <v>0</v>
      </c>
      <c r="T559" s="556">
        <f t="shared" si="30"/>
        <v>0</v>
      </c>
      <c r="U559" s="556">
        <f t="shared" si="31"/>
        <v>0</v>
      </c>
      <c r="V559" s="556">
        <f t="shared" si="32"/>
        <v>0</v>
      </c>
      <c r="W559" s="556">
        <f t="shared" si="33"/>
        <v>0</v>
      </c>
      <c r="X559" s="556">
        <f t="shared" si="34"/>
        <v>0</v>
      </c>
      <c r="Y559" s="556">
        <f t="shared" si="35"/>
        <v>0</v>
      </c>
      <c r="Z559" s="556">
        <f t="shared" si="36"/>
        <v>0</v>
      </c>
      <c r="AA559" s="556">
        <f t="shared" si="37"/>
        <v>0</v>
      </c>
      <c r="AB559" s="556">
        <f t="shared" si="38"/>
        <v>0</v>
      </c>
      <c r="AC559" s="556">
        <f t="shared" si="39"/>
        <v>0</v>
      </c>
      <c r="AD559" s="556">
        <f t="shared" si="28"/>
        <v>0</v>
      </c>
      <c r="AE559" s="556">
        <f t="shared" si="25"/>
        <v>0</v>
      </c>
      <c r="AF559" s="556">
        <f t="shared" si="25"/>
        <v>0</v>
      </c>
      <c r="AG559" s="556">
        <f t="shared" si="25"/>
        <v>0</v>
      </c>
    </row>
    <row r="560" spans="1:33" hidden="1" outlineLevel="1" x14ac:dyDescent="0.35">
      <c r="A560" t="b">
        <f t="shared" si="26"/>
        <v>1</v>
      </c>
      <c r="B560" s="27" t="s">
        <v>259</v>
      </c>
      <c r="C560" s="27" t="s">
        <v>51</v>
      </c>
      <c r="D560" s="27" t="s">
        <v>1431</v>
      </c>
      <c r="E560" s="27" t="s">
        <v>51</v>
      </c>
      <c r="F560" s="27" t="s">
        <v>195</v>
      </c>
      <c r="G560" s="27" t="s">
        <v>261</v>
      </c>
      <c r="H560" s="27" t="s">
        <v>54</v>
      </c>
      <c r="I560" s="27" t="s">
        <v>142</v>
      </c>
      <c r="J560" s="27" t="s">
        <v>197</v>
      </c>
      <c r="K560" s="27" t="s">
        <v>371</v>
      </c>
      <c r="L560" s="27" t="s">
        <v>371</v>
      </c>
      <c r="M560" s="27" t="s">
        <v>371</v>
      </c>
      <c r="N560" s="27" t="s">
        <v>371</v>
      </c>
      <c r="O560" s="27" t="s">
        <v>371</v>
      </c>
      <c r="P560" s="27" t="s">
        <v>371</v>
      </c>
      <c r="Q560" s="27" t="s">
        <v>372</v>
      </c>
      <c r="R560" s="556">
        <f t="shared" si="27"/>
        <v>0</v>
      </c>
      <c r="S560" s="556">
        <f t="shared" si="29"/>
        <v>0</v>
      </c>
      <c r="T560" s="556">
        <f t="shared" si="30"/>
        <v>0</v>
      </c>
      <c r="U560" s="556">
        <f t="shared" si="31"/>
        <v>0</v>
      </c>
      <c r="V560" s="556">
        <f t="shared" si="32"/>
        <v>0</v>
      </c>
      <c r="W560" s="556">
        <f t="shared" si="33"/>
        <v>0</v>
      </c>
      <c r="X560" s="556">
        <f t="shared" si="34"/>
        <v>0</v>
      </c>
      <c r="Y560" s="556">
        <f t="shared" si="35"/>
        <v>0</v>
      </c>
      <c r="Z560" s="556">
        <f t="shared" si="36"/>
        <v>0</v>
      </c>
      <c r="AA560" s="556">
        <f t="shared" si="37"/>
        <v>0</v>
      </c>
      <c r="AB560" s="556">
        <f t="shared" si="38"/>
        <v>0</v>
      </c>
      <c r="AC560" s="556">
        <f t="shared" si="39"/>
        <v>0</v>
      </c>
      <c r="AD560" s="556">
        <f t="shared" si="28"/>
        <v>0</v>
      </c>
      <c r="AE560" s="556">
        <f t="shared" si="25"/>
        <v>0</v>
      </c>
      <c r="AF560" s="556">
        <f t="shared" si="25"/>
        <v>0</v>
      </c>
      <c r="AG560" s="556">
        <f t="shared" si="25"/>
        <v>0</v>
      </c>
    </row>
    <row r="561" spans="1:33" hidden="1" outlineLevel="1" x14ac:dyDescent="0.35">
      <c r="A561" t="b">
        <f t="shared" si="26"/>
        <v>1</v>
      </c>
      <c r="B561" s="27" t="s">
        <v>1205</v>
      </c>
      <c r="C561" s="27" t="s">
        <v>51</v>
      </c>
      <c r="D561" s="27" t="s">
        <v>1784</v>
      </c>
      <c r="E561" s="27" t="s">
        <v>51</v>
      </c>
      <c r="F561" s="27" t="s">
        <v>432</v>
      </c>
      <c r="G561" s="27" t="s">
        <v>1432</v>
      </c>
      <c r="H561" s="27" t="s">
        <v>54</v>
      </c>
      <c r="I561" s="27" t="s">
        <v>142</v>
      </c>
      <c r="J561" s="27" t="s">
        <v>143</v>
      </c>
      <c r="K561" s="27" t="s">
        <v>371</v>
      </c>
      <c r="L561" s="27" t="s">
        <v>371</v>
      </c>
      <c r="M561" s="27" t="s">
        <v>371</v>
      </c>
      <c r="N561" s="27" t="s">
        <v>371</v>
      </c>
      <c r="O561" s="27" t="s">
        <v>371</v>
      </c>
      <c r="P561" s="27" t="s">
        <v>371</v>
      </c>
      <c r="Q561" s="27" t="s">
        <v>372</v>
      </c>
      <c r="R561" s="556">
        <f t="shared" si="27"/>
        <v>-5420297.4699999997</v>
      </c>
      <c r="S561" s="556">
        <f t="shared" si="29"/>
        <v>-6860046.9900000002</v>
      </c>
      <c r="T561" s="556">
        <f t="shared" si="30"/>
        <v>-8090775.9000000004</v>
      </c>
      <c r="U561" s="556">
        <f t="shared" si="31"/>
        <v>-9793529</v>
      </c>
      <c r="V561" s="556">
        <f t="shared" si="32"/>
        <v>-8070534.1699999999</v>
      </c>
      <c r="W561" s="556">
        <f t="shared" si="33"/>
        <v>-9061946.6999999993</v>
      </c>
      <c r="X561" s="556">
        <f t="shared" si="34"/>
        <v>-8197842.5300000003</v>
      </c>
      <c r="Y561" s="556">
        <f t="shared" si="35"/>
        <v>-6149894.2599999998</v>
      </c>
      <c r="Z561" s="556">
        <f t="shared" si="36"/>
        <v>-6501001.8399999999</v>
      </c>
      <c r="AA561" s="556">
        <f t="shared" si="37"/>
        <v>-6426561.5</v>
      </c>
      <c r="AB561" s="556">
        <f t="shared" si="38"/>
        <v>-6788119.71</v>
      </c>
      <c r="AC561" s="556">
        <f t="shared" si="39"/>
        <v>-6480035.3600000003</v>
      </c>
      <c r="AD561" s="556">
        <f t="shared" si="28"/>
        <v>-7514571.25</v>
      </c>
      <c r="AE561" s="556">
        <f t="shared" si="25"/>
        <v>-7757745.5499999998</v>
      </c>
      <c r="AF561" s="556">
        <f t="shared" si="25"/>
        <v>-8028042.6200000001</v>
      </c>
      <c r="AG561" s="556">
        <f t="shared" si="25"/>
        <v>-6212103.2800000003</v>
      </c>
    </row>
    <row r="562" spans="1:33" hidden="1" outlineLevel="1" x14ac:dyDescent="0.35">
      <c r="A562" t="b">
        <f t="shared" si="26"/>
        <v>1</v>
      </c>
      <c r="B562" s="27" t="s">
        <v>268</v>
      </c>
      <c r="C562" s="27" t="s">
        <v>51</v>
      </c>
      <c r="D562" s="27" t="s">
        <v>1433</v>
      </c>
      <c r="E562" s="27" t="s">
        <v>51</v>
      </c>
      <c r="F562" s="27" t="s">
        <v>195</v>
      </c>
      <c r="G562" s="27" t="s">
        <v>270</v>
      </c>
      <c r="H562" s="27" t="s">
        <v>54</v>
      </c>
      <c r="I562" s="27" t="s">
        <v>142</v>
      </c>
      <c r="J562" s="27" t="s">
        <v>197</v>
      </c>
      <c r="K562" s="27" t="s">
        <v>371</v>
      </c>
      <c r="L562" s="27" t="s">
        <v>371</v>
      </c>
      <c r="M562" s="27" t="s">
        <v>371</v>
      </c>
      <c r="N562" s="27" t="s">
        <v>371</v>
      </c>
      <c r="O562" s="27" t="s">
        <v>371</v>
      </c>
      <c r="P562" s="27" t="s">
        <v>371</v>
      </c>
      <c r="Q562" s="27" t="s">
        <v>372</v>
      </c>
      <c r="R562" s="556">
        <f t="shared" si="27"/>
        <v>0</v>
      </c>
      <c r="S562" s="556">
        <f t="shared" si="29"/>
        <v>0</v>
      </c>
      <c r="T562" s="556">
        <f t="shared" si="30"/>
        <v>0</v>
      </c>
      <c r="U562" s="556">
        <f t="shared" si="31"/>
        <v>0</v>
      </c>
      <c r="V562" s="556">
        <f t="shared" si="32"/>
        <v>0</v>
      </c>
      <c r="W562" s="556">
        <f t="shared" si="33"/>
        <v>0</v>
      </c>
      <c r="X562" s="556">
        <f t="shared" si="34"/>
        <v>0</v>
      </c>
      <c r="Y562" s="556">
        <f t="shared" si="35"/>
        <v>0</v>
      </c>
      <c r="Z562" s="556">
        <f t="shared" si="36"/>
        <v>0</v>
      </c>
      <c r="AA562" s="556">
        <f t="shared" si="37"/>
        <v>0</v>
      </c>
      <c r="AB562" s="556">
        <f t="shared" si="38"/>
        <v>0</v>
      </c>
      <c r="AC562" s="556">
        <f t="shared" si="39"/>
        <v>0</v>
      </c>
      <c r="AD562" s="556">
        <f t="shared" si="28"/>
        <v>0</v>
      </c>
      <c r="AE562" s="556">
        <f t="shared" si="25"/>
        <v>0</v>
      </c>
      <c r="AF562" s="556">
        <f t="shared" si="25"/>
        <v>0</v>
      </c>
      <c r="AG562" s="556">
        <f t="shared" si="25"/>
        <v>0</v>
      </c>
    </row>
    <row r="563" spans="1:33" hidden="1" outlineLevel="1" x14ac:dyDescent="0.35">
      <c r="A563" t="b">
        <f t="shared" si="26"/>
        <v>1</v>
      </c>
      <c r="B563" s="27" t="s">
        <v>292</v>
      </c>
      <c r="C563" s="27" t="s">
        <v>51</v>
      </c>
      <c r="D563" s="27" t="s">
        <v>1434</v>
      </c>
      <c r="E563" s="27" t="s">
        <v>51</v>
      </c>
      <c r="F563" s="27" t="s">
        <v>195</v>
      </c>
      <c r="G563" s="27" t="s">
        <v>294</v>
      </c>
      <c r="H563" s="27" t="s">
        <v>54</v>
      </c>
      <c r="I563" s="27" t="s">
        <v>142</v>
      </c>
      <c r="J563" s="27" t="s">
        <v>197</v>
      </c>
      <c r="K563" s="27" t="s">
        <v>371</v>
      </c>
      <c r="L563" s="27" t="s">
        <v>371</v>
      </c>
      <c r="M563" s="27" t="s">
        <v>371</v>
      </c>
      <c r="N563" s="27" t="s">
        <v>371</v>
      </c>
      <c r="O563" s="27" t="s">
        <v>371</v>
      </c>
      <c r="P563" s="27" t="s">
        <v>371</v>
      </c>
      <c r="Q563" s="27" t="s">
        <v>372</v>
      </c>
      <c r="R563" s="556">
        <f t="shared" si="27"/>
        <v>-3105.51</v>
      </c>
      <c r="S563" s="556">
        <f t="shared" si="29"/>
        <v>-3105.51</v>
      </c>
      <c r="T563" s="556">
        <f t="shared" si="30"/>
        <v>-3105.51</v>
      </c>
      <c r="U563" s="556">
        <f t="shared" si="31"/>
        <v>-3105.51</v>
      </c>
      <c r="V563" s="556">
        <f t="shared" si="32"/>
        <v>-3105.51</v>
      </c>
      <c r="W563" s="556">
        <f t="shared" si="33"/>
        <v>-3105.51</v>
      </c>
      <c r="X563" s="556">
        <f t="shared" si="34"/>
        <v>0</v>
      </c>
      <c r="Y563" s="556">
        <f t="shared" si="35"/>
        <v>0</v>
      </c>
      <c r="Z563" s="556">
        <f t="shared" si="36"/>
        <v>0</v>
      </c>
      <c r="AA563" s="556">
        <f t="shared" si="37"/>
        <v>0</v>
      </c>
      <c r="AB563" s="556">
        <f t="shared" si="38"/>
        <v>0</v>
      </c>
      <c r="AC563" s="556">
        <f t="shared" si="39"/>
        <v>0</v>
      </c>
      <c r="AD563" s="556">
        <f t="shared" si="28"/>
        <v>0</v>
      </c>
      <c r="AE563" s="556">
        <f t="shared" si="25"/>
        <v>0</v>
      </c>
      <c r="AF563" s="556">
        <f t="shared" si="25"/>
        <v>0</v>
      </c>
      <c r="AG563" s="556">
        <f t="shared" si="25"/>
        <v>0</v>
      </c>
    </row>
    <row r="564" spans="1:33" hidden="1" outlineLevel="1" x14ac:dyDescent="0.35">
      <c r="A564" t="b">
        <f t="shared" si="26"/>
        <v>1</v>
      </c>
      <c r="B564" s="27" t="s">
        <v>298</v>
      </c>
      <c r="C564" s="27" t="s">
        <v>51</v>
      </c>
      <c r="D564" s="27" t="s">
        <v>1435</v>
      </c>
      <c r="E564" s="27" t="s">
        <v>51</v>
      </c>
      <c r="F564" s="27" t="s">
        <v>195</v>
      </c>
      <c r="G564" s="27" t="s">
        <v>300</v>
      </c>
      <c r="H564" s="27" t="s">
        <v>54</v>
      </c>
      <c r="I564" s="27" t="s">
        <v>142</v>
      </c>
      <c r="J564" s="27" t="s">
        <v>197</v>
      </c>
      <c r="K564" s="27" t="s">
        <v>371</v>
      </c>
      <c r="L564" s="27" t="s">
        <v>371</v>
      </c>
      <c r="M564" s="27" t="s">
        <v>371</v>
      </c>
      <c r="N564" s="27" t="s">
        <v>371</v>
      </c>
      <c r="O564" s="27" t="s">
        <v>371</v>
      </c>
      <c r="P564" s="27" t="s">
        <v>371</v>
      </c>
      <c r="Q564" s="27" t="s">
        <v>372</v>
      </c>
      <c r="R564" s="556">
        <f t="shared" si="27"/>
        <v>0</v>
      </c>
      <c r="S564" s="556">
        <f t="shared" si="29"/>
        <v>0</v>
      </c>
      <c r="T564" s="556">
        <f t="shared" si="30"/>
        <v>0</v>
      </c>
      <c r="U564" s="556">
        <f t="shared" si="31"/>
        <v>0</v>
      </c>
      <c r="V564" s="556">
        <f t="shared" si="32"/>
        <v>0</v>
      </c>
      <c r="W564" s="556">
        <f t="shared" si="33"/>
        <v>0</v>
      </c>
      <c r="X564" s="556">
        <f t="shared" si="34"/>
        <v>0</v>
      </c>
      <c r="Y564" s="556">
        <f t="shared" si="35"/>
        <v>0</v>
      </c>
      <c r="Z564" s="556">
        <f t="shared" si="36"/>
        <v>0</v>
      </c>
      <c r="AA564" s="556">
        <f t="shared" si="37"/>
        <v>0</v>
      </c>
      <c r="AB564" s="556">
        <f t="shared" si="38"/>
        <v>0</v>
      </c>
      <c r="AC564" s="556">
        <f t="shared" si="39"/>
        <v>0</v>
      </c>
      <c r="AD564" s="556">
        <f t="shared" si="28"/>
        <v>0</v>
      </c>
      <c r="AE564" s="556">
        <f t="shared" si="25"/>
        <v>0</v>
      </c>
      <c r="AF564" s="556">
        <f t="shared" si="25"/>
        <v>0</v>
      </c>
      <c r="AG564" s="556">
        <f t="shared" si="25"/>
        <v>0</v>
      </c>
    </row>
    <row r="565" spans="1:33" hidden="1" outlineLevel="1" x14ac:dyDescent="0.35">
      <c r="A565" t="b">
        <f t="shared" si="26"/>
        <v>1</v>
      </c>
      <c r="B565" s="27" t="s">
        <v>433</v>
      </c>
      <c r="C565" s="27" t="s">
        <v>51</v>
      </c>
      <c r="D565" s="27" t="s">
        <v>1436</v>
      </c>
      <c r="E565" s="27" t="s">
        <v>51</v>
      </c>
      <c r="F565" s="27" t="s">
        <v>434</v>
      </c>
      <c r="G565" s="27" t="s">
        <v>435</v>
      </c>
      <c r="H565" s="27" t="s">
        <v>54</v>
      </c>
      <c r="I565" s="27" t="s">
        <v>142</v>
      </c>
      <c r="J565" s="27" t="s">
        <v>436</v>
      </c>
      <c r="K565" s="27" t="s">
        <v>371</v>
      </c>
      <c r="L565" s="27" t="s">
        <v>371</v>
      </c>
      <c r="M565" s="27" t="s">
        <v>371</v>
      </c>
      <c r="N565" s="27" t="s">
        <v>371</v>
      </c>
      <c r="O565" s="27" t="s">
        <v>371</v>
      </c>
      <c r="P565" s="27" t="s">
        <v>371</v>
      </c>
      <c r="Q565" s="27" t="s">
        <v>372</v>
      </c>
      <c r="R565" s="556">
        <f t="shared" si="27"/>
        <v>-3772131.09</v>
      </c>
      <c r="S565" s="556">
        <f t="shared" si="29"/>
        <v>0</v>
      </c>
      <c r="T565" s="556">
        <f t="shared" si="30"/>
        <v>-1593269.63</v>
      </c>
      <c r="U565" s="556">
        <f t="shared" si="31"/>
        <v>0</v>
      </c>
      <c r="V565" s="556">
        <f t="shared" si="32"/>
        <v>0</v>
      </c>
      <c r="W565" s="556">
        <f t="shared" si="33"/>
        <v>-840717</v>
      </c>
      <c r="X565" s="556">
        <f t="shared" si="34"/>
        <v>0</v>
      </c>
      <c r="Y565" s="556">
        <f t="shared" si="35"/>
        <v>0</v>
      </c>
      <c r="Z565" s="556">
        <f t="shared" si="36"/>
        <v>0</v>
      </c>
      <c r="AA565" s="556">
        <f t="shared" si="37"/>
        <v>0</v>
      </c>
      <c r="AB565" s="556">
        <f t="shared" si="38"/>
        <v>0</v>
      </c>
      <c r="AC565" s="556">
        <f t="shared" si="39"/>
        <v>0</v>
      </c>
      <c r="AD565" s="556">
        <f t="shared" si="28"/>
        <v>0</v>
      </c>
      <c r="AE565" s="556">
        <f t="shared" si="25"/>
        <v>0</v>
      </c>
      <c r="AF565" s="556">
        <f t="shared" si="25"/>
        <v>0</v>
      </c>
      <c r="AG565" s="556">
        <f t="shared" si="25"/>
        <v>0</v>
      </c>
    </row>
    <row r="566" spans="1:33" hidden="1" outlineLevel="1" x14ac:dyDescent="0.35">
      <c r="A566" t="b">
        <f t="shared" si="26"/>
        <v>1</v>
      </c>
      <c r="B566" s="27" t="s">
        <v>1206</v>
      </c>
      <c r="C566" s="27" t="s">
        <v>51</v>
      </c>
      <c r="D566" s="27" t="s">
        <v>1785</v>
      </c>
      <c r="E566" s="27" t="s">
        <v>51</v>
      </c>
      <c r="F566" s="27" t="s">
        <v>434</v>
      </c>
      <c r="G566" s="27" t="s">
        <v>1437</v>
      </c>
      <c r="H566" s="27" t="s">
        <v>54</v>
      </c>
      <c r="I566" s="27" t="s">
        <v>142</v>
      </c>
      <c r="J566" s="27" t="s">
        <v>436</v>
      </c>
      <c r="K566" s="27" t="s">
        <v>371</v>
      </c>
      <c r="L566" s="27" t="s">
        <v>371</v>
      </c>
      <c r="M566" s="27" t="s">
        <v>371</v>
      </c>
      <c r="N566" s="27" t="s">
        <v>371</v>
      </c>
      <c r="O566" s="27" t="s">
        <v>371</v>
      </c>
      <c r="P566" s="27" t="s">
        <v>371</v>
      </c>
      <c r="Q566" s="27" t="s">
        <v>372</v>
      </c>
      <c r="R566" s="556">
        <f t="shared" si="27"/>
        <v>-1601683.12</v>
      </c>
      <c r="S566" s="556">
        <f t="shared" si="29"/>
        <v>-669191.64</v>
      </c>
      <c r="T566" s="556">
        <f t="shared" si="30"/>
        <v>-430753.12000000023</v>
      </c>
      <c r="U566" s="556">
        <f t="shared" si="31"/>
        <v>-122013.76000000024</v>
      </c>
      <c r="V566" s="556">
        <f t="shared" si="32"/>
        <v>-919978.63000000012</v>
      </c>
      <c r="W566" s="556">
        <f t="shared" si="33"/>
        <v>-1581594.4</v>
      </c>
      <c r="X566" s="556">
        <f t="shared" si="34"/>
        <v>-1513689.86</v>
      </c>
      <c r="Y566" s="556">
        <f t="shared" si="35"/>
        <v>-2575981.64</v>
      </c>
      <c r="Z566" s="556">
        <f t="shared" si="36"/>
        <v>-3945053.59</v>
      </c>
      <c r="AA566" s="556">
        <f t="shared" si="37"/>
        <v>-3555873.95</v>
      </c>
      <c r="AB566" s="556">
        <f t="shared" si="38"/>
        <v>-4296990.25</v>
      </c>
      <c r="AC566" s="556">
        <f t="shared" si="39"/>
        <v>-2445187.06</v>
      </c>
      <c r="AD566" s="556">
        <f t="shared" si="28"/>
        <v>-3455589.97</v>
      </c>
      <c r="AE566" s="556">
        <f t="shared" si="25"/>
        <v>-2880372.58</v>
      </c>
      <c r="AF566" s="556">
        <f t="shared" si="25"/>
        <v>-3843546</v>
      </c>
      <c r="AG566" s="556">
        <f t="shared" si="25"/>
        <v>-3688285.65</v>
      </c>
    </row>
    <row r="567" spans="1:33" hidden="1" outlineLevel="1" x14ac:dyDescent="0.35">
      <c r="A567" t="b">
        <f t="shared" si="26"/>
        <v>1</v>
      </c>
      <c r="B567" s="27" t="s">
        <v>139</v>
      </c>
      <c r="C567" s="27" t="s">
        <v>51</v>
      </c>
      <c r="D567" s="27" t="s">
        <v>1438</v>
      </c>
      <c r="E567" s="27" t="s">
        <v>51</v>
      </c>
      <c r="F567" s="27" t="s">
        <v>432</v>
      </c>
      <c r="G567" s="27" t="s">
        <v>141</v>
      </c>
      <c r="H567" s="27" t="s">
        <v>54</v>
      </c>
      <c r="I567" s="27" t="s">
        <v>142</v>
      </c>
      <c r="J567" s="27" t="s">
        <v>143</v>
      </c>
      <c r="K567" s="27" t="s">
        <v>371</v>
      </c>
      <c r="L567" s="27" t="s">
        <v>371</v>
      </c>
      <c r="M567" s="27" t="s">
        <v>371</v>
      </c>
      <c r="N567" s="27" t="s">
        <v>371</v>
      </c>
      <c r="O567" s="27" t="s">
        <v>371</v>
      </c>
      <c r="P567" s="27" t="s">
        <v>371</v>
      </c>
      <c r="Q567" s="27" t="s">
        <v>372</v>
      </c>
      <c r="R567" s="556">
        <f t="shared" si="27"/>
        <v>-84047.39</v>
      </c>
      <c r="S567" s="556">
        <f t="shared" si="29"/>
        <v>-0.05</v>
      </c>
      <c r="T567" s="556">
        <f t="shared" si="30"/>
        <v>-5.0000000046566129E-2</v>
      </c>
      <c r="U567" s="556">
        <f t="shared" si="31"/>
        <v>5.0000000046566129E-2</v>
      </c>
      <c r="V567" s="556">
        <f t="shared" si="32"/>
        <v>5.0000000046566129E-2</v>
      </c>
      <c r="W567" s="556">
        <f t="shared" si="33"/>
        <v>0</v>
      </c>
      <c r="X567" s="556">
        <f t="shared" si="34"/>
        <v>0</v>
      </c>
      <c r="Y567" s="556">
        <f t="shared" si="35"/>
        <v>0</v>
      </c>
      <c r="Z567" s="556">
        <f t="shared" si="36"/>
        <v>0</v>
      </c>
      <c r="AA567" s="556">
        <f t="shared" si="37"/>
        <v>0</v>
      </c>
      <c r="AB567" s="556">
        <f t="shared" si="38"/>
        <v>-0.01</v>
      </c>
      <c r="AC567" s="556">
        <f t="shared" si="39"/>
        <v>-0.01</v>
      </c>
      <c r="AD567" s="556">
        <f t="shared" si="28"/>
        <v>-0.01</v>
      </c>
      <c r="AE567" s="556">
        <f t="shared" si="25"/>
        <v>-0.01</v>
      </c>
      <c r="AF567" s="556">
        <f t="shared" si="25"/>
        <v>0</v>
      </c>
      <c r="AG567" s="556">
        <f t="shared" si="25"/>
        <v>0</v>
      </c>
    </row>
    <row r="568" spans="1:33" hidden="1" outlineLevel="1" x14ac:dyDescent="0.35">
      <c r="A568" t="b">
        <f t="shared" si="26"/>
        <v>1</v>
      </c>
      <c r="B568" s="27" t="s">
        <v>1207</v>
      </c>
      <c r="C568" s="27" t="s">
        <v>51</v>
      </c>
      <c r="D568" s="27" t="s">
        <v>1786</v>
      </c>
      <c r="E568" s="27" t="s">
        <v>51</v>
      </c>
      <c r="F568" s="27" t="s">
        <v>432</v>
      </c>
      <c r="G568" s="27" t="s">
        <v>1439</v>
      </c>
      <c r="H568" s="27" t="s">
        <v>54</v>
      </c>
      <c r="I568" s="27" t="s">
        <v>142</v>
      </c>
      <c r="J568" s="27" t="s">
        <v>143</v>
      </c>
      <c r="K568" s="27" t="s">
        <v>371</v>
      </c>
      <c r="L568" s="27" t="s">
        <v>371</v>
      </c>
      <c r="M568" s="27" t="s">
        <v>371</v>
      </c>
      <c r="N568" s="27" t="s">
        <v>371</v>
      </c>
      <c r="O568" s="27" t="s">
        <v>371</v>
      </c>
      <c r="P568" s="27" t="s">
        <v>371</v>
      </c>
      <c r="Q568" s="27" t="s">
        <v>372</v>
      </c>
      <c r="R568" s="556">
        <f t="shared" si="27"/>
        <v>-32682.55</v>
      </c>
      <c r="S568" s="556">
        <f t="shared" si="29"/>
        <v>-87155.8</v>
      </c>
      <c r="T568" s="556">
        <f t="shared" si="30"/>
        <v>-165535.51</v>
      </c>
      <c r="U568" s="556">
        <f t="shared" si="31"/>
        <v>-224011.91000000003</v>
      </c>
      <c r="V568" s="556">
        <f t="shared" si="32"/>
        <v>-265889.15000000002</v>
      </c>
      <c r="W568" s="556">
        <f t="shared" si="33"/>
        <v>-318169.65000000002</v>
      </c>
      <c r="X568" s="556">
        <f t="shared" si="34"/>
        <v>-376144.56</v>
      </c>
      <c r="Y568" s="556">
        <f t="shared" si="35"/>
        <v>-442126.06</v>
      </c>
      <c r="Z568" s="556">
        <f t="shared" si="36"/>
        <v>-516146.49</v>
      </c>
      <c r="AA568" s="556">
        <f t="shared" si="37"/>
        <v>-596795.94999999995</v>
      </c>
      <c r="AB568" s="556">
        <f t="shared" si="38"/>
        <v>-688043.37</v>
      </c>
      <c r="AC568" s="556">
        <f t="shared" si="39"/>
        <v>0</v>
      </c>
      <c r="AD568" s="556">
        <f t="shared" si="28"/>
        <v>-117656.02</v>
      </c>
      <c r="AE568" s="556">
        <f t="shared" si="25"/>
        <v>-236909.23</v>
      </c>
      <c r="AF568" s="556">
        <f t="shared" si="25"/>
        <v>-336816.13</v>
      </c>
      <c r="AG568" s="556">
        <f t="shared" si="25"/>
        <v>-450694.18</v>
      </c>
    </row>
    <row r="569" spans="1:33" hidden="1" outlineLevel="1" x14ac:dyDescent="0.35">
      <c r="A569" t="b">
        <f t="shared" si="26"/>
        <v>1</v>
      </c>
      <c r="B569" s="27" t="s">
        <v>1208</v>
      </c>
      <c r="C569" s="27" t="s">
        <v>51</v>
      </c>
      <c r="D569" s="27" t="s">
        <v>1787</v>
      </c>
      <c r="E569" s="27" t="s">
        <v>51</v>
      </c>
      <c r="F569" s="27" t="s">
        <v>432</v>
      </c>
      <c r="G569" s="27" t="s">
        <v>1440</v>
      </c>
      <c r="H569" s="27" t="s">
        <v>54</v>
      </c>
      <c r="I569" s="27" t="s">
        <v>142</v>
      </c>
      <c r="J569" s="27" t="s">
        <v>143</v>
      </c>
      <c r="K569" s="27" t="s">
        <v>371</v>
      </c>
      <c r="L569" s="27" t="s">
        <v>371</v>
      </c>
      <c r="M569" s="27" t="s">
        <v>371</v>
      </c>
      <c r="N569" s="27" t="s">
        <v>371</v>
      </c>
      <c r="O569" s="27" t="s">
        <v>371</v>
      </c>
      <c r="P569" s="27" t="s">
        <v>371</v>
      </c>
      <c r="Q569" s="27" t="s">
        <v>372</v>
      </c>
      <c r="R569" s="556">
        <f t="shared" si="27"/>
        <v>-60367.06</v>
      </c>
      <c r="S569" s="556">
        <f t="shared" si="29"/>
        <v>-68367.42</v>
      </c>
      <c r="T569" s="556">
        <f t="shared" si="30"/>
        <v>-36406.33</v>
      </c>
      <c r="U569" s="556">
        <f t="shared" si="31"/>
        <v>-45203.8</v>
      </c>
      <c r="V569" s="556">
        <f t="shared" si="32"/>
        <v>-52525.43</v>
      </c>
      <c r="W569" s="556">
        <f t="shared" si="33"/>
        <v>-59560.75</v>
      </c>
      <c r="X569" s="556">
        <f t="shared" si="34"/>
        <v>-68344.929999999993</v>
      </c>
      <c r="Y569" s="556">
        <f t="shared" si="35"/>
        <v>-77889.87</v>
      </c>
      <c r="Z569" s="556">
        <f t="shared" si="36"/>
        <v>-88914.42</v>
      </c>
      <c r="AA569" s="556">
        <f t="shared" si="37"/>
        <v>-71524.95</v>
      </c>
      <c r="AB569" s="556">
        <f t="shared" si="38"/>
        <v>-83381.5</v>
      </c>
      <c r="AC569" s="556">
        <f t="shared" si="39"/>
        <v>-91514.01</v>
      </c>
      <c r="AD569" s="556">
        <f t="shared" si="28"/>
        <v>-84489.01</v>
      </c>
      <c r="AE569" s="556">
        <f t="shared" si="25"/>
        <v>-101321.82</v>
      </c>
      <c r="AF569" s="556">
        <f t="shared" si="25"/>
        <v>-102312.4</v>
      </c>
      <c r="AG569" s="556">
        <f t="shared" si="25"/>
        <v>-121971.56</v>
      </c>
    </row>
    <row r="570" spans="1:33" hidden="1" outlineLevel="1" x14ac:dyDescent="0.35">
      <c r="A570" t="b">
        <f t="shared" si="26"/>
        <v>1</v>
      </c>
      <c r="B570" s="27" t="s">
        <v>1209</v>
      </c>
      <c r="C570" s="27" t="s">
        <v>51</v>
      </c>
      <c r="D570" s="27" t="s">
        <v>1788</v>
      </c>
      <c r="E570" s="27" t="s">
        <v>51</v>
      </c>
      <c r="F570" s="27" t="s">
        <v>432</v>
      </c>
      <c r="G570" s="27" t="s">
        <v>1441</v>
      </c>
      <c r="H570" s="27" t="s">
        <v>54</v>
      </c>
      <c r="I570" s="27" t="s">
        <v>142</v>
      </c>
      <c r="J570" s="27" t="s">
        <v>143</v>
      </c>
      <c r="K570" s="27" t="s">
        <v>371</v>
      </c>
      <c r="L570" s="27" t="s">
        <v>371</v>
      </c>
      <c r="M570" s="27" t="s">
        <v>371</v>
      </c>
      <c r="N570" s="27" t="s">
        <v>371</v>
      </c>
      <c r="O570" s="27" t="s">
        <v>371</v>
      </c>
      <c r="P570" s="27" t="s">
        <v>371</v>
      </c>
      <c r="Q570" s="27" t="s">
        <v>372</v>
      </c>
      <c r="R570" s="556">
        <f t="shared" si="27"/>
        <v>-4508255.1500000004</v>
      </c>
      <c r="S570" s="556">
        <f t="shared" si="29"/>
        <v>-4876197.1500000004</v>
      </c>
      <c r="T570" s="556">
        <f t="shared" si="30"/>
        <v>-5908448.1400000006</v>
      </c>
      <c r="U570" s="556">
        <f t="shared" si="31"/>
        <v>-6501112.9399999995</v>
      </c>
      <c r="V570" s="556">
        <f t="shared" si="32"/>
        <v>-5970799.3500000006</v>
      </c>
      <c r="W570" s="556">
        <f t="shared" si="33"/>
        <v>-6563464.1499999994</v>
      </c>
      <c r="X570" s="556">
        <f t="shared" si="34"/>
        <v>-7339921.1500000004</v>
      </c>
      <c r="Y570" s="556">
        <f t="shared" si="35"/>
        <v>-4036315.49</v>
      </c>
      <c r="Z570" s="556">
        <f t="shared" si="36"/>
        <v>-4812772.49</v>
      </c>
      <c r="AA570" s="556">
        <f t="shared" si="37"/>
        <v>-5589229.4900000002</v>
      </c>
      <c r="AB570" s="556">
        <f t="shared" si="38"/>
        <v>-6365686.4900000002</v>
      </c>
      <c r="AC570" s="556">
        <f t="shared" si="39"/>
        <v>-7142143.4900000002</v>
      </c>
      <c r="AD570" s="556">
        <f t="shared" si="28"/>
        <v>-7932930.3600000003</v>
      </c>
      <c r="AE570" s="556">
        <f t="shared" si="25"/>
        <v>-8742547.4800000004</v>
      </c>
      <c r="AF570" s="556">
        <f t="shared" si="25"/>
        <v>-9590554.1300000008</v>
      </c>
      <c r="AG570" s="556">
        <f t="shared" si="25"/>
        <v>-10439136.689999999</v>
      </c>
    </row>
    <row r="571" spans="1:33" hidden="1" outlineLevel="1" x14ac:dyDescent="0.35">
      <c r="A571" t="b">
        <f t="shared" si="26"/>
        <v>1</v>
      </c>
      <c r="B571" s="27" t="s">
        <v>1210</v>
      </c>
      <c r="C571" s="27" t="s">
        <v>51</v>
      </c>
      <c r="D571" s="27" t="s">
        <v>1789</v>
      </c>
      <c r="E571" s="27" t="s">
        <v>51</v>
      </c>
      <c r="F571" s="27" t="s">
        <v>434</v>
      </c>
      <c r="G571" s="27" t="s">
        <v>1442</v>
      </c>
      <c r="H571" s="27" t="s">
        <v>54</v>
      </c>
      <c r="I571" s="27" t="s">
        <v>142</v>
      </c>
      <c r="J571" s="27" t="s">
        <v>436</v>
      </c>
      <c r="K571" s="27" t="s">
        <v>371</v>
      </c>
      <c r="L571" s="27" t="s">
        <v>371</v>
      </c>
      <c r="M571" s="27" t="s">
        <v>371</v>
      </c>
      <c r="N571" s="27" t="s">
        <v>371</v>
      </c>
      <c r="O571" s="27" t="s">
        <v>371</v>
      </c>
      <c r="P571" s="27" t="s">
        <v>371</v>
      </c>
      <c r="Q571" s="27" t="s">
        <v>372</v>
      </c>
      <c r="R571" s="556">
        <f t="shared" si="27"/>
        <v>-59095.98</v>
      </c>
      <c r="S571" s="556">
        <f t="shared" si="29"/>
        <v>-60122.27</v>
      </c>
      <c r="T571" s="556">
        <f t="shared" si="30"/>
        <v>-67865.84</v>
      </c>
      <c r="U571" s="556">
        <f t="shared" si="31"/>
        <v>-68494.51999999999</v>
      </c>
      <c r="V571" s="556">
        <f t="shared" si="32"/>
        <v>-69726.700000000012</v>
      </c>
      <c r="W571" s="556">
        <f t="shared" si="33"/>
        <v>-64671.549999999996</v>
      </c>
      <c r="X571" s="556">
        <f t="shared" si="34"/>
        <v>-69702.91</v>
      </c>
      <c r="Y571" s="556">
        <f t="shared" si="35"/>
        <v>-73148.06</v>
      </c>
      <c r="Z571" s="556">
        <f t="shared" si="36"/>
        <v>-82410.2</v>
      </c>
      <c r="AA571" s="556">
        <f t="shared" si="37"/>
        <v>-93884.22</v>
      </c>
      <c r="AB571" s="556">
        <f t="shared" si="38"/>
        <v>-109569.27</v>
      </c>
      <c r="AC571" s="556">
        <f t="shared" si="39"/>
        <v>-114644.11</v>
      </c>
      <c r="AD571" s="556">
        <f t="shared" si="28"/>
        <v>-127941.52</v>
      </c>
      <c r="AE571" s="556">
        <f t="shared" ref="AE571:AG590" si="40">+IF(AE$10="Actuals",IF($O93="Revenue",-IF($H93="BS",AE93,IF($H93="P&amp;L",AE93-AD93,0)),IF($H93="BS",AE93,IF($H93="P&amp;L",AE93-AD93,0))),0)</f>
        <v>-110786.85</v>
      </c>
      <c r="AF571" s="556">
        <f t="shared" si="40"/>
        <v>-117991.14</v>
      </c>
      <c r="AG571" s="556">
        <f t="shared" si="40"/>
        <v>-151952.24</v>
      </c>
    </row>
    <row r="572" spans="1:33" hidden="1" outlineLevel="1" x14ac:dyDescent="0.35">
      <c r="A572" t="b">
        <f t="shared" si="26"/>
        <v>1</v>
      </c>
      <c r="B572" s="27" t="s">
        <v>1211</v>
      </c>
      <c r="C572" s="27" t="s">
        <v>51</v>
      </c>
      <c r="D572" s="27" t="s">
        <v>1790</v>
      </c>
      <c r="E572" s="27" t="s">
        <v>51</v>
      </c>
      <c r="F572" s="27" t="s">
        <v>434</v>
      </c>
      <c r="G572" s="27" t="s">
        <v>1443</v>
      </c>
      <c r="H572" s="27" t="s">
        <v>54</v>
      </c>
      <c r="I572" s="27" t="s">
        <v>142</v>
      </c>
      <c r="J572" s="27" t="s">
        <v>436</v>
      </c>
      <c r="K572" s="27" t="s">
        <v>371</v>
      </c>
      <c r="L572" s="27" t="s">
        <v>371</v>
      </c>
      <c r="M572" s="27" t="s">
        <v>371</v>
      </c>
      <c r="N572" s="27" t="s">
        <v>371</v>
      </c>
      <c r="O572" s="27" t="s">
        <v>371</v>
      </c>
      <c r="P572" s="27" t="s">
        <v>371</v>
      </c>
      <c r="Q572" s="27" t="s">
        <v>372</v>
      </c>
      <c r="R572" s="556">
        <f t="shared" si="27"/>
        <v>-55104.869999999995</v>
      </c>
      <c r="S572" s="556">
        <f t="shared" si="29"/>
        <v>-107409.39000000001</v>
      </c>
      <c r="T572" s="556">
        <f t="shared" si="30"/>
        <v>-67873.98000000001</v>
      </c>
      <c r="U572" s="556">
        <f t="shared" si="31"/>
        <v>-131696.87</v>
      </c>
      <c r="V572" s="556">
        <f t="shared" si="32"/>
        <v>-68795.839999999997</v>
      </c>
      <c r="W572" s="556">
        <f t="shared" si="33"/>
        <v>-126901.12000000001</v>
      </c>
      <c r="X572" s="556">
        <f t="shared" si="34"/>
        <v>-63267.69</v>
      </c>
      <c r="Y572" s="556">
        <f t="shared" si="35"/>
        <v>-130206.04999999999</v>
      </c>
      <c r="Z572" s="556">
        <f t="shared" si="36"/>
        <v>-69800.180000000008</v>
      </c>
      <c r="AA572" s="556">
        <f t="shared" si="37"/>
        <v>-148592.20000000001</v>
      </c>
      <c r="AB572" s="556">
        <f t="shared" si="38"/>
        <v>-88247.58</v>
      </c>
      <c r="AC572" s="556">
        <f t="shared" si="39"/>
        <v>-191647.34000000003</v>
      </c>
      <c r="AD572" s="556">
        <f t="shared" si="28"/>
        <v>-109170.93</v>
      </c>
      <c r="AE572" s="556">
        <f t="shared" si="40"/>
        <v>-242327.16</v>
      </c>
      <c r="AF572" s="556">
        <f t="shared" si="40"/>
        <v>-61646.32</v>
      </c>
      <c r="AG572" s="556">
        <f t="shared" si="40"/>
        <v>-172671.21</v>
      </c>
    </row>
    <row r="573" spans="1:33" hidden="1" outlineLevel="1" x14ac:dyDescent="0.35">
      <c r="A573" t="b">
        <f t="shared" si="26"/>
        <v>1</v>
      </c>
      <c r="B573" s="27" t="s">
        <v>1212</v>
      </c>
      <c r="C573" s="27" t="s">
        <v>51</v>
      </c>
      <c r="D573" s="27" t="s">
        <v>1791</v>
      </c>
      <c r="E573" s="27" t="s">
        <v>51</v>
      </c>
      <c r="F573" s="27" t="s">
        <v>434</v>
      </c>
      <c r="G573" s="27" t="s">
        <v>1444</v>
      </c>
      <c r="H573" s="27" t="s">
        <v>54</v>
      </c>
      <c r="I573" s="27" t="s">
        <v>142</v>
      </c>
      <c r="J573" s="27" t="s">
        <v>436</v>
      </c>
      <c r="K573" s="27" t="s">
        <v>371</v>
      </c>
      <c r="L573" s="27" t="s">
        <v>371</v>
      </c>
      <c r="M573" s="27" t="s">
        <v>371</v>
      </c>
      <c r="N573" s="27" t="s">
        <v>371</v>
      </c>
      <c r="O573" s="27" t="s">
        <v>371</v>
      </c>
      <c r="P573" s="27" t="s">
        <v>371</v>
      </c>
      <c r="Q573" s="27" t="s">
        <v>372</v>
      </c>
      <c r="R573" s="556">
        <f t="shared" si="27"/>
        <v>-31156.52</v>
      </c>
      <c r="S573" s="556">
        <f t="shared" si="29"/>
        <v>-62382.15</v>
      </c>
      <c r="T573" s="556">
        <f t="shared" si="30"/>
        <v>-38834.340000000004</v>
      </c>
      <c r="U573" s="556">
        <f t="shared" si="31"/>
        <v>-77053.76999999999</v>
      </c>
      <c r="V573" s="556">
        <f t="shared" si="32"/>
        <v>-39490.570000000007</v>
      </c>
      <c r="W573" s="556">
        <f t="shared" si="33"/>
        <v>-74588.7</v>
      </c>
      <c r="X573" s="556">
        <f t="shared" si="34"/>
        <v>-38220.31</v>
      </c>
      <c r="Y573" s="556">
        <f t="shared" si="35"/>
        <v>-76064.61</v>
      </c>
      <c r="Z573" s="556">
        <f t="shared" si="36"/>
        <v>-39528.550000000003</v>
      </c>
      <c r="AA573" s="556">
        <f t="shared" si="37"/>
        <v>-84147.01</v>
      </c>
      <c r="AB573" s="556">
        <f t="shared" si="38"/>
        <v>-47765.56</v>
      </c>
      <c r="AC573" s="556">
        <f t="shared" si="39"/>
        <v>-115287.58</v>
      </c>
      <c r="AD573" s="556">
        <f t="shared" si="28"/>
        <v>-11147.21</v>
      </c>
      <c r="AE573" s="556">
        <f t="shared" si="40"/>
        <v>-82431.11</v>
      </c>
      <c r="AF573" s="556">
        <f t="shared" si="40"/>
        <v>-74407.009999999995</v>
      </c>
      <c r="AG573" s="556">
        <f t="shared" si="40"/>
        <v>-162175.60999999999</v>
      </c>
    </row>
    <row r="574" spans="1:33" hidden="1" outlineLevel="1" x14ac:dyDescent="0.35">
      <c r="A574" t="b">
        <f t="shared" si="26"/>
        <v>1</v>
      </c>
      <c r="B574" s="27" t="s">
        <v>1213</v>
      </c>
      <c r="C574" s="27" t="s">
        <v>51</v>
      </c>
      <c r="D574" s="27" t="s">
        <v>1792</v>
      </c>
      <c r="E574" s="27" t="s">
        <v>51</v>
      </c>
      <c r="F574" s="27" t="s">
        <v>434</v>
      </c>
      <c r="G574" s="27" t="s">
        <v>1445</v>
      </c>
      <c r="H574" s="27" t="s">
        <v>54</v>
      </c>
      <c r="I574" s="27" t="s">
        <v>142</v>
      </c>
      <c r="J574" s="27" t="s">
        <v>436</v>
      </c>
      <c r="K574" s="27" t="s">
        <v>371</v>
      </c>
      <c r="L574" s="27" t="s">
        <v>371</v>
      </c>
      <c r="M574" s="27" t="s">
        <v>371</v>
      </c>
      <c r="N574" s="27" t="s">
        <v>371</v>
      </c>
      <c r="O574" s="27" t="s">
        <v>371</v>
      </c>
      <c r="P574" s="27" t="s">
        <v>371</v>
      </c>
      <c r="Q574" s="27" t="s">
        <v>372</v>
      </c>
      <c r="R574" s="556">
        <f t="shared" si="27"/>
        <v>-32497.360000000001</v>
      </c>
      <c r="S574" s="556">
        <f t="shared" si="29"/>
        <v>-38474.639999999999</v>
      </c>
      <c r="T574" s="556">
        <f t="shared" si="30"/>
        <v>-45406.13</v>
      </c>
      <c r="U574" s="556">
        <f t="shared" si="31"/>
        <v>-55249.85</v>
      </c>
      <c r="V574" s="556">
        <f t="shared" si="32"/>
        <v>-86354.66</v>
      </c>
      <c r="W574" s="556">
        <f t="shared" si="33"/>
        <v>-64833.33</v>
      </c>
      <c r="X574" s="556">
        <f t="shared" si="34"/>
        <v>-36428.89</v>
      </c>
      <c r="Y574" s="556">
        <f t="shared" si="35"/>
        <v>-83912.31</v>
      </c>
      <c r="Z574" s="556">
        <f t="shared" si="36"/>
        <v>-73996.829999999987</v>
      </c>
      <c r="AA574" s="556">
        <f t="shared" si="37"/>
        <v>-92181.43</v>
      </c>
      <c r="AB574" s="556">
        <f t="shared" si="38"/>
        <v>-106908.78</v>
      </c>
      <c r="AC574" s="556">
        <f t="shared" si="39"/>
        <v>-75412.679999999993</v>
      </c>
      <c r="AD574" s="556">
        <f t="shared" si="28"/>
        <v>-149098.95000000001</v>
      </c>
      <c r="AE574" s="556">
        <f t="shared" si="40"/>
        <v>-185075.5</v>
      </c>
      <c r="AF574" s="556">
        <f t="shared" si="40"/>
        <v>-69695.67</v>
      </c>
      <c r="AG574" s="556">
        <f t="shared" si="40"/>
        <v>-98906.1</v>
      </c>
    </row>
    <row r="575" spans="1:33" hidden="1" outlineLevel="1" x14ac:dyDescent="0.35">
      <c r="A575" t="b">
        <f t="shared" si="26"/>
        <v>1</v>
      </c>
      <c r="B575" s="27" t="s">
        <v>1214</v>
      </c>
      <c r="C575" s="27" t="s">
        <v>51</v>
      </c>
      <c r="D575" s="27" t="s">
        <v>1793</v>
      </c>
      <c r="E575" s="27" t="s">
        <v>51</v>
      </c>
      <c r="F575" s="27" t="s">
        <v>434</v>
      </c>
      <c r="G575" s="27" t="s">
        <v>1446</v>
      </c>
      <c r="H575" s="27" t="s">
        <v>54</v>
      </c>
      <c r="I575" s="27" t="s">
        <v>142</v>
      </c>
      <c r="J575" s="27" t="s">
        <v>436</v>
      </c>
      <c r="K575" s="27" t="s">
        <v>371</v>
      </c>
      <c r="L575" s="27" t="s">
        <v>371</v>
      </c>
      <c r="M575" s="27" t="s">
        <v>371</v>
      </c>
      <c r="N575" s="27" t="s">
        <v>371</v>
      </c>
      <c r="O575" s="27" t="s">
        <v>371</v>
      </c>
      <c r="P575" s="27" t="s">
        <v>371</v>
      </c>
      <c r="Q575" s="27" t="s">
        <v>372</v>
      </c>
      <c r="R575" s="556">
        <f t="shared" si="27"/>
        <v>-190780.83</v>
      </c>
      <c r="S575" s="556">
        <f t="shared" si="29"/>
        <v>-283708.02</v>
      </c>
      <c r="T575" s="556">
        <f t="shared" si="30"/>
        <v>-293022.87</v>
      </c>
      <c r="U575" s="556">
        <f t="shared" si="31"/>
        <v>-293165.69</v>
      </c>
      <c r="V575" s="556">
        <f t="shared" si="32"/>
        <v>-474251.72000000003</v>
      </c>
      <c r="W575" s="556">
        <f t="shared" si="33"/>
        <v>-197359.56</v>
      </c>
      <c r="X575" s="556">
        <f t="shared" si="34"/>
        <v>-197466.74</v>
      </c>
      <c r="Y575" s="556">
        <f t="shared" si="35"/>
        <v>-525767.81000000006</v>
      </c>
      <c r="Z575" s="556">
        <f t="shared" si="36"/>
        <v>-259000.98</v>
      </c>
      <c r="AA575" s="556">
        <f t="shared" si="37"/>
        <v>-315024.67</v>
      </c>
      <c r="AB575" s="556">
        <f t="shared" si="38"/>
        <v>-309191.43</v>
      </c>
      <c r="AC575" s="556">
        <f t="shared" si="39"/>
        <v>-622352.53</v>
      </c>
      <c r="AD575" s="556">
        <f t="shared" si="28"/>
        <v>-367340.88</v>
      </c>
      <c r="AE575" s="556">
        <f t="shared" si="40"/>
        <v>-493001.31</v>
      </c>
      <c r="AF575" s="556">
        <f t="shared" si="40"/>
        <v>-373132.41</v>
      </c>
      <c r="AG575" s="556">
        <f t="shared" si="40"/>
        <v>-430439.96</v>
      </c>
    </row>
    <row r="576" spans="1:33" hidden="1" outlineLevel="1" x14ac:dyDescent="0.35">
      <c r="A576" t="b">
        <f t="shared" si="26"/>
        <v>1</v>
      </c>
      <c r="B576" s="27" t="s">
        <v>1215</v>
      </c>
      <c r="C576" s="27" t="s">
        <v>51</v>
      </c>
      <c r="D576" s="27" t="s">
        <v>1794</v>
      </c>
      <c r="E576" s="27" t="s">
        <v>51</v>
      </c>
      <c r="F576" s="27" t="s">
        <v>434</v>
      </c>
      <c r="G576" s="27" t="s">
        <v>1447</v>
      </c>
      <c r="H576" s="27" t="s">
        <v>54</v>
      </c>
      <c r="I576" s="27" t="s">
        <v>142</v>
      </c>
      <c r="J576" s="27" t="s">
        <v>436</v>
      </c>
      <c r="K576" s="27" t="s">
        <v>371</v>
      </c>
      <c r="L576" s="27" t="s">
        <v>371</v>
      </c>
      <c r="M576" s="27" t="s">
        <v>371</v>
      </c>
      <c r="N576" s="27" t="s">
        <v>371</v>
      </c>
      <c r="O576" s="27" t="s">
        <v>371</v>
      </c>
      <c r="P576" s="27" t="s">
        <v>371</v>
      </c>
      <c r="Q576" s="27" t="s">
        <v>372</v>
      </c>
      <c r="R576" s="556">
        <f t="shared" si="27"/>
        <v>-14951.150000000001</v>
      </c>
      <c r="S576" s="556">
        <f t="shared" si="29"/>
        <v>-22094.91</v>
      </c>
      <c r="T576" s="556">
        <f t="shared" si="30"/>
        <v>-11928.779999999999</v>
      </c>
      <c r="U576" s="556">
        <f t="shared" si="31"/>
        <v>-20455.550000000003</v>
      </c>
      <c r="V576" s="556">
        <f t="shared" si="32"/>
        <v>-5384.5799999999981</v>
      </c>
      <c r="W576" s="556">
        <f t="shared" si="33"/>
        <v>-11859.77</v>
      </c>
      <c r="X576" s="556">
        <f t="shared" si="34"/>
        <v>-13290.140000000001</v>
      </c>
      <c r="Y576" s="556">
        <f t="shared" si="35"/>
        <v>-23085.57</v>
      </c>
      <c r="Z576" s="556">
        <f t="shared" si="36"/>
        <v>-15372.81</v>
      </c>
      <c r="AA576" s="556">
        <f t="shared" si="37"/>
        <v>-26213.29</v>
      </c>
      <c r="AB576" s="556">
        <f t="shared" si="38"/>
        <v>-19751.34</v>
      </c>
      <c r="AC576" s="556">
        <f t="shared" si="39"/>
        <v>-45995.71</v>
      </c>
      <c r="AD576" s="556">
        <f t="shared" si="28"/>
        <v>-76536.290000000008</v>
      </c>
      <c r="AE576" s="556">
        <f t="shared" si="40"/>
        <v>-109584.81</v>
      </c>
      <c r="AF576" s="556">
        <f t="shared" si="40"/>
        <v>-34460.5</v>
      </c>
      <c r="AG576" s="556">
        <f t="shared" si="40"/>
        <v>-61017.51</v>
      </c>
    </row>
    <row r="577" spans="1:34" hidden="1" outlineLevel="1" x14ac:dyDescent="0.35">
      <c r="A577" t="b">
        <f t="shared" si="26"/>
        <v>1</v>
      </c>
      <c r="B577" s="27" t="s">
        <v>1216</v>
      </c>
      <c r="C577" s="27" t="s">
        <v>51</v>
      </c>
      <c r="D577" s="27" t="s">
        <v>1795</v>
      </c>
      <c r="E577" s="27" t="s">
        <v>51</v>
      </c>
      <c r="F577" s="27" t="s">
        <v>434</v>
      </c>
      <c r="G577" s="27" t="s">
        <v>1448</v>
      </c>
      <c r="H577" s="27" t="s">
        <v>54</v>
      </c>
      <c r="I577" s="27" t="s">
        <v>142</v>
      </c>
      <c r="J577" s="27" t="s">
        <v>436</v>
      </c>
      <c r="K577" s="27" t="s">
        <v>371</v>
      </c>
      <c r="L577" s="27" t="s">
        <v>371</v>
      </c>
      <c r="M577" s="27" t="s">
        <v>371</v>
      </c>
      <c r="N577" s="27" t="s">
        <v>371</v>
      </c>
      <c r="O577" s="27" t="s">
        <v>371</v>
      </c>
      <c r="P577" s="27" t="s">
        <v>371</v>
      </c>
      <c r="Q577" s="27" t="s">
        <v>372</v>
      </c>
      <c r="R577" s="556">
        <f t="shared" si="27"/>
        <v>-30139.07</v>
      </c>
      <c r="S577" s="556">
        <f t="shared" si="29"/>
        <v>-51434.080000000002</v>
      </c>
      <c r="T577" s="556">
        <f t="shared" si="30"/>
        <v>-29285.74</v>
      </c>
      <c r="U577" s="556">
        <f t="shared" si="31"/>
        <v>-107182.75</v>
      </c>
      <c r="V577" s="556">
        <f t="shared" si="32"/>
        <v>-131807.96</v>
      </c>
      <c r="W577" s="556">
        <f t="shared" si="33"/>
        <v>-241036.44999999998</v>
      </c>
      <c r="X577" s="556">
        <f t="shared" si="34"/>
        <v>-85034.48</v>
      </c>
      <c r="Y577" s="556">
        <f t="shared" si="35"/>
        <v>-107182.82</v>
      </c>
      <c r="Z577" s="556">
        <f t="shared" si="36"/>
        <v>-87786.46</v>
      </c>
      <c r="AA577" s="556">
        <f t="shared" si="37"/>
        <v>-107182.82</v>
      </c>
      <c r="AB577" s="556">
        <f t="shared" si="38"/>
        <v>-155613.16</v>
      </c>
      <c r="AC577" s="556">
        <f t="shared" si="39"/>
        <v>-176709.68</v>
      </c>
      <c r="AD577" s="556">
        <f t="shared" si="28"/>
        <v>-151561.32999999999</v>
      </c>
      <c r="AE577" s="556">
        <f t="shared" si="40"/>
        <v>-115656.3</v>
      </c>
      <c r="AF577" s="556">
        <f t="shared" si="40"/>
        <v>-270721.62</v>
      </c>
      <c r="AG577" s="556">
        <f t="shared" si="40"/>
        <v>-302543.24</v>
      </c>
    </row>
    <row r="578" spans="1:34" hidden="1" outlineLevel="1" x14ac:dyDescent="0.35">
      <c r="A578" t="b">
        <f t="shared" si="26"/>
        <v>1</v>
      </c>
      <c r="B578" s="27" t="s">
        <v>1217</v>
      </c>
      <c r="C578" s="27" t="s">
        <v>51</v>
      </c>
      <c r="D578" s="27" t="s">
        <v>1796</v>
      </c>
      <c r="E578" s="27" t="s">
        <v>51</v>
      </c>
      <c r="F578" s="27" t="s">
        <v>434</v>
      </c>
      <c r="G578" s="27" t="s">
        <v>1449</v>
      </c>
      <c r="H578" s="27" t="s">
        <v>54</v>
      </c>
      <c r="I578" s="27" t="s">
        <v>142</v>
      </c>
      <c r="J578" s="27" t="s">
        <v>436</v>
      </c>
      <c r="K578" s="27" t="s">
        <v>371</v>
      </c>
      <c r="L578" s="27" t="s">
        <v>371</v>
      </c>
      <c r="M578" s="27" t="s">
        <v>371</v>
      </c>
      <c r="N578" s="27" t="s">
        <v>371</v>
      </c>
      <c r="O578" s="27" t="s">
        <v>371</v>
      </c>
      <c r="P578" s="27" t="s">
        <v>371</v>
      </c>
      <c r="Q578" s="27" t="s">
        <v>372</v>
      </c>
      <c r="R578" s="556">
        <f t="shared" si="27"/>
        <v>-3129.59</v>
      </c>
      <c r="S578" s="556">
        <f t="shared" si="29"/>
        <v>-3029.59</v>
      </c>
      <c r="T578" s="556">
        <f t="shared" si="30"/>
        <v>-3029.59</v>
      </c>
      <c r="U578" s="556">
        <f t="shared" si="31"/>
        <v>-3029.59</v>
      </c>
      <c r="V578" s="556">
        <f t="shared" si="32"/>
        <v>-3151.4700000000003</v>
      </c>
      <c r="W578" s="556">
        <f t="shared" si="33"/>
        <v>-3029.59</v>
      </c>
      <c r="X578" s="556">
        <f t="shared" si="34"/>
        <v>-3029.59</v>
      </c>
      <c r="Y578" s="556">
        <f t="shared" si="35"/>
        <v>-3029.59</v>
      </c>
      <c r="Z578" s="556">
        <f t="shared" si="36"/>
        <v>-3352.09</v>
      </c>
      <c r="AA578" s="556">
        <f t="shared" si="37"/>
        <v>-3058.9700000000003</v>
      </c>
      <c r="AB578" s="556">
        <f t="shared" si="38"/>
        <v>-3392.09</v>
      </c>
      <c r="AC578" s="556">
        <f t="shared" si="39"/>
        <v>-3831.15</v>
      </c>
      <c r="AD578" s="556">
        <f t="shared" si="28"/>
        <v>-3718.92</v>
      </c>
      <c r="AE578" s="556">
        <f t="shared" si="40"/>
        <v>-3868.08</v>
      </c>
      <c r="AF578" s="556">
        <f t="shared" si="40"/>
        <v>-19056.080000000002</v>
      </c>
      <c r="AG578" s="556">
        <f t="shared" si="40"/>
        <v>-49038.13</v>
      </c>
    </row>
    <row r="579" spans="1:34" hidden="1" outlineLevel="1" x14ac:dyDescent="0.35">
      <c r="A579" t="b">
        <f t="shared" si="26"/>
        <v>1</v>
      </c>
      <c r="B579" s="27" t="s">
        <v>1218</v>
      </c>
      <c r="C579" s="27" t="s">
        <v>51</v>
      </c>
      <c r="D579" s="27" t="s">
        <v>1797</v>
      </c>
      <c r="E579" s="27" t="s">
        <v>51</v>
      </c>
      <c r="F579" s="27" t="s">
        <v>102</v>
      </c>
      <c r="G579" s="27" t="s">
        <v>1450</v>
      </c>
      <c r="H579" s="27" t="s">
        <v>54</v>
      </c>
      <c r="I579" s="27" t="s">
        <v>142</v>
      </c>
      <c r="J579" s="27" t="s">
        <v>156</v>
      </c>
      <c r="K579" s="27" t="s">
        <v>371</v>
      </c>
      <c r="L579" s="27" t="s">
        <v>371</v>
      </c>
      <c r="M579" s="27" t="s">
        <v>371</v>
      </c>
      <c r="N579" s="27" t="s">
        <v>371</v>
      </c>
      <c r="O579" s="27" t="s">
        <v>371</v>
      </c>
      <c r="P579" s="27" t="s">
        <v>371</v>
      </c>
      <c r="Q579" s="27" t="s">
        <v>372</v>
      </c>
      <c r="R579" s="556">
        <f t="shared" si="27"/>
        <v>-18529135.259999998</v>
      </c>
      <c r="S579" s="556">
        <f t="shared" si="29"/>
        <v>-18642374</v>
      </c>
      <c r="T579" s="556">
        <f t="shared" si="30"/>
        <v>-17211974.940000001</v>
      </c>
      <c r="U579" s="556">
        <f t="shared" si="31"/>
        <v>-127883230.15000002</v>
      </c>
      <c r="V579" s="556">
        <f t="shared" si="32"/>
        <v>-127267742.75999999</v>
      </c>
      <c r="W579" s="556">
        <f t="shared" si="33"/>
        <v>-126642081.63000001</v>
      </c>
      <c r="X579" s="556">
        <f t="shared" si="34"/>
        <v>-138107036.66999999</v>
      </c>
      <c r="Y579" s="556">
        <f t="shared" si="35"/>
        <v>-137442060.81</v>
      </c>
      <c r="Z579" s="556">
        <f t="shared" si="36"/>
        <v>-136977888.08000001</v>
      </c>
      <c r="AA579" s="556">
        <f t="shared" si="37"/>
        <v>-137543616.72</v>
      </c>
      <c r="AB579" s="556">
        <f t="shared" si="38"/>
        <v>-155414504.03</v>
      </c>
      <c r="AC579" s="556">
        <f t="shared" si="39"/>
        <v>-320123543.46000004</v>
      </c>
      <c r="AD579" s="556">
        <f t="shared" si="28"/>
        <v>-322451265.36000001</v>
      </c>
      <c r="AE579" s="556">
        <f t="shared" si="40"/>
        <v>-323155717.53000009</v>
      </c>
      <c r="AF579" s="556">
        <f t="shared" si="40"/>
        <v>-381635252.24999994</v>
      </c>
      <c r="AG579" s="556">
        <f t="shared" si="40"/>
        <v>-383691129.38</v>
      </c>
    </row>
    <row r="580" spans="1:34" hidden="1" outlineLevel="1" x14ac:dyDescent="0.35">
      <c r="A580" t="b">
        <f t="shared" si="26"/>
        <v>1</v>
      </c>
      <c r="B580" s="27" t="s">
        <v>160</v>
      </c>
      <c r="C580" s="27" t="s">
        <v>51</v>
      </c>
      <c r="D580" s="27" t="s">
        <v>1451</v>
      </c>
      <c r="E580" s="27" t="s">
        <v>51</v>
      </c>
      <c r="F580" s="27" t="s">
        <v>102</v>
      </c>
      <c r="G580" s="27" t="s">
        <v>162</v>
      </c>
      <c r="H580" s="27" t="s">
        <v>54</v>
      </c>
      <c r="I580" s="27" t="s">
        <v>142</v>
      </c>
      <c r="J580" s="27" t="s">
        <v>156</v>
      </c>
      <c r="K580" s="27" t="s">
        <v>371</v>
      </c>
      <c r="L580" s="27" t="s">
        <v>371</v>
      </c>
      <c r="M580" s="27" t="s">
        <v>371</v>
      </c>
      <c r="N580" s="27" t="s">
        <v>371</v>
      </c>
      <c r="O580" s="27" t="s">
        <v>371</v>
      </c>
      <c r="P580" s="27" t="s">
        <v>371</v>
      </c>
      <c r="Q580" s="27" t="s">
        <v>372</v>
      </c>
      <c r="R580" s="556">
        <f t="shared" si="27"/>
        <v>0</v>
      </c>
      <c r="S580" s="556">
        <f t="shared" si="29"/>
        <v>0</v>
      </c>
      <c r="T580" s="556">
        <f t="shared" si="30"/>
        <v>0</v>
      </c>
      <c r="U580" s="556">
        <f t="shared" si="31"/>
        <v>0</v>
      </c>
      <c r="V580" s="556">
        <f t="shared" si="32"/>
        <v>0</v>
      </c>
      <c r="W580" s="556">
        <f t="shared" si="33"/>
        <v>0</v>
      </c>
      <c r="X580" s="556">
        <f t="shared" si="34"/>
        <v>0</v>
      </c>
      <c r="Y580" s="556">
        <f t="shared" si="35"/>
        <v>0</v>
      </c>
      <c r="Z580" s="556">
        <f t="shared" si="36"/>
        <v>0</v>
      </c>
      <c r="AA580" s="556">
        <f t="shared" si="37"/>
        <v>0</v>
      </c>
      <c r="AB580" s="556">
        <f t="shared" si="38"/>
        <v>0</v>
      </c>
      <c r="AC580" s="556">
        <f t="shared" si="39"/>
        <v>0</v>
      </c>
      <c r="AD580" s="556">
        <f t="shared" si="28"/>
        <v>0</v>
      </c>
      <c r="AE580" s="556">
        <f t="shared" si="40"/>
        <v>0</v>
      </c>
      <c r="AF580" s="556">
        <f t="shared" si="40"/>
        <v>0</v>
      </c>
      <c r="AG580" s="556">
        <f t="shared" si="40"/>
        <v>0</v>
      </c>
    </row>
    <row r="581" spans="1:34" hidden="1" outlineLevel="1" x14ac:dyDescent="0.35">
      <c r="A581" t="b">
        <f t="shared" si="26"/>
        <v>1</v>
      </c>
      <c r="B581" s="27" t="s">
        <v>1219</v>
      </c>
      <c r="C581" s="27" t="s">
        <v>51</v>
      </c>
      <c r="D581" s="27" t="s">
        <v>1798</v>
      </c>
      <c r="E581" s="27" t="s">
        <v>51</v>
      </c>
      <c r="F581" s="27" t="s">
        <v>106</v>
      </c>
      <c r="G581" s="27" t="s">
        <v>1452</v>
      </c>
      <c r="H581" s="27" t="s">
        <v>54</v>
      </c>
      <c r="I581" s="27" t="s">
        <v>142</v>
      </c>
      <c r="J581" s="27" t="s">
        <v>180</v>
      </c>
      <c r="K581" s="27" t="s">
        <v>371</v>
      </c>
      <c r="L581" s="27" t="s">
        <v>371</v>
      </c>
      <c r="M581" s="27" t="s">
        <v>371</v>
      </c>
      <c r="N581" s="27" t="s">
        <v>371</v>
      </c>
      <c r="O581" s="27" t="s">
        <v>371</v>
      </c>
      <c r="P581" s="27" t="s">
        <v>371</v>
      </c>
      <c r="Q581" s="27" t="s">
        <v>372</v>
      </c>
      <c r="R581" s="556">
        <f t="shared" si="27"/>
        <v>-85303995.930000007</v>
      </c>
      <c r="S581" s="556">
        <f t="shared" si="29"/>
        <v>-75969501.680000007</v>
      </c>
      <c r="T581" s="556">
        <f t="shared" si="30"/>
        <v>-83468994.200000003</v>
      </c>
      <c r="U581" s="556">
        <f t="shared" si="31"/>
        <v>-74745543.519999996</v>
      </c>
      <c r="V581" s="556">
        <f t="shared" si="32"/>
        <v>-91222988.359999999</v>
      </c>
      <c r="W581" s="556">
        <f t="shared" si="33"/>
        <v>-100075009.16</v>
      </c>
      <c r="X581" s="556">
        <f t="shared" si="34"/>
        <v>-38227021.479999997</v>
      </c>
      <c r="Y581" s="556">
        <f t="shared" si="35"/>
        <v>-48384030.259999998</v>
      </c>
      <c r="Z581" s="556">
        <f t="shared" si="36"/>
        <v>-39234391.049999997</v>
      </c>
      <c r="AA581" s="556">
        <f t="shared" si="37"/>
        <v>-26971102.860000003</v>
      </c>
      <c r="AB581" s="556">
        <f t="shared" si="38"/>
        <v>-15645328.629999999</v>
      </c>
      <c r="AC581" s="556">
        <f t="shared" si="39"/>
        <v>-38684925.779999994</v>
      </c>
      <c r="AD581" s="556">
        <f t="shared" si="28"/>
        <v>-39661490.099999994</v>
      </c>
      <c r="AE581" s="556">
        <f t="shared" si="40"/>
        <v>-21976848.610000003</v>
      </c>
      <c r="AF581" s="556">
        <f t="shared" si="40"/>
        <v>-11704641.119999999</v>
      </c>
      <c r="AG581" s="556">
        <f t="shared" si="40"/>
        <v>-4044461.17</v>
      </c>
    </row>
    <row r="582" spans="1:34" hidden="1" outlineLevel="1" x14ac:dyDescent="0.35">
      <c r="A582" t="b">
        <f t="shared" si="26"/>
        <v>1</v>
      </c>
      <c r="B582" s="27" t="s">
        <v>181</v>
      </c>
      <c r="C582" s="27" t="s">
        <v>51</v>
      </c>
      <c r="D582" s="27" t="s">
        <v>1453</v>
      </c>
      <c r="E582" s="27" t="s">
        <v>51</v>
      </c>
      <c r="F582" s="27" t="s">
        <v>106</v>
      </c>
      <c r="G582" s="27" t="s">
        <v>182</v>
      </c>
      <c r="H582" s="27" t="s">
        <v>54</v>
      </c>
      <c r="I582" s="27" t="s">
        <v>142</v>
      </c>
      <c r="J582" s="27" t="s">
        <v>180</v>
      </c>
      <c r="K582" s="27" t="s">
        <v>371</v>
      </c>
      <c r="L582" s="27" t="s">
        <v>371</v>
      </c>
      <c r="M582" s="27" t="s">
        <v>371</v>
      </c>
      <c r="N582" s="27" t="s">
        <v>371</v>
      </c>
      <c r="O582" s="27" t="s">
        <v>371</v>
      </c>
      <c r="P582" s="27" t="s">
        <v>371</v>
      </c>
      <c r="Q582" s="27" t="s">
        <v>372</v>
      </c>
      <c r="R582" s="556">
        <f t="shared" si="27"/>
        <v>-89270</v>
      </c>
      <c r="S582" s="556">
        <f t="shared" si="29"/>
        <v>-605227</v>
      </c>
      <c r="T582" s="556">
        <f t="shared" si="30"/>
        <v>-819827</v>
      </c>
      <c r="U582" s="556">
        <f t="shared" si="31"/>
        <v>-819827</v>
      </c>
      <c r="V582" s="556">
        <f t="shared" si="32"/>
        <v>-819827</v>
      </c>
      <c r="W582" s="556">
        <f t="shared" si="33"/>
        <v>-819827</v>
      </c>
      <c r="X582" s="556">
        <f t="shared" si="34"/>
        <v>-819827</v>
      </c>
      <c r="Y582" s="556">
        <f t="shared" si="35"/>
        <v>-819827</v>
      </c>
      <c r="Z582" s="556">
        <f t="shared" si="36"/>
        <v>0</v>
      </c>
      <c r="AA582" s="556">
        <f t="shared" si="37"/>
        <v>0</v>
      </c>
      <c r="AB582" s="556">
        <f t="shared" si="38"/>
        <v>0</v>
      </c>
      <c r="AC582" s="556">
        <f t="shared" si="39"/>
        <v>0</v>
      </c>
      <c r="AD582" s="556">
        <f t="shared" si="28"/>
        <v>0</v>
      </c>
      <c r="AE582" s="556">
        <f t="shared" si="40"/>
        <v>0</v>
      </c>
      <c r="AF582" s="556">
        <f t="shared" si="40"/>
        <v>0</v>
      </c>
      <c r="AG582" s="556">
        <f t="shared" si="40"/>
        <v>0</v>
      </c>
    </row>
    <row r="583" spans="1:34" hidden="1" outlineLevel="1" x14ac:dyDescent="0.35">
      <c r="A583" t="b">
        <f t="shared" si="26"/>
        <v>1</v>
      </c>
      <c r="B583" s="27" t="s">
        <v>191</v>
      </c>
      <c r="C583" s="27" t="s">
        <v>51</v>
      </c>
      <c r="D583" s="27" t="s">
        <v>1454</v>
      </c>
      <c r="E583" s="27" t="s">
        <v>51</v>
      </c>
      <c r="F583" s="27" t="s">
        <v>106</v>
      </c>
      <c r="G583" s="27" t="s">
        <v>192</v>
      </c>
      <c r="H583" s="27" t="s">
        <v>54</v>
      </c>
      <c r="I583" s="27" t="s">
        <v>142</v>
      </c>
      <c r="J583" s="27" t="s">
        <v>180</v>
      </c>
      <c r="K583" s="27" t="s">
        <v>371</v>
      </c>
      <c r="L583" s="27" t="s">
        <v>371</v>
      </c>
      <c r="M583" s="27" t="s">
        <v>371</v>
      </c>
      <c r="N583" s="27" t="s">
        <v>371</v>
      </c>
      <c r="O583" s="27" t="s">
        <v>371</v>
      </c>
      <c r="P583" s="27" t="s">
        <v>371</v>
      </c>
      <c r="Q583" s="27" t="s">
        <v>372</v>
      </c>
      <c r="R583" s="556">
        <f t="shared" si="27"/>
        <v>-702992.16</v>
      </c>
      <c r="S583" s="556">
        <f t="shared" si="29"/>
        <v>-517992.16</v>
      </c>
      <c r="T583" s="556">
        <f t="shared" si="30"/>
        <v>-439055.14999999997</v>
      </c>
      <c r="U583" s="556">
        <f t="shared" si="31"/>
        <v>-202874.85000000003</v>
      </c>
      <c r="V583" s="556">
        <f t="shared" si="32"/>
        <v>145789.18000000002</v>
      </c>
      <c r="W583" s="556">
        <f t="shared" si="33"/>
        <v>145789.18</v>
      </c>
      <c r="X583" s="556">
        <f t="shared" si="34"/>
        <v>145789.18</v>
      </c>
      <c r="Y583" s="556">
        <f t="shared" si="35"/>
        <v>145789.18</v>
      </c>
      <c r="Z583" s="556">
        <f t="shared" si="36"/>
        <v>145789.18</v>
      </c>
      <c r="AA583" s="556">
        <f t="shared" si="37"/>
        <v>145789.18</v>
      </c>
      <c r="AB583" s="556">
        <f t="shared" si="38"/>
        <v>145789.18</v>
      </c>
      <c r="AC583" s="556">
        <f t="shared" si="39"/>
        <v>0</v>
      </c>
      <c r="AD583" s="556">
        <f t="shared" si="28"/>
        <v>0</v>
      </c>
      <c r="AE583" s="556">
        <f t="shared" si="40"/>
        <v>0</v>
      </c>
      <c r="AF583" s="556">
        <f t="shared" si="40"/>
        <v>0</v>
      </c>
      <c r="AG583" s="556">
        <f t="shared" si="40"/>
        <v>0</v>
      </c>
    </row>
    <row r="584" spans="1:34" hidden="1" outlineLevel="1" x14ac:dyDescent="0.35">
      <c r="A584" t="b">
        <f t="shared" si="26"/>
        <v>1</v>
      </c>
      <c r="B584" s="27" t="s">
        <v>1220</v>
      </c>
      <c r="C584" s="27" t="s">
        <v>51</v>
      </c>
      <c r="D584" s="27" t="s">
        <v>1799</v>
      </c>
      <c r="E584" s="27" t="s">
        <v>51</v>
      </c>
      <c r="F584" s="27" t="s">
        <v>437</v>
      </c>
      <c r="G584" s="27" t="s">
        <v>1455</v>
      </c>
      <c r="H584" s="27" t="s">
        <v>54</v>
      </c>
      <c r="I584" s="27" t="s">
        <v>142</v>
      </c>
      <c r="J584" s="27" t="s">
        <v>438</v>
      </c>
      <c r="K584" s="27" t="s">
        <v>371</v>
      </c>
      <c r="L584" s="27" t="s">
        <v>371</v>
      </c>
      <c r="M584" s="27" t="s">
        <v>371</v>
      </c>
      <c r="N584" s="27" t="s">
        <v>371</v>
      </c>
      <c r="O584" s="27" t="s">
        <v>371</v>
      </c>
      <c r="P584" s="27" t="s">
        <v>371</v>
      </c>
      <c r="Q584" s="27" t="s">
        <v>372</v>
      </c>
      <c r="R584" s="556">
        <f t="shared" si="27"/>
        <v>-152846</v>
      </c>
      <c r="S584" s="556">
        <f t="shared" si="29"/>
        <v>-160471</v>
      </c>
      <c r="T584" s="556">
        <f t="shared" si="30"/>
        <v>-165798</v>
      </c>
      <c r="U584" s="556">
        <f t="shared" si="31"/>
        <v>-171125</v>
      </c>
      <c r="V584" s="556">
        <f t="shared" si="32"/>
        <v>-48777</v>
      </c>
      <c r="W584" s="556">
        <f t="shared" si="33"/>
        <v>-59431</v>
      </c>
      <c r="X584" s="556">
        <f t="shared" si="34"/>
        <v>-70085</v>
      </c>
      <c r="Y584" s="556">
        <f t="shared" si="35"/>
        <v>-80739</v>
      </c>
      <c r="Z584" s="556">
        <f t="shared" si="36"/>
        <v>-91393</v>
      </c>
      <c r="AA584" s="556">
        <f t="shared" si="37"/>
        <v>-51685.9</v>
      </c>
      <c r="AB584" s="556">
        <f t="shared" si="38"/>
        <v>-62339.9</v>
      </c>
      <c r="AC584" s="556">
        <f t="shared" si="39"/>
        <v>-646116</v>
      </c>
      <c r="AD584" s="556">
        <f t="shared" si="28"/>
        <v>-662655.42000000004</v>
      </c>
      <c r="AE584" s="556">
        <f t="shared" si="40"/>
        <v>-679194.84</v>
      </c>
      <c r="AF584" s="556">
        <f t="shared" si="40"/>
        <v>-695734.26</v>
      </c>
      <c r="AG584" s="556">
        <f t="shared" si="40"/>
        <v>-712273.68</v>
      </c>
    </row>
    <row r="585" spans="1:34" hidden="1" outlineLevel="1" x14ac:dyDescent="0.35">
      <c r="A585" t="b">
        <f t="shared" si="26"/>
        <v>1</v>
      </c>
      <c r="B585" s="27" t="s">
        <v>1221</v>
      </c>
      <c r="C585" s="27" t="s">
        <v>51</v>
      </c>
      <c r="D585" s="27" t="s">
        <v>1800</v>
      </c>
      <c r="E585" s="27" t="s">
        <v>51</v>
      </c>
      <c r="F585" s="27" t="s">
        <v>437</v>
      </c>
      <c r="G585" s="27" t="s">
        <v>1456</v>
      </c>
      <c r="H585" s="27" t="s">
        <v>54</v>
      </c>
      <c r="I585" s="27" t="s">
        <v>142</v>
      </c>
      <c r="J585" s="27" t="s">
        <v>438</v>
      </c>
      <c r="K585" s="27" t="s">
        <v>371</v>
      </c>
      <c r="L585" s="27" t="s">
        <v>371</v>
      </c>
      <c r="M585" s="27" t="s">
        <v>371</v>
      </c>
      <c r="N585" s="27" t="s">
        <v>371</v>
      </c>
      <c r="O585" s="27" t="s">
        <v>371</v>
      </c>
      <c r="P585" s="27" t="s">
        <v>371</v>
      </c>
      <c r="Q585" s="27" t="s">
        <v>372</v>
      </c>
      <c r="R585" s="556">
        <f t="shared" si="27"/>
        <v>-15649</v>
      </c>
      <c r="S585" s="556">
        <f t="shared" si="29"/>
        <v>-17007.66</v>
      </c>
      <c r="T585" s="556">
        <f t="shared" si="30"/>
        <v>-18023.490000000002</v>
      </c>
      <c r="U585" s="556">
        <f t="shared" si="31"/>
        <v>-19039.320000000003</v>
      </c>
      <c r="V585" s="556">
        <f t="shared" si="32"/>
        <v>1789.7100000000009</v>
      </c>
      <c r="W585" s="556">
        <f t="shared" si="33"/>
        <v>-241.95000000000005</v>
      </c>
      <c r="X585" s="556">
        <f t="shared" si="34"/>
        <v>-1138.95</v>
      </c>
      <c r="Y585" s="556">
        <f t="shared" si="35"/>
        <v>-2036.26</v>
      </c>
      <c r="Z585" s="556">
        <f t="shared" si="36"/>
        <v>-2828.46</v>
      </c>
      <c r="AA585" s="556">
        <f t="shared" si="37"/>
        <v>-2828.46</v>
      </c>
      <c r="AB585" s="556">
        <f t="shared" si="38"/>
        <v>-4860.12</v>
      </c>
      <c r="AC585" s="556">
        <f t="shared" si="39"/>
        <v>-61899</v>
      </c>
      <c r="AD585" s="556">
        <f t="shared" si="28"/>
        <v>-66783.58</v>
      </c>
      <c r="AE585" s="556">
        <f t="shared" si="40"/>
        <v>-71668.160000000003</v>
      </c>
      <c r="AF585" s="556">
        <f t="shared" si="40"/>
        <v>-76552.740000000005</v>
      </c>
      <c r="AG585" s="556">
        <f t="shared" si="40"/>
        <v>-81437.320000000007</v>
      </c>
    </row>
    <row r="586" spans="1:34" hidden="1" outlineLevel="1" x14ac:dyDescent="0.35">
      <c r="A586" t="b">
        <f t="shared" si="26"/>
        <v>1</v>
      </c>
      <c r="B586" s="27" t="s">
        <v>172</v>
      </c>
      <c r="C586" s="27" t="s">
        <v>51</v>
      </c>
      <c r="D586" s="27" t="s">
        <v>1457</v>
      </c>
      <c r="E586" s="27" t="s">
        <v>51</v>
      </c>
      <c r="F586" s="27" t="s">
        <v>102</v>
      </c>
      <c r="G586" s="27" t="s">
        <v>174</v>
      </c>
      <c r="H586" s="27" t="s">
        <v>54</v>
      </c>
      <c r="I586" s="27" t="s">
        <v>142</v>
      </c>
      <c r="J586" s="27" t="s">
        <v>156</v>
      </c>
      <c r="K586" s="27" t="s">
        <v>371</v>
      </c>
      <c r="L586" s="27" t="s">
        <v>371</v>
      </c>
      <c r="M586" s="27" t="s">
        <v>371</v>
      </c>
      <c r="N586" s="27" t="s">
        <v>371</v>
      </c>
      <c r="O586" s="27" t="s">
        <v>371</v>
      </c>
      <c r="P586" s="27" t="s">
        <v>371</v>
      </c>
      <c r="Q586" s="27" t="s">
        <v>372</v>
      </c>
      <c r="R586" s="556">
        <f t="shared" si="27"/>
        <v>-55205622.420000002</v>
      </c>
      <c r="S586" s="556">
        <f t="shared" si="29"/>
        <v>-55205622.420000002</v>
      </c>
      <c r="T586" s="556">
        <f t="shared" si="30"/>
        <v>-55205622.420000002</v>
      </c>
      <c r="U586" s="556">
        <f t="shared" si="31"/>
        <v>328185.57999999821</v>
      </c>
      <c r="V586" s="556">
        <f t="shared" si="32"/>
        <v>328185.58</v>
      </c>
      <c r="W586" s="556">
        <f t="shared" si="33"/>
        <v>328185.58</v>
      </c>
      <c r="X586" s="556">
        <f t="shared" si="34"/>
        <v>0.01</v>
      </c>
      <c r="Y586" s="556">
        <f t="shared" si="35"/>
        <v>0.01</v>
      </c>
      <c r="Z586" s="556">
        <f t="shared" si="36"/>
        <v>0.01</v>
      </c>
      <c r="AA586" s="556">
        <f t="shared" si="37"/>
        <v>0.02</v>
      </c>
      <c r="AB586" s="556">
        <f t="shared" si="38"/>
        <v>0</v>
      </c>
      <c r="AC586" s="556">
        <f t="shared" si="39"/>
        <v>0</v>
      </c>
      <c r="AD586" s="556">
        <f t="shared" si="28"/>
        <v>0</v>
      </c>
      <c r="AE586" s="556">
        <f t="shared" si="40"/>
        <v>0</v>
      </c>
      <c r="AF586" s="556">
        <f t="shared" si="40"/>
        <v>0</v>
      </c>
      <c r="AG586" s="556">
        <f t="shared" si="40"/>
        <v>0</v>
      </c>
    </row>
    <row r="587" spans="1:34" hidden="1" outlineLevel="1" x14ac:dyDescent="0.35">
      <c r="A587" t="b">
        <f t="shared" si="26"/>
        <v>1</v>
      </c>
      <c r="B587" s="27" t="s">
        <v>1222</v>
      </c>
      <c r="C587" s="27" t="s">
        <v>51</v>
      </c>
      <c r="D587" s="27" t="s">
        <v>1801</v>
      </c>
      <c r="E587" s="27" t="s">
        <v>51</v>
      </c>
      <c r="F587" s="27" t="s">
        <v>439</v>
      </c>
      <c r="G587" s="27" t="s">
        <v>1458</v>
      </c>
      <c r="H587" s="27" t="s">
        <v>54</v>
      </c>
      <c r="I587" s="27" t="s">
        <v>440</v>
      </c>
      <c r="J587" s="27" t="s">
        <v>441</v>
      </c>
      <c r="K587" s="27" t="s">
        <v>371</v>
      </c>
      <c r="L587" s="27" t="s">
        <v>371</v>
      </c>
      <c r="M587" s="27" t="s">
        <v>371</v>
      </c>
      <c r="N587" s="27" t="s">
        <v>371</v>
      </c>
      <c r="O587" s="27" t="s">
        <v>371</v>
      </c>
      <c r="P587" s="27" t="s">
        <v>371</v>
      </c>
      <c r="Q587" s="27" t="s">
        <v>372</v>
      </c>
      <c r="R587" s="556">
        <f t="shared" si="27"/>
        <v>-1000</v>
      </c>
      <c r="S587" s="556">
        <f t="shared" si="29"/>
        <v>-1000</v>
      </c>
      <c r="T587" s="556">
        <f t="shared" si="30"/>
        <v>-1000</v>
      </c>
      <c r="U587" s="556">
        <f t="shared" si="31"/>
        <v>-1000</v>
      </c>
      <c r="V587" s="556">
        <f t="shared" si="32"/>
        <v>-1000</v>
      </c>
      <c r="W587" s="556">
        <f t="shared" si="33"/>
        <v>-1000</v>
      </c>
      <c r="X587" s="556">
        <f t="shared" si="34"/>
        <v>-1000</v>
      </c>
      <c r="Y587" s="556">
        <f t="shared" si="35"/>
        <v>-1000</v>
      </c>
      <c r="Z587" s="556">
        <f t="shared" si="36"/>
        <v>-1000</v>
      </c>
      <c r="AA587" s="556">
        <f t="shared" si="37"/>
        <v>-1000</v>
      </c>
      <c r="AB587" s="556">
        <f t="shared" si="38"/>
        <v>-1000</v>
      </c>
      <c r="AC587" s="556">
        <f t="shared" si="39"/>
        <v>-1000</v>
      </c>
      <c r="AD587" s="556">
        <f t="shared" si="28"/>
        <v>-1000</v>
      </c>
      <c r="AE587" s="556">
        <f t="shared" si="40"/>
        <v>-1000</v>
      </c>
      <c r="AF587" s="556">
        <f t="shared" si="40"/>
        <v>-1000</v>
      </c>
      <c r="AG587" s="556">
        <f t="shared" si="40"/>
        <v>-1000</v>
      </c>
    </row>
    <row r="588" spans="1:34" hidden="1" outlineLevel="1" x14ac:dyDescent="0.35">
      <c r="A588" t="b">
        <f t="shared" si="26"/>
        <v>1</v>
      </c>
      <c r="B588" s="27" t="s">
        <v>1223</v>
      </c>
      <c r="C588" s="27" t="s">
        <v>51</v>
      </c>
      <c r="D588" s="27" t="s">
        <v>1802</v>
      </c>
      <c r="E588" s="27" t="s">
        <v>51</v>
      </c>
      <c r="F588" s="27" t="s">
        <v>439</v>
      </c>
      <c r="G588" s="27" t="s">
        <v>1459</v>
      </c>
      <c r="H588" s="27" t="s">
        <v>54</v>
      </c>
      <c r="I588" s="27" t="s">
        <v>440</v>
      </c>
      <c r="J588" s="27" t="s">
        <v>441</v>
      </c>
      <c r="K588" s="27" t="s">
        <v>371</v>
      </c>
      <c r="L588" s="27" t="s">
        <v>371</v>
      </c>
      <c r="M588" s="27" t="s">
        <v>371</v>
      </c>
      <c r="N588" s="27" t="s">
        <v>371</v>
      </c>
      <c r="O588" s="27" t="s">
        <v>371</v>
      </c>
      <c r="P588" s="27" t="s">
        <v>371</v>
      </c>
      <c r="Q588" s="27" t="s">
        <v>372</v>
      </c>
      <c r="R588" s="556">
        <f t="shared" si="27"/>
        <v>-167286878.78999999</v>
      </c>
      <c r="S588" s="556">
        <f t="shared" si="29"/>
        <v>-177286878.78999999</v>
      </c>
      <c r="T588" s="556">
        <f t="shared" si="30"/>
        <v>-177286878.78999999</v>
      </c>
      <c r="U588" s="556">
        <f t="shared" si="31"/>
        <v>-177286878.78999999</v>
      </c>
      <c r="V588" s="556">
        <f t="shared" si="32"/>
        <v>-177286878.78999999</v>
      </c>
      <c r="W588" s="556">
        <f t="shared" si="33"/>
        <v>-177286878.78999999</v>
      </c>
      <c r="X588" s="556">
        <f t="shared" si="34"/>
        <v>-177286878.78999999</v>
      </c>
      <c r="Y588" s="556">
        <f t="shared" si="35"/>
        <v>-177286878.78999999</v>
      </c>
      <c r="Z588" s="556">
        <f t="shared" si="36"/>
        <v>-222106518.78999999</v>
      </c>
      <c r="AA588" s="556">
        <f t="shared" si="37"/>
        <v>-273354974</v>
      </c>
      <c r="AB588" s="556">
        <f t="shared" si="38"/>
        <v>-322475650</v>
      </c>
      <c r="AC588" s="556">
        <f t="shared" si="39"/>
        <v>-365007485</v>
      </c>
      <c r="AD588" s="556">
        <f t="shared" si="28"/>
        <v>-381104532</v>
      </c>
      <c r="AE588" s="556">
        <f t="shared" si="40"/>
        <v>-421765896.50999999</v>
      </c>
      <c r="AF588" s="556">
        <f t="shared" si="40"/>
        <v>-480070400.51000005</v>
      </c>
      <c r="AG588" s="556">
        <f t="shared" si="40"/>
        <v>-531001358.50999999</v>
      </c>
    </row>
    <row r="589" spans="1:34" hidden="1" outlineLevel="1" x14ac:dyDescent="0.35">
      <c r="A589" t="b">
        <f t="shared" si="26"/>
        <v>1</v>
      </c>
      <c r="B589" s="27" t="s">
        <v>1224</v>
      </c>
      <c r="C589" s="27" t="s">
        <v>51</v>
      </c>
      <c r="D589" s="27" t="s">
        <v>1803</v>
      </c>
      <c r="E589" s="27" t="s">
        <v>51</v>
      </c>
      <c r="F589" s="27" t="s">
        <v>442</v>
      </c>
      <c r="G589" s="27" t="s">
        <v>1460</v>
      </c>
      <c r="H589" s="27" t="s">
        <v>54</v>
      </c>
      <c r="I589" s="27" t="s">
        <v>440</v>
      </c>
      <c r="J589" s="27" t="s">
        <v>443</v>
      </c>
      <c r="K589" s="27" t="s">
        <v>371</v>
      </c>
      <c r="L589" s="27" t="s">
        <v>371</v>
      </c>
      <c r="M589" s="27" t="s">
        <v>371</v>
      </c>
      <c r="N589" s="27" t="s">
        <v>371</v>
      </c>
      <c r="O589" s="27" t="s">
        <v>371</v>
      </c>
      <c r="P589" s="27" t="s">
        <v>371</v>
      </c>
      <c r="Q589" s="27" t="s">
        <v>372</v>
      </c>
      <c r="R589" s="556">
        <f t="shared" si="27"/>
        <v>32207.69</v>
      </c>
      <c r="S589" s="556">
        <f t="shared" si="29"/>
        <v>32207.69</v>
      </c>
      <c r="T589" s="556">
        <f t="shared" si="30"/>
        <v>32207.69</v>
      </c>
      <c r="U589" s="556">
        <f t="shared" si="31"/>
        <v>32207.69</v>
      </c>
      <c r="V589" s="556">
        <f t="shared" si="32"/>
        <v>32207.69</v>
      </c>
      <c r="W589" s="556">
        <f t="shared" si="33"/>
        <v>32207.69</v>
      </c>
      <c r="X589" s="556">
        <f t="shared" si="34"/>
        <v>32207.69</v>
      </c>
      <c r="Y589" s="556">
        <f t="shared" si="35"/>
        <v>32207.69</v>
      </c>
      <c r="Z589" s="556">
        <f t="shared" si="36"/>
        <v>32207.69</v>
      </c>
      <c r="AA589" s="556">
        <f t="shared" si="37"/>
        <v>32207.69</v>
      </c>
      <c r="AB589" s="556">
        <f t="shared" si="38"/>
        <v>32207.69</v>
      </c>
      <c r="AC589" s="556">
        <f t="shared" si="39"/>
        <v>32207.69</v>
      </c>
      <c r="AD589" s="556">
        <f t="shared" si="28"/>
        <v>32207.69</v>
      </c>
      <c r="AE589" s="556">
        <f t="shared" si="40"/>
        <v>32207.69</v>
      </c>
      <c r="AF589" s="556">
        <f t="shared" si="40"/>
        <v>32207.69</v>
      </c>
      <c r="AG589" s="556">
        <f t="shared" si="40"/>
        <v>32207.69</v>
      </c>
    </row>
    <row r="590" spans="1:34" hidden="1" outlineLevel="1" x14ac:dyDescent="0.35">
      <c r="A590" t="b">
        <f t="shared" si="26"/>
        <v>1</v>
      </c>
      <c r="B590" s="27" t="s">
        <v>1225</v>
      </c>
      <c r="C590" s="27" t="s">
        <v>51</v>
      </c>
      <c r="D590" s="27" t="s">
        <v>1804</v>
      </c>
      <c r="E590" s="27" t="s">
        <v>51</v>
      </c>
      <c r="F590" s="27" t="s">
        <v>442</v>
      </c>
      <c r="G590" s="27" t="s">
        <v>1461</v>
      </c>
      <c r="H590" s="27" t="s">
        <v>54</v>
      </c>
      <c r="I590" s="27" t="s">
        <v>440</v>
      </c>
      <c r="J590" s="27" t="s">
        <v>443</v>
      </c>
      <c r="K590" s="27" t="s">
        <v>371</v>
      </c>
      <c r="L590" s="27" t="s">
        <v>371</v>
      </c>
      <c r="M590" s="27" t="s">
        <v>371</v>
      </c>
      <c r="N590" s="27" t="s">
        <v>371</v>
      </c>
      <c r="O590" s="27" t="s">
        <v>371</v>
      </c>
      <c r="P590" s="27" t="s">
        <v>371</v>
      </c>
      <c r="Q590" s="27" t="s">
        <v>372</v>
      </c>
      <c r="R590" s="556">
        <f t="shared" si="27"/>
        <v>25407866.239999998</v>
      </c>
      <c r="S590" s="556">
        <f t="shared" si="29"/>
        <v>25407866.239999998</v>
      </c>
      <c r="T590" s="556">
        <f t="shared" si="30"/>
        <v>25407866.239999998</v>
      </c>
      <c r="U590" s="556">
        <f t="shared" si="31"/>
        <v>25407866.239999998</v>
      </c>
      <c r="V590" s="556">
        <f t="shared" si="32"/>
        <v>25407866.239999998</v>
      </c>
      <c r="W590" s="556">
        <f t="shared" si="33"/>
        <v>25407866.239999998</v>
      </c>
      <c r="X590" s="556">
        <f t="shared" si="34"/>
        <v>25407866.239999998</v>
      </c>
      <c r="Y590" s="556">
        <f t="shared" si="35"/>
        <v>25407866.239999998</v>
      </c>
      <c r="Z590" s="556">
        <f t="shared" si="36"/>
        <v>25407866.239999998</v>
      </c>
      <c r="AA590" s="556">
        <f t="shared" si="37"/>
        <v>25407866.239999998</v>
      </c>
      <c r="AB590" s="556">
        <f t="shared" si="38"/>
        <v>25407866.239999998</v>
      </c>
      <c r="AC590" s="556">
        <f t="shared" si="39"/>
        <v>25407866.239999998</v>
      </c>
      <c r="AD590" s="556">
        <f t="shared" si="28"/>
        <v>25407866.239999998</v>
      </c>
      <c r="AE590" s="556">
        <f t="shared" si="40"/>
        <v>25407866.239999998</v>
      </c>
      <c r="AF590" s="556">
        <f t="shared" si="40"/>
        <v>25407866.239999998</v>
      </c>
      <c r="AG590" s="556">
        <f t="shared" si="40"/>
        <v>25407866.239999998</v>
      </c>
    </row>
    <row r="591" spans="1:34" hidden="1" outlineLevel="1" x14ac:dyDescent="0.35">
      <c r="A591" t="b">
        <f t="shared" si="26"/>
        <v>1</v>
      </c>
      <c r="B591" s="27" t="s">
        <v>444</v>
      </c>
      <c r="C591" s="27" t="s">
        <v>51</v>
      </c>
      <c r="D591" s="27" t="s">
        <v>1462</v>
      </c>
      <c r="E591" s="27" t="s">
        <v>51</v>
      </c>
      <c r="F591" s="27" t="s">
        <v>445</v>
      </c>
      <c r="G591" s="27" t="s">
        <v>446</v>
      </c>
      <c r="H591" s="27" t="s">
        <v>447</v>
      </c>
      <c r="I591" s="27" t="s">
        <v>440</v>
      </c>
      <c r="J591" s="27" t="s">
        <v>448</v>
      </c>
      <c r="K591" s="27" t="s">
        <v>449</v>
      </c>
      <c r="L591" s="27" t="s">
        <v>450</v>
      </c>
      <c r="M591" s="27" t="s">
        <v>451</v>
      </c>
      <c r="N591" s="27" t="s">
        <v>452</v>
      </c>
      <c r="O591" s="27" t="s">
        <v>449</v>
      </c>
      <c r="P591" s="27" t="s">
        <v>449</v>
      </c>
      <c r="Q591" s="27" t="s">
        <v>372</v>
      </c>
      <c r="R591" s="556">
        <f t="shared" si="27"/>
        <v>0</v>
      </c>
      <c r="S591" s="556">
        <f t="shared" si="29"/>
        <v>0</v>
      </c>
      <c r="T591" s="556">
        <f t="shared" si="30"/>
        <v>0</v>
      </c>
      <c r="U591" s="556">
        <f t="shared" si="31"/>
        <v>0</v>
      </c>
      <c r="V591" s="556">
        <f t="shared" si="32"/>
        <v>0</v>
      </c>
      <c r="W591" s="556">
        <f t="shared" si="33"/>
        <v>0</v>
      </c>
      <c r="X591" s="556">
        <f t="shared" si="34"/>
        <v>0</v>
      </c>
      <c r="Y591" s="556">
        <f t="shared" si="35"/>
        <v>0</v>
      </c>
      <c r="Z591" s="556">
        <f t="shared" si="36"/>
        <v>0</v>
      </c>
      <c r="AA591" s="556">
        <f t="shared" si="37"/>
        <v>0</v>
      </c>
      <c r="AB591" s="556">
        <f t="shared" si="38"/>
        <v>0</v>
      </c>
      <c r="AC591" s="556">
        <f t="shared" si="39"/>
        <v>0</v>
      </c>
      <c r="AD591" s="556">
        <f t="shared" si="28"/>
        <v>0</v>
      </c>
      <c r="AE591" s="556">
        <f t="shared" ref="AE591:AG610" si="41">+IF(AE$10="Actuals",IF($O113="Revenue",-IF($H113="BS",AE113,IF($H113="P&amp;L",AE113-AD113,0)),IF($H113="BS",AE113,IF($H113="P&amp;L",AE113-AD113,0))),0)</f>
        <v>0</v>
      </c>
      <c r="AF591" s="556">
        <f t="shared" si="41"/>
        <v>0</v>
      </c>
      <c r="AG591" s="556">
        <f t="shared" si="41"/>
        <v>0</v>
      </c>
      <c r="AH591" s="44"/>
    </row>
    <row r="592" spans="1:34" hidden="1" outlineLevel="1" x14ac:dyDescent="0.35">
      <c r="A592" t="b">
        <f t="shared" si="26"/>
        <v>1</v>
      </c>
      <c r="B592" s="27" t="s">
        <v>1226</v>
      </c>
      <c r="C592" s="27" t="s">
        <v>51</v>
      </c>
      <c r="D592" s="27" t="s">
        <v>1805</v>
      </c>
      <c r="E592" s="27" t="s">
        <v>51</v>
      </c>
      <c r="F592" s="27" t="s">
        <v>445</v>
      </c>
      <c r="G592" s="27" t="s">
        <v>1463</v>
      </c>
      <c r="H592" s="27" t="s">
        <v>447</v>
      </c>
      <c r="I592" s="27" t="s">
        <v>440</v>
      </c>
      <c r="J592" s="27" t="s">
        <v>448</v>
      </c>
      <c r="K592" s="27" t="s">
        <v>449</v>
      </c>
      <c r="L592" s="27" t="s">
        <v>451</v>
      </c>
      <c r="M592" s="27" t="s">
        <v>451</v>
      </c>
      <c r="N592" s="27" t="s">
        <v>451</v>
      </c>
      <c r="O592" s="27" t="s">
        <v>449</v>
      </c>
      <c r="P592" s="27" t="s">
        <v>449</v>
      </c>
      <c r="Q592" s="27" t="s">
        <v>372</v>
      </c>
      <c r="R592" s="556">
        <f t="shared" si="27"/>
        <v>1001267.9000000001</v>
      </c>
      <c r="S592" s="556">
        <f t="shared" si="29"/>
        <v>1001267.9000000001</v>
      </c>
      <c r="T592" s="556">
        <f t="shared" si="30"/>
        <v>1001267.8999999999</v>
      </c>
      <c r="U592" s="556">
        <f t="shared" si="31"/>
        <v>1001267.8999999999</v>
      </c>
      <c r="V592" s="556">
        <f t="shared" si="32"/>
        <v>1001267.9000000008</v>
      </c>
      <c r="W592" s="556">
        <f t="shared" si="33"/>
        <v>1084226.5099999988</v>
      </c>
      <c r="X592" s="556">
        <f t="shared" si="34"/>
        <v>1084226.5099999998</v>
      </c>
      <c r="Y592" s="556">
        <f t="shared" si="35"/>
        <v>1084226.5100000016</v>
      </c>
      <c r="Z592" s="556">
        <f t="shared" si="36"/>
        <v>1084226.5099999998</v>
      </c>
      <c r="AA592" s="556">
        <f t="shared" si="37"/>
        <v>1084226.5099999998</v>
      </c>
      <c r="AB592" s="556">
        <f t="shared" si="38"/>
        <v>1084226.5099999998</v>
      </c>
      <c r="AC592" s="556">
        <f t="shared" si="39"/>
        <v>1084226.5099999998</v>
      </c>
      <c r="AD592" s="556">
        <f t="shared" si="28"/>
        <v>1048437.91</v>
      </c>
      <c r="AE592" s="556">
        <f t="shared" si="41"/>
        <v>1048437.91</v>
      </c>
      <c r="AF592" s="556">
        <f t="shared" si="41"/>
        <v>1048437.9099999999</v>
      </c>
      <c r="AG592" s="556">
        <f t="shared" si="41"/>
        <v>1048437.9100000001</v>
      </c>
      <c r="AH592" s="44"/>
    </row>
    <row r="593" spans="1:36" hidden="1" outlineLevel="1" x14ac:dyDescent="0.35">
      <c r="A593" t="b">
        <f t="shared" si="26"/>
        <v>1</v>
      </c>
      <c r="B593" s="27" t="s">
        <v>454</v>
      </c>
      <c r="C593" s="27" t="s">
        <v>51</v>
      </c>
      <c r="D593" s="27" t="s">
        <v>1464</v>
      </c>
      <c r="E593" s="27" t="s">
        <v>51</v>
      </c>
      <c r="F593" s="27" t="s">
        <v>445</v>
      </c>
      <c r="G593" s="27" t="s">
        <v>455</v>
      </c>
      <c r="H593" s="27" t="s">
        <v>447</v>
      </c>
      <c r="I593" s="27" t="s">
        <v>440</v>
      </c>
      <c r="J593" s="27" t="s">
        <v>448</v>
      </c>
      <c r="K593" s="27" t="s">
        <v>449</v>
      </c>
      <c r="L593" s="27" t="s">
        <v>450</v>
      </c>
      <c r="M593" s="27" t="s">
        <v>451</v>
      </c>
      <c r="N593" s="27" t="s">
        <v>456</v>
      </c>
      <c r="O593" s="27" t="s">
        <v>449</v>
      </c>
      <c r="P593" s="27" t="s">
        <v>449</v>
      </c>
      <c r="Q593" s="27" t="s">
        <v>372</v>
      </c>
      <c r="R593" s="556">
        <f t="shared" si="27"/>
        <v>0</v>
      </c>
      <c r="S593" s="556">
        <f t="shared" si="29"/>
        <v>0</v>
      </c>
      <c r="T593" s="556">
        <f t="shared" si="30"/>
        <v>0</v>
      </c>
      <c r="U593" s="556">
        <f t="shared" si="31"/>
        <v>0</v>
      </c>
      <c r="V593" s="556">
        <f t="shared" si="32"/>
        <v>0</v>
      </c>
      <c r="W593" s="556">
        <f t="shared" si="33"/>
        <v>0</v>
      </c>
      <c r="X593" s="556">
        <f t="shared" si="34"/>
        <v>0</v>
      </c>
      <c r="Y593" s="556">
        <f t="shared" si="35"/>
        <v>0</v>
      </c>
      <c r="Z593" s="556">
        <f t="shared" si="36"/>
        <v>0</v>
      </c>
      <c r="AA593" s="556">
        <f t="shared" si="37"/>
        <v>0</v>
      </c>
      <c r="AB593" s="556">
        <f t="shared" si="38"/>
        <v>0</v>
      </c>
      <c r="AC593" s="556">
        <f t="shared" si="39"/>
        <v>0</v>
      </c>
      <c r="AD593" s="556">
        <f t="shared" si="28"/>
        <v>0</v>
      </c>
      <c r="AE593" s="556">
        <f t="shared" si="41"/>
        <v>0</v>
      </c>
      <c r="AF593" s="556">
        <f t="shared" si="41"/>
        <v>0</v>
      </c>
      <c r="AG593" s="556">
        <f t="shared" si="41"/>
        <v>0</v>
      </c>
      <c r="AH593" s="44"/>
    </row>
    <row r="594" spans="1:36" hidden="1" outlineLevel="1" x14ac:dyDescent="0.35">
      <c r="A594" t="b">
        <f t="shared" si="26"/>
        <v>1</v>
      </c>
      <c r="B594" s="27" t="s">
        <v>1227</v>
      </c>
      <c r="C594" s="27" t="s">
        <v>51</v>
      </c>
      <c r="D594" s="27" t="s">
        <v>1806</v>
      </c>
      <c r="E594" s="27" t="s">
        <v>51</v>
      </c>
      <c r="F594" s="27" t="s">
        <v>457</v>
      </c>
      <c r="G594" s="27" t="s">
        <v>1465</v>
      </c>
      <c r="H594" s="27" t="s">
        <v>447</v>
      </c>
      <c r="I594" s="27" t="s">
        <v>440</v>
      </c>
      <c r="J594" s="27" t="s">
        <v>448</v>
      </c>
      <c r="K594" s="27" t="s">
        <v>449</v>
      </c>
      <c r="L594" s="27" t="s">
        <v>458</v>
      </c>
      <c r="M594" s="27" t="s">
        <v>2029</v>
      </c>
      <c r="N594" s="27" t="s">
        <v>2029</v>
      </c>
      <c r="O594" s="27" t="s">
        <v>449</v>
      </c>
      <c r="P594" s="27" t="s">
        <v>449</v>
      </c>
      <c r="Q594" s="27" t="s">
        <v>372</v>
      </c>
      <c r="R594" s="556">
        <f t="shared" si="27"/>
        <v>167563</v>
      </c>
      <c r="S594" s="556">
        <f t="shared" si="29"/>
        <v>167563</v>
      </c>
      <c r="T594" s="556">
        <f t="shared" si="30"/>
        <v>167563</v>
      </c>
      <c r="U594" s="556">
        <f t="shared" si="31"/>
        <v>167563</v>
      </c>
      <c r="V594" s="556">
        <f t="shared" si="32"/>
        <v>170144.17999999993</v>
      </c>
      <c r="W594" s="556">
        <f t="shared" si="33"/>
        <v>167076.24000000022</v>
      </c>
      <c r="X594" s="556">
        <f t="shared" si="34"/>
        <v>165468.58000000007</v>
      </c>
      <c r="Y594" s="556">
        <f t="shared" si="35"/>
        <v>167563</v>
      </c>
      <c r="Z594" s="556">
        <f t="shared" si="36"/>
        <v>167552.99999999977</v>
      </c>
      <c r="AA594" s="556">
        <f t="shared" si="37"/>
        <v>167563</v>
      </c>
      <c r="AB594" s="556">
        <f t="shared" si="38"/>
        <v>167563</v>
      </c>
      <c r="AC594" s="556">
        <f t="shared" si="39"/>
        <v>167563</v>
      </c>
      <c r="AD594" s="556">
        <f t="shared" si="28"/>
        <v>167563</v>
      </c>
      <c r="AE594" s="556">
        <f t="shared" si="41"/>
        <v>167563</v>
      </c>
      <c r="AF594" s="556">
        <f t="shared" si="41"/>
        <v>167563</v>
      </c>
      <c r="AG594" s="556">
        <f t="shared" si="41"/>
        <v>167562.98545194196</v>
      </c>
      <c r="AH594" s="44"/>
    </row>
    <row r="595" spans="1:36" hidden="1" outlineLevel="1" x14ac:dyDescent="0.35">
      <c r="A595" t="b">
        <f t="shared" si="26"/>
        <v>1</v>
      </c>
      <c r="B595" s="27" t="s">
        <v>459</v>
      </c>
      <c r="C595" s="27" t="s">
        <v>51</v>
      </c>
      <c r="D595" s="27" t="s">
        <v>1466</v>
      </c>
      <c r="E595" s="27" t="s">
        <v>51</v>
      </c>
      <c r="F595" s="27" t="s">
        <v>457</v>
      </c>
      <c r="G595" s="27" t="s">
        <v>460</v>
      </c>
      <c r="H595" s="27" t="s">
        <v>447</v>
      </c>
      <c r="I595" s="27" t="s">
        <v>440</v>
      </c>
      <c r="J595" s="27" t="s">
        <v>448</v>
      </c>
      <c r="K595" s="27" t="s">
        <v>449</v>
      </c>
      <c r="L595" s="27" t="s">
        <v>458</v>
      </c>
      <c r="M595" s="27" t="s">
        <v>461</v>
      </c>
      <c r="N595" s="27" t="s">
        <v>458</v>
      </c>
      <c r="O595" s="27" t="s">
        <v>449</v>
      </c>
      <c r="P595" s="27" t="s">
        <v>449</v>
      </c>
      <c r="Q595" s="27" t="s">
        <v>372</v>
      </c>
      <c r="R595" s="556">
        <f t="shared" si="27"/>
        <v>0</v>
      </c>
      <c r="S595" s="556">
        <f t="shared" si="29"/>
        <v>0</v>
      </c>
      <c r="T595" s="556">
        <f t="shared" si="30"/>
        <v>0</v>
      </c>
      <c r="U595" s="556">
        <f t="shared" si="31"/>
        <v>0</v>
      </c>
      <c r="V595" s="556">
        <f t="shared" si="32"/>
        <v>0</v>
      </c>
      <c r="W595" s="556">
        <f t="shared" si="33"/>
        <v>0</v>
      </c>
      <c r="X595" s="556">
        <f t="shared" si="34"/>
        <v>0</v>
      </c>
      <c r="Y595" s="556">
        <f t="shared" si="35"/>
        <v>0</v>
      </c>
      <c r="Z595" s="556">
        <f t="shared" si="36"/>
        <v>0</v>
      </c>
      <c r="AA595" s="556">
        <f t="shared" si="37"/>
        <v>0</v>
      </c>
      <c r="AB595" s="556">
        <f t="shared" si="38"/>
        <v>0</v>
      </c>
      <c r="AC595" s="556">
        <f t="shared" si="39"/>
        <v>0</v>
      </c>
      <c r="AD595" s="556">
        <f t="shared" si="28"/>
        <v>0</v>
      </c>
      <c r="AE595" s="556">
        <f t="shared" si="41"/>
        <v>0</v>
      </c>
      <c r="AF595" s="556">
        <f t="shared" si="41"/>
        <v>0</v>
      </c>
      <c r="AG595" s="556">
        <f t="shared" si="41"/>
        <v>0</v>
      </c>
      <c r="AH595" s="44"/>
    </row>
    <row r="596" spans="1:36" hidden="1" outlineLevel="1" x14ac:dyDescent="0.35">
      <c r="A596" t="b">
        <f t="shared" si="26"/>
        <v>1</v>
      </c>
      <c r="B596" s="27" t="s">
        <v>1228</v>
      </c>
      <c r="C596" s="27" t="s">
        <v>51</v>
      </c>
      <c r="D596" s="27" t="s">
        <v>1807</v>
      </c>
      <c r="E596" s="27" t="s">
        <v>51</v>
      </c>
      <c r="F596" s="27" t="s">
        <v>445</v>
      </c>
      <c r="G596" s="27" t="s">
        <v>1467</v>
      </c>
      <c r="H596" s="27" t="s">
        <v>447</v>
      </c>
      <c r="I596" s="27" t="s">
        <v>440</v>
      </c>
      <c r="J596" s="27" t="s">
        <v>448</v>
      </c>
      <c r="K596" s="27" t="s">
        <v>449</v>
      </c>
      <c r="L596" s="27" t="s">
        <v>458</v>
      </c>
      <c r="M596" s="27" t="s">
        <v>2030</v>
      </c>
      <c r="N596" s="27" t="s">
        <v>2030</v>
      </c>
      <c r="O596" s="27" t="s">
        <v>449</v>
      </c>
      <c r="P596" s="27" t="s">
        <v>449</v>
      </c>
      <c r="Q596" s="27" t="s">
        <v>372</v>
      </c>
      <c r="R596" s="556">
        <f t="shared" si="27"/>
        <v>1324549.04</v>
      </c>
      <c r="S596" s="556">
        <f t="shared" si="29"/>
        <v>1101254.92</v>
      </c>
      <c r="T596" s="556">
        <f t="shared" si="30"/>
        <v>1114055.92</v>
      </c>
      <c r="U596" s="556">
        <f t="shared" si="31"/>
        <v>1118635.2999999998</v>
      </c>
      <c r="V596" s="556">
        <f t="shared" si="32"/>
        <v>1118635.2999999998</v>
      </c>
      <c r="W596" s="556">
        <f t="shared" si="33"/>
        <v>1118635.3000000007</v>
      </c>
      <c r="X596" s="556">
        <f t="shared" si="34"/>
        <v>1122085.7599999998</v>
      </c>
      <c r="Y596" s="556">
        <f t="shared" si="35"/>
        <v>1133091.29</v>
      </c>
      <c r="Z596" s="556">
        <f t="shared" si="36"/>
        <v>1243265.4100000001</v>
      </c>
      <c r="AA596" s="556">
        <f t="shared" si="37"/>
        <v>1596959.5199999996</v>
      </c>
      <c r="AB596" s="556">
        <f t="shared" si="38"/>
        <v>1600985.0099999998</v>
      </c>
      <c r="AC596" s="556">
        <f t="shared" si="39"/>
        <v>1679251.3100000005</v>
      </c>
      <c r="AD596" s="556">
        <f t="shared" si="28"/>
        <v>1770939.56</v>
      </c>
      <c r="AE596" s="556">
        <f t="shared" si="41"/>
        <v>1735243.1800000002</v>
      </c>
      <c r="AF596" s="556">
        <f t="shared" si="41"/>
        <v>1582261.71</v>
      </c>
      <c r="AG596" s="556">
        <f t="shared" si="41"/>
        <v>1888476.0099999998</v>
      </c>
      <c r="AH596" s="44"/>
    </row>
    <row r="597" spans="1:36" hidden="1" outlineLevel="1" x14ac:dyDescent="0.35">
      <c r="A597" t="b">
        <f t="shared" si="26"/>
        <v>1</v>
      </c>
      <c r="B597" s="27" t="s">
        <v>1229</v>
      </c>
      <c r="C597" s="27" t="s">
        <v>51</v>
      </c>
      <c r="D597" s="27" t="s">
        <v>1808</v>
      </c>
      <c r="E597" s="27" t="s">
        <v>51</v>
      </c>
      <c r="F597" s="27" t="s">
        <v>445</v>
      </c>
      <c r="G597" s="27" t="s">
        <v>1468</v>
      </c>
      <c r="H597" s="27" t="s">
        <v>447</v>
      </c>
      <c r="I597" s="27" t="s">
        <v>440</v>
      </c>
      <c r="J597" s="27" t="s">
        <v>448</v>
      </c>
      <c r="K597" s="27" t="s">
        <v>449</v>
      </c>
      <c r="L597" s="27" t="s">
        <v>463</v>
      </c>
      <c r="M597" s="27" t="s">
        <v>463</v>
      </c>
      <c r="N597" s="27" t="s">
        <v>463</v>
      </c>
      <c r="O597" s="27" t="s">
        <v>449</v>
      </c>
      <c r="P597" s="27" t="s">
        <v>449</v>
      </c>
      <c r="Q597" s="27" t="s">
        <v>372</v>
      </c>
      <c r="R597" s="556">
        <f t="shared" si="27"/>
        <v>2478649.41</v>
      </c>
      <c r="S597" s="556">
        <f t="shared" si="29"/>
        <v>2538872.7799999993</v>
      </c>
      <c r="T597" s="556">
        <f t="shared" si="30"/>
        <v>2538275.41</v>
      </c>
      <c r="U597" s="556">
        <f t="shared" si="31"/>
        <v>2754046.3200000003</v>
      </c>
      <c r="V597" s="556">
        <f t="shared" si="32"/>
        <v>2618748.5</v>
      </c>
      <c r="W597" s="556">
        <f t="shared" si="33"/>
        <v>2658144.7199999988</v>
      </c>
      <c r="X597" s="556">
        <f t="shared" si="34"/>
        <v>2574771.339999998</v>
      </c>
      <c r="Y597" s="556">
        <f t="shared" si="35"/>
        <v>2845715.9400000013</v>
      </c>
      <c r="Z597" s="556">
        <f t="shared" si="36"/>
        <v>2740929.0500000007</v>
      </c>
      <c r="AA597" s="556">
        <f t="shared" si="37"/>
        <v>2439282.25</v>
      </c>
      <c r="AB597" s="556">
        <f t="shared" si="38"/>
        <v>2694104.0999999978</v>
      </c>
      <c r="AC597" s="556">
        <f t="shared" si="39"/>
        <v>2373420.8000000007</v>
      </c>
      <c r="AD597" s="556">
        <f t="shared" si="28"/>
        <v>2344947.86</v>
      </c>
      <c r="AE597" s="556">
        <f t="shared" si="41"/>
        <v>2185068.6800000002</v>
      </c>
      <c r="AF597" s="556">
        <f t="shared" si="41"/>
        <v>2226069.84</v>
      </c>
      <c r="AG597" s="556">
        <f>+IF(AG$10="Actuals",IF($O119="Revenue",-IF($H119="BS",AG119,IF($H119="P&amp;L",AG119-AF119,0)),IF($H119="BS",AG119,IF($H119="P&amp;L",AG119-AF119,0))),0)</f>
        <v>1593337.4500000002</v>
      </c>
      <c r="AH597" s="44"/>
    </row>
    <row r="598" spans="1:36" hidden="1" outlineLevel="1" x14ac:dyDescent="0.35">
      <c r="A598" t="b">
        <f t="shared" si="26"/>
        <v>1</v>
      </c>
      <c r="B598" s="27" t="s">
        <v>464</v>
      </c>
      <c r="C598" s="27" t="s">
        <v>51</v>
      </c>
      <c r="D598" s="27" t="s">
        <v>1469</v>
      </c>
      <c r="E598" s="27" t="s">
        <v>51</v>
      </c>
      <c r="F598" s="27" t="s">
        <v>445</v>
      </c>
      <c r="G598" s="27" t="s">
        <v>465</v>
      </c>
      <c r="H598" s="27" t="s">
        <v>447</v>
      </c>
      <c r="I598" s="27" t="s">
        <v>440</v>
      </c>
      <c r="J598" s="27" t="s">
        <v>448</v>
      </c>
      <c r="K598" s="27" t="s">
        <v>449</v>
      </c>
      <c r="L598" s="27" t="s">
        <v>458</v>
      </c>
      <c r="M598" s="27" t="s">
        <v>466</v>
      </c>
      <c r="N598" s="27" t="s">
        <v>458</v>
      </c>
      <c r="O598" s="27" t="s">
        <v>449</v>
      </c>
      <c r="P598" s="27" t="s">
        <v>449</v>
      </c>
      <c r="Q598" s="27" t="s">
        <v>372</v>
      </c>
      <c r="R598" s="556">
        <f t="shared" si="27"/>
        <v>13482.02</v>
      </c>
      <c r="S598" s="556">
        <f t="shared" si="29"/>
        <v>0</v>
      </c>
      <c r="T598" s="556">
        <f t="shared" si="30"/>
        <v>0</v>
      </c>
      <c r="U598" s="556">
        <f t="shared" si="31"/>
        <v>0</v>
      </c>
      <c r="V598" s="556">
        <f t="shared" si="32"/>
        <v>0</v>
      </c>
      <c r="W598" s="556">
        <f t="shared" si="33"/>
        <v>0</v>
      </c>
      <c r="X598" s="556">
        <f t="shared" si="34"/>
        <v>0</v>
      </c>
      <c r="Y598" s="556">
        <f t="shared" si="35"/>
        <v>0</v>
      </c>
      <c r="Z598" s="556">
        <f t="shared" si="36"/>
        <v>0</v>
      </c>
      <c r="AA598" s="556">
        <f t="shared" si="37"/>
        <v>0</v>
      </c>
      <c r="AB598" s="556">
        <f t="shared" si="38"/>
        <v>0</v>
      </c>
      <c r="AC598" s="556">
        <f t="shared" si="39"/>
        <v>0</v>
      </c>
      <c r="AD598" s="556">
        <f t="shared" si="28"/>
        <v>0</v>
      </c>
      <c r="AE598" s="556">
        <f t="shared" si="41"/>
        <v>0</v>
      </c>
      <c r="AF598" s="556">
        <f t="shared" si="41"/>
        <v>0</v>
      </c>
      <c r="AG598" s="556">
        <f t="shared" si="41"/>
        <v>0</v>
      </c>
      <c r="AH598" s="44"/>
    </row>
    <row r="599" spans="1:36" hidden="1" outlineLevel="1" x14ac:dyDescent="0.35">
      <c r="A599" t="b">
        <f t="shared" si="26"/>
        <v>1</v>
      </c>
      <c r="B599" s="27" t="s">
        <v>467</v>
      </c>
      <c r="C599" s="27" t="s">
        <v>51</v>
      </c>
      <c r="D599" s="27" t="s">
        <v>1470</v>
      </c>
      <c r="E599" s="27" t="s">
        <v>51</v>
      </c>
      <c r="F599" s="27" t="s">
        <v>445</v>
      </c>
      <c r="G599" s="27" t="s">
        <v>468</v>
      </c>
      <c r="H599" s="27" t="s">
        <v>447</v>
      </c>
      <c r="I599" s="27" t="s">
        <v>440</v>
      </c>
      <c r="J599" s="27" t="s">
        <v>448</v>
      </c>
      <c r="K599" s="27" t="s">
        <v>449</v>
      </c>
      <c r="L599" s="27" t="s">
        <v>458</v>
      </c>
      <c r="M599" s="27" t="s">
        <v>469</v>
      </c>
      <c r="N599" s="27" t="s">
        <v>458</v>
      </c>
      <c r="O599" s="27" t="s">
        <v>449</v>
      </c>
      <c r="P599" s="27" t="s">
        <v>449</v>
      </c>
      <c r="Q599" s="27" t="s">
        <v>372</v>
      </c>
      <c r="R599" s="556">
        <f t="shared" si="27"/>
        <v>0</v>
      </c>
      <c r="S599" s="556">
        <f t="shared" si="29"/>
        <v>0</v>
      </c>
      <c r="T599" s="556">
        <f t="shared" si="30"/>
        <v>0</v>
      </c>
      <c r="U599" s="556">
        <f t="shared" si="31"/>
        <v>0</v>
      </c>
      <c r="V599" s="556">
        <f t="shared" si="32"/>
        <v>0</v>
      </c>
      <c r="W599" s="556">
        <f t="shared" si="33"/>
        <v>0</v>
      </c>
      <c r="X599" s="556">
        <f t="shared" si="34"/>
        <v>0</v>
      </c>
      <c r="Y599" s="556">
        <f t="shared" si="35"/>
        <v>0</v>
      </c>
      <c r="Z599" s="556">
        <f t="shared" si="36"/>
        <v>0</v>
      </c>
      <c r="AA599" s="556">
        <f t="shared" si="37"/>
        <v>0</v>
      </c>
      <c r="AB599" s="556">
        <f t="shared" si="38"/>
        <v>0</v>
      </c>
      <c r="AC599" s="556">
        <f t="shared" si="39"/>
        <v>0</v>
      </c>
      <c r="AD599" s="556">
        <f t="shared" si="28"/>
        <v>0</v>
      </c>
      <c r="AE599" s="556">
        <f t="shared" si="41"/>
        <v>0</v>
      </c>
      <c r="AF599" s="556">
        <f t="shared" si="41"/>
        <v>0</v>
      </c>
      <c r="AG599" s="556">
        <f t="shared" si="41"/>
        <v>0</v>
      </c>
      <c r="AH599" s="44"/>
    </row>
    <row r="600" spans="1:36" hidden="1" outlineLevel="1" x14ac:dyDescent="0.35">
      <c r="A600" t="b">
        <f t="shared" si="26"/>
        <v>1</v>
      </c>
      <c r="B600" s="27" t="s">
        <v>1230</v>
      </c>
      <c r="C600" s="27" t="s">
        <v>51</v>
      </c>
      <c r="D600" s="27" t="s">
        <v>1809</v>
      </c>
      <c r="E600" s="27" t="s">
        <v>51</v>
      </c>
      <c r="F600" s="27" t="s">
        <v>457</v>
      </c>
      <c r="G600" s="27" t="s">
        <v>1471</v>
      </c>
      <c r="H600" s="27" t="s">
        <v>447</v>
      </c>
      <c r="I600" s="27" t="s">
        <v>440</v>
      </c>
      <c r="J600" s="27" t="s">
        <v>448</v>
      </c>
      <c r="K600" s="27" t="s">
        <v>449</v>
      </c>
      <c r="L600" s="27" t="s">
        <v>472</v>
      </c>
      <c r="M600" s="27" t="s">
        <v>472</v>
      </c>
      <c r="N600" s="27" t="s">
        <v>472</v>
      </c>
      <c r="O600" s="27" t="s">
        <v>449</v>
      </c>
      <c r="P600" s="27" t="s">
        <v>449</v>
      </c>
      <c r="Q600" s="27" t="s">
        <v>372</v>
      </c>
      <c r="R600" s="556">
        <f t="shared" si="27"/>
        <v>1664129.74</v>
      </c>
      <c r="S600" s="556">
        <f t="shared" si="29"/>
        <v>2110640.2699999996</v>
      </c>
      <c r="T600" s="556">
        <f t="shared" si="30"/>
        <v>1920029.8899999997</v>
      </c>
      <c r="U600" s="556">
        <f t="shared" si="31"/>
        <v>2446127.0999999959</v>
      </c>
      <c r="V600" s="556">
        <f t="shared" si="32"/>
        <v>2449367.0000000009</v>
      </c>
      <c r="W600" s="556">
        <f t="shared" si="33"/>
        <v>2557105.3965517245</v>
      </c>
      <c r="X600" s="556">
        <f t="shared" si="34"/>
        <v>2669014.0862068962</v>
      </c>
      <c r="Y600" s="556">
        <f t="shared" si="35"/>
        <v>3093846.2772413846</v>
      </c>
      <c r="Z600" s="556">
        <f t="shared" si="36"/>
        <v>3470505.129999999</v>
      </c>
      <c r="AA600" s="556">
        <f t="shared" si="37"/>
        <v>3634059.4299999997</v>
      </c>
      <c r="AB600" s="556">
        <f t="shared" si="38"/>
        <v>3401117.0099999979</v>
      </c>
      <c r="AC600" s="556">
        <f t="shared" si="39"/>
        <v>3869226.5900000036</v>
      </c>
      <c r="AD600" s="556">
        <f t="shared" si="28"/>
        <v>4139704.08</v>
      </c>
      <c r="AE600" s="556">
        <f t="shared" si="41"/>
        <v>4178446.04</v>
      </c>
      <c r="AF600" s="556">
        <f t="shared" si="41"/>
        <v>5262837.3899999997</v>
      </c>
      <c r="AG600" s="556">
        <f t="shared" si="41"/>
        <v>5615041.540000001</v>
      </c>
      <c r="AH600" s="44"/>
    </row>
    <row r="601" spans="1:36" hidden="1" outlineLevel="1" x14ac:dyDescent="0.35">
      <c r="A601" t="b">
        <f t="shared" si="26"/>
        <v>1</v>
      </c>
      <c r="B601" s="27" t="s">
        <v>473</v>
      </c>
      <c r="C601" s="27" t="s">
        <v>51</v>
      </c>
      <c r="D601" s="27" t="s">
        <v>1472</v>
      </c>
      <c r="E601" s="27" t="s">
        <v>51</v>
      </c>
      <c r="F601" s="27" t="s">
        <v>474</v>
      </c>
      <c r="G601" s="27" t="s">
        <v>475</v>
      </c>
      <c r="H601" s="27" t="s">
        <v>447</v>
      </c>
      <c r="I601" s="27" t="s">
        <v>440</v>
      </c>
      <c r="J601" s="27" t="s">
        <v>448</v>
      </c>
      <c r="K601" s="27" t="s">
        <v>476</v>
      </c>
      <c r="L601" s="27" t="s">
        <v>477</v>
      </c>
      <c r="M601" s="27" t="s">
        <v>477</v>
      </c>
      <c r="N601" s="27" t="s">
        <v>479</v>
      </c>
      <c r="O601" s="27" t="s">
        <v>480</v>
      </c>
      <c r="P601" s="27" t="s">
        <v>480</v>
      </c>
      <c r="Q601" s="27" t="s">
        <v>372</v>
      </c>
      <c r="R601" s="556">
        <f t="shared" si="27"/>
        <v>0</v>
      </c>
      <c r="S601" s="556">
        <f t="shared" si="29"/>
        <v>0</v>
      </c>
      <c r="T601" s="556">
        <f t="shared" si="30"/>
        <v>0</v>
      </c>
      <c r="U601" s="556">
        <f t="shared" si="31"/>
        <v>0</v>
      </c>
      <c r="V601" s="556">
        <f t="shared" si="32"/>
        <v>0</v>
      </c>
      <c r="W601" s="556">
        <f t="shared" si="33"/>
        <v>0</v>
      </c>
      <c r="X601" s="556">
        <f t="shared" si="34"/>
        <v>0</v>
      </c>
      <c r="Y601" s="556">
        <f t="shared" si="35"/>
        <v>0</v>
      </c>
      <c r="Z601" s="556">
        <f t="shared" si="36"/>
        <v>0</v>
      </c>
      <c r="AA601" s="556">
        <f t="shared" si="37"/>
        <v>0</v>
      </c>
      <c r="AB601" s="556">
        <f t="shared" si="38"/>
        <v>0</v>
      </c>
      <c r="AC601" s="556">
        <f t="shared" si="39"/>
        <v>0</v>
      </c>
      <c r="AD601" s="556">
        <f t="shared" si="28"/>
        <v>0</v>
      </c>
      <c r="AE601" s="556">
        <f t="shared" si="41"/>
        <v>0</v>
      </c>
      <c r="AF601" s="556">
        <f t="shared" si="41"/>
        <v>0</v>
      </c>
      <c r="AG601" s="556">
        <f t="shared" si="41"/>
        <v>0</v>
      </c>
      <c r="AH601" s="44"/>
    </row>
    <row r="602" spans="1:36" hidden="1" outlineLevel="1" x14ac:dyDescent="0.35">
      <c r="A602" t="b">
        <f t="shared" si="26"/>
        <v>1</v>
      </c>
      <c r="B602" s="27" t="s">
        <v>1231</v>
      </c>
      <c r="C602" s="27" t="s">
        <v>51</v>
      </c>
      <c r="D602" s="27" t="s">
        <v>1810</v>
      </c>
      <c r="E602" s="27" t="s">
        <v>51</v>
      </c>
      <c r="F602" s="27" t="s">
        <v>474</v>
      </c>
      <c r="G602" s="27" t="s">
        <v>1473</v>
      </c>
      <c r="H602" s="27" t="s">
        <v>447</v>
      </c>
      <c r="I602" s="27" t="s">
        <v>440</v>
      </c>
      <c r="J602" s="27" t="s">
        <v>448</v>
      </c>
      <c r="K602" s="27" t="s">
        <v>476</v>
      </c>
      <c r="L602" s="27" t="s">
        <v>482</v>
      </c>
      <c r="M602" s="27" t="s">
        <v>483</v>
      </c>
      <c r="N602" s="27" t="s">
        <v>483</v>
      </c>
      <c r="O602" s="27" t="s">
        <v>480</v>
      </c>
      <c r="P602" s="27" t="s">
        <v>480</v>
      </c>
      <c r="Q602" s="27" t="s">
        <v>372</v>
      </c>
      <c r="R602" s="556">
        <f t="shared" si="27"/>
        <v>3001440</v>
      </c>
      <c r="S602" s="556">
        <f t="shared" si="29"/>
        <v>3232320</v>
      </c>
      <c r="T602" s="556">
        <f t="shared" si="30"/>
        <v>3232320</v>
      </c>
      <c r="U602" s="556">
        <f t="shared" si="31"/>
        <v>3232320</v>
      </c>
      <c r="V602" s="556">
        <f t="shared" si="32"/>
        <v>3232320</v>
      </c>
      <c r="W602" s="556">
        <f t="shared" si="33"/>
        <v>3232320</v>
      </c>
      <c r="X602" s="556">
        <f t="shared" si="34"/>
        <v>4368000</v>
      </c>
      <c r="Y602" s="556">
        <f t="shared" si="35"/>
        <v>4368000</v>
      </c>
      <c r="Z602" s="556">
        <f t="shared" si="36"/>
        <v>4368000</v>
      </c>
      <c r="AA602" s="556">
        <f t="shared" si="37"/>
        <v>4368000</v>
      </c>
      <c r="AB602" s="556">
        <f t="shared" si="38"/>
        <v>4368000</v>
      </c>
      <c r="AC602" s="556">
        <f t="shared" si="39"/>
        <v>4368000</v>
      </c>
      <c r="AD602" s="556">
        <f t="shared" si="28"/>
        <v>4606556.8099999996</v>
      </c>
      <c r="AE602" s="556">
        <f t="shared" si="41"/>
        <v>4872934.5100000007</v>
      </c>
      <c r="AF602" s="556">
        <f t="shared" si="41"/>
        <v>5321004.7300000004</v>
      </c>
      <c r="AG602" s="556">
        <f t="shared" si="41"/>
        <v>5347546.4600000009</v>
      </c>
      <c r="AH602" s="44"/>
    </row>
    <row r="603" spans="1:36" outlineLevel="1" x14ac:dyDescent="0.35">
      <c r="A603" t="b">
        <f t="shared" si="26"/>
        <v>1</v>
      </c>
      <c r="B603" s="27" t="s">
        <v>485</v>
      </c>
      <c r="C603" s="27" t="s">
        <v>51</v>
      </c>
      <c r="D603" s="27" t="s">
        <v>1474</v>
      </c>
      <c r="E603" s="27" t="s">
        <v>51</v>
      </c>
      <c r="F603" s="27" t="s">
        <v>474</v>
      </c>
      <c r="G603" s="27" t="s">
        <v>486</v>
      </c>
      <c r="H603" s="27" t="s">
        <v>447</v>
      </c>
      <c r="I603" s="27" t="s">
        <v>440</v>
      </c>
      <c r="J603" s="27" t="s">
        <v>448</v>
      </c>
      <c r="K603" s="27" t="s">
        <v>476</v>
      </c>
      <c r="L603" s="27" t="s">
        <v>487</v>
      </c>
      <c r="M603" s="27" t="s">
        <v>487</v>
      </c>
      <c r="N603" s="27" t="s">
        <v>488</v>
      </c>
      <c r="O603" s="27" t="s">
        <v>480</v>
      </c>
      <c r="P603" s="27" t="s">
        <v>480</v>
      </c>
      <c r="Q603" s="27" t="s">
        <v>372</v>
      </c>
      <c r="R603" s="556">
        <f t="shared" si="27"/>
        <v>0</v>
      </c>
      <c r="S603" s="556">
        <f t="shared" si="29"/>
        <v>0</v>
      </c>
      <c r="T603" s="556">
        <f t="shared" si="30"/>
        <v>0</v>
      </c>
      <c r="U603" s="556">
        <f t="shared" si="31"/>
        <v>0</v>
      </c>
      <c r="V603" s="556">
        <f t="shared" si="32"/>
        <v>0</v>
      </c>
      <c r="W603" s="556">
        <f t="shared" si="33"/>
        <v>0</v>
      </c>
      <c r="X603" s="556">
        <f t="shared" si="34"/>
        <v>0</v>
      </c>
      <c r="Y603" s="556">
        <f t="shared" si="35"/>
        <v>0</v>
      </c>
      <c r="Z603" s="556">
        <f t="shared" si="36"/>
        <v>0</v>
      </c>
      <c r="AA603" s="556">
        <f t="shared" si="37"/>
        <v>0</v>
      </c>
      <c r="AB603" s="556">
        <f t="shared" si="38"/>
        <v>0</v>
      </c>
      <c r="AC603" s="556">
        <f t="shared" si="39"/>
        <v>0</v>
      </c>
      <c r="AD603" s="556">
        <f t="shared" si="28"/>
        <v>0</v>
      </c>
      <c r="AE603" s="556">
        <f t="shared" si="41"/>
        <v>0</v>
      </c>
      <c r="AF603" s="556">
        <f t="shared" si="41"/>
        <v>0</v>
      </c>
      <c r="AG603" s="556">
        <f t="shared" si="41"/>
        <v>0</v>
      </c>
      <c r="AH603" s="44"/>
    </row>
    <row r="604" spans="1:36" hidden="1" outlineLevel="1" x14ac:dyDescent="0.35">
      <c r="A604" t="b">
        <f t="shared" si="26"/>
        <v>1</v>
      </c>
      <c r="B604" s="27" t="s">
        <v>1232</v>
      </c>
      <c r="C604" s="27" t="s">
        <v>51</v>
      </c>
      <c r="D604" s="27" t="s">
        <v>1811</v>
      </c>
      <c r="E604" s="27" t="s">
        <v>51</v>
      </c>
      <c r="F604" s="27" t="s">
        <v>474</v>
      </c>
      <c r="G604" s="27" t="s">
        <v>1475</v>
      </c>
      <c r="H604" s="27" t="s">
        <v>447</v>
      </c>
      <c r="I604" s="27" t="s">
        <v>440</v>
      </c>
      <c r="J604" s="27" t="s">
        <v>448</v>
      </c>
      <c r="K604" s="27" t="s">
        <v>476</v>
      </c>
      <c r="L604" s="27" t="s">
        <v>482</v>
      </c>
      <c r="M604" s="27" t="s">
        <v>483</v>
      </c>
      <c r="N604" s="27" t="s">
        <v>483</v>
      </c>
      <c r="O604" s="27" t="s">
        <v>480</v>
      </c>
      <c r="P604" s="27" t="s">
        <v>480</v>
      </c>
      <c r="Q604" s="27" t="s">
        <v>372</v>
      </c>
      <c r="R604" s="556">
        <f t="shared" si="27"/>
        <v>286713</v>
      </c>
      <c r="S604" s="556">
        <f t="shared" si="29"/>
        <v>286713</v>
      </c>
      <c r="T604" s="556">
        <f t="shared" si="30"/>
        <v>286713</v>
      </c>
      <c r="U604" s="556">
        <f t="shared" si="31"/>
        <v>286713</v>
      </c>
      <c r="V604" s="556">
        <f t="shared" si="32"/>
        <v>286713</v>
      </c>
      <c r="W604" s="556">
        <f t="shared" si="33"/>
        <v>286713</v>
      </c>
      <c r="X604" s="556">
        <f t="shared" si="34"/>
        <v>387450</v>
      </c>
      <c r="Y604" s="556">
        <f t="shared" si="35"/>
        <v>387450</v>
      </c>
      <c r="Z604" s="556">
        <f t="shared" si="36"/>
        <v>387450</v>
      </c>
      <c r="AA604" s="556">
        <f t="shared" si="37"/>
        <v>387450</v>
      </c>
      <c r="AB604" s="556">
        <f t="shared" si="38"/>
        <v>387450</v>
      </c>
      <c r="AC604" s="556">
        <f t="shared" si="39"/>
        <v>387450</v>
      </c>
      <c r="AD604" s="556">
        <f t="shared" si="28"/>
        <v>505765.42</v>
      </c>
      <c r="AE604" s="556">
        <f t="shared" si="41"/>
        <v>505765.42</v>
      </c>
      <c r="AF604" s="556">
        <f t="shared" si="41"/>
        <v>505765.42000000004</v>
      </c>
      <c r="AG604" s="556">
        <f t="shared" si="41"/>
        <v>505765.41999999993</v>
      </c>
      <c r="AH604" s="44"/>
    </row>
    <row r="605" spans="1:36" hidden="1" outlineLevel="1" x14ac:dyDescent="0.35">
      <c r="A605" t="b">
        <f t="shared" si="26"/>
        <v>1</v>
      </c>
      <c r="B605" s="27" t="s">
        <v>489</v>
      </c>
      <c r="C605" s="27" t="s">
        <v>51</v>
      </c>
      <c r="D605" s="27" t="s">
        <v>1476</v>
      </c>
      <c r="E605" s="27" t="s">
        <v>51</v>
      </c>
      <c r="F605" s="27" t="s">
        <v>474</v>
      </c>
      <c r="G605" s="27" t="s">
        <v>490</v>
      </c>
      <c r="H605" s="27" t="s">
        <v>447</v>
      </c>
      <c r="I605" s="27" t="s">
        <v>440</v>
      </c>
      <c r="J605" s="27" t="s">
        <v>448</v>
      </c>
      <c r="K605" s="27" t="s">
        <v>491</v>
      </c>
      <c r="L605" s="27" t="s">
        <v>492</v>
      </c>
      <c r="M605" s="27" t="s">
        <v>493</v>
      </c>
      <c r="N605" s="27" t="s">
        <v>494</v>
      </c>
      <c r="O605" s="27" t="s">
        <v>491</v>
      </c>
      <c r="P605" s="27" t="s">
        <v>480</v>
      </c>
      <c r="Q605" s="27" t="s">
        <v>372</v>
      </c>
      <c r="R605" s="556">
        <f t="shared" si="27"/>
        <v>0</v>
      </c>
      <c r="S605" s="556">
        <f t="shared" si="29"/>
        <v>0</v>
      </c>
      <c r="T605" s="556">
        <f t="shared" si="30"/>
        <v>0</v>
      </c>
      <c r="U605" s="556">
        <f t="shared" si="31"/>
        <v>0</v>
      </c>
      <c r="V605" s="556">
        <f t="shared" si="32"/>
        <v>0</v>
      </c>
      <c r="W605" s="556">
        <f t="shared" si="33"/>
        <v>0</v>
      </c>
      <c r="X605" s="556">
        <f t="shared" si="34"/>
        <v>0</v>
      </c>
      <c r="Y605" s="556">
        <f t="shared" si="35"/>
        <v>0</v>
      </c>
      <c r="Z605" s="556">
        <f t="shared" si="36"/>
        <v>0</v>
      </c>
      <c r="AA605" s="556">
        <f t="shared" si="37"/>
        <v>0</v>
      </c>
      <c r="AB605" s="556">
        <f t="shared" si="38"/>
        <v>0</v>
      </c>
      <c r="AC605" s="556">
        <f t="shared" si="39"/>
        <v>0</v>
      </c>
      <c r="AD605" s="556">
        <f t="shared" si="28"/>
        <v>0</v>
      </c>
      <c r="AE605" s="556">
        <f t="shared" si="41"/>
        <v>0</v>
      </c>
      <c r="AF605" s="556">
        <f t="shared" si="41"/>
        <v>0</v>
      </c>
      <c r="AG605" s="556">
        <f t="shared" si="41"/>
        <v>0</v>
      </c>
      <c r="AH605" s="44"/>
    </row>
    <row r="606" spans="1:36" hidden="1" outlineLevel="1" x14ac:dyDescent="0.35">
      <c r="A606" t="b">
        <f t="shared" si="26"/>
        <v>1</v>
      </c>
      <c r="B606" s="27" t="s">
        <v>1233</v>
      </c>
      <c r="C606" s="27" t="s">
        <v>51</v>
      </c>
      <c r="D606" s="27" t="s">
        <v>1812</v>
      </c>
      <c r="E606" s="27" t="s">
        <v>51</v>
      </c>
      <c r="F606" s="27" t="s">
        <v>474</v>
      </c>
      <c r="G606" s="27" t="s">
        <v>1477</v>
      </c>
      <c r="H606" s="27" t="s">
        <v>447</v>
      </c>
      <c r="I606" s="27" t="s">
        <v>440</v>
      </c>
      <c r="J606" s="27" t="s">
        <v>448</v>
      </c>
      <c r="K606" s="27" t="s">
        <v>491</v>
      </c>
      <c r="L606" s="27" t="s">
        <v>495</v>
      </c>
      <c r="M606" s="27" t="s">
        <v>495</v>
      </c>
      <c r="N606" s="27" t="s">
        <v>495</v>
      </c>
      <c r="O606" s="27" t="s">
        <v>491</v>
      </c>
      <c r="P606" s="27" t="s">
        <v>491</v>
      </c>
      <c r="Q606" s="27" t="s">
        <v>372</v>
      </c>
      <c r="R606" s="556">
        <f t="shared" si="27"/>
        <v>369184.66</v>
      </c>
      <c r="S606" s="556">
        <f t="shared" si="29"/>
        <v>369184.66</v>
      </c>
      <c r="T606" s="556">
        <f t="shared" si="30"/>
        <v>693505.34</v>
      </c>
      <c r="U606" s="556">
        <f t="shared" si="31"/>
        <v>190805</v>
      </c>
      <c r="V606" s="556">
        <f t="shared" si="32"/>
        <v>358281.8600000001</v>
      </c>
      <c r="W606" s="556">
        <f t="shared" si="33"/>
        <v>404848.2200000002</v>
      </c>
      <c r="X606" s="556">
        <f t="shared" si="34"/>
        <v>291777.39999999991</v>
      </c>
      <c r="Y606" s="556">
        <f t="shared" si="35"/>
        <v>-54280.350000000093</v>
      </c>
      <c r="Z606" s="556">
        <f t="shared" si="36"/>
        <v>470250.99000000022</v>
      </c>
      <c r="AA606" s="556">
        <f t="shared" si="37"/>
        <v>318242.43999999994</v>
      </c>
      <c r="AB606" s="556">
        <f t="shared" si="38"/>
        <v>343298.39999999991</v>
      </c>
      <c r="AC606" s="556">
        <f t="shared" si="39"/>
        <v>387257.06000000006</v>
      </c>
      <c r="AD606" s="556">
        <f t="shared" si="28"/>
        <v>387247.08</v>
      </c>
      <c r="AE606" s="556">
        <f t="shared" si="41"/>
        <v>633209.75</v>
      </c>
      <c r="AF606" s="556">
        <f t="shared" si="41"/>
        <v>654771.39</v>
      </c>
      <c r="AG606" s="556">
        <f t="shared" si="41"/>
        <v>533540.49</v>
      </c>
      <c r="AH606" s="44"/>
      <c r="AJ606" s="44"/>
    </row>
    <row r="607" spans="1:36" hidden="1" outlineLevel="1" x14ac:dyDescent="0.35">
      <c r="A607" t="b">
        <f t="shared" si="26"/>
        <v>1</v>
      </c>
      <c r="B607" s="27" t="s">
        <v>496</v>
      </c>
      <c r="C607" s="27" t="s">
        <v>51</v>
      </c>
      <c r="D607" s="27" t="s">
        <v>1478</v>
      </c>
      <c r="E607" s="27" t="s">
        <v>51</v>
      </c>
      <c r="F607" s="27" t="s">
        <v>474</v>
      </c>
      <c r="G607" s="27" t="s">
        <v>497</v>
      </c>
      <c r="H607" s="27" t="s">
        <v>447</v>
      </c>
      <c r="I607" s="27" t="s">
        <v>440</v>
      </c>
      <c r="J607" s="27" t="s">
        <v>448</v>
      </c>
      <c r="K607" s="27" t="s">
        <v>476</v>
      </c>
      <c r="L607" s="27" t="s">
        <v>498</v>
      </c>
      <c r="M607" s="27" t="s">
        <v>498</v>
      </c>
      <c r="N607" s="27" t="s">
        <v>499</v>
      </c>
      <c r="O607" s="27" t="s">
        <v>480</v>
      </c>
      <c r="P607" s="27" t="s">
        <v>480</v>
      </c>
      <c r="Q607" s="27" t="s">
        <v>372</v>
      </c>
      <c r="R607" s="556">
        <f t="shared" si="27"/>
        <v>0</v>
      </c>
      <c r="S607" s="556">
        <f t="shared" si="29"/>
        <v>0</v>
      </c>
      <c r="T607" s="556">
        <f t="shared" si="30"/>
        <v>859.13</v>
      </c>
      <c r="U607" s="556">
        <f t="shared" si="31"/>
        <v>0</v>
      </c>
      <c r="V607" s="556">
        <f t="shared" si="32"/>
        <v>0</v>
      </c>
      <c r="W607" s="556">
        <f t="shared" si="33"/>
        <v>0</v>
      </c>
      <c r="X607" s="556">
        <f t="shared" si="34"/>
        <v>0</v>
      </c>
      <c r="Y607" s="556">
        <f t="shared" si="35"/>
        <v>0</v>
      </c>
      <c r="Z607" s="556">
        <f t="shared" si="36"/>
        <v>0</v>
      </c>
      <c r="AA607" s="556">
        <f t="shared" si="37"/>
        <v>0</v>
      </c>
      <c r="AB607" s="556">
        <f t="shared" si="38"/>
        <v>0</v>
      </c>
      <c r="AC607" s="556">
        <f t="shared" si="39"/>
        <v>0</v>
      </c>
      <c r="AD607" s="556">
        <f t="shared" si="28"/>
        <v>0</v>
      </c>
      <c r="AE607" s="556">
        <f t="shared" si="41"/>
        <v>0</v>
      </c>
      <c r="AF607" s="556">
        <f t="shared" si="41"/>
        <v>0</v>
      </c>
      <c r="AG607" s="556">
        <f t="shared" si="41"/>
        <v>0</v>
      </c>
      <c r="AH607" s="44"/>
    </row>
    <row r="608" spans="1:36" hidden="1" outlineLevel="1" x14ac:dyDescent="0.35">
      <c r="A608" t="b">
        <f t="shared" si="26"/>
        <v>1</v>
      </c>
      <c r="B608" s="27" t="s">
        <v>500</v>
      </c>
      <c r="C608" s="27" t="s">
        <v>51</v>
      </c>
      <c r="D608" s="27" t="s">
        <v>1479</v>
      </c>
      <c r="E608" s="27" t="s">
        <v>51</v>
      </c>
      <c r="F608" s="27" t="s">
        <v>501</v>
      </c>
      <c r="G608" s="27" t="s">
        <v>481</v>
      </c>
      <c r="H608" s="27" t="s">
        <v>447</v>
      </c>
      <c r="I608" s="27" t="s">
        <v>440</v>
      </c>
      <c r="J608" s="27" t="s">
        <v>448</v>
      </c>
      <c r="K608" s="27" t="s">
        <v>476</v>
      </c>
      <c r="L608" s="27" t="s">
        <v>502</v>
      </c>
      <c r="M608" s="27" t="s">
        <v>502</v>
      </c>
      <c r="N608" s="27" t="s">
        <v>488</v>
      </c>
      <c r="O608" s="27" t="s">
        <v>480</v>
      </c>
      <c r="P608" s="27" t="s">
        <v>480</v>
      </c>
      <c r="Q608" s="27" t="s">
        <v>372</v>
      </c>
      <c r="R608" s="556">
        <f t="shared" si="27"/>
        <v>0</v>
      </c>
      <c r="S608" s="556">
        <f t="shared" si="29"/>
        <v>0</v>
      </c>
      <c r="T608" s="556">
        <f t="shared" si="30"/>
        <v>0</v>
      </c>
      <c r="U608" s="556">
        <f t="shared" si="31"/>
        <v>0</v>
      </c>
      <c r="V608" s="556">
        <f t="shared" si="32"/>
        <v>0</v>
      </c>
      <c r="W608" s="556">
        <f t="shared" si="33"/>
        <v>0</v>
      </c>
      <c r="X608" s="556">
        <f t="shared" si="34"/>
        <v>0</v>
      </c>
      <c r="Y608" s="556">
        <f t="shared" si="35"/>
        <v>0</v>
      </c>
      <c r="Z608" s="556">
        <f t="shared" si="36"/>
        <v>0</v>
      </c>
      <c r="AA608" s="556">
        <f t="shared" si="37"/>
        <v>0</v>
      </c>
      <c r="AB608" s="556">
        <f t="shared" si="38"/>
        <v>0</v>
      </c>
      <c r="AC608" s="556">
        <f t="shared" si="39"/>
        <v>0</v>
      </c>
      <c r="AD608" s="556">
        <f t="shared" si="28"/>
        <v>0</v>
      </c>
      <c r="AE608" s="556">
        <f t="shared" si="41"/>
        <v>0</v>
      </c>
      <c r="AF608" s="556">
        <f t="shared" si="41"/>
        <v>0</v>
      </c>
      <c r="AG608" s="556">
        <f t="shared" si="41"/>
        <v>0</v>
      </c>
      <c r="AH608" s="44"/>
    </row>
    <row r="609" spans="1:36" hidden="1" outlineLevel="1" x14ac:dyDescent="0.35">
      <c r="A609" t="b">
        <f t="shared" si="26"/>
        <v>1</v>
      </c>
      <c r="B609" s="27" t="s">
        <v>1234</v>
      </c>
      <c r="C609" s="27" t="s">
        <v>51</v>
      </c>
      <c r="D609" s="27" t="s">
        <v>1813</v>
      </c>
      <c r="E609" s="27" t="s">
        <v>51</v>
      </c>
      <c r="F609" s="27" t="s">
        <v>501</v>
      </c>
      <c r="G609" s="27" t="s">
        <v>1480</v>
      </c>
      <c r="H609" s="27" t="s">
        <v>447</v>
      </c>
      <c r="I609" s="27" t="s">
        <v>440</v>
      </c>
      <c r="J609" s="27" t="s">
        <v>448</v>
      </c>
      <c r="K609" s="27" t="s">
        <v>476</v>
      </c>
      <c r="L609" s="27" t="s">
        <v>503</v>
      </c>
      <c r="M609" s="27" t="s">
        <v>503</v>
      </c>
      <c r="N609" s="27" t="s">
        <v>503</v>
      </c>
      <c r="O609" s="27" t="s">
        <v>480</v>
      </c>
      <c r="P609" s="27" t="s">
        <v>480</v>
      </c>
      <c r="Q609" s="27" t="s">
        <v>372</v>
      </c>
      <c r="R609" s="556">
        <f t="shared" si="27"/>
        <v>20401.66</v>
      </c>
      <c r="S609" s="556">
        <f t="shared" si="29"/>
        <v>15966.66</v>
      </c>
      <c r="T609" s="556">
        <f t="shared" si="30"/>
        <v>15966.659999999996</v>
      </c>
      <c r="U609" s="556">
        <f t="shared" si="31"/>
        <v>136994.68</v>
      </c>
      <c r="V609" s="556">
        <f t="shared" si="32"/>
        <v>3484</v>
      </c>
      <c r="W609" s="556">
        <f t="shared" si="33"/>
        <v>135133.00000000003</v>
      </c>
      <c r="X609" s="556">
        <f t="shared" si="34"/>
        <v>245561.26</v>
      </c>
      <c r="Y609" s="556">
        <f t="shared" si="35"/>
        <v>130349</v>
      </c>
      <c r="Z609" s="556">
        <f t="shared" si="36"/>
        <v>125000</v>
      </c>
      <c r="AA609" s="556">
        <f t="shared" si="37"/>
        <v>278416.99999999988</v>
      </c>
      <c r="AB609" s="556">
        <f t="shared" si="38"/>
        <v>225334</v>
      </c>
      <c r="AC609" s="556">
        <f t="shared" si="39"/>
        <v>25000</v>
      </c>
      <c r="AD609" s="556">
        <f t="shared" si="28"/>
        <v>10508</v>
      </c>
      <c r="AE609" s="556">
        <f t="shared" si="41"/>
        <v>278493.93</v>
      </c>
      <c r="AF609" s="556">
        <f t="shared" si="41"/>
        <v>377111.93</v>
      </c>
      <c r="AG609" s="556">
        <f t="shared" si="41"/>
        <v>294993.93000000005</v>
      </c>
      <c r="AH609" s="44"/>
    </row>
    <row r="610" spans="1:36" hidden="1" outlineLevel="1" x14ac:dyDescent="0.35">
      <c r="A610" t="b">
        <f t="shared" si="26"/>
        <v>1</v>
      </c>
      <c r="B610" s="27" t="s">
        <v>506</v>
      </c>
      <c r="C610" s="27" t="s">
        <v>51</v>
      </c>
      <c r="D610" s="27" t="s">
        <v>1481</v>
      </c>
      <c r="E610" s="27" t="s">
        <v>51</v>
      </c>
      <c r="F610" s="27" t="s">
        <v>501</v>
      </c>
      <c r="G610" s="27" t="s">
        <v>507</v>
      </c>
      <c r="H610" s="27" t="s">
        <v>447</v>
      </c>
      <c r="I610" s="27" t="s">
        <v>440</v>
      </c>
      <c r="J610" s="27" t="s">
        <v>448</v>
      </c>
      <c r="K610" s="27" t="s">
        <v>491</v>
      </c>
      <c r="L610" s="27" t="s">
        <v>508</v>
      </c>
      <c r="M610" s="27" t="s">
        <v>508</v>
      </c>
      <c r="N610" s="27" t="s">
        <v>494</v>
      </c>
      <c r="O610" s="27" t="s">
        <v>491</v>
      </c>
      <c r="P610" s="27" t="s">
        <v>480</v>
      </c>
      <c r="Q610" s="27" t="s">
        <v>372</v>
      </c>
      <c r="R610" s="556">
        <f t="shared" si="27"/>
        <v>0</v>
      </c>
      <c r="S610" s="556">
        <f t="shared" si="29"/>
        <v>0</v>
      </c>
      <c r="T610" s="556">
        <f t="shared" si="30"/>
        <v>0</v>
      </c>
      <c r="U610" s="556">
        <f t="shared" si="31"/>
        <v>0</v>
      </c>
      <c r="V610" s="556">
        <f t="shared" si="32"/>
        <v>0</v>
      </c>
      <c r="W610" s="556">
        <f t="shared" si="33"/>
        <v>0</v>
      </c>
      <c r="X610" s="556">
        <f t="shared" si="34"/>
        <v>0</v>
      </c>
      <c r="Y610" s="556">
        <f t="shared" si="35"/>
        <v>0</v>
      </c>
      <c r="Z610" s="556">
        <f t="shared" si="36"/>
        <v>0</v>
      </c>
      <c r="AA610" s="556">
        <f t="shared" si="37"/>
        <v>0</v>
      </c>
      <c r="AB610" s="556">
        <f t="shared" si="38"/>
        <v>0</v>
      </c>
      <c r="AC610" s="556">
        <f t="shared" si="39"/>
        <v>0</v>
      </c>
      <c r="AD610" s="556">
        <f t="shared" si="28"/>
        <v>0</v>
      </c>
      <c r="AE610" s="556">
        <f t="shared" si="41"/>
        <v>0</v>
      </c>
      <c r="AF610" s="556">
        <f t="shared" si="41"/>
        <v>0</v>
      </c>
      <c r="AG610" s="556">
        <f t="shared" si="41"/>
        <v>0</v>
      </c>
      <c r="AH610" s="44"/>
      <c r="AJ610" s="44"/>
    </row>
    <row r="611" spans="1:36" hidden="1" outlineLevel="1" x14ac:dyDescent="0.35">
      <c r="A611" t="b">
        <f t="shared" si="26"/>
        <v>1</v>
      </c>
      <c r="B611" s="27" t="s">
        <v>509</v>
      </c>
      <c r="C611" s="27" t="s">
        <v>51</v>
      </c>
      <c r="D611" s="27" t="s">
        <v>1482</v>
      </c>
      <c r="E611" s="27" t="s">
        <v>51</v>
      </c>
      <c r="F611" s="27" t="s">
        <v>501</v>
      </c>
      <c r="G611" s="27" t="s">
        <v>510</v>
      </c>
      <c r="H611" s="27" t="s">
        <v>447</v>
      </c>
      <c r="I611" s="27" t="s">
        <v>440</v>
      </c>
      <c r="J611" s="27" t="s">
        <v>448</v>
      </c>
      <c r="K611" s="27" t="s">
        <v>491</v>
      </c>
      <c r="L611" s="27" t="s">
        <v>492</v>
      </c>
      <c r="M611" s="27" t="s">
        <v>511</v>
      </c>
      <c r="N611" s="27" t="s">
        <v>494</v>
      </c>
      <c r="O611" s="27" t="s">
        <v>491</v>
      </c>
      <c r="P611" s="27" t="s">
        <v>480</v>
      </c>
      <c r="Q611" s="27" t="s">
        <v>372</v>
      </c>
      <c r="R611" s="556">
        <f t="shared" si="27"/>
        <v>0</v>
      </c>
      <c r="S611" s="556">
        <f t="shared" si="29"/>
        <v>0</v>
      </c>
      <c r="T611" s="556">
        <f t="shared" si="30"/>
        <v>0</v>
      </c>
      <c r="U611" s="556">
        <f t="shared" si="31"/>
        <v>0</v>
      </c>
      <c r="V611" s="556">
        <f t="shared" si="32"/>
        <v>0</v>
      </c>
      <c r="W611" s="556">
        <f t="shared" si="33"/>
        <v>0</v>
      </c>
      <c r="X611" s="556">
        <f t="shared" si="34"/>
        <v>0</v>
      </c>
      <c r="Y611" s="556">
        <f t="shared" si="35"/>
        <v>0</v>
      </c>
      <c r="Z611" s="556">
        <f t="shared" si="36"/>
        <v>0</v>
      </c>
      <c r="AA611" s="556">
        <f t="shared" si="37"/>
        <v>0</v>
      </c>
      <c r="AB611" s="556">
        <f t="shared" si="38"/>
        <v>0</v>
      </c>
      <c r="AC611" s="556">
        <f t="shared" si="39"/>
        <v>0</v>
      </c>
      <c r="AD611" s="556">
        <f t="shared" si="28"/>
        <v>0</v>
      </c>
      <c r="AE611" s="556">
        <f t="shared" ref="AE611:AG630" si="42">+IF(AE$10="Actuals",IF($O133="Revenue",-IF($H133="BS",AE133,IF($H133="P&amp;L",AE133-AD133,0)),IF($H133="BS",AE133,IF($H133="P&amp;L",AE133-AD133,0))),0)</f>
        <v>0</v>
      </c>
      <c r="AF611" s="556">
        <f t="shared" si="42"/>
        <v>0</v>
      </c>
      <c r="AG611" s="556">
        <f t="shared" si="42"/>
        <v>0</v>
      </c>
      <c r="AH611" s="44"/>
    </row>
    <row r="612" spans="1:36" hidden="1" outlineLevel="1" x14ac:dyDescent="0.35">
      <c r="A612" t="b">
        <f t="shared" si="26"/>
        <v>1</v>
      </c>
      <c r="B612" s="27" t="s">
        <v>1235</v>
      </c>
      <c r="C612" s="27" t="s">
        <v>51</v>
      </c>
      <c r="D612" s="27" t="s">
        <v>1814</v>
      </c>
      <c r="E612" s="27" t="s">
        <v>51</v>
      </c>
      <c r="F612" s="27" t="s">
        <v>501</v>
      </c>
      <c r="G612" s="27" t="s">
        <v>1483</v>
      </c>
      <c r="H612" s="27" t="s">
        <v>447</v>
      </c>
      <c r="I612" s="27" t="s">
        <v>440</v>
      </c>
      <c r="J612" s="27" t="s">
        <v>448</v>
      </c>
      <c r="K612" s="27" t="s">
        <v>491</v>
      </c>
      <c r="L612" s="27" t="s">
        <v>493</v>
      </c>
      <c r="M612" s="27" t="s">
        <v>493</v>
      </c>
      <c r="N612" s="27" t="s">
        <v>493</v>
      </c>
      <c r="O612" s="27" t="s">
        <v>491</v>
      </c>
      <c r="P612" s="27" t="s">
        <v>491</v>
      </c>
      <c r="Q612" s="27" t="s">
        <v>372</v>
      </c>
      <c r="R612" s="556">
        <f t="shared" si="27"/>
        <v>3411.62</v>
      </c>
      <c r="S612" s="556">
        <f t="shared" si="29"/>
        <v>0</v>
      </c>
      <c r="T612" s="556">
        <f t="shared" si="30"/>
        <v>7308.21</v>
      </c>
      <c r="U612" s="556">
        <f t="shared" si="31"/>
        <v>1359.3999999999996</v>
      </c>
      <c r="V612" s="556">
        <f t="shared" si="32"/>
        <v>33335.300000000003</v>
      </c>
      <c r="W612" s="556">
        <f t="shared" si="33"/>
        <v>2536.2799999999988</v>
      </c>
      <c r="X612" s="556">
        <f t="shared" si="34"/>
        <v>9850.7200000000012</v>
      </c>
      <c r="Y612" s="556">
        <f t="shared" si="35"/>
        <v>4277.9099999999962</v>
      </c>
      <c r="Z612" s="556">
        <f t="shared" si="36"/>
        <v>9702.919999999991</v>
      </c>
      <c r="AA612" s="556">
        <f t="shared" si="37"/>
        <v>10068.000000000015</v>
      </c>
      <c r="AB612" s="556">
        <f t="shared" si="38"/>
        <v>5550</v>
      </c>
      <c r="AC612" s="556">
        <f t="shared" si="39"/>
        <v>12105.439999999988</v>
      </c>
      <c r="AD612" s="556">
        <f t="shared" si="28"/>
        <v>20751.260000000002</v>
      </c>
      <c r="AE612" s="556">
        <f t="shared" si="42"/>
        <v>10588.849999999999</v>
      </c>
      <c r="AF612" s="556">
        <f t="shared" si="42"/>
        <v>19645.72</v>
      </c>
      <c r="AG612" s="556">
        <f t="shared" si="42"/>
        <v>79477.259999999995</v>
      </c>
      <c r="AH612" s="44"/>
      <c r="AJ612" s="44"/>
    </row>
    <row r="613" spans="1:36" hidden="1" outlineLevel="1" x14ac:dyDescent="0.35">
      <c r="A613" t="b">
        <f t="shared" si="26"/>
        <v>1</v>
      </c>
      <c r="B613" s="27" t="s">
        <v>1236</v>
      </c>
      <c r="C613" s="27" t="s">
        <v>51</v>
      </c>
      <c r="D613" s="27" t="s">
        <v>1815</v>
      </c>
      <c r="E613" s="27" t="s">
        <v>51</v>
      </c>
      <c r="F613" s="27" t="s">
        <v>512</v>
      </c>
      <c r="G613" s="27" t="s">
        <v>1484</v>
      </c>
      <c r="H613" s="27" t="s">
        <v>447</v>
      </c>
      <c r="I613" s="27" t="s">
        <v>440</v>
      </c>
      <c r="J613" s="27" t="s">
        <v>448</v>
      </c>
      <c r="K613" s="27" t="s">
        <v>491</v>
      </c>
      <c r="L613" s="27" t="s">
        <v>848</v>
      </c>
      <c r="M613" s="27" t="s">
        <v>848</v>
      </c>
      <c r="N613" s="27" t="s">
        <v>848</v>
      </c>
      <c r="O613" s="27" t="s">
        <v>491</v>
      </c>
      <c r="P613" s="27" t="s">
        <v>491</v>
      </c>
      <c r="Q613" s="27" t="s">
        <v>372</v>
      </c>
      <c r="R613" s="556">
        <f t="shared" si="27"/>
        <v>1962055.0899999999</v>
      </c>
      <c r="S613" s="556">
        <f t="shared" si="29"/>
        <v>2065932</v>
      </c>
      <c r="T613" s="556">
        <f t="shared" si="30"/>
        <v>1896945.54</v>
      </c>
      <c r="U613" s="556">
        <f t="shared" si="31"/>
        <v>2579388.9099999992</v>
      </c>
      <c r="V613" s="556">
        <f t="shared" si="32"/>
        <v>2565420.370000001</v>
      </c>
      <c r="W613" s="556">
        <f t="shared" si="33"/>
        <v>2572961.8199999984</v>
      </c>
      <c r="X613" s="556">
        <f t="shared" si="34"/>
        <v>2549564.75</v>
      </c>
      <c r="Y613" s="556">
        <f t="shared" si="35"/>
        <v>4353587.660000002</v>
      </c>
      <c r="Z613" s="556">
        <f t="shared" si="36"/>
        <v>2603105.8500000015</v>
      </c>
      <c r="AA613" s="556">
        <f t="shared" si="37"/>
        <v>2309931.0699999966</v>
      </c>
      <c r="AB613" s="556">
        <f t="shared" si="38"/>
        <v>2564751.9900000021</v>
      </c>
      <c r="AC613" s="556">
        <f t="shared" si="39"/>
        <v>2241374.3899999969</v>
      </c>
      <c r="AD613" s="556">
        <f t="shared" si="28"/>
        <v>2214223</v>
      </c>
      <c r="AE613" s="556">
        <f t="shared" si="42"/>
        <v>2077068.6799999997</v>
      </c>
      <c r="AF613" s="556">
        <f t="shared" si="42"/>
        <v>2112669.84</v>
      </c>
      <c r="AG613" s="556">
        <f t="shared" si="42"/>
        <v>1945462.3000000007</v>
      </c>
      <c r="AH613" s="44"/>
      <c r="AJ613" s="44"/>
    </row>
    <row r="614" spans="1:36" ht="15" hidden="1" outlineLevel="1" x14ac:dyDescent="0.35">
      <c r="A614" t="b">
        <f t="shared" si="26"/>
        <v>1</v>
      </c>
      <c r="B614" s="27" t="s">
        <v>514</v>
      </c>
      <c r="C614" s="27" t="s">
        <v>51</v>
      </c>
      <c r="D614" s="27" t="s">
        <v>1485</v>
      </c>
      <c r="E614" s="27" t="s">
        <v>51</v>
      </c>
      <c r="F614" s="27" t="s">
        <v>501</v>
      </c>
      <c r="G614" s="27" t="s">
        <v>515</v>
      </c>
      <c r="H614" s="27" t="s">
        <v>447</v>
      </c>
      <c r="I614" s="27" t="s">
        <v>440</v>
      </c>
      <c r="J614" s="27" t="s">
        <v>448</v>
      </c>
      <c r="K614" s="27" t="s">
        <v>491</v>
      </c>
      <c r="L614" s="27" t="s">
        <v>492</v>
      </c>
      <c r="M614" s="102" t="s">
        <v>2057</v>
      </c>
      <c r="N614" s="27" t="s">
        <v>494</v>
      </c>
      <c r="O614" s="27" t="s">
        <v>491</v>
      </c>
      <c r="P614" s="27" t="s">
        <v>480</v>
      </c>
      <c r="Q614" s="27" t="s">
        <v>372</v>
      </c>
      <c r="R614" s="556">
        <f t="shared" si="27"/>
        <v>474937.4</v>
      </c>
      <c r="S614" s="556">
        <f t="shared" si="29"/>
        <v>519023.95999999996</v>
      </c>
      <c r="T614" s="556">
        <f t="shared" si="30"/>
        <v>456882.94000000006</v>
      </c>
      <c r="U614" s="556">
        <f t="shared" si="31"/>
        <v>698647.32999999984</v>
      </c>
      <c r="V614" s="556">
        <f t="shared" si="32"/>
        <v>-2149491.63</v>
      </c>
      <c r="W614" s="556">
        <f t="shared" si="33"/>
        <v>0</v>
      </c>
      <c r="X614" s="556">
        <f t="shared" si="34"/>
        <v>0</v>
      </c>
      <c r="Y614" s="556">
        <f t="shared" si="35"/>
        <v>0</v>
      </c>
      <c r="Z614" s="556">
        <f t="shared" si="36"/>
        <v>0</v>
      </c>
      <c r="AA614" s="556">
        <f t="shared" si="37"/>
        <v>0</v>
      </c>
      <c r="AB614" s="556">
        <f t="shared" si="38"/>
        <v>0</v>
      </c>
      <c r="AC614" s="556">
        <f t="shared" si="39"/>
        <v>0</v>
      </c>
      <c r="AD614" s="556">
        <f t="shared" si="28"/>
        <v>0</v>
      </c>
      <c r="AE614" s="556">
        <f t="shared" si="42"/>
        <v>0</v>
      </c>
      <c r="AF614" s="556">
        <f t="shared" si="42"/>
        <v>0</v>
      </c>
      <c r="AG614" s="556">
        <f t="shared" si="42"/>
        <v>0</v>
      </c>
      <c r="AH614" s="44"/>
    </row>
    <row r="615" spans="1:36" hidden="1" outlineLevel="1" x14ac:dyDescent="0.35">
      <c r="A615" t="b">
        <f t="shared" si="26"/>
        <v>1</v>
      </c>
      <c r="B615" s="27" t="s">
        <v>517</v>
      </c>
      <c r="C615" s="27" t="s">
        <v>51</v>
      </c>
      <c r="D615" s="27" t="s">
        <v>1486</v>
      </c>
      <c r="E615" s="27" t="s">
        <v>51</v>
      </c>
      <c r="F615" s="27" t="s">
        <v>501</v>
      </c>
      <c r="G615" s="27" t="s">
        <v>394</v>
      </c>
      <c r="H615" s="27" t="s">
        <v>447</v>
      </c>
      <c r="I615" s="27" t="s">
        <v>440</v>
      </c>
      <c r="J615" s="27" t="s">
        <v>448</v>
      </c>
      <c r="K615" s="27" t="s">
        <v>491</v>
      </c>
      <c r="L615" s="27" t="s">
        <v>492</v>
      </c>
      <c r="M615" s="27" t="s">
        <v>518</v>
      </c>
      <c r="N615" s="27" t="s">
        <v>494</v>
      </c>
      <c r="O615" s="27" t="s">
        <v>491</v>
      </c>
      <c r="P615" s="27" t="s">
        <v>480</v>
      </c>
      <c r="Q615" s="27" t="s">
        <v>372</v>
      </c>
      <c r="R615" s="556">
        <f t="shared" si="27"/>
        <v>0</v>
      </c>
      <c r="S615" s="556">
        <f t="shared" si="29"/>
        <v>0</v>
      </c>
      <c r="T615" s="556">
        <f t="shared" si="30"/>
        <v>0</v>
      </c>
      <c r="U615" s="556">
        <f t="shared" si="31"/>
        <v>0</v>
      </c>
      <c r="V615" s="556">
        <f t="shared" si="32"/>
        <v>0</v>
      </c>
      <c r="W615" s="556">
        <f t="shared" si="33"/>
        <v>0</v>
      </c>
      <c r="X615" s="556">
        <f t="shared" si="34"/>
        <v>0</v>
      </c>
      <c r="Y615" s="556">
        <f t="shared" si="35"/>
        <v>0</v>
      </c>
      <c r="Z615" s="556">
        <f t="shared" si="36"/>
        <v>0</v>
      </c>
      <c r="AA615" s="556">
        <f t="shared" si="37"/>
        <v>0</v>
      </c>
      <c r="AB615" s="556">
        <f t="shared" si="38"/>
        <v>0</v>
      </c>
      <c r="AC615" s="556">
        <f t="shared" si="39"/>
        <v>0</v>
      </c>
      <c r="AD615" s="556">
        <f t="shared" si="28"/>
        <v>0</v>
      </c>
      <c r="AE615" s="556">
        <f t="shared" si="42"/>
        <v>0</v>
      </c>
      <c r="AF615" s="556">
        <f t="shared" si="42"/>
        <v>0</v>
      </c>
      <c r="AG615" s="556">
        <f t="shared" si="42"/>
        <v>0</v>
      </c>
      <c r="AH615" s="44"/>
    </row>
    <row r="616" spans="1:36" hidden="1" outlineLevel="1" x14ac:dyDescent="0.35">
      <c r="A616" t="b">
        <f t="shared" si="26"/>
        <v>1</v>
      </c>
      <c r="B616" s="27" t="s">
        <v>519</v>
      </c>
      <c r="C616" s="27" t="s">
        <v>51</v>
      </c>
      <c r="D616" s="27" t="s">
        <v>1487</v>
      </c>
      <c r="E616" s="27" t="s">
        <v>51</v>
      </c>
      <c r="F616" s="27" t="s">
        <v>501</v>
      </c>
      <c r="G616" s="27" t="s">
        <v>520</v>
      </c>
      <c r="H616" s="27" t="s">
        <v>447</v>
      </c>
      <c r="I616" s="27" t="s">
        <v>440</v>
      </c>
      <c r="J616" s="27" t="s">
        <v>448</v>
      </c>
      <c r="K616" s="27" t="s">
        <v>491</v>
      </c>
      <c r="L616" s="27" t="s">
        <v>521</v>
      </c>
      <c r="M616" s="27" t="s">
        <v>521</v>
      </c>
      <c r="N616" s="27" t="s">
        <v>488</v>
      </c>
      <c r="O616" s="27" t="s">
        <v>491</v>
      </c>
      <c r="P616" s="27" t="s">
        <v>480</v>
      </c>
      <c r="Q616" s="27" t="s">
        <v>372</v>
      </c>
      <c r="R616" s="556">
        <f t="shared" si="27"/>
        <v>97358.12</v>
      </c>
      <c r="S616" s="556">
        <f t="shared" si="29"/>
        <v>0</v>
      </c>
      <c r="T616" s="556">
        <f t="shared" si="30"/>
        <v>0</v>
      </c>
      <c r="U616" s="556">
        <f t="shared" si="31"/>
        <v>0</v>
      </c>
      <c r="V616" s="556">
        <f t="shared" si="32"/>
        <v>39034.73000000001</v>
      </c>
      <c r="W616" s="556">
        <f t="shared" si="33"/>
        <v>-136392.85</v>
      </c>
      <c r="X616" s="556">
        <f t="shared" si="34"/>
        <v>0</v>
      </c>
      <c r="Y616" s="556">
        <f t="shared" si="35"/>
        <v>0</v>
      </c>
      <c r="Z616" s="556">
        <f t="shared" si="36"/>
        <v>0</v>
      </c>
      <c r="AA616" s="556">
        <f t="shared" si="37"/>
        <v>0</v>
      </c>
      <c r="AB616" s="556">
        <f t="shared" si="38"/>
        <v>0</v>
      </c>
      <c r="AC616" s="556">
        <f t="shared" si="39"/>
        <v>0</v>
      </c>
      <c r="AD616" s="556">
        <f t="shared" si="28"/>
        <v>0</v>
      </c>
      <c r="AE616" s="556">
        <f t="shared" si="42"/>
        <v>0</v>
      </c>
      <c r="AF616" s="556">
        <f t="shared" si="42"/>
        <v>0</v>
      </c>
      <c r="AG616" s="556">
        <f t="shared" si="42"/>
        <v>0</v>
      </c>
      <c r="AH616" s="44"/>
      <c r="AJ616" s="44"/>
    </row>
    <row r="617" spans="1:36" hidden="1" outlineLevel="1" x14ac:dyDescent="0.35">
      <c r="A617" t="b">
        <f t="shared" si="26"/>
        <v>1</v>
      </c>
      <c r="B617" s="27" t="s">
        <v>522</v>
      </c>
      <c r="C617" s="27" t="s">
        <v>51</v>
      </c>
      <c r="D617" s="27" t="s">
        <v>1488</v>
      </c>
      <c r="E617" s="27" t="s">
        <v>51</v>
      </c>
      <c r="F617" s="27" t="s">
        <v>501</v>
      </c>
      <c r="G617" s="27" t="s">
        <v>523</v>
      </c>
      <c r="H617" s="27" t="s">
        <v>447</v>
      </c>
      <c r="I617" s="27" t="s">
        <v>440</v>
      </c>
      <c r="J617" s="27" t="s">
        <v>448</v>
      </c>
      <c r="K617" s="27" t="s">
        <v>491</v>
      </c>
      <c r="L617" s="27" t="s">
        <v>492</v>
      </c>
      <c r="M617" s="27" t="s">
        <v>524</v>
      </c>
      <c r="N617" s="27" t="s">
        <v>494</v>
      </c>
      <c r="O617" s="27" t="s">
        <v>491</v>
      </c>
      <c r="P617" s="27" t="s">
        <v>480</v>
      </c>
      <c r="Q617" s="27" t="s">
        <v>372</v>
      </c>
      <c r="R617" s="556">
        <f t="shared" si="27"/>
        <v>0</v>
      </c>
      <c r="S617" s="556">
        <f t="shared" si="29"/>
        <v>0</v>
      </c>
      <c r="T617" s="556">
        <f t="shared" si="30"/>
        <v>0</v>
      </c>
      <c r="U617" s="556">
        <f t="shared" si="31"/>
        <v>0</v>
      </c>
      <c r="V617" s="556">
        <f t="shared" si="32"/>
        <v>0</v>
      </c>
      <c r="W617" s="556">
        <f t="shared" si="33"/>
        <v>0</v>
      </c>
      <c r="X617" s="556">
        <f t="shared" si="34"/>
        <v>0</v>
      </c>
      <c r="Y617" s="556">
        <f t="shared" si="35"/>
        <v>0</v>
      </c>
      <c r="Z617" s="556">
        <f t="shared" si="36"/>
        <v>0</v>
      </c>
      <c r="AA617" s="556">
        <f t="shared" si="37"/>
        <v>0</v>
      </c>
      <c r="AB617" s="556">
        <f t="shared" si="38"/>
        <v>0</v>
      </c>
      <c r="AC617" s="556">
        <f t="shared" si="39"/>
        <v>0</v>
      </c>
      <c r="AD617" s="556">
        <f t="shared" si="28"/>
        <v>0</v>
      </c>
      <c r="AE617" s="556">
        <f t="shared" si="42"/>
        <v>0</v>
      </c>
      <c r="AF617" s="556">
        <f t="shared" si="42"/>
        <v>0</v>
      </c>
      <c r="AG617" s="556">
        <f t="shared" si="42"/>
        <v>0</v>
      </c>
      <c r="AH617" s="44"/>
    </row>
    <row r="618" spans="1:36" hidden="1" outlineLevel="1" x14ac:dyDescent="0.35">
      <c r="A618" t="b">
        <f t="shared" si="26"/>
        <v>1</v>
      </c>
      <c r="B618" s="27" t="s">
        <v>525</v>
      </c>
      <c r="C618" s="27" t="s">
        <v>51</v>
      </c>
      <c r="D618" s="27" t="s">
        <v>1489</v>
      </c>
      <c r="E618" s="27" t="s">
        <v>51</v>
      </c>
      <c r="F618" s="27" t="s">
        <v>501</v>
      </c>
      <c r="G618" s="27" t="s">
        <v>526</v>
      </c>
      <c r="H618" s="27" t="s">
        <v>447</v>
      </c>
      <c r="I618" s="27" t="s">
        <v>440</v>
      </c>
      <c r="J618" s="27" t="s">
        <v>448</v>
      </c>
      <c r="K618" s="27" t="s">
        <v>491</v>
      </c>
      <c r="L618" s="27" t="s">
        <v>492</v>
      </c>
      <c r="M618" s="27" t="s">
        <v>516</v>
      </c>
      <c r="N618" s="27" t="s">
        <v>494</v>
      </c>
      <c r="O618" s="27" t="s">
        <v>491</v>
      </c>
      <c r="P618" s="27" t="s">
        <v>480</v>
      </c>
      <c r="Q618" s="27" t="s">
        <v>372</v>
      </c>
      <c r="R618" s="556">
        <f t="shared" si="27"/>
        <v>0</v>
      </c>
      <c r="S618" s="556">
        <f t="shared" si="29"/>
        <v>0</v>
      </c>
      <c r="T618" s="556">
        <f t="shared" si="30"/>
        <v>0</v>
      </c>
      <c r="U618" s="556">
        <f t="shared" si="31"/>
        <v>0</v>
      </c>
      <c r="V618" s="556">
        <f t="shared" si="32"/>
        <v>0</v>
      </c>
      <c r="W618" s="556">
        <f t="shared" si="33"/>
        <v>0</v>
      </c>
      <c r="X618" s="556">
        <f t="shared" si="34"/>
        <v>0</v>
      </c>
      <c r="Y618" s="556">
        <f t="shared" si="35"/>
        <v>0</v>
      </c>
      <c r="Z618" s="556">
        <f t="shared" si="36"/>
        <v>0</v>
      </c>
      <c r="AA618" s="556">
        <f t="shared" si="37"/>
        <v>0</v>
      </c>
      <c r="AB618" s="556">
        <f t="shared" si="38"/>
        <v>0</v>
      </c>
      <c r="AC618" s="556">
        <f t="shared" si="39"/>
        <v>0</v>
      </c>
      <c r="AD618" s="556">
        <f t="shared" si="28"/>
        <v>0</v>
      </c>
      <c r="AE618" s="556">
        <f t="shared" si="42"/>
        <v>0</v>
      </c>
      <c r="AF618" s="556">
        <f t="shared" si="42"/>
        <v>0</v>
      </c>
      <c r="AG618" s="556">
        <f t="shared" si="42"/>
        <v>0</v>
      </c>
      <c r="AH618" s="44"/>
    </row>
    <row r="619" spans="1:36" hidden="1" outlineLevel="1" x14ac:dyDescent="0.35">
      <c r="A619" t="b">
        <f t="shared" ref="A619:A682" si="43">B141=B619</f>
        <v>1</v>
      </c>
      <c r="B619" s="27" t="s">
        <v>527</v>
      </c>
      <c r="C619" s="27" t="s">
        <v>51</v>
      </c>
      <c r="D619" s="27" t="s">
        <v>1490</v>
      </c>
      <c r="E619" s="27" t="s">
        <v>51</v>
      </c>
      <c r="F619" s="27" t="s">
        <v>512</v>
      </c>
      <c r="G619" s="27" t="s">
        <v>406</v>
      </c>
      <c r="H619" s="27" t="s">
        <v>447</v>
      </c>
      <c r="I619" s="27" t="s">
        <v>440</v>
      </c>
      <c r="J619" s="27" t="s">
        <v>448</v>
      </c>
      <c r="K619" s="27" t="s">
        <v>491</v>
      </c>
      <c r="L619" s="27" t="s">
        <v>492</v>
      </c>
      <c r="M619" s="27" t="s">
        <v>528</v>
      </c>
      <c r="N619" s="27" t="s">
        <v>528</v>
      </c>
      <c r="O619" s="27" t="s">
        <v>491</v>
      </c>
      <c r="P619" s="27" t="s">
        <v>491</v>
      </c>
      <c r="Q619" s="27" t="s">
        <v>372</v>
      </c>
      <c r="R619" s="556">
        <f t="shared" ref="R619:R682" si="44">+IF(R$10="Actuals",IF($O141="Revenue",-IF($H141="BS",R141,IF($H141="P&amp;L",R141,0)),IF($H141="BS",R141,IF($H141="P&amp;L",R141,0))),0)</f>
        <v>890942.16</v>
      </c>
      <c r="S619" s="556">
        <f t="shared" si="29"/>
        <v>974911.21000000008</v>
      </c>
      <c r="T619" s="556">
        <f t="shared" si="30"/>
        <v>911289.66000000015</v>
      </c>
      <c r="U619" s="556">
        <f t="shared" si="31"/>
        <v>483541.6799999997</v>
      </c>
      <c r="V619" s="556">
        <f t="shared" si="32"/>
        <v>311341.68000000017</v>
      </c>
      <c r="W619" s="556">
        <f t="shared" si="33"/>
        <v>316994.23</v>
      </c>
      <c r="X619" s="556">
        <f t="shared" si="34"/>
        <v>-648170</v>
      </c>
      <c r="Y619" s="556">
        <f t="shared" si="35"/>
        <v>-3240850.62</v>
      </c>
      <c r="Z619" s="556">
        <f t="shared" si="36"/>
        <v>0</v>
      </c>
      <c r="AA619" s="556">
        <f t="shared" si="37"/>
        <v>0</v>
      </c>
      <c r="AB619" s="556">
        <f t="shared" si="38"/>
        <v>0</v>
      </c>
      <c r="AC619" s="556">
        <f t="shared" si="39"/>
        <v>0</v>
      </c>
      <c r="AD619" s="556">
        <f t="shared" ref="AD619:AD682" si="45">+IF(AD$10="Actuals",IF($O141="Revenue",-IF($H141="BS",AD141,IF($H141="P&amp;L",AD141,0)),IF($H141="BS",AD141,IF($H141="P&amp;L",AD141,0))),0)</f>
        <v>0</v>
      </c>
      <c r="AE619" s="556">
        <f t="shared" si="42"/>
        <v>0</v>
      </c>
      <c r="AF619" s="556">
        <f t="shared" si="42"/>
        <v>0</v>
      </c>
      <c r="AG619" s="556">
        <f t="shared" si="42"/>
        <v>0</v>
      </c>
      <c r="AH619" s="44"/>
      <c r="AJ619" s="44"/>
    </row>
    <row r="620" spans="1:36" hidden="1" outlineLevel="1" x14ac:dyDescent="0.35">
      <c r="A620" t="b">
        <f t="shared" si="43"/>
        <v>1</v>
      </c>
      <c r="B620" s="27" t="s">
        <v>1237</v>
      </c>
      <c r="C620" s="27" t="s">
        <v>51</v>
      </c>
      <c r="D620" s="27" t="s">
        <v>1816</v>
      </c>
      <c r="E620" s="27" t="s">
        <v>51</v>
      </c>
      <c r="F620" s="27" t="s">
        <v>501</v>
      </c>
      <c r="G620" s="27" t="s">
        <v>1491</v>
      </c>
      <c r="H620" s="27" t="s">
        <v>447</v>
      </c>
      <c r="I620" s="27" t="s">
        <v>440</v>
      </c>
      <c r="J620" s="27" t="s">
        <v>448</v>
      </c>
      <c r="K620" s="27" t="s">
        <v>476</v>
      </c>
      <c r="L620" s="27" t="s">
        <v>492</v>
      </c>
      <c r="M620" s="27" t="s">
        <v>1762</v>
      </c>
      <c r="N620" s="27" t="s">
        <v>1762</v>
      </c>
      <c r="O620" s="27" t="s">
        <v>480</v>
      </c>
      <c r="P620" s="27" t="s">
        <v>480</v>
      </c>
      <c r="Q620" s="27" t="s">
        <v>372</v>
      </c>
      <c r="R620" s="556">
        <f t="shared" si="44"/>
        <v>78119.600000000006</v>
      </c>
      <c r="S620" s="556">
        <f t="shared" ref="S620:S683" si="46">+IF(S$10="Actuals",IF($O142="Revenue",-IF($H142="BS",S142,IF($H142="P&amp;L",S142-R142,0)),IF($H142="BS",S142,IF($H142="P&amp;L",S142-R142,0))),0)</f>
        <v>76927.799999999988</v>
      </c>
      <c r="T620" s="556">
        <f t="shared" ref="T620:T683" si="47">+IF(T$10="Actuals",IF($O142="Revenue",-IF($H142="BS",T142,IF($H142="P&amp;L",T142-S142,0)),IF($H142="BS",T142,IF($H142="P&amp;L",T142-S142,0))),0)</f>
        <v>80784</v>
      </c>
      <c r="U620" s="556">
        <f t="shared" ref="U620:U683" si="48">+IF(U$10="Actuals",IF($O142="Revenue",-IF($H142="BS",U142,IF($H142="P&amp;L",U142-T142,0)),IF($H142="BS",U142,IF($H142="P&amp;L",U142-T142,0))),0)</f>
        <v>75734.000000000029</v>
      </c>
      <c r="V620" s="556">
        <f t="shared" ref="V620:V683" si="49">+IF(V$10="Actuals",IF($O142="Revenue",-IF($H142="BS",V142,IF($H142="P&amp;L",V142-U142,0)),IF($H142="BS",V142,IF($H142="P&amp;L",V142-U142,0))),0)</f>
        <v>112339</v>
      </c>
      <c r="W620" s="556">
        <f t="shared" ref="W620:W683" si="50">+IF(W$10="Actuals",IF($O142="Revenue",-IF($H142="BS",W142,IF($H142="P&amp;L",W142-V142,0)),IF($H142="BS",W142,IF($H142="P&amp;L",W142-V142,0))),0)</f>
        <v>67531</v>
      </c>
      <c r="X620" s="556">
        <f t="shared" ref="X620:X683" si="51">+IF(X$10="Actuals",IF($O142="Revenue",-IF($H142="BS",X142,IF($H142="P&amp;L",X142-W142,0)),IF($H142="BS",X142,IF($H142="P&amp;L",X142-W142,0))),0)</f>
        <v>66496</v>
      </c>
      <c r="Y620" s="556">
        <f t="shared" ref="Y620:Y683" si="52">+IF(Y$10="Actuals",IF($O142="Revenue",-IF($H142="BS",Y142,IF($H142="P&amp;L",Y142-X142,0)),IF($H142="BS",Y142,IF($H142="P&amp;L",Y142-X142,0))),0)</f>
        <v>216187</v>
      </c>
      <c r="Z620" s="556">
        <f t="shared" ref="Z620:Z683" si="53">+IF(Z$10="Actuals",IF($O142="Revenue",-IF($H142="BS",Z142,IF($H142="P&amp;L",Z142-Y142,0)),IF($H142="BS",Z142,IF($H142="P&amp;L",Z142-Y142,0))),0)</f>
        <v>108000</v>
      </c>
      <c r="AA620" s="556">
        <f t="shared" ref="AA620:AA683" si="54">+IF(AA$10="Actuals",IF($O142="Revenue",-IF($H142="BS",AA142,IF($H142="P&amp;L",AA142-Z142,0)),IF($H142="BS",AA142,IF($H142="P&amp;L",AA142-Z142,0))),0)</f>
        <v>108000</v>
      </c>
      <c r="AB620" s="556">
        <f t="shared" ref="AB620:AB683" si="55">+IF(AB$10="Actuals",IF($O142="Revenue",-IF($H142="BS",AB142,IF($H142="P&amp;L",AB142-AA142,0)),IF($H142="BS",AB142,IF($H142="P&amp;L",AB142-AA142,0))),0)</f>
        <v>107999.99999999988</v>
      </c>
      <c r="AC620" s="556">
        <f t="shared" ref="AC620:AC683" si="56">+IF(AC$10="Actuals",IF($O142="Revenue",-IF($H142="BS",AC142,IF($H142="P&amp;L",AC142-AB142,0)),IF($H142="BS",AC142,IF($H142="P&amp;L",AC142-AB142,0))),0)</f>
        <v>108000</v>
      </c>
      <c r="AD620" s="556">
        <f t="shared" si="45"/>
        <v>108000</v>
      </c>
      <c r="AE620" s="556">
        <f t="shared" si="42"/>
        <v>108000</v>
      </c>
      <c r="AF620" s="556">
        <f t="shared" si="42"/>
        <v>113400</v>
      </c>
      <c r="AG620" s="556">
        <f t="shared" si="42"/>
        <v>0</v>
      </c>
      <c r="AH620" s="44"/>
    </row>
    <row r="621" spans="1:36" ht="13.75" hidden="1" customHeight="1" outlineLevel="1" x14ac:dyDescent="0.35">
      <c r="A621" t="b">
        <f t="shared" si="43"/>
        <v>1</v>
      </c>
      <c r="B621" s="27" t="s">
        <v>1238</v>
      </c>
      <c r="C621" s="27" t="s">
        <v>51</v>
      </c>
      <c r="D621" s="27" t="s">
        <v>1817</v>
      </c>
      <c r="E621" s="27" t="s">
        <v>51</v>
      </c>
      <c r="F621" s="27" t="s">
        <v>501</v>
      </c>
      <c r="G621" s="27" t="s">
        <v>1492</v>
      </c>
      <c r="H621" s="27" t="s">
        <v>447</v>
      </c>
      <c r="I621" s="27" t="s">
        <v>440</v>
      </c>
      <c r="J621" s="27" t="s">
        <v>448</v>
      </c>
      <c r="K621" s="27" t="s">
        <v>491</v>
      </c>
      <c r="L621" s="27" t="s">
        <v>668</v>
      </c>
      <c r="M621" s="27" t="s">
        <v>668</v>
      </c>
      <c r="N621" s="27" t="s">
        <v>668</v>
      </c>
      <c r="O621" s="27" t="s">
        <v>491</v>
      </c>
      <c r="P621" s="27" t="s">
        <v>491</v>
      </c>
      <c r="Q621" s="27" t="s">
        <v>372</v>
      </c>
      <c r="R621" s="556">
        <f t="shared" si="44"/>
        <v>200627.8</v>
      </c>
      <c r="S621" s="556">
        <f t="shared" si="46"/>
        <v>200031.90000000002</v>
      </c>
      <c r="T621" s="556">
        <f t="shared" si="47"/>
        <v>242350.99999999994</v>
      </c>
      <c r="U621" s="556">
        <f t="shared" si="48"/>
        <v>227202</v>
      </c>
      <c r="V621" s="556">
        <f t="shared" si="49"/>
        <v>151468</v>
      </c>
      <c r="W621" s="556">
        <f t="shared" si="50"/>
        <v>241740</v>
      </c>
      <c r="X621" s="556">
        <f t="shared" si="51"/>
        <v>227202</v>
      </c>
      <c r="Y621" s="556">
        <f t="shared" si="52"/>
        <v>212538</v>
      </c>
      <c r="Z621" s="556">
        <f t="shared" si="53"/>
        <v>167508</v>
      </c>
      <c r="AA621" s="556">
        <f t="shared" si="54"/>
        <v>251507.00000000023</v>
      </c>
      <c r="AB621" s="556">
        <f t="shared" si="55"/>
        <v>277379.19999999972</v>
      </c>
      <c r="AC621" s="556">
        <f t="shared" si="56"/>
        <v>251073.10999999987</v>
      </c>
      <c r="AD621" s="556">
        <f t="shared" si="45"/>
        <v>279195.08999999997</v>
      </c>
      <c r="AE621" s="556">
        <f t="shared" si="42"/>
        <v>295162.08999999997</v>
      </c>
      <c r="AF621" s="556">
        <f t="shared" si="42"/>
        <v>557134</v>
      </c>
      <c r="AG621" s="556">
        <f t="shared" si="42"/>
        <v>178794</v>
      </c>
      <c r="AH621" s="44"/>
      <c r="AJ621" s="44"/>
    </row>
    <row r="622" spans="1:36" hidden="1" outlineLevel="1" x14ac:dyDescent="0.35">
      <c r="A622" t="b">
        <f t="shared" si="43"/>
        <v>1</v>
      </c>
      <c r="B622" s="27" t="s">
        <v>1239</v>
      </c>
      <c r="C622" s="27" t="s">
        <v>51</v>
      </c>
      <c r="D622" s="27" t="s">
        <v>1818</v>
      </c>
      <c r="E622" s="27" t="s">
        <v>51</v>
      </c>
      <c r="F622" s="27" t="s">
        <v>501</v>
      </c>
      <c r="G622" s="27" t="s">
        <v>1493</v>
      </c>
      <c r="H622" s="27" t="s">
        <v>447</v>
      </c>
      <c r="I622" s="27" t="s">
        <v>440</v>
      </c>
      <c r="J622" s="27" t="s">
        <v>448</v>
      </c>
      <c r="K622" s="27" t="s">
        <v>476</v>
      </c>
      <c r="L622" s="27" t="s">
        <v>492</v>
      </c>
      <c r="M622" s="27" t="s">
        <v>2031</v>
      </c>
      <c r="N622" s="27" t="s">
        <v>2031</v>
      </c>
      <c r="O622" s="27" t="s">
        <v>480</v>
      </c>
      <c r="P622" s="27" t="s">
        <v>480</v>
      </c>
      <c r="Q622" s="27" t="s">
        <v>372</v>
      </c>
      <c r="R622" s="556">
        <f t="shared" si="44"/>
        <v>23440.75</v>
      </c>
      <c r="S622" s="556">
        <f t="shared" si="46"/>
        <v>20469.150000000001</v>
      </c>
      <c r="T622" s="556">
        <f t="shared" si="47"/>
        <v>20469.150000000001</v>
      </c>
      <c r="U622" s="556">
        <f t="shared" si="48"/>
        <v>20469.150000000009</v>
      </c>
      <c r="V622" s="556">
        <f t="shared" si="49"/>
        <v>129942.43</v>
      </c>
      <c r="W622" s="556">
        <f t="shared" si="50"/>
        <v>27019.630000000005</v>
      </c>
      <c r="X622" s="556">
        <f t="shared" si="51"/>
        <v>25939.669999999984</v>
      </c>
      <c r="Y622" s="556">
        <f t="shared" si="52"/>
        <v>24480.830000000016</v>
      </c>
      <c r="Z622" s="556">
        <f t="shared" si="53"/>
        <v>21351.369999999995</v>
      </c>
      <c r="AA622" s="556">
        <f t="shared" si="54"/>
        <v>25217.929999999993</v>
      </c>
      <c r="AB622" s="556">
        <f t="shared" si="55"/>
        <v>24179.469999999972</v>
      </c>
      <c r="AC622" s="556">
        <f t="shared" si="56"/>
        <v>106291.33000000002</v>
      </c>
      <c r="AD622" s="556">
        <f t="shared" si="45"/>
        <v>62714.97</v>
      </c>
      <c r="AE622" s="556">
        <f t="shared" si="42"/>
        <v>72357.239999999991</v>
      </c>
      <c r="AF622" s="556">
        <f t="shared" si="42"/>
        <v>66924.400000000023</v>
      </c>
      <c r="AG622" s="556">
        <f t="shared" si="42"/>
        <v>21351.359999999986</v>
      </c>
      <c r="AH622" s="44"/>
    </row>
    <row r="623" spans="1:36" hidden="1" outlineLevel="1" x14ac:dyDescent="0.35">
      <c r="A623" t="b">
        <f t="shared" si="43"/>
        <v>1</v>
      </c>
      <c r="B623" s="27" t="s">
        <v>529</v>
      </c>
      <c r="C623" s="27" t="s">
        <v>51</v>
      </c>
      <c r="D623" s="27" t="s">
        <v>1494</v>
      </c>
      <c r="E623" s="27" t="s">
        <v>51</v>
      </c>
      <c r="F623" s="27" t="s">
        <v>501</v>
      </c>
      <c r="G623" s="27" t="s">
        <v>530</v>
      </c>
      <c r="H623" s="27" t="s">
        <v>447</v>
      </c>
      <c r="I623" s="27" t="s">
        <v>440</v>
      </c>
      <c r="J623" s="27" t="s">
        <v>448</v>
      </c>
      <c r="K623" s="27" t="s">
        <v>491</v>
      </c>
      <c r="L623" s="27" t="s">
        <v>492</v>
      </c>
      <c r="M623" s="27" t="s">
        <v>531</v>
      </c>
      <c r="N623" s="27" t="s">
        <v>494</v>
      </c>
      <c r="O623" s="27" t="s">
        <v>491</v>
      </c>
      <c r="P623" s="27" t="s">
        <v>480</v>
      </c>
      <c r="Q623" s="27" t="s">
        <v>372</v>
      </c>
      <c r="R623" s="556">
        <f t="shared" si="44"/>
        <v>0</v>
      </c>
      <c r="S623" s="556">
        <f t="shared" si="46"/>
        <v>0</v>
      </c>
      <c r="T623" s="556">
        <f t="shared" si="47"/>
        <v>0</v>
      </c>
      <c r="U623" s="556">
        <f t="shared" si="48"/>
        <v>0</v>
      </c>
      <c r="V623" s="556">
        <f t="shared" si="49"/>
        <v>0</v>
      </c>
      <c r="W623" s="556">
        <f t="shared" si="50"/>
        <v>0</v>
      </c>
      <c r="X623" s="556">
        <f t="shared" si="51"/>
        <v>0</v>
      </c>
      <c r="Y623" s="556">
        <f t="shared" si="52"/>
        <v>0</v>
      </c>
      <c r="Z623" s="556">
        <f t="shared" si="53"/>
        <v>0</v>
      </c>
      <c r="AA623" s="556">
        <f t="shared" si="54"/>
        <v>0</v>
      </c>
      <c r="AB623" s="556">
        <f t="shared" si="55"/>
        <v>0</v>
      </c>
      <c r="AC623" s="556">
        <f t="shared" si="56"/>
        <v>0</v>
      </c>
      <c r="AD623" s="556">
        <f t="shared" si="45"/>
        <v>0</v>
      </c>
      <c r="AE623" s="556">
        <f t="shared" si="42"/>
        <v>0</v>
      </c>
      <c r="AF623" s="556">
        <f t="shared" si="42"/>
        <v>0</v>
      </c>
      <c r="AG623" s="556">
        <f t="shared" si="42"/>
        <v>0</v>
      </c>
      <c r="AH623" s="44"/>
    </row>
    <row r="624" spans="1:36" hidden="1" outlineLevel="1" x14ac:dyDescent="0.35">
      <c r="A624" t="b">
        <f t="shared" si="43"/>
        <v>1</v>
      </c>
      <c r="B624" s="27" t="s">
        <v>1240</v>
      </c>
      <c r="C624" s="27" t="s">
        <v>51</v>
      </c>
      <c r="D624" s="27" t="s">
        <v>1819</v>
      </c>
      <c r="E624" s="27" t="s">
        <v>51</v>
      </c>
      <c r="F624" s="27" t="s">
        <v>501</v>
      </c>
      <c r="G624" s="27" t="s">
        <v>1495</v>
      </c>
      <c r="H624" s="27" t="s">
        <v>447</v>
      </c>
      <c r="I624" s="27" t="s">
        <v>440</v>
      </c>
      <c r="J624" s="27" t="s">
        <v>448</v>
      </c>
      <c r="K624" s="27" t="s">
        <v>491</v>
      </c>
      <c r="L624" s="27" t="s">
        <v>2032</v>
      </c>
      <c r="M624" s="27" t="s">
        <v>2032</v>
      </c>
      <c r="N624" s="27" t="s">
        <v>2032</v>
      </c>
      <c r="O624" s="27" t="s">
        <v>491</v>
      </c>
      <c r="P624" s="27" t="s">
        <v>491</v>
      </c>
      <c r="Q624" s="27" t="s">
        <v>372</v>
      </c>
      <c r="R624" s="556">
        <f t="shared" si="44"/>
        <v>240465.21</v>
      </c>
      <c r="S624" s="556">
        <f t="shared" si="46"/>
        <v>250415.19999999998</v>
      </c>
      <c r="T624" s="556">
        <f t="shared" si="47"/>
        <v>121435.20000000001</v>
      </c>
      <c r="U624" s="556">
        <f t="shared" si="48"/>
        <v>248667.76000000013</v>
      </c>
      <c r="V624" s="556">
        <f t="shared" si="49"/>
        <v>370660.26999999979</v>
      </c>
      <c r="W624" s="556">
        <f t="shared" si="50"/>
        <v>169275.90000000014</v>
      </c>
      <c r="X624" s="556">
        <f t="shared" si="51"/>
        <v>421339.91999999993</v>
      </c>
      <c r="Y624" s="556">
        <f t="shared" si="52"/>
        <v>170622.10000000009</v>
      </c>
      <c r="Z624" s="556">
        <f t="shared" si="53"/>
        <v>159111.57999999961</v>
      </c>
      <c r="AA624" s="556">
        <f t="shared" si="54"/>
        <v>217115.49000000022</v>
      </c>
      <c r="AB624" s="556">
        <f t="shared" si="55"/>
        <v>128949.41999999993</v>
      </c>
      <c r="AC624" s="556">
        <f t="shared" si="56"/>
        <v>218370.17000000039</v>
      </c>
      <c r="AD624" s="556">
        <f t="shared" si="45"/>
        <v>143801.75</v>
      </c>
      <c r="AE624" s="556">
        <f t="shared" si="42"/>
        <v>167938.38</v>
      </c>
      <c r="AF624" s="556">
        <f t="shared" si="42"/>
        <v>456275.74000000011</v>
      </c>
      <c r="AG624" s="556">
        <f t="shared" si="42"/>
        <v>113256.97999999986</v>
      </c>
      <c r="AH624" s="44"/>
      <c r="AJ624" s="44"/>
    </row>
    <row r="625" spans="1:36" hidden="1" outlineLevel="1" x14ac:dyDescent="0.35">
      <c r="A625" t="b">
        <f t="shared" si="43"/>
        <v>1</v>
      </c>
      <c r="B625" s="27" t="s">
        <v>533</v>
      </c>
      <c r="C625" s="27" t="s">
        <v>51</v>
      </c>
      <c r="D625" s="27" t="s">
        <v>1496</v>
      </c>
      <c r="E625" s="27" t="s">
        <v>51</v>
      </c>
      <c r="F625" s="27" t="s">
        <v>501</v>
      </c>
      <c r="G625" s="27" t="s">
        <v>534</v>
      </c>
      <c r="H625" s="27" t="s">
        <v>447</v>
      </c>
      <c r="I625" s="27" t="s">
        <v>440</v>
      </c>
      <c r="J625" s="27" t="s">
        <v>448</v>
      </c>
      <c r="K625" s="27" t="s">
        <v>476</v>
      </c>
      <c r="L625" s="27" t="s">
        <v>502</v>
      </c>
      <c r="M625" s="27" t="s">
        <v>535</v>
      </c>
      <c r="N625" s="27" t="s">
        <v>488</v>
      </c>
      <c r="O625" s="27" t="s">
        <v>480</v>
      </c>
      <c r="P625" s="27" t="s">
        <v>480</v>
      </c>
      <c r="Q625" s="27" t="s">
        <v>372</v>
      </c>
      <c r="R625" s="556">
        <f t="shared" si="44"/>
        <v>0</v>
      </c>
      <c r="S625" s="556">
        <f t="shared" si="46"/>
        <v>69500</v>
      </c>
      <c r="T625" s="556">
        <f t="shared" si="47"/>
        <v>0</v>
      </c>
      <c r="U625" s="556">
        <f t="shared" si="48"/>
        <v>0</v>
      </c>
      <c r="V625" s="556">
        <f t="shared" si="49"/>
        <v>0</v>
      </c>
      <c r="W625" s="556">
        <f t="shared" si="50"/>
        <v>0</v>
      </c>
      <c r="X625" s="556">
        <f t="shared" si="51"/>
        <v>0</v>
      </c>
      <c r="Y625" s="556">
        <f t="shared" si="52"/>
        <v>0</v>
      </c>
      <c r="Z625" s="556">
        <f t="shared" si="53"/>
        <v>0</v>
      </c>
      <c r="AA625" s="556">
        <f t="shared" si="54"/>
        <v>0</v>
      </c>
      <c r="AB625" s="556">
        <f t="shared" si="55"/>
        <v>0</v>
      </c>
      <c r="AC625" s="556">
        <f t="shared" si="56"/>
        <v>0</v>
      </c>
      <c r="AD625" s="556">
        <f t="shared" si="45"/>
        <v>0</v>
      </c>
      <c r="AE625" s="556">
        <f t="shared" si="42"/>
        <v>0</v>
      </c>
      <c r="AF625" s="556">
        <f t="shared" si="42"/>
        <v>0</v>
      </c>
      <c r="AG625" s="556">
        <f t="shared" si="42"/>
        <v>0</v>
      </c>
      <c r="AH625" s="44"/>
    </row>
    <row r="626" spans="1:36" outlineLevel="1" x14ac:dyDescent="0.35">
      <c r="A626" t="b">
        <f t="shared" si="43"/>
        <v>1</v>
      </c>
      <c r="B626" s="27" t="s">
        <v>1241</v>
      </c>
      <c r="C626" s="27" t="s">
        <v>51</v>
      </c>
      <c r="D626" s="27" t="s">
        <v>1820</v>
      </c>
      <c r="E626" s="27" t="s">
        <v>51</v>
      </c>
      <c r="F626" s="27" t="s">
        <v>501</v>
      </c>
      <c r="G626" s="27" t="s">
        <v>1497</v>
      </c>
      <c r="H626" s="27" t="s">
        <v>447</v>
      </c>
      <c r="I626" s="27" t="s">
        <v>440</v>
      </c>
      <c r="J626" s="27" t="s">
        <v>448</v>
      </c>
      <c r="K626" s="27" t="s">
        <v>476</v>
      </c>
      <c r="L626" s="27" t="s">
        <v>487</v>
      </c>
      <c r="M626" s="27" t="s">
        <v>487</v>
      </c>
      <c r="N626" s="27" t="s">
        <v>487</v>
      </c>
      <c r="O626" s="27" t="s">
        <v>480</v>
      </c>
      <c r="P626" s="27" t="s">
        <v>480</v>
      </c>
      <c r="Q626" s="27" t="s">
        <v>372</v>
      </c>
      <c r="R626" s="556">
        <f t="shared" si="44"/>
        <v>116999.99</v>
      </c>
      <c r="S626" s="556">
        <f t="shared" si="46"/>
        <v>70999.999999999985</v>
      </c>
      <c r="T626" s="556">
        <f t="shared" si="47"/>
        <v>29999.989999999991</v>
      </c>
      <c r="U626" s="556">
        <f t="shared" si="48"/>
        <v>96999.990000000049</v>
      </c>
      <c r="V626" s="556">
        <f t="shared" si="49"/>
        <v>20129.999999999942</v>
      </c>
      <c r="W626" s="556">
        <f t="shared" si="50"/>
        <v>131999.99</v>
      </c>
      <c r="X626" s="556">
        <f t="shared" si="51"/>
        <v>26000.000000000058</v>
      </c>
      <c r="Y626" s="556">
        <f t="shared" si="52"/>
        <v>190999.99999999994</v>
      </c>
      <c r="Z626" s="556">
        <f t="shared" si="53"/>
        <v>41298.270000000019</v>
      </c>
      <c r="AA626" s="556">
        <f t="shared" si="54"/>
        <v>110344.82000000007</v>
      </c>
      <c r="AB626" s="556">
        <f t="shared" si="55"/>
        <v>0</v>
      </c>
      <c r="AC626" s="556">
        <f t="shared" si="56"/>
        <v>262125</v>
      </c>
      <c r="AD626" s="556">
        <f t="shared" si="45"/>
        <v>90080.89</v>
      </c>
      <c r="AE626" s="556">
        <f t="shared" si="42"/>
        <v>51890.000000000015</v>
      </c>
      <c r="AF626" s="556">
        <f t="shared" si="42"/>
        <v>139531.53999999998</v>
      </c>
      <c r="AG626" s="556">
        <f t="shared" si="42"/>
        <v>834134.48</v>
      </c>
      <c r="AH626" s="44"/>
    </row>
    <row r="627" spans="1:36" hidden="1" outlineLevel="1" x14ac:dyDescent="0.35">
      <c r="A627" t="b">
        <f t="shared" si="43"/>
        <v>1</v>
      </c>
      <c r="B627" s="27" t="s">
        <v>1242</v>
      </c>
      <c r="C627" s="27" t="s">
        <v>51</v>
      </c>
      <c r="D627" s="27" t="s">
        <v>1821</v>
      </c>
      <c r="E627" s="27" t="s">
        <v>51</v>
      </c>
      <c r="F627" s="27" t="s">
        <v>512</v>
      </c>
      <c r="G627" s="27" t="s">
        <v>1498</v>
      </c>
      <c r="H627" s="27" t="s">
        <v>447</v>
      </c>
      <c r="I627" s="27" t="s">
        <v>440</v>
      </c>
      <c r="J627" s="27" t="s">
        <v>448</v>
      </c>
      <c r="K627" s="27" t="s">
        <v>491</v>
      </c>
      <c r="L627" s="27" t="s">
        <v>537</v>
      </c>
      <c r="M627" s="27" t="s">
        <v>537</v>
      </c>
      <c r="N627" s="27" t="s">
        <v>537</v>
      </c>
      <c r="O627" s="27" t="s">
        <v>491</v>
      </c>
      <c r="P627" s="27" t="s">
        <v>491</v>
      </c>
      <c r="Q627" s="27" t="s">
        <v>372</v>
      </c>
      <c r="R627" s="556">
        <f t="shared" si="44"/>
        <v>0</v>
      </c>
      <c r="S627" s="556">
        <f t="shared" si="46"/>
        <v>189392.73</v>
      </c>
      <c r="T627" s="556">
        <f t="shared" si="47"/>
        <v>142293.36999999997</v>
      </c>
      <c r="U627" s="556">
        <f t="shared" si="48"/>
        <v>157229.99</v>
      </c>
      <c r="V627" s="556">
        <f t="shared" si="49"/>
        <v>169239.99000000011</v>
      </c>
      <c r="W627" s="556">
        <f t="shared" si="50"/>
        <v>122750.47999999986</v>
      </c>
      <c r="X627" s="556">
        <f t="shared" si="51"/>
        <v>98468.100000000093</v>
      </c>
      <c r="Y627" s="556">
        <f t="shared" si="52"/>
        <v>108508.69999999995</v>
      </c>
      <c r="Z627" s="556">
        <f t="shared" si="53"/>
        <v>114435.69000000006</v>
      </c>
      <c r="AA627" s="556">
        <f t="shared" si="54"/>
        <v>114641.14999999991</v>
      </c>
      <c r="AB627" s="556">
        <f t="shared" si="55"/>
        <v>106491.79000000004</v>
      </c>
      <c r="AC627" s="556">
        <f t="shared" si="56"/>
        <v>128638.91999999993</v>
      </c>
      <c r="AD627" s="556">
        <f t="shared" si="45"/>
        <v>114218.14</v>
      </c>
      <c r="AE627" s="556">
        <f t="shared" si="42"/>
        <v>127997.90999999999</v>
      </c>
      <c r="AF627" s="556">
        <f t="shared" si="42"/>
        <v>164520.75</v>
      </c>
      <c r="AG627" s="556">
        <f t="shared" si="42"/>
        <v>161143.33000000002</v>
      </c>
      <c r="AH627" s="44"/>
      <c r="AJ627" s="44"/>
    </row>
    <row r="628" spans="1:36" hidden="1" outlineLevel="1" x14ac:dyDescent="0.35">
      <c r="A628" t="b">
        <f t="shared" si="43"/>
        <v>1</v>
      </c>
      <c r="B628" s="27" t="s">
        <v>1243</v>
      </c>
      <c r="C628" s="27" t="s">
        <v>51</v>
      </c>
      <c r="D628" s="27" t="s">
        <v>1822</v>
      </c>
      <c r="E628" s="27" t="s">
        <v>51</v>
      </c>
      <c r="F628" s="27" t="s">
        <v>501</v>
      </c>
      <c r="G628" s="27" t="s">
        <v>1499</v>
      </c>
      <c r="H628" s="27" t="s">
        <v>447</v>
      </c>
      <c r="I628" s="27" t="s">
        <v>440</v>
      </c>
      <c r="J628" s="27" t="s">
        <v>448</v>
      </c>
      <c r="K628" s="27" t="s">
        <v>492</v>
      </c>
      <c r="L628" s="27" t="s">
        <v>492</v>
      </c>
      <c r="M628" s="27" t="s">
        <v>502</v>
      </c>
      <c r="N628" s="27" t="s">
        <v>502</v>
      </c>
      <c r="O628" s="27" t="s">
        <v>480</v>
      </c>
      <c r="P628" s="27" t="s">
        <v>480</v>
      </c>
      <c r="Q628" s="27" t="s">
        <v>372</v>
      </c>
      <c r="R628" s="556">
        <f t="shared" si="44"/>
        <v>11583.849999999999</v>
      </c>
      <c r="S628" s="556">
        <f t="shared" si="46"/>
        <v>-0.15999999999985448</v>
      </c>
      <c r="T628" s="556">
        <f t="shared" si="47"/>
        <v>-0.34000000000014552</v>
      </c>
      <c r="U628" s="556">
        <f t="shared" si="48"/>
        <v>-11583.649999999998</v>
      </c>
      <c r="V628" s="556">
        <f t="shared" si="49"/>
        <v>10276.32</v>
      </c>
      <c r="W628" s="556">
        <f t="shared" si="50"/>
        <v>52000.929999999993</v>
      </c>
      <c r="X628" s="556">
        <f t="shared" si="51"/>
        <v>0.46000000000640284</v>
      </c>
      <c r="Y628" s="556">
        <f t="shared" si="52"/>
        <v>1.0899999999965075</v>
      </c>
      <c r="Z628" s="556">
        <f t="shared" si="53"/>
        <v>229811.44</v>
      </c>
      <c r="AA628" s="556">
        <f t="shared" si="54"/>
        <v>0.92999999999301508</v>
      </c>
      <c r="AB628" s="556">
        <f t="shared" si="55"/>
        <v>362475.35000000009</v>
      </c>
      <c r="AC628" s="556">
        <f t="shared" si="56"/>
        <v>860790.08</v>
      </c>
      <c r="AD628" s="556">
        <f t="shared" si="45"/>
        <v>0</v>
      </c>
      <c r="AE628" s="556">
        <f t="shared" si="42"/>
        <v>0</v>
      </c>
      <c r="AF628" s="556">
        <f t="shared" si="42"/>
        <v>443595.67</v>
      </c>
      <c r="AG628" s="556">
        <f t="shared" si="42"/>
        <v>248572.33000000002</v>
      </c>
      <c r="AH628" s="44"/>
    </row>
    <row r="629" spans="1:36" hidden="1" outlineLevel="1" x14ac:dyDescent="0.35">
      <c r="A629" t="b">
        <f t="shared" si="43"/>
        <v>1</v>
      </c>
      <c r="B629" s="27" t="s">
        <v>1244</v>
      </c>
      <c r="C629" s="27" t="s">
        <v>51</v>
      </c>
      <c r="D629" s="27" t="s">
        <v>1823</v>
      </c>
      <c r="E629" s="27" t="s">
        <v>51</v>
      </c>
      <c r="F629" s="27" t="s">
        <v>501</v>
      </c>
      <c r="G629" s="27" t="s">
        <v>1500</v>
      </c>
      <c r="H629" s="27" t="s">
        <v>447</v>
      </c>
      <c r="I629" s="27" t="s">
        <v>440</v>
      </c>
      <c r="J629" s="27" t="s">
        <v>448</v>
      </c>
      <c r="K629" s="27" t="s">
        <v>492</v>
      </c>
      <c r="L629" s="27" t="s">
        <v>492</v>
      </c>
      <c r="M629" s="27" t="s">
        <v>502</v>
      </c>
      <c r="N629" s="27" t="s">
        <v>502</v>
      </c>
      <c r="O629" s="27" t="s">
        <v>480</v>
      </c>
      <c r="P629" s="27" t="s">
        <v>480</v>
      </c>
      <c r="Q629" s="27" t="s">
        <v>372</v>
      </c>
      <c r="R629" s="556">
        <f t="shared" si="44"/>
        <v>0</v>
      </c>
      <c r="S629" s="556">
        <f t="shared" si="46"/>
        <v>0</v>
      </c>
      <c r="T629" s="556">
        <f t="shared" si="47"/>
        <v>517.24</v>
      </c>
      <c r="U629" s="556">
        <f t="shared" si="48"/>
        <v>0</v>
      </c>
      <c r="V629" s="556">
        <f t="shared" si="49"/>
        <v>0</v>
      </c>
      <c r="W629" s="556">
        <f t="shared" si="50"/>
        <v>0</v>
      </c>
      <c r="X629" s="556">
        <f t="shared" si="51"/>
        <v>568.97</v>
      </c>
      <c r="Y629" s="556">
        <f t="shared" si="52"/>
        <v>1327.5900000000001</v>
      </c>
      <c r="Z629" s="556">
        <f t="shared" si="53"/>
        <v>0</v>
      </c>
      <c r="AA629" s="556">
        <f t="shared" si="54"/>
        <v>379.30999999999995</v>
      </c>
      <c r="AB629" s="556">
        <f t="shared" si="55"/>
        <v>0</v>
      </c>
      <c r="AC629" s="556">
        <f t="shared" si="56"/>
        <v>568.9699999999998</v>
      </c>
      <c r="AD629" s="556">
        <f t="shared" si="45"/>
        <v>0</v>
      </c>
      <c r="AE629" s="556">
        <f t="shared" si="42"/>
        <v>3793.1</v>
      </c>
      <c r="AF629" s="556">
        <f t="shared" si="42"/>
        <v>5717.2499999999982</v>
      </c>
      <c r="AG629" s="556">
        <f t="shared" si="42"/>
        <v>1.8189894035458565E-12</v>
      </c>
      <c r="AH629" s="44"/>
    </row>
    <row r="630" spans="1:36" hidden="1" outlineLevel="1" x14ac:dyDescent="0.35">
      <c r="A630" t="b">
        <f t="shared" si="43"/>
        <v>1</v>
      </c>
      <c r="B630" s="27" t="s">
        <v>1245</v>
      </c>
      <c r="C630" s="27" t="s">
        <v>51</v>
      </c>
      <c r="D630" s="27" t="s">
        <v>1824</v>
      </c>
      <c r="E630" s="27" t="s">
        <v>51</v>
      </c>
      <c r="F630" s="27" t="s">
        <v>512</v>
      </c>
      <c r="G630" s="27" t="s">
        <v>1501</v>
      </c>
      <c r="H630" s="27" t="s">
        <v>447</v>
      </c>
      <c r="I630" s="27" t="s">
        <v>440</v>
      </c>
      <c r="J630" s="27" t="s">
        <v>448</v>
      </c>
      <c r="K630" s="27" t="s">
        <v>491</v>
      </c>
      <c r="L630" s="27" t="s">
        <v>538</v>
      </c>
      <c r="M630" s="27" t="s">
        <v>538</v>
      </c>
      <c r="N630" s="27" t="s">
        <v>538</v>
      </c>
      <c r="O630" s="27" t="s">
        <v>491</v>
      </c>
      <c r="P630" s="27" t="s">
        <v>491</v>
      </c>
      <c r="Q630" s="27" t="s">
        <v>372</v>
      </c>
      <c r="R630" s="556">
        <f t="shared" si="44"/>
        <v>85257.15</v>
      </c>
      <c r="S630" s="556">
        <f t="shared" si="46"/>
        <v>319164.84999999998</v>
      </c>
      <c r="T630" s="556">
        <f t="shared" si="47"/>
        <v>300684.20999999996</v>
      </c>
      <c r="U630" s="556">
        <f t="shared" si="48"/>
        <v>184239.84999999998</v>
      </c>
      <c r="V630" s="556">
        <f t="shared" si="49"/>
        <v>232693.02000000014</v>
      </c>
      <c r="W630" s="556">
        <f t="shared" si="50"/>
        <v>314938.37000000011</v>
      </c>
      <c r="X630" s="556">
        <f t="shared" si="51"/>
        <v>338208.73999999976</v>
      </c>
      <c r="Y630" s="556">
        <f t="shared" si="52"/>
        <v>365572.9700000002</v>
      </c>
      <c r="Z630" s="556">
        <f t="shared" si="53"/>
        <v>350376.98</v>
      </c>
      <c r="AA630" s="556">
        <f t="shared" si="54"/>
        <v>409330.96999999974</v>
      </c>
      <c r="AB630" s="556">
        <f t="shared" si="55"/>
        <v>406526.31000000006</v>
      </c>
      <c r="AC630" s="556">
        <f t="shared" si="56"/>
        <v>427072.29000000004</v>
      </c>
      <c r="AD630" s="556">
        <f t="shared" si="45"/>
        <v>411750.78</v>
      </c>
      <c r="AE630" s="556">
        <f t="shared" si="42"/>
        <v>457750.17999999993</v>
      </c>
      <c r="AF630" s="556">
        <f t="shared" si="42"/>
        <v>843430.42999999993</v>
      </c>
      <c r="AG630" s="556">
        <f t="shared" si="42"/>
        <v>965813.84000000008</v>
      </c>
      <c r="AH630" s="44"/>
      <c r="AJ630" s="44"/>
    </row>
    <row r="631" spans="1:36" hidden="1" outlineLevel="1" x14ac:dyDescent="0.35">
      <c r="A631" t="b">
        <f t="shared" si="43"/>
        <v>1</v>
      </c>
      <c r="B631" s="27" t="s">
        <v>1246</v>
      </c>
      <c r="C631" s="27" t="s">
        <v>51</v>
      </c>
      <c r="D631" s="27" t="s">
        <v>1825</v>
      </c>
      <c r="E631" s="27" t="s">
        <v>51</v>
      </c>
      <c r="F631" s="27" t="s">
        <v>539</v>
      </c>
      <c r="G631" s="27" t="s">
        <v>1502</v>
      </c>
      <c r="H631" s="27" t="s">
        <v>447</v>
      </c>
      <c r="I631" s="27" t="s">
        <v>440</v>
      </c>
      <c r="J631" s="27" t="s">
        <v>448</v>
      </c>
      <c r="K631" s="27" t="s">
        <v>476</v>
      </c>
      <c r="L631" s="27" t="s">
        <v>540</v>
      </c>
      <c r="M631" s="27" t="s">
        <v>540</v>
      </c>
      <c r="N631" s="27" t="s">
        <v>541</v>
      </c>
      <c r="O631" s="27" t="s">
        <v>480</v>
      </c>
      <c r="P631" s="27" t="s">
        <v>480</v>
      </c>
      <c r="Q631" s="27" t="s">
        <v>372</v>
      </c>
      <c r="R631" s="556">
        <f t="shared" si="44"/>
        <v>746652.92</v>
      </c>
      <c r="S631" s="556">
        <f t="shared" si="46"/>
        <v>844045.92</v>
      </c>
      <c r="T631" s="556">
        <f t="shared" si="47"/>
        <v>887624.01</v>
      </c>
      <c r="U631" s="556">
        <f t="shared" si="48"/>
        <v>924049.04</v>
      </c>
      <c r="V631" s="556">
        <f t="shared" si="49"/>
        <v>936201.93000000017</v>
      </c>
      <c r="W631" s="556">
        <f t="shared" si="50"/>
        <v>880505.43999999948</v>
      </c>
      <c r="X631" s="556">
        <f t="shared" si="51"/>
        <v>890837.94000000041</v>
      </c>
      <c r="Y631" s="556">
        <f t="shared" si="52"/>
        <v>756819.76999999955</v>
      </c>
      <c r="Z631" s="556">
        <f t="shared" si="53"/>
        <v>900911.58000000007</v>
      </c>
      <c r="AA631" s="556">
        <f t="shared" si="54"/>
        <v>982989.62999999989</v>
      </c>
      <c r="AB631" s="556">
        <f t="shared" si="55"/>
        <v>1095879.7100000009</v>
      </c>
      <c r="AC631" s="556">
        <f t="shared" si="56"/>
        <v>1287666.2199999988</v>
      </c>
      <c r="AD631" s="556">
        <f t="shared" si="45"/>
        <v>1365560.16</v>
      </c>
      <c r="AE631" s="556">
        <f t="shared" ref="AE631:AG650" si="57">+IF(AE$10="Actuals",IF($O153="Revenue",-IF($H153="BS",AE153,IF($H153="P&amp;L",AE153-AD153,0)),IF($H153="BS",AE153,IF($H153="P&amp;L",AE153-AD153,0))),0)</f>
        <v>1444103.0400000003</v>
      </c>
      <c r="AF631" s="556">
        <f t="shared" si="57"/>
        <v>1412861.5099999998</v>
      </c>
      <c r="AG631" s="556">
        <f t="shared" si="57"/>
        <v>1697725.8099999996</v>
      </c>
      <c r="AH631" s="44"/>
    </row>
    <row r="632" spans="1:36" hidden="1" outlineLevel="1" x14ac:dyDescent="0.35">
      <c r="A632" t="b">
        <f t="shared" si="43"/>
        <v>1</v>
      </c>
      <c r="B632" s="27" t="s">
        <v>1247</v>
      </c>
      <c r="C632" s="27" t="s">
        <v>51</v>
      </c>
      <c r="D632" s="27" t="s">
        <v>1826</v>
      </c>
      <c r="E632" s="27" t="s">
        <v>51</v>
      </c>
      <c r="F632" s="27" t="s">
        <v>539</v>
      </c>
      <c r="G632" s="27" t="s">
        <v>1506</v>
      </c>
      <c r="H632" s="27" t="s">
        <v>447</v>
      </c>
      <c r="I632" s="27" t="s">
        <v>440</v>
      </c>
      <c r="J632" s="27" t="s">
        <v>448</v>
      </c>
      <c r="K632" s="27" t="s">
        <v>476</v>
      </c>
      <c r="L632" s="27" t="s">
        <v>542</v>
      </c>
      <c r="M632" s="27" t="s">
        <v>542</v>
      </c>
      <c r="N632" s="27" t="s">
        <v>541</v>
      </c>
      <c r="O632" s="27" t="s">
        <v>480</v>
      </c>
      <c r="P632" s="27" t="s">
        <v>480</v>
      </c>
      <c r="Q632" s="27" t="s">
        <v>372</v>
      </c>
      <c r="R632" s="556">
        <f t="shared" si="44"/>
        <v>50121.83</v>
      </c>
      <c r="S632" s="556">
        <f t="shared" si="46"/>
        <v>57139.91</v>
      </c>
      <c r="T632" s="556">
        <f t="shared" si="47"/>
        <v>93970.71</v>
      </c>
      <c r="U632" s="556">
        <f t="shared" si="48"/>
        <v>59925.380000000005</v>
      </c>
      <c r="V632" s="556">
        <f t="shared" si="49"/>
        <v>121645.10999999999</v>
      </c>
      <c r="W632" s="556">
        <f t="shared" si="50"/>
        <v>69826.570000000007</v>
      </c>
      <c r="X632" s="556">
        <f t="shared" si="51"/>
        <v>62485.56</v>
      </c>
      <c r="Y632" s="556">
        <f t="shared" si="52"/>
        <v>81238.01999999996</v>
      </c>
      <c r="Z632" s="556">
        <f t="shared" si="53"/>
        <v>73719.320000000065</v>
      </c>
      <c r="AA632" s="556">
        <f t="shared" si="54"/>
        <v>73776.650000000023</v>
      </c>
      <c r="AB632" s="556">
        <f t="shared" si="55"/>
        <v>85528.859999999986</v>
      </c>
      <c r="AC632" s="556">
        <f t="shared" si="56"/>
        <v>183931.40000000002</v>
      </c>
      <c r="AD632" s="556">
        <f t="shared" si="45"/>
        <v>125700.86</v>
      </c>
      <c r="AE632" s="556">
        <f t="shared" si="57"/>
        <v>114970.49999999999</v>
      </c>
      <c r="AF632" s="556">
        <f t="shared" si="57"/>
        <v>122556.35999999999</v>
      </c>
      <c r="AG632" s="556">
        <f t="shared" si="57"/>
        <v>72335.540000000037</v>
      </c>
      <c r="AH632" s="44"/>
    </row>
    <row r="633" spans="1:36" hidden="1" outlineLevel="1" x14ac:dyDescent="0.35">
      <c r="A633" t="b">
        <f t="shared" si="43"/>
        <v>1</v>
      </c>
      <c r="B633" s="27" t="s">
        <v>1248</v>
      </c>
      <c r="C633" s="27" t="s">
        <v>51</v>
      </c>
      <c r="D633" s="27" t="s">
        <v>1827</v>
      </c>
      <c r="E633" s="27" t="s">
        <v>51</v>
      </c>
      <c r="F633" s="27" t="s">
        <v>539</v>
      </c>
      <c r="G633" s="27" t="s">
        <v>1504</v>
      </c>
      <c r="H633" s="27" t="s">
        <v>447</v>
      </c>
      <c r="I633" s="27" t="s">
        <v>440</v>
      </c>
      <c r="J633" s="27" t="s">
        <v>448</v>
      </c>
      <c r="K633" s="27" t="s">
        <v>476</v>
      </c>
      <c r="L633" s="27" t="s">
        <v>542</v>
      </c>
      <c r="M633" s="27" t="s">
        <v>542</v>
      </c>
      <c r="N633" s="27" t="s">
        <v>541</v>
      </c>
      <c r="O633" s="27" t="s">
        <v>480</v>
      </c>
      <c r="P633" s="27" t="s">
        <v>480</v>
      </c>
      <c r="Q633" s="27" t="s">
        <v>372</v>
      </c>
      <c r="R633" s="556">
        <f t="shared" si="44"/>
        <v>39565.21</v>
      </c>
      <c r="S633" s="556">
        <f t="shared" si="46"/>
        <v>8000.3600000000006</v>
      </c>
      <c r="T633" s="556">
        <f t="shared" si="47"/>
        <v>-23207.39</v>
      </c>
      <c r="U633" s="556">
        <f t="shared" si="48"/>
        <v>8958.4700000000012</v>
      </c>
      <c r="V633" s="556">
        <f t="shared" si="49"/>
        <v>31390.620000000003</v>
      </c>
      <c r="W633" s="556">
        <f t="shared" si="50"/>
        <v>10365.01999999999</v>
      </c>
      <c r="X633" s="556">
        <f t="shared" si="51"/>
        <v>9067.8500000000058</v>
      </c>
      <c r="Y633" s="556">
        <f t="shared" si="52"/>
        <v>7779.7200000000012</v>
      </c>
      <c r="Z633" s="556">
        <f t="shared" si="53"/>
        <v>12348.949999999997</v>
      </c>
      <c r="AA633" s="556">
        <f t="shared" si="54"/>
        <v>-14388.369999999995</v>
      </c>
      <c r="AB633" s="556">
        <f t="shared" si="55"/>
        <v>11251.309999999998</v>
      </c>
      <c r="AC633" s="556">
        <f t="shared" si="56"/>
        <v>11297.25</v>
      </c>
      <c r="AD633" s="556">
        <f t="shared" si="45"/>
        <v>14128.41</v>
      </c>
      <c r="AE633" s="556">
        <f t="shared" si="57"/>
        <v>14314.18</v>
      </c>
      <c r="AF633" s="556">
        <f t="shared" si="57"/>
        <v>15475.95</v>
      </c>
      <c r="AG633" s="556">
        <f t="shared" si="57"/>
        <v>16427.760000000002</v>
      </c>
      <c r="AH633" s="44"/>
    </row>
    <row r="634" spans="1:36" hidden="1" outlineLevel="1" x14ac:dyDescent="0.35">
      <c r="A634" t="b">
        <f t="shared" si="43"/>
        <v>1</v>
      </c>
      <c r="B634" s="27" t="s">
        <v>1249</v>
      </c>
      <c r="C634" s="27" t="s">
        <v>51</v>
      </c>
      <c r="D634" s="27" t="s">
        <v>1828</v>
      </c>
      <c r="E634" s="27" t="s">
        <v>51</v>
      </c>
      <c r="F634" s="27" t="s">
        <v>539</v>
      </c>
      <c r="G634" s="27" t="s">
        <v>1505</v>
      </c>
      <c r="H634" s="27" t="s">
        <v>447</v>
      </c>
      <c r="I634" s="27" t="s">
        <v>440</v>
      </c>
      <c r="J634" s="27" t="s">
        <v>448</v>
      </c>
      <c r="K634" s="27" t="s">
        <v>476</v>
      </c>
      <c r="L634" s="27" t="s">
        <v>542</v>
      </c>
      <c r="M634" s="27" t="s">
        <v>542</v>
      </c>
      <c r="N634" s="27" t="s">
        <v>541</v>
      </c>
      <c r="O634" s="27" t="s">
        <v>480</v>
      </c>
      <c r="P634" s="27" t="s">
        <v>480</v>
      </c>
      <c r="Q634" s="27" t="s">
        <v>372</v>
      </c>
      <c r="R634" s="556">
        <f t="shared" si="44"/>
        <v>673</v>
      </c>
      <c r="S634" s="556">
        <f t="shared" si="46"/>
        <v>1358.66</v>
      </c>
      <c r="T634" s="556">
        <f t="shared" si="47"/>
        <v>1015.8300000000002</v>
      </c>
      <c r="U634" s="556">
        <f t="shared" si="48"/>
        <v>1015.8299999999995</v>
      </c>
      <c r="V634" s="556">
        <f t="shared" si="49"/>
        <v>1015.8300000000008</v>
      </c>
      <c r="W634" s="556">
        <f t="shared" si="50"/>
        <v>2031.6599999999989</v>
      </c>
      <c r="X634" s="556">
        <f t="shared" si="51"/>
        <v>2031.6599999999999</v>
      </c>
      <c r="Y634" s="556">
        <f t="shared" si="52"/>
        <v>2031.6599999999999</v>
      </c>
      <c r="Z634" s="556">
        <f t="shared" si="53"/>
        <v>2031.6599999999999</v>
      </c>
      <c r="AA634" s="556">
        <f t="shared" si="54"/>
        <v>1.8189894035458565E-12</v>
      </c>
      <c r="AB634" s="556">
        <f t="shared" si="55"/>
        <v>2031.6599999999999</v>
      </c>
      <c r="AC634" s="556">
        <f t="shared" si="56"/>
        <v>57038.880000000005</v>
      </c>
      <c r="AD634" s="556">
        <f t="shared" si="45"/>
        <v>4884.58</v>
      </c>
      <c r="AE634" s="556">
        <f t="shared" si="57"/>
        <v>4884.58</v>
      </c>
      <c r="AF634" s="556">
        <f t="shared" si="57"/>
        <v>6707.5299999999988</v>
      </c>
      <c r="AG634" s="556">
        <f t="shared" si="57"/>
        <v>4884.5800000000017</v>
      </c>
      <c r="AH634" s="44"/>
    </row>
    <row r="635" spans="1:36" hidden="1" outlineLevel="1" x14ac:dyDescent="0.35">
      <c r="A635" t="b">
        <f t="shared" si="43"/>
        <v>1</v>
      </c>
      <c r="B635" s="27" t="s">
        <v>1250</v>
      </c>
      <c r="C635" s="27" t="s">
        <v>51</v>
      </c>
      <c r="D635" s="27" t="s">
        <v>1829</v>
      </c>
      <c r="E635" s="27" t="s">
        <v>51</v>
      </c>
      <c r="F635" s="27" t="s">
        <v>539</v>
      </c>
      <c r="G635" s="27" t="s">
        <v>1507</v>
      </c>
      <c r="H635" s="27" t="s">
        <v>447</v>
      </c>
      <c r="I635" s="27" t="s">
        <v>440</v>
      </c>
      <c r="J635" s="27" t="s">
        <v>448</v>
      </c>
      <c r="K635" s="27" t="s">
        <v>476</v>
      </c>
      <c r="L635" s="27" t="s">
        <v>543</v>
      </c>
      <c r="M635" s="27" t="s">
        <v>543</v>
      </c>
      <c r="N635" s="27" t="s">
        <v>478</v>
      </c>
      <c r="O635" s="27" t="s">
        <v>480</v>
      </c>
      <c r="P635" s="27" t="s">
        <v>480</v>
      </c>
      <c r="Q635" s="27" t="s">
        <v>372</v>
      </c>
      <c r="R635" s="556">
        <f t="shared" si="44"/>
        <v>3029</v>
      </c>
      <c r="S635" s="556">
        <f t="shared" si="46"/>
        <v>7625</v>
      </c>
      <c r="T635" s="556">
        <f t="shared" si="47"/>
        <v>5327</v>
      </c>
      <c r="U635" s="556">
        <f t="shared" si="48"/>
        <v>5327</v>
      </c>
      <c r="V635" s="556">
        <f t="shared" si="49"/>
        <v>236806.1</v>
      </c>
      <c r="W635" s="556">
        <f t="shared" si="50"/>
        <v>10653.999999999971</v>
      </c>
      <c r="X635" s="556">
        <f t="shared" si="51"/>
        <v>10654</v>
      </c>
      <c r="Y635" s="556">
        <f t="shared" si="52"/>
        <v>10654</v>
      </c>
      <c r="Z635" s="556">
        <f t="shared" si="53"/>
        <v>10654</v>
      </c>
      <c r="AA635" s="556">
        <f t="shared" si="54"/>
        <v>-39707.099999999977</v>
      </c>
      <c r="AB635" s="556">
        <f t="shared" si="55"/>
        <v>10654</v>
      </c>
      <c r="AC635" s="556">
        <f t="shared" si="56"/>
        <v>583776.1</v>
      </c>
      <c r="AD635" s="556">
        <f t="shared" si="45"/>
        <v>16539.419999999998</v>
      </c>
      <c r="AE635" s="556">
        <f t="shared" si="57"/>
        <v>16539.419999999998</v>
      </c>
      <c r="AF635" s="556">
        <f t="shared" si="57"/>
        <v>16539.420000000006</v>
      </c>
      <c r="AG635" s="556">
        <f t="shared" si="57"/>
        <v>16539.419999999991</v>
      </c>
      <c r="AH635" s="44"/>
    </row>
    <row r="636" spans="1:36" hidden="1" outlineLevel="1" x14ac:dyDescent="0.35">
      <c r="A636" t="b">
        <f t="shared" si="43"/>
        <v>1</v>
      </c>
      <c r="B636" s="27" t="s">
        <v>1251</v>
      </c>
      <c r="C636" s="27" t="s">
        <v>51</v>
      </c>
      <c r="D636" s="27" t="s">
        <v>1830</v>
      </c>
      <c r="E636" s="27" t="s">
        <v>51</v>
      </c>
      <c r="F636" s="27" t="s">
        <v>539</v>
      </c>
      <c r="G636" s="27" t="s">
        <v>1508</v>
      </c>
      <c r="H636" s="27" t="s">
        <v>447</v>
      </c>
      <c r="I636" s="27" t="s">
        <v>440</v>
      </c>
      <c r="J636" s="27" t="s">
        <v>448</v>
      </c>
      <c r="K636" s="27" t="s">
        <v>476</v>
      </c>
      <c r="L636" s="27" t="s">
        <v>477</v>
      </c>
      <c r="M636" s="27" t="s">
        <v>477</v>
      </c>
      <c r="N636" s="27" t="s">
        <v>478</v>
      </c>
      <c r="O636" s="27" t="s">
        <v>480</v>
      </c>
      <c r="P636" s="27" t="s">
        <v>480</v>
      </c>
      <c r="Q636" s="27" t="s">
        <v>372</v>
      </c>
      <c r="R636" s="556">
        <f t="shared" si="44"/>
        <v>73278</v>
      </c>
      <c r="S636" s="556">
        <f t="shared" si="46"/>
        <v>73278</v>
      </c>
      <c r="T636" s="556">
        <f t="shared" si="47"/>
        <v>73278</v>
      </c>
      <c r="U636" s="556">
        <f t="shared" si="48"/>
        <v>73278</v>
      </c>
      <c r="V636" s="556">
        <f t="shared" si="49"/>
        <v>73278</v>
      </c>
      <c r="W636" s="556">
        <f t="shared" si="50"/>
        <v>73278</v>
      </c>
      <c r="X636" s="556">
        <f t="shared" si="51"/>
        <v>73277.956359657983</v>
      </c>
      <c r="Y636" s="556">
        <f t="shared" si="52"/>
        <v>73278.043640342017</v>
      </c>
      <c r="Z636" s="556">
        <f t="shared" si="53"/>
        <v>73278</v>
      </c>
      <c r="AA636" s="556">
        <f t="shared" si="54"/>
        <v>73277.905447412981</v>
      </c>
      <c r="AB636" s="556">
        <f t="shared" si="55"/>
        <v>73278.094552587019</v>
      </c>
      <c r="AC636" s="556">
        <f t="shared" si="56"/>
        <v>73277.871505577001</v>
      </c>
      <c r="AD636" s="556">
        <f t="shared" si="45"/>
        <v>203268.63666666701</v>
      </c>
      <c r="AE636" s="556">
        <f t="shared" si="57"/>
        <v>203268.63666666602</v>
      </c>
      <c r="AF636" s="556">
        <f t="shared" si="57"/>
        <v>203268.63666666701</v>
      </c>
      <c r="AG636" s="556">
        <f t="shared" si="57"/>
        <v>203268.63666666695</v>
      </c>
      <c r="AH636" s="44"/>
    </row>
    <row r="637" spans="1:36" hidden="1" outlineLevel="1" x14ac:dyDescent="0.35">
      <c r="A637" t="b">
        <f t="shared" si="43"/>
        <v>1</v>
      </c>
      <c r="B637" s="27" t="s">
        <v>1252</v>
      </c>
      <c r="C637" s="27" t="s">
        <v>51</v>
      </c>
      <c r="D637" s="27" t="s">
        <v>1831</v>
      </c>
      <c r="E637" s="27" t="s">
        <v>51</v>
      </c>
      <c r="F637" s="27" t="s">
        <v>539</v>
      </c>
      <c r="G637" s="27" t="s">
        <v>1509</v>
      </c>
      <c r="H637" s="27" t="s">
        <v>447</v>
      </c>
      <c r="I637" s="27" t="s">
        <v>440</v>
      </c>
      <c r="J637" s="27" t="s">
        <v>448</v>
      </c>
      <c r="K637" s="27" t="s">
        <v>476</v>
      </c>
      <c r="L637" s="27" t="s">
        <v>542</v>
      </c>
      <c r="M637" s="27" t="s">
        <v>542</v>
      </c>
      <c r="N637" s="27" t="s">
        <v>478</v>
      </c>
      <c r="O637" s="27" t="s">
        <v>480</v>
      </c>
      <c r="P637" s="27" t="s">
        <v>480</v>
      </c>
      <c r="Q637" s="27" t="s">
        <v>372</v>
      </c>
      <c r="R637" s="556">
        <f t="shared" si="44"/>
        <v>59095.98</v>
      </c>
      <c r="S637" s="556">
        <f t="shared" si="46"/>
        <v>59532.840000000004</v>
      </c>
      <c r="T637" s="556">
        <f t="shared" si="47"/>
        <v>66886.69</v>
      </c>
      <c r="U637" s="556">
        <f t="shared" si="48"/>
        <v>67515.429999999993</v>
      </c>
      <c r="V637" s="556">
        <f t="shared" si="49"/>
        <v>68747.820000000007</v>
      </c>
      <c r="W637" s="556">
        <f t="shared" si="50"/>
        <v>64419.099999999977</v>
      </c>
      <c r="X637" s="556">
        <f t="shared" si="51"/>
        <v>69402.12</v>
      </c>
      <c r="Y637" s="556">
        <f t="shared" si="52"/>
        <v>45969.19</v>
      </c>
      <c r="Z637" s="556">
        <f t="shared" si="53"/>
        <v>55605.77999999997</v>
      </c>
      <c r="AA637" s="556">
        <f t="shared" si="54"/>
        <v>58815.820000000065</v>
      </c>
      <c r="AB637" s="556">
        <f t="shared" si="55"/>
        <v>66062</v>
      </c>
      <c r="AC637" s="556">
        <f t="shared" si="56"/>
        <v>63049.819999999949</v>
      </c>
      <c r="AD637" s="556">
        <f t="shared" si="45"/>
        <v>87710.49</v>
      </c>
      <c r="AE637" s="556">
        <f t="shared" si="57"/>
        <v>87710.54</v>
      </c>
      <c r="AF637" s="556">
        <f t="shared" si="57"/>
        <v>64786.890000000014</v>
      </c>
      <c r="AG637" s="556">
        <f t="shared" si="57"/>
        <v>98839.319999999978</v>
      </c>
      <c r="AH637" s="44"/>
    </row>
    <row r="638" spans="1:36" hidden="1" outlineLevel="1" x14ac:dyDescent="0.35">
      <c r="A638" t="b">
        <f t="shared" si="43"/>
        <v>1</v>
      </c>
      <c r="B638" s="27" t="s">
        <v>1253</v>
      </c>
      <c r="C638" s="27" t="s">
        <v>51</v>
      </c>
      <c r="D638" s="27" t="s">
        <v>1832</v>
      </c>
      <c r="E638" s="27" t="s">
        <v>51</v>
      </c>
      <c r="F638" s="27" t="s">
        <v>539</v>
      </c>
      <c r="G638" s="27" t="s">
        <v>1510</v>
      </c>
      <c r="H638" s="27" t="s">
        <v>447</v>
      </c>
      <c r="I638" s="27" t="s">
        <v>440</v>
      </c>
      <c r="J638" s="27" t="s">
        <v>448</v>
      </c>
      <c r="K638" s="27" t="s">
        <v>476</v>
      </c>
      <c r="L638" s="27" t="s">
        <v>542</v>
      </c>
      <c r="M638" s="27" t="s">
        <v>542</v>
      </c>
      <c r="N638" s="27" t="s">
        <v>478</v>
      </c>
      <c r="O638" s="27" t="s">
        <v>480</v>
      </c>
      <c r="P638" s="27" t="s">
        <v>480</v>
      </c>
      <c r="Q638" s="27" t="s">
        <v>372</v>
      </c>
      <c r="R638" s="556">
        <f t="shared" si="44"/>
        <v>31156.52</v>
      </c>
      <c r="S638" s="556">
        <f t="shared" si="46"/>
        <v>31225.63</v>
      </c>
      <c r="T638" s="556">
        <f t="shared" si="47"/>
        <v>38252.719999999994</v>
      </c>
      <c r="U638" s="556">
        <f t="shared" si="48"/>
        <v>38219.429999999993</v>
      </c>
      <c r="V638" s="556">
        <f t="shared" si="49"/>
        <v>38908.97</v>
      </c>
      <c r="W638" s="556">
        <f t="shared" si="50"/>
        <v>35098.130000000005</v>
      </c>
      <c r="X638" s="556">
        <f t="shared" si="51"/>
        <v>37905.74000000002</v>
      </c>
      <c r="Y638" s="556">
        <f t="shared" si="52"/>
        <v>26062.27999999997</v>
      </c>
      <c r="Z638" s="556">
        <f t="shared" si="53"/>
        <v>30348.440000000002</v>
      </c>
      <c r="AA638" s="556">
        <f t="shared" si="54"/>
        <v>32200.869999999995</v>
      </c>
      <c r="AB638" s="556">
        <f t="shared" si="55"/>
        <v>36969.610000000044</v>
      </c>
      <c r="AC638" s="556">
        <f t="shared" si="56"/>
        <v>53317.229999999981</v>
      </c>
      <c r="AD638" s="556">
        <f t="shared" si="45"/>
        <v>54314.68</v>
      </c>
      <c r="AE638" s="556">
        <f t="shared" si="57"/>
        <v>53977.35</v>
      </c>
      <c r="AF638" s="556">
        <f t="shared" si="57"/>
        <v>-20419.209999999992</v>
      </c>
      <c r="AG638" s="556">
        <f t="shared" si="57"/>
        <v>66796.419999999984</v>
      </c>
      <c r="AH638" s="44"/>
    </row>
    <row r="639" spans="1:36" hidden="1" outlineLevel="1" x14ac:dyDescent="0.35">
      <c r="A639" t="b">
        <f t="shared" si="43"/>
        <v>1</v>
      </c>
      <c r="B639" s="27" t="s">
        <v>1254</v>
      </c>
      <c r="C639" s="27" t="s">
        <v>51</v>
      </c>
      <c r="D639" s="27" t="s">
        <v>1833</v>
      </c>
      <c r="E639" s="27" t="s">
        <v>51</v>
      </c>
      <c r="F639" s="27" t="s">
        <v>539</v>
      </c>
      <c r="G639" s="27" t="s">
        <v>1511</v>
      </c>
      <c r="H639" s="27" t="s">
        <v>447</v>
      </c>
      <c r="I639" s="27" t="s">
        <v>440</v>
      </c>
      <c r="J639" s="27" t="s">
        <v>448</v>
      </c>
      <c r="K639" s="27" t="s">
        <v>476</v>
      </c>
      <c r="L639" s="27" t="s">
        <v>542</v>
      </c>
      <c r="M639" s="27" t="s">
        <v>542</v>
      </c>
      <c r="N639" s="27" t="s">
        <v>541</v>
      </c>
      <c r="O639" s="27" t="s">
        <v>480</v>
      </c>
      <c r="P639" s="27" t="s">
        <v>480</v>
      </c>
      <c r="Q639" s="27" t="s">
        <v>372</v>
      </c>
      <c r="R639" s="556">
        <f t="shared" si="44"/>
        <v>55104.869999999995</v>
      </c>
      <c r="S639" s="556">
        <f t="shared" si="46"/>
        <v>52304.520000000019</v>
      </c>
      <c r="T639" s="556">
        <f t="shared" si="47"/>
        <v>64012.069999999978</v>
      </c>
      <c r="U639" s="556">
        <f t="shared" si="48"/>
        <v>63822.889999999985</v>
      </c>
      <c r="V639" s="556">
        <f t="shared" si="49"/>
        <v>64933.830000000075</v>
      </c>
      <c r="W639" s="556">
        <f t="shared" si="50"/>
        <v>58105.279999999912</v>
      </c>
      <c r="X639" s="556">
        <f t="shared" si="51"/>
        <v>59812.250000000058</v>
      </c>
      <c r="Y639" s="556">
        <f t="shared" si="52"/>
        <v>48187.129999999946</v>
      </c>
      <c r="Z639" s="556">
        <f t="shared" si="53"/>
        <v>51118.760000000009</v>
      </c>
      <c r="AA639" s="556">
        <f t="shared" si="54"/>
        <v>59021.720000000088</v>
      </c>
      <c r="AB639" s="556">
        <f t="shared" si="55"/>
        <v>62271.419999999925</v>
      </c>
      <c r="AC639" s="556">
        <f t="shared" si="56"/>
        <v>80697.809999999939</v>
      </c>
      <c r="AD639" s="556">
        <f t="shared" si="45"/>
        <v>103339.01</v>
      </c>
      <c r="AE639" s="556">
        <f t="shared" si="57"/>
        <v>102697.36</v>
      </c>
      <c r="AF639" s="556">
        <f t="shared" si="57"/>
        <v>249075.52000000002</v>
      </c>
      <c r="AG639" s="556">
        <f t="shared" si="57"/>
        <v>137743.52000000002</v>
      </c>
      <c r="AH639" s="44"/>
    </row>
    <row r="640" spans="1:36" hidden="1" outlineLevel="1" x14ac:dyDescent="0.35">
      <c r="A640" t="b">
        <f t="shared" si="43"/>
        <v>1</v>
      </c>
      <c r="B640" s="27" t="s">
        <v>1255</v>
      </c>
      <c r="C640" s="27" t="s">
        <v>51</v>
      </c>
      <c r="D640" s="27" t="s">
        <v>1834</v>
      </c>
      <c r="E640" s="27" t="s">
        <v>51</v>
      </c>
      <c r="F640" s="27" t="s">
        <v>539</v>
      </c>
      <c r="G640" s="27" t="s">
        <v>1512</v>
      </c>
      <c r="H640" s="27" t="s">
        <v>447</v>
      </c>
      <c r="I640" s="27" t="s">
        <v>440</v>
      </c>
      <c r="J640" s="27" t="s">
        <v>448</v>
      </c>
      <c r="K640" s="27" t="s">
        <v>476</v>
      </c>
      <c r="L640" s="27" t="s">
        <v>540</v>
      </c>
      <c r="M640" s="27" t="s">
        <v>540</v>
      </c>
      <c r="N640" s="27" t="s">
        <v>541</v>
      </c>
      <c r="O640" s="27" t="s">
        <v>480</v>
      </c>
      <c r="P640" s="27" t="s">
        <v>480</v>
      </c>
      <c r="Q640" s="27" t="s">
        <v>372</v>
      </c>
      <c r="R640" s="556">
        <f t="shared" si="44"/>
        <v>32497.27</v>
      </c>
      <c r="S640" s="556">
        <f t="shared" si="46"/>
        <v>34412.28</v>
      </c>
      <c r="T640" s="556">
        <f t="shared" si="47"/>
        <v>37042.490000000005</v>
      </c>
      <c r="U640" s="556">
        <f t="shared" si="48"/>
        <v>37640.720000000001</v>
      </c>
      <c r="V640" s="556">
        <f t="shared" si="49"/>
        <v>59335.81</v>
      </c>
      <c r="W640" s="556">
        <f t="shared" si="50"/>
        <v>36641.669999999984</v>
      </c>
      <c r="X640" s="556">
        <f t="shared" si="51"/>
        <v>-924.55999999999767</v>
      </c>
      <c r="Y640" s="556">
        <f t="shared" si="52"/>
        <v>65958.900000000023</v>
      </c>
      <c r="Z640" s="556">
        <f t="shared" si="53"/>
        <v>36626.090000000026</v>
      </c>
      <c r="AA640" s="556">
        <f t="shared" si="54"/>
        <v>43597.909999999974</v>
      </c>
      <c r="AB640" s="556">
        <f t="shared" si="55"/>
        <v>44075.219999999972</v>
      </c>
      <c r="AC640" s="556">
        <f t="shared" si="56"/>
        <v>4716.9000000000233</v>
      </c>
      <c r="AD640" s="556">
        <f t="shared" si="45"/>
        <v>56032.67</v>
      </c>
      <c r="AE640" s="556">
        <f t="shared" si="57"/>
        <v>74028.38</v>
      </c>
      <c r="AF640" s="556">
        <f t="shared" si="57"/>
        <v>31784.460000000006</v>
      </c>
      <c r="AG640" s="556">
        <f t="shared" si="57"/>
        <v>70261.47</v>
      </c>
      <c r="AH640" s="44"/>
    </row>
    <row r="641" spans="1:36" hidden="1" outlineLevel="1" x14ac:dyDescent="0.35">
      <c r="A641" t="b">
        <f t="shared" si="43"/>
        <v>1</v>
      </c>
      <c r="B641" s="27" t="s">
        <v>544</v>
      </c>
      <c r="C641" s="27" t="s">
        <v>51</v>
      </c>
      <c r="D641" s="27" t="s">
        <v>1513</v>
      </c>
      <c r="E641" s="27" t="s">
        <v>51</v>
      </c>
      <c r="F641" s="27" t="s">
        <v>501</v>
      </c>
      <c r="G641" s="27" t="s">
        <v>481</v>
      </c>
      <c r="H641" s="27" t="s">
        <v>447</v>
      </c>
      <c r="I641" s="27" t="s">
        <v>440</v>
      </c>
      <c r="J641" s="27" t="s">
        <v>448</v>
      </c>
      <c r="K641" s="27" t="s">
        <v>491</v>
      </c>
      <c r="L641" s="27" t="s">
        <v>492</v>
      </c>
      <c r="M641" s="27" t="s">
        <v>545</v>
      </c>
      <c r="N641" s="27" t="s">
        <v>494</v>
      </c>
      <c r="O641" s="27" t="s">
        <v>491</v>
      </c>
      <c r="P641" s="27" t="s">
        <v>480</v>
      </c>
      <c r="Q641" s="27" t="s">
        <v>372</v>
      </c>
      <c r="R641" s="556">
        <f t="shared" si="44"/>
        <v>0</v>
      </c>
      <c r="S641" s="556">
        <f t="shared" si="46"/>
        <v>0</v>
      </c>
      <c r="T641" s="556">
        <f t="shared" si="47"/>
        <v>0</v>
      </c>
      <c r="U641" s="556">
        <f t="shared" si="48"/>
        <v>0</v>
      </c>
      <c r="V641" s="556">
        <f t="shared" si="49"/>
        <v>0</v>
      </c>
      <c r="W641" s="556">
        <f t="shared" si="50"/>
        <v>0</v>
      </c>
      <c r="X641" s="556">
        <f t="shared" si="51"/>
        <v>0</v>
      </c>
      <c r="Y641" s="556">
        <f t="shared" si="52"/>
        <v>0</v>
      </c>
      <c r="Z641" s="556">
        <f t="shared" si="53"/>
        <v>0</v>
      </c>
      <c r="AA641" s="556">
        <f t="shared" si="54"/>
        <v>0</v>
      </c>
      <c r="AB641" s="556">
        <f t="shared" si="55"/>
        <v>0</v>
      </c>
      <c r="AC641" s="556">
        <f t="shared" si="56"/>
        <v>0</v>
      </c>
      <c r="AD641" s="556">
        <f t="shared" si="45"/>
        <v>0</v>
      </c>
      <c r="AE641" s="556">
        <f t="shared" si="57"/>
        <v>0</v>
      </c>
      <c r="AF641" s="556">
        <f t="shared" si="57"/>
        <v>0</v>
      </c>
      <c r="AG641" s="556">
        <f t="shared" si="57"/>
        <v>0</v>
      </c>
      <c r="AH641" s="44"/>
    </row>
    <row r="642" spans="1:36" hidden="1" outlineLevel="1" x14ac:dyDescent="0.35">
      <c r="A642" t="b">
        <f t="shared" si="43"/>
        <v>1</v>
      </c>
      <c r="B642" s="27" t="s">
        <v>546</v>
      </c>
      <c r="C642" s="27" t="s">
        <v>51</v>
      </c>
      <c r="D642" s="27" t="s">
        <v>1514</v>
      </c>
      <c r="E642" s="27" t="s">
        <v>51</v>
      </c>
      <c r="F642" s="27" t="s">
        <v>501</v>
      </c>
      <c r="G642" s="27" t="s">
        <v>547</v>
      </c>
      <c r="H642" s="27" t="s">
        <v>447</v>
      </c>
      <c r="I642" s="27" t="s">
        <v>440</v>
      </c>
      <c r="J642" s="27" t="s">
        <v>448</v>
      </c>
      <c r="K642" s="27" t="s">
        <v>476</v>
      </c>
      <c r="L642" s="27" t="s">
        <v>503</v>
      </c>
      <c r="M642" s="27" t="s">
        <v>504</v>
      </c>
      <c r="N642" s="27" t="s">
        <v>505</v>
      </c>
      <c r="O642" s="27" t="s">
        <v>480</v>
      </c>
      <c r="P642" s="27" t="s">
        <v>480</v>
      </c>
      <c r="Q642" s="27" t="s">
        <v>372</v>
      </c>
      <c r="R642" s="556">
        <f t="shared" si="44"/>
        <v>0</v>
      </c>
      <c r="S642" s="556">
        <f t="shared" si="46"/>
        <v>0</v>
      </c>
      <c r="T642" s="556">
        <f t="shared" si="47"/>
        <v>0</v>
      </c>
      <c r="U642" s="556">
        <f t="shared" si="48"/>
        <v>0</v>
      </c>
      <c r="V642" s="556">
        <f t="shared" si="49"/>
        <v>0</v>
      </c>
      <c r="W642" s="556">
        <f t="shared" si="50"/>
        <v>0</v>
      </c>
      <c r="X642" s="556">
        <f t="shared" si="51"/>
        <v>0</v>
      </c>
      <c r="Y642" s="556">
        <f t="shared" si="52"/>
        <v>0</v>
      </c>
      <c r="Z642" s="556">
        <f t="shared" si="53"/>
        <v>0</v>
      </c>
      <c r="AA642" s="556">
        <f t="shared" si="54"/>
        <v>0</v>
      </c>
      <c r="AB642" s="556">
        <f t="shared" si="55"/>
        <v>0</v>
      </c>
      <c r="AC642" s="556">
        <f t="shared" si="56"/>
        <v>0</v>
      </c>
      <c r="AD642" s="556">
        <f t="shared" si="45"/>
        <v>0</v>
      </c>
      <c r="AE642" s="556">
        <f t="shared" si="57"/>
        <v>0</v>
      </c>
      <c r="AF642" s="556">
        <f t="shared" si="57"/>
        <v>0</v>
      </c>
      <c r="AG642" s="556">
        <f t="shared" si="57"/>
        <v>0</v>
      </c>
      <c r="AH642" s="44"/>
    </row>
    <row r="643" spans="1:36" hidden="1" outlineLevel="1" x14ac:dyDescent="0.35">
      <c r="A643" t="b">
        <f t="shared" si="43"/>
        <v>1</v>
      </c>
      <c r="B643" s="27" t="s">
        <v>1256</v>
      </c>
      <c r="C643" s="27" t="s">
        <v>51</v>
      </c>
      <c r="D643" s="27" t="s">
        <v>1835</v>
      </c>
      <c r="E643" s="27" t="s">
        <v>51</v>
      </c>
      <c r="F643" s="27" t="s">
        <v>501</v>
      </c>
      <c r="G643" s="27" t="s">
        <v>1515</v>
      </c>
      <c r="H643" s="27" t="s">
        <v>447</v>
      </c>
      <c r="I643" s="27" t="s">
        <v>440</v>
      </c>
      <c r="J643" s="27" t="s">
        <v>448</v>
      </c>
      <c r="K643" s="27" t="s">
        <v>476</v>
      </c>
      <c r="L643" s="27" t="s">
        <v>1016</v>
      </c>
      <c r="M643" s="27" t="s">
        <v>1016</v>
      </c>
      <c r="N643" s="27" t="s">
        <v>1016</v>
      </c>
      <c r="O643" s="27" t="s">
        <v>480</v>
      </c>
      <c r="P643" s="27" t="s">
        <v>480</v>
      </c>
      <c r="Q643" s="27" t="s">
        <v>372</v>
      </c>
      <c r="R643" s="556">
        <f t="shared" si="44"/>
        <v>-0.75</v>
      </c>
      <c r="S643" s="556">
        <f t="shared" si="46"/>
        <v>15487.25</v>
      </c>
      <c r="T643" s="556">
        <f t="shared" si="47"/>
        <v>7642.2599999999984</v>
      </c>
      <c r="U643" s="556">
        <f t="shared" si="48"/>
        <v>81763.780000000013</v>
      </c>
      <c r="V643" s="556">
        <f t="shared" si="49"/>
        <v>16267.27999999997</v>
      </c>
      <c r="W643" s="556">
        <f t="shared" si="50"/>
        <v>6554.7800000000279</v>
      </c>
      <c r="X643" s="556">
        <f t="shared" si="51"/>
        <v>29947.540000000008</v>
      </c>
      <c r="Y643" s="556">
        <f t="shared" si="52"/>
        <v>64385.449999999983</v>
      </c>
      <c r="Z643" s="556">
        <f t="shared" si="53"/>
        <v>30815.75999999998</v>
      </c>
      <c r="AA643" s="556">
        <f t="shared" si="54"/>
        <v>31294.060000000056</v>
      </c>
      <c r="AB643" s="556">
        <f t="shared" si="55"/>
        <v>65983.579999999958</v>
      </c>
      <c r="AC643" s="556">
        <f t="shared" si="56"/>
        <v>80882.94</v>
      </c>
      <c r="AD643" s="556">
        <f t="shared" si="45"/>
        <v>118062.27</v>
      </c>
      <c r="AE643" s="556">
        <f t="shared" si="57"/>
        <v>76110.560000000012</v>
      </c>
      <c r="AF643" s="556">
        <f t="shared" si="57"/>
        <v>61598.390000000014</v>
      </c>
      <c r="AG643" s="556">
        <f t="shared" si="57"/>
        <v>258240.90999999997</v>
      </c>
      <c r="AH643" s="44"/>
    </row>
    <row r="644" spans="1:36" hidden="1" outlineLevel="1" x14ac:dyDescent="0.35">
      <c r="A644" t="b">
        <f t="shared" si="43"/>
        <v>1</v>
      </c>
      <c r="B644" s="27" t="s">
        <v>1257</v>
      </c>
      <c r="C644" s="27" t="s">
        <v>51</v>
      </c>
      <c r="D644" s="27" t="s">
        <v>1836</v>
      </c>
      <c r="E644" s="27" t="s">
        <v>51</v>
      </c>
      <c r="F644" s="27" t="s">
        <v>501</v>
      </c>
      <c r="G644" s="27" t="s">
        <v>1516</v>
      </c>
      <c r="H644" s="27" t="s">
        <v>447</v>
      </c>
      <c r="I644" s="27" t="s">
        <v>440</v>
      </c>
      <c r="J644" s="27" t="s">
        <v>448</v>
      </c>
      <c r="K644" s="27" t="s">
        <v>476</v>
      </c>
      <c r="L644" s="27" t="s">
        <v>548</v>
      </c>
      <c r="M644" s="27" t="s">
        <v>548</v>
      </c>
      <c r="N644" s="27" t="s">
        <v>548</v>
      </c>
      <c r="O644" s="27" t="s">
        <v>480</v>
      </c>
      <c r="P644" s="27" t="s">
        <v>480</v>
      </c>
      <c r="Q644" s="27" t="s">
        <v>372</v>
      </c>
      <c r="R644" s="556">
        <f t="shared" si="44"/>
        <v>10340.570000000002</v>
      </c>
      <c r="S644" s="556">
        <f t="shared" si="46"/>
        <v>47249.46</v>
      </c>
      <c r="T644" s="556">
        <f t="shared" si="47"/>
        <v>62246.100000000006</v>
      </c>
      <c r="U644" s="556">
        <f t="shared" si="48"/>
        <v>24494.119999999995</v>
      </c>
      <c r="V644" s="556">
        <f t="shared" si="49"/>
        <v>49966.010000000009</v>
      </c>
      <c r="W644" s="556">
        <f t="shared" si="50"/>
        <v>38922.409999999974</v>
      </c>
      <c r="X644" s="556">
        <f t="shared" si="51"/>
        <v>52021.580000000016</v>
      </c>
      <c r="Y644" s="556">
        <f t="shared" si="52"/>
        <v>44691.849999999977</v>
      </c>
      <c r="Z644" s="556">
        <f t="shared" si="53"/>
        <v>37895.650000000023</v>
      </c>
      <c r="AA644" s="556">
        <f t="shared" si="54"/>
        <v>29373.869999999995</v>
      </c>
      <c r="AB644" s="556">
        <f t="shared" si="55"/>
        <v>66594.609999999986</v>
      </c>
      <c r="AC644" s="556">
        <f t="shared" si="56"/>
        <v>73935.890000000014</v>
      </c>
      <c r="AD644" s="556">
        <f t="shared" si="45"/>
        <v>20097.080000000002</v>
      </c>
      <c r="AE644" s="556">
        <f t="shared" si="57"/>
        <v>83252.249999999985</v>
      </c>
      <c r="AF644" s="556">
        <f t="shared" si="57"/>
        <v>85483.43</v>
      </c>
      <c r="AG644" s="556">
        <f t="shared" si="57"/>
        <v>41783.24000000002</v>
      </c>
      <c r="AH644" s="44"/>
    </row>
    <row r="645" spans="1:36" hidden="1" outlineLevel="1" x14ac:dyDescent="0.35">
      <c r="A645" t="b">
        <f t="shared" si="43"/>
        <v>1</v>
      </c>
      <c r="B645" s="27" t="s">
        <v>549</v>
      </c>
      <c r="C645" s="27" t="s">
        <v>51</v>
      </c>
      <c r="D645" s="27" t="s">
        <v>1517</v>
      </c>
      <c r="E645" s="27" t="s">
        <v>51</v>
      </c>
      <c r="F645" s="27" t="s">
        <v>512</v>
      </c>
      <c r="G645" s="27" t="s">
        <v>550</v>
      </c>
      <c r="H645" s="27" t="s">
        <v>447</v>
      </c>
      <c r="I645" s="27" t="s">
        <v>440</v>
      </c>
      <c r="J645" s="27" t="s">
        <v>448</v>
      </c>
      <c r="K645" s="27" t="s">
        <v>491</v>
      </c>
      <c r="L645" s="27" t="s">
        <v>521</v>
      </c>
      <c r="M645" s="27" t="s">
        <v>521</v>
      </c>
      <c r="N645" s="27" t="s">
        <v>488</v>
      </c>
      <c r="O645" s="27" t="s">
        <v>491</v>
      </c>
      <c r="P645" s="27" t="s">
        <v>491</v>
      </c>
      <c r="Q645" s="27" t="s">
        <v>372</v>
      </c>
      <c r="R645" s="556">
        <f t="shared" si="44"/>
        <v>1278308.8799999999</v>
      </c>
      <c r="S645" s="556">
        <f t="shared" si="46"/>
        <v>1278308.8799999999</v>
      </c>
      <c r="T645" s="556">
        <f t="shared" si="47"/>
        <v>1045280.2800000003</v>
      </c>
      <c r="U645" s="556">
        <f t="shared" si="48"/>
        <v>1045280.2800000003</v>
      </c>
      <c r="V645" s="556">
        <f t="shared" si="49"/>
        <v>1737039.13</v>
      </c>
      <c r="W645" s="556">
        <f t="shared" si="50"/>
        <v>2339032.9200000009</v>
      </c>
      <c r="X645" s="556">
        <f t="shared" si="51"/>
        <v>25137.849999999627</v>
      </c>
      <c r="Y645" s="556">
        <f t="shared" si="52"/>
        <v>1234778</v>
      </c>
      <c r="Z645" s="556">
        <f t="shared" si="53"/>
        <v>825152</v>
      </c>
      <c r="AA645" s="556">
        <f t="shared" si="54"/>
        <v>-232328.25</v>
      </c>
      <c r="AB645" s="556">
        <f t="shared" si="55"/>
        <v>237332.11999999918</v>
      </c>
      <c r="AC645" s="556">
        <f t="shared" si="56"/>
        <v>894279.13000000082</v>
      </c>
      <c r="AD645" s="556">
        <f t="shared" si="45"/>
        <v>0</v>
      </c>
      <c r="AE645" s="556">
        <f t="shared" si="57"/>
        <v>0</v>
      </c>
      <c r="AF645" s="556">
        <f t="shared" si="57"/>
        <v>0</v>
      </c>
      <c r="AG645" s="556">
        <f t="shared" si="57"/>
        <v>0</v>
      </c>
      <c r="AH645" s="44"/>
      <c r="AJ645" s="44"/>
    </row>
    <row r="646" spans="1:36" hidden="1" outlineLevel="1" x14ac:dyDescent="0.35">
      <c r="A646" t="b">
        <f t="shared" si="43"/>
        <v>1</v>
      </c>
      <c r="B646" s="27" t="s">
        <v>551</v>
      </c>
      <c r="C646" s="27" t="s">
        <v>51</v>
      </c>
      <c r="D646" s="27" t="s">
        <v>1518</v>
      </c>
      <c r="E646" s="27" t="s">
        <v>51</v>
      </c>
      <c r="F646" s="27" t="s">
        <v>501</v>
      </c>
      <c r="G646" s="27" t="s">
        <v>552</v>
      </c>
      <c r="H646" s="27" t="s">
        <v>447</v>
      </c>
      <c r="I646" s="27" t="s">
        <v>440</v>
      </c>
      <c r="J646" s="27" t="s">
        <v>448</v>
      </c>
      <c r="K646" s="27" t="s">
        <v>491</v>
      </c>
      <c r="L646" s="27" t="s">
        <v>492</v>
      </c>
      <c r="M646" s="27" t="s">
        <v>553</v>
      </c>
      <c r="N646" s="27" t="s">
        <v>484</v>
      </c>
      <c r="O646" s="27" t="s">
        <v>491</v>
      </c>
      <c r="P646" s="27" t="s">
        <v>480</v>
      </c>
      <c r="Q646" s="27" t="s">
        <v>372</v>
      </c>
      <c r="R646" s="556">
        <f t="shared" si="44"/>
        <v>0</v>
      </c>
      <c r="S646" s="556">
        <f t="shared" si="46"/>
        <v>0</v>
      </c>
      <c r="T646" s="556">
        <f t="shared" si="47"/>
        <v>0</v>
      </c>
      <c r="U646" s="556">
        <f t="shared" si="48"/>
        <v>0</v>
      </c>
      <c r="V646" s="556">
        <f t="shared" si="49"/>
        <v>0</v>
      </c>
      <c r="W646" s="556">
        <f t="shared" si="50"/>
        <v>0</v>
      </c>
      <c r="X646" s="556">
        <f t="shared" si="51"/>
        <v>0</v>
      </c>
      <c r="Y646" s="556">
        <f t="shared" si="52"/>
        <v>0</v>
      </c>
      <c r="Z646" s="556">
        <f t="shared" si="53"/>
        <v>0</v>
      </c>
      <c r="AA646" s="556">
        <f t="shared" si="54"/>
        <v>0</v>
      </c>
      <c r="AB646" s="556">
        <f t="shared" si="55"/>
        <v>0</v>
      </c>
      <c r="AC646" s="556">
        <f t="shared" si="56"/>
        <v>0</v>
      </c>
      <c r="AD646" s="556">
        <f t="shared" si="45"/>
        <v>0</v>
      </c>
      <c r="AE646" s="556">
        <f t="shared" si="57"/>
        <v>0</v>
      </c>
      <c r="AF646" s="556">
        <f t="shared" si="57"/>
        <v>0</v>
      </c>
      <c r="AG646" s="556">
        <f t="shared" si="57"/>
        <v>0</v>
      </c>
      <c r="AH646" s="44"/>
    </row>
    <row r="647" spans="1:36" hidden="1" outlineLevel="1" x14ac:dyDescent="0.35">
      <c r="A647" t="b">
        <f t="shared" si="43"/>
        <v>1</v>
      </c>
      <c r="B647" s="27" t="s">
        <v>1258</v>
      </c>
      <c r="C647" s="27" t="s">
        <v>51</v>
      </c>
      <c r="D647" s="27" t="s">
        <v>1837</v>
      </c>
      <c r="E647" s="27" t="s">
        <v>51</v>
      </c>
      <c r="F647" s="27" t="s">
        <v>501</v>
      </c>
      <c r="G647" s="27" t="s">
        <v>1519</v>
      </c>
      <c r="H647" s="27" t="s">
        <v>447</v>
      </c>
      <c r="I647" s="27" t="s">
        <v>440</v>
      </c>
      <c r="J647" s="27" t="s">
        <v>448</v>
      </c>
      <c r="K647" s="27" t="s">
        <v>476</v>
      </c>
      <c r="L647" s="27" t="s">
        <v>498</v>
      </c>
      <c r="M647" s="27" t="s">
        <v>498</v>
      </c>
      <c r="N647" s="27" t="s">
        <v>498</v>
      </c>
      <c r="O647" s="27" t="s">
        <v>480</v>
      </c>
      <c r="P647" s="27" t="s">
        <v>480</v>
      </c>
      <c r="Q647" s="27" t="s">
        <v>372</v>
      </c>
      <c r="R647" s="556">
        <f t="shared" si="44"/>
        <v>24455.62</v>
      </c>
      <c r="S647" s="556">
        <f t="shared" si="46"/>
        <v>24455.62</v>
      </c>
      <c r="T647" s="556">
        <f t="shared" si="47"/>
        <v>24455.620000000003</v>
      </c>
      <c r="U647" s="556">
        <f t="shared" si="48"/>
        <v>24755.619999999995</v>
      </c>
      <c r="V647" s="556">
        <f t="shared" si="49"/>
        <v>24455.619999999995</v>
      </c>
      <c r="W647" s="556">
        <f t="shared" si="50"/>
        <v>25065.33</v>
      </c>
      <c r="X647" s="556">
        <f t="shared" si="51"/>
        <v>24455.619999999995</v>
      </c>
      <c r="Y647" s="556">
        <f t="shared" si="52"/>
        <v>24455.620000000024</v>
      </c>
      <c r="Z647" s="556">
        <f t="shared" si="53"/>
        <v>44590.76999999999</v>
      </c>
      <c r="AA647" s="556">
        <f t="shared" si="54"/>
        <v>19349.389999999985</v>
      </c>
      <c r="AB647" s="556">
        <f t="shared" si="55"/>
        <v>2313.3500000000058</v>
      </c>
      <c r="AC647" s="556">
        <f t="shared" si="56"/>
        <v>20849.489999999991</v>
      </c>
      <c r="AD647" s="556">
        <f t="shared" si="45"/>
        <v>123289.52</v>
      </c>
      <c r="AE647" s="556">
        <f t="shared" si="57"/>
        <v>80002.12999999999</v>
      </c>
      <c r="AF647" s="556">
        <f t="shared" si="57"/>
        <v>27448.550000000017</v>
      </c>
      <c r="AG647" s="556">
        <f t="shared" si="57"/>
        <v>250637.03999999998</v>
      </c>
      <c r="AH647" s="44"/>
    </row>
    <row r="648" spans="1:36" hidden="1" outlineLevel="1" x14ac:dyDescent="0.35">
      <c r="A648" t="b">
        <f t="shared" si="43"/>
        <v>1</v>
      </c>
      <c r="B648" s="27" t="s">
        <v>1259</v>
      </c>
      <c r="C648" s="27" t="s">
        <v>51</v>
      </c>
      <c r="D648" s="27" t="s">
        <v>1838</v>
      </c>
      <c r="E648" s="27" t="s">
        <v>51</v>
      </c>
      <c r="F648" s="27" t="s">
        <v>501</v>
      </c>
      <c r="G648" s="27" t="s">
        <v>1520</v>
      </c>
      <c r="H648" s="27" t="s">
        <v>447</v>
      </c>
      <c r="I648" s="27" t="s">
        <v>440</v>
      </c>
      <c r="J648" s="27" t="s">
        <v>448</v>
      </c>
      <c r="K648" s="27" t="s">
        <v>476</v>
      </c>
      <c r="L648" s="27" t="s">
        <v>502</v>
      </c>
      <c r="M648" s="27" t="s">
        <v>502</v>
      </c>
      <c r="N648" s="27" t="s">
        <v>502</v>
      </c>
      <c r="O648" s="27" t="s">
        <v>480</v>
      </c>
      <c r="P648" s="27" t="s">
        <v>480</v>
      </c>
      <c r="Q648" s="27" t="s">
        <v>372</v>
      </c>
      <c r="R648" s="556">
        <f t="shared" si="44"/>
        <v>0</v>
      </c>
      <c r="S648" s="556">
        <f t="shared" si="46"/>
        <v>0</v>
      </c>
      <c r="T648" s="556">
        <f t="shared" si="47"/>
        <v>0</v>
      </c>
      <c r="U648" s="556">
        <f t="shared" si="48"/>
        <v>0</v>
      </c>
      <c r="V648" s="556">
        <f t="shared" si="49"/>
        <v>14961</v>
      </c>
      <c r="W648" s="556">
        <f t="shared" si="50"/>
        <v>8152</v>
      </c>
      <c r="X648" s="556">
        <f t="shared" si="51"/>
        <v>0</v>
      </c>
      <c r="Y648" s="556">
        <f t="shared" si="52"/>
        <v>0</v>
      </c>
      <c r="Z648" s="556">
        <f t="shared" si="53"/>
        <v>0</v>
      </c>
      <c r="AA648" s="556">
        <f t="shared" si="54"/>
        <v>0</v>
      </c>
      <c r="AB648" s="556">
        <f t="shared" si="55"/>
        <v>0</v>
      </c>
      <c r="AC648" s="556">
        <f t="shared" si="56"/>
        <v>0</v>
      </c>
      <c r="AD648" s="556">
        <f t="shared" si="45"/>
        <v>0</v>
      </c>
      <c r="AE648" s="556">
        <f t="shared" si="57"/>
        <v>0</v>
      </c>
      <c r="AF648" s="556">
        <f t="shared" si="57"/>
        <v>175</v>
      </c>
      <c r="AG648" s="556">
        <f t="shared" si="57"/>
        <v>0</v>
      </c>
      <c r="AH648" s="44"/>
    </row>
    <row r="649" spans="1:36" hidden="1" outlineLevel="1" x14ac:dyDescent="0.35">
      <c r="A649" t="b">
        <f t="shared" si="43"/>
        <v>1</v>
      </c>
      <c r="B649" s="27" t="s">
        <v>1260</v>
      </c>
      <c r="C649" s="27" t="s">
        <v>51</v>
      </c>
      <c r="D649" s="27" t="s">
        <v>1839</v>
      </c>
      <c r="E649" s="27" t="s">
        <v>51</v>
      </c>
      <c r="F649" s="27" t="s">
        <v>501</v>
      </c>
      <c r="G649" s="27" t="s">
        <v>1521</v>
      </c>
      <c r="H649" s="27" t="s">
        <v>447</v>
      </c>
      <c r="I649" s="27" t="s">
        <v>440</v>
      </c>
      <c r="J649" s="27" t="s">
        <v>448</v>
      </c>
      <c r="K649" s="27" t="s">
        <v>476</v>
      </c>
      <c r="L649" s="27" t="s">
        <v>535</v>
      </c>
      <c r="M649" s="27" t="s">
        <v>535</v>
      </c>
      <c r="N649" s="27" t="s">
        <v>535</v>
      </c>
      <c r="O649" s="27" t="s">
        <v>480</v>
      </c>
      <c r="P649" s="27" t="s">
        <v>480</v>
      </c>
      <c r="Q649" s="27" t="s">
        <v>372</v>
      </c>
      <c r="R649" s="556">
        <f t="shared" si="44"/>
        <v>45480.12</v>
      </c>
      <c r="S649" s="556">
        <f t="shared" si="46"/>
        <v>63560.719999999994</v>
      </c>
      <c r="T649" s="556">
        <f t="shared" si="47"/>
        <v>35652.389999999985</v>
      </c>
      <c r="U649" s="556">
        <f t="shared" si="48"/>
        <v>26471.050000000017</v>
      </c>
      <c r="V649" s="556">
        <f t="shared" si="49"/>
        <v>23461.540000000008</v>
      </c>
      <c r="W649" s="556">
        <f t="shared" si="50"/>
        <v>30225.140000000014</v>
      </c>
      <c r="X649" s="556">
        <f t="shared" si="51"/>
        <v>37082.559999999969</v>
      </c>
      <c r="Y649" s="556">
        <f t="shared" si="52"/>
        <v>37520.839999999997</v>
      </c>
      <c r="Z649" s="556">
        <f t="shared" si="53"/>
        <v>44975.719999999972</v>
      </c>
      <c r="AA649" s="556">
        <f t="shared" si="54"/>
        <v>35657.010000000068</v>
      </c>
      <c r="AB649" s="556">
        <f t="shared" si="55"/>
        <v>35869.579999999958</v>
      </c>
      <c r="AC649" s="556">
        <f t="shared" si="56"/>
        <v>47442.090000000026</v>
      </c>
      <c r="AD649" s="556">
        <f t="shared" si="45"/>
        <v>47442.09</v>
      </c>
      <c r="AE649" s="556">
        <f t="shared" si="57"/>
        <v>116569.34</v>
      </c>
      <c r="AF649" s="556">
        <f t="shared" si="57"/>
        <v>87616.800000000017</v>
      </c>
      <c r="AG649" s="556">
        <f t="shared" si="57"/>
        <v>0</v>
      </c>
      <c r="AH649" s="44"/>
    </row>
    <row r="650" spans="1:36" hidden="1" outlineLevel="1" x14ac:dyDescent="0.35">
      <c r="A650" t="b">
        <f t="shared" si="43"/>
        <v>1</v>
      </c>
      <c r="B650" s="27" t="s">
        <v>1261</v>
      </c>
      <c r="C650" s="27" t="s">
        <v>51</v>
      </c>
      <c r="D650" s="27" t="s">
        <v>1840</v>
      </c>
      <c r="E650" s="27" t="s">
        <v>51</v>
      </c>
      <c r="F650" s="27" t="s">
        <v>556</v>
      </c>
      <c r="G650" s="27" t="s">
        <v>1413</v>
      </c>
      <c r="H650" s="27" t="s">
        <v>447</v>
      </c>
      <c r="I650" s="27" t="s">
        <v>440</v>
      </c>
      <c r="J650" s="27" t="s">
        <v>448</v>
      </c>
      <c r="K650" s="27" t="s">
        <v>557</v>
      </c>
      <c r="L650" s="27" t="s">
        <v>557</v>
      </c>
      <c r="M650" s="27" t="s">
        <v>558</v>
      </c>
      <c r="N650" s="27" t="s">
        <v>558</v>
      </c>
      <c r="O650" s="27" t="s">
        <v>557</v>
      </c>
      <c r="P650" s="27" t="s">
        <v>557</v>
      </c>
      <c r="Q650" s="27" t="s">
        <v>372</v>
      </c>
      <c r="R650" s="556">
        <f t="shared" si="44"/>
        <v>44255.38</v>
      </c>
      <c r="S650" s="556">
        <f t="shared" si="46"/>
        <v>44255.38</v>
      </c>
      <c r="T650" s="556">
        <f t="shared" si="47"/>
        <v>44255.37999999999</v>
      </c>
      <c r="U650" s="556">
        <f t="shared" si="48"/>
        <v>44255.380000000034</v>
      </c>
      <c r="V650" s="556">
        <f t="shared" si="49"/>
        <v>44255.379999999976</v>
      </c>
      <c r="W650" s="556">
        <f t="shared" si="50"/>
        <v>44255.379999999976</v>
      </c>
      <c r="X650" s="556">
        <f t="shared" si="51"/>
        <v>44255.380000000005</v>
      </c>
      <c r="Y650" s="556">
        <f t="shared" si="52"/>
        <v>44255.380000000005</v>
      </c>
      <c r="Z650" s="556">
        <f t="shared" si="53"/>
        <v>44608.090000000026</v>
      </c>
      <c r="AA650" s="556">
        <f t="shared" si="54"/>
        <v>45413.409999999974</v>
      </c>
      <c r="AB650" s="556">
        <f t="shared" si="55"/>
        <v>46137.300000000047</v>
      </c>
      <c r="AC650" s="556">
        <f t="shared" si="56"/>
        <v>46340.460000000021</v>
      </c>
      <c r="AD650" s="556">
        <f t="shared" si="45"/>
        <v>47723.8</v>
      </c>
      <c r="AE650" s="556">
        <f t="shared" si="57"/>
        <v>48037.899999999994</v>
      </c>
      <c r="AF650" s="556">
        <f t="shared" si="57"/>
        <v>57817.37000000001</v>
      </c>
      <c r="AG650" s="556">
        <f t="shared" si="57"/>
        <v>54146</v>
      </c>
      <c r="AH650" s="44"/>
    </row>
    <row r="651" spans="1:36" hidden="1" outlineLevel="1" x14ac:dyDescent="0.35">
      <c r="A651" t="b">
        <f t="shared" si="43"/>
        <v>1</v>
      </c>
      <c r="B651" s="27" t="s">
        <v>1262</v>
      </c>
      <c r="C651" s="27" t="s">
        <v>51</v>
      </c>
      <c r="D651" s="27" t="s">
        <v>1841</v>
      </c>
      <c r="E651" s="27" t="s">
        <v>51</v>
      </c>
      <c r="F651" s="27" t="s">
        <v>559</v>
      </c>
      <c r="G651" s="27" t="s">
        <v>1522</v>
      </c>
      <c r="H651" s="27" t="s">
        <v>447</v>
      </c>
      <c r="I651" s="27" t="s">
        <v>440</v>
      </c>
      <c r="J651" s="27" t="s">
        <v>448</v>
      </c>
      <c r="K651" s="27" t="s">
        <v>557</v>
      </c>
      <c r="L651" s="27" t="s">
        <v>557</v>
      </c>
      <c r="M651" s="27" t="s">
        <v>923</v>
      </c>
      <c r="N651" s="27" t="s">
        <v>923</v>
      </c>
      <c r="O651" s="27" t="s">
        <v>557</v>
      </c>
      <c r="P651" s="27" t="s">
        <v>557</v>
      </c>
      <c r="Q651" s="27" t="s">
        <v>372</v>
      </c>
      <c r="R651" s="556">
        <f t="shared" si="44"/>
        <v>712474.45</v>
      </c>
      <c r="S651" s="556">
        <f t="shared" si="46"/>
        <v>786141.87000000011</v>
      </c>
      <c r="T651" s="556">
        <f t="shared" si="47"/>
        <v>749308.15999999992</v>
      </c>
      <c r="U651" s="556">
        <f t="shared" si="48"/>
        <v>1134099.33</v>
      </c>
      <c r="V651" s="556">
        <f t="shared" si="49"/>
        <v>1067405.0500000003</v>
      </c>
      <c r="W651" s="556">
        <f t="shared" si="50"/>
        <v>1067405.5899999999</v>
      </c>
      <c r="X651" s="556">
        <f t="shared" si="51"/>
        <v>1116162.17</v>
      </c>
      <c r="Y651" s="556">
        <f t="shared" si="52"/>
        <v>1139137.6399999997</v>
      </c>
      <c r="Z651" s="556">
        <f t="shared" si="53"/>
        <v>1139137.6400000006</v>
      </c>
      <c r="AA651" s="556">
        <f t="shared" si="54"/>
        <v>1180533.0999999996</v>
      </c>
      <c r="AB651" s="556">
        <f t="shared" si="55"/>
        <v>1361277.1899999995</v>
      </c>
      <c r="AC651" s="556">
        <f t="shared" si="56"/>
        <v>8211765.6800000016</v>
      </c>
      <c r="AD651" s="556">
        <f t="shared" si="45"/>
        <v>2514847.69</v>
      </c>
      <c r="AE651" s="556">
        <f t="shared" ref="AE651:AG670" si="58">+IF(AE$10="Actuals",IF($O173="Revenue",-IF($H173="BS",AE173,IF($H173="P&amp;L",AE173-AD173,0)),IF($H173="BS",AE173,IF($H173="P&amp;L",AE173-AD173,0))),0)</f>
        <v>2514847.3699999996</v>
      </c>
      <c r="AF651" s="556">
        <f t="shared" si="58"/>
        <v>2818383.21</v>
      </c>
      <c r="AG651" s="556">
        <f t="shared" si="58"/>
        <v>2779421.7300000004</v>
      </c>
      <c r="AH651" s="44"/>
    </row>
    <row r="652" spans="1:36" hidden="1" outlineLevel="1" x14ac:dyDescent="0.35">
      <c r="A652" t="b">
        <f t="shared" si="43"/>
        <v>1</v>
      </c>
      <c r="B652" s="27" t="s">
        <v>1263</v>
      </c>
      <c r="C652" s="27" t="s">
        <v>51</v>
      </c>
      <c r="D652" s="27" t="s">
        <v>1842</v>
      </c>
      <c r="E652" s="27" t="s">
        <v>51</v>
      </c>
      <c r="F652" s="27" t="s">
        <v>556</v>
      </c>
      <c r="G652" s="27" t="s">
        <v>2017</v>
      </c>
      <c r="H652" s="27" t="s">
        <v>447</v>
      </c>
      <c r="I652" s="27" t="s">
        <v>440</v>
      </c>
      <c r="J652" s="27" t="s">
        <v>448</v>
      </c>
      <c r="K652" s="27" t="s">
        <v>557</v>
      </c>
      <c r="L652" s="27" t="s">
        <v>557</v>
      </c>
      <c r="M652" s="27" t="s">
        <v>560</v>
      </c>
      <c r="N652" s="27" t="s">
        <v>560</v>
      </c>
      <c r="O652" s="27" t="s">
        <v>557</v>
      </c>
      <c r="P652" s="27" t="s">
        <v>557</v>
      </c>
      <c r="Q652" s="27" t="s">
        <v>372</v>
      </c>
      <c r="R652" s="556">
        <f t="shared" si="44"/>
        <v>365211.32</v>
      </c>
      <c r="S652" s="556">
        <f t="shared" si="46"/>
        <v>410576.05</v>
      </c>
      <c r="T652" s="556">
        <f t="shared" si="47"/>
        <v>375757.45000000007</v>
      </c>
      <c r="U652" s="556">
        <f t="shared" si="48"/>
        <v>424329.58000000007</v>
      </c>
      <c r="V652" s="556">
        <f t="shared" si="49"/>
        <v>424329.57999999984</v>
      </c>
      <c r="W652" s="556">
        <f t="shared" si="50"/>
        <v>424751</v>
      </c>
      <c r="X652" s="556">
        <f t="shared" si="51"/>
        <v>534111.08000000007</v>
      </c>
      <c r="Y652" s="556">
        <f t="shared" si="52"/>
        <v>448843.94999999972</v>
      </c>
      <c r="Z652" s="556">
        <f t="shared" si="53"/>
        <v>449416.31999999983</v>
      </c>
      <c r="AA652" s="556">
        <f t="shared" si="54"/>
        <v>449481.76000000024</v>
      </c>
      <c r="AB652" s="556">
        <f t="shared" si="55"/>
        <v>497246.86000000034</v>
      </c>
      <c r="AC652" s="556">
        <f t="shared" si="56"/>
        <v>506337.1099999994</v>
      </c>
      <c r="AD652" s="556">
        <f t="shared" si="45"/>
        <v>648260.36</v>
      </c>
      <c r="AE652" s="556">
        <f t="shared" si="58"/>
        <v>585743.34</v>
      </c>
      <c r="AF652" s="556">
        <f t="shared" si="58"/>
        <v>759884.29</v>
      </c>
      <c r="AG652" s="556">
        <f t="shared" si="58"/>
        <v>-235741.65999999992</v>
      </c>
      <c r="AH652" s="44"/>
    </row>
    <row r="653" spans="1:36" hidden="1" outlineLevel="1" x14ac:dyDescent="0.35">
      <c r="A653" t="b">
        <f t="shared" si="43"/>
        <v>1</v>
      </c>
      <c r="B653" s="27" t="s">
        <v>1264</v>
      </c>
      <c r="C653" s="27" t="s">
        <v>51</v>
      </c>
      <c r="D653" s="27" t="s">
        <v>1843</v>
      </c>
      <c r="E653" s="27" t="s">
        <v>51</v>
      </c>
      <c r="F653" s="27" t="s">
        <v>556</v>
      </c>
      <c r="G653" s="27" t="s">
        <v>2018</v>
      </c>
      <c r="H653" s="27" t="s">
        <v>447</v>
      </c>
      <c r="I653" s="27" t="s">
        <v>440</v>
      </c>
      <c r="J653" s="27" t="s">
        <v>448</v>
      </c>
      <c r="K653" s="27" t="s">
        <v>557</v>
      </c>
      <c r="L653" s="27" t="s">
        <v>557</v>
      </c>
      <c r="M653" s="27" t="s">
        <v>560</v>
      </c>
      <c r="N653" s="27" t="s">
        <v>560</v>
      </c>
      <c r="O653" s="27" t="s">
        <v>557</v>
      </c>
      <c r="P653" s="27" t="s">
        <v>557</v>
      </c>
      <c r="Q653" s="27" t="s">
        <v>372</v>
      </c>
      <c r="R653" s="556">
        <f t="shared" si="44"/>
        <v>577039.49</v>
      </c>
      <c r="S653" s="556">
        <f t="shared" si="46"/>
        <v>582999.55000000005</v>
      </c>
      <c r="T653" s="556">
        <f t="shared" si="47"/>
        <v>644972.79</v>
      </c>
      <c r="U653" s="556">
        <f t="shared" si="48"/>
        <v>787663.64999999991</v>
      </c>
      <c r="V653" s="556">
        <f t="shared" si="49"/>
        <v>795640.9700000002</v>
      </c>
      <c r="W653" s="556">
        <f t="shared" si="50"/>
        <v>812428.33000000007</v>
      </c>
      <c r="X653" s="556">
        <f t="shared" si="51"/>
        <v>1273787.3999999994</v>
      </c>
      <c r="Y653" s="556">
        <f t="shared" si="52"/>
        <v>872742.24000000022</v>
      </c>
      <c r="Z653" s="556">
        <f t="shared" si="53"/>
        <v>874985.40000000037</v>
      </c>
      <c r="AA653" s="556">
        <f t="shared" si="54"/>
        <v>878859.87999999989</v>
      </c>
      <c r="AB653" s="556">
        <f t="shared" si="55"/>
        <v>1055921.9099999992</v>
      </c>
      <c r="AC653" s="556">
        <f t="shared" si="56"/>
        <v>1108792.5099999998</v>
      </c>
      <c r="AD653" s="556">
        <f t="shared" si="45"/>
        <v>1774103.19</v>
      </c>
      <c r="AE653" s="556">
        <f t="shared" si="58"/>
        <v>1742447.87</v>
      </c>
      <c r="AF653" s="556">
        <f t="shared" si="58"/>
        <v>1907360.3599999999</v>
      </c>
      <c r="AG653" s="556">
        <f t="shared" si="58"/>
        <v>53504.349999999627</v>
      </c>
      <c r="AH653" s="44"/>
    </row>
    <row r="654" spans="1:36" hidden="1" outlineLevel="1" x14ac:dyDescent="0.35">
      <c r="A654" t="b">
        <f t="shared" si="43"/>
        <v>1</v>
      </c>
      <c r="B654" s="27" t="s">
        <v>1265</v>
      </c>
      <c r="C654" s="27" t="s">
        <v>51</v>
      </c>
      <c r="D654" s="27" t="s">
        <v>1844</v>
      </c>
      <c r="E654" s="27" t="s">
        <v>51</v>
      </c>
      <c r="F654" s="27" t="s">
        <v>561</v>
      </c>
      <c r="G654" s="27" t="s">
        <v>1523</v>
      </c>
      <c r="H654" s="27" t="s">
        <v>447</v>
      </c>
      <c r="I654" s="27" t="s">
        <v>440</v>
      </c>
      <c r="J654" s="27" t="s">
        <v>448</v>
      </c>
      <c r="K654" s="27" t="s">
        <v>562</v>
      </c>
      <c r="L654" s="27" t="s">
        <v>562</v>
      </c>
      <c r="M654" s="27" t="s">
        <v>562</v>
      </c>
      <c r="N654" s="27" t="s">
        <v>371</v>
      </c>
      <c r="O654" s="27" t="s">
        <v>562</v>
      </c>
      <c r="P654" s="27" t="s">
        <v>562</v>
      </c>
      <c r="Q654" s="27" t="s">
        <v>372</v>
      </c>
      <c r="R654" s="556">
        <f t="shared" si="44"/>
        <v>324.66000000000003</v>
      </c>
      <c r="S654" s="556">
        <f t="shared" si="46"/>
        <v>3714.73</v>
      </c>
      <c r="T654" s="556">
        <f t="shared" si="47"/>
        <v>23362.53</v>
      </c>
      <c r="U654" s="556">
        <f t="shared" si="48"/>
        <v>278953.83</v>
      </c>
      <c r="V654" s="556">
        <f t="shared" si="49"/>
        <v>1049635.1499999999</v>
      </c>
      <c r="W654" s="556">
        <f t="shared" si="50"/>
        <v>600742.77</v>
      </c>
      <c r="X654" s="556">
        <f t="shared" si="51"/>
        <v>93439.469999999972</v>
      </c>
      <c r="Y654" s="556">
        <f t="shared" si="52"/>
        <v>57856.750000000233</v>
      </c>
      <c r="Z654" s="556">
        <f t="shared" si="53"/>
        <v>240838.79999999981</v>
      </c>
      <c r="AA654" s="556">
        <f t="shared" si="54"/>
        <v>41848.899999999907</v>
      </c>
      <c r="AB654" s="556">
        <f t="shared" si="55"/>
        <v>610423.41000000015</v>
      </c>
      <c r="AC654" s="556">
        <f t="shared" si="56"/>
        <v>25135</v>
      </c>
      <c r="AD654" s="556">
        <f t="shared" si="45"/>
        <v>61032.41</v>
      </c>
      <c r="AE654" s="556">
        <f t="shared" si="58"/>
        <v>35891.869999999995</v>
      </c>
      <c r="AF654" s="556">
        <f t="shared" si="58"/>
        <v>226876.03</v>
      </c>
      <c r="AG654" s="556">
        <f t="shared" si="58"/>
        <v>0</v>
      </c>
      <c r="AH654" s="44"/>
    </row>
    <row r="655" spans="1:36" hidden="1" outlineLevel="1" x14ac:dyDescent="0.35">
      <c r="A655" t="b">
        <f t="shared" si="43"/>
        <v>1</v>
      </c>
      <c r="B655" s="27" t="s">
        <v>1266</v>
      </c>
      <c r="C655" s="27" t="s">
        <v>51</v>
      </c>
      <c r="D655" s="27" t="s">
        <v>1845</v>
      </c>
      <c r="E655" s="27" t="s">
        <v>51</v>
      </c>
      <c r="F655" s="27" t="s">
        <v>501</v>
      </c>
      <c r="G655" s="27" t="s">
        <v>1524</v>
      </c>
      <c r="H655" s="27" t="s">
        <v>447</v>
      </c>
      <c r="I655" s="27" t="s">
        <v>440</v>
      </c>
      <c r="J655" s="27" t="s">
        <v>448</v>
      </c>
      <c r="K655" s="27" t="s">
        <v>491</v>
      </c>
      <c r="L655" s="27" t="s">
        <v>537</v>
      </c>
      <c r="M655" s="27" t="s">
        <v>537</v>
      </c>
      <c r="N655" s="27" t="s">
        <v>488</v>
      </c>
      <c r="O655" s="27" t="s">
        <v>491</v>
      </c>
      <c r="P655" s="27" t="s">
        <v>480</v>
      </c>
      <c r="Q655" s="27" t="s">
        <v>372</v>
      </c>
      <c r="R655" s="556">
        <f t="shared" si="44"/>
        <v>0</v>
      </c>
      <c r="S655" s="556">
        <f t="shared" si="46"/>
        <v>75.86</v>
      </c>
      <c r="T655" s="556">
        <f t="shared" si="47"/>
        <v>6979.28</v>
      </c>
      <c r="U655" s="556">
        <f t="shared" si="48"/>
        <v>5144.4600000000009</v>
      </c>
      <c r="V655" s="556">
        <f t="shared" si="49"/>
        <v>30</v>
      </c>
      <c r="W655" s="556">
        <f t="shared" si="50"/>
        <v>0</v>
      </c>
      <c r="X655" s="556">
        <f t="shared" si="51"/>
        <v>60</v>
      </c>
      <c r="Y655" s="556">
        <f t="shared" si="52"/>
        <v>90</v>
      </c>
      <c r="Z655" s="556">
        <f t="shared" si="53"/>
        <v>0</v>
      </c>
      <c r="AA655" s="556">
        <f t="shared" si="54"/>
        <v>2795.869999999999</v>
      </c>
      <c r="AB655" s="556">
        <f t="shared" si="55"/>
        <v>138.61000000000058</v>
      </c>
      <c r="AC655" s="556">
        <f t="shared" si="56"/>
        <v>0</v>
      </c>
      <c r="AD655" s="556">
        <f t="shared" si="45"/>
        <v>29.43</v>
      </c>
      <c r="AE655" s="556">
        <f t="shared" si="58"/>
        <v>45.96</v>
      </c>
      <c r="AF655" s="556">
        <f t="shared" si="58"/>
        <v>12.5</v>
      </c>
      <c r="AG655" s="556">
        <f t="shared" si="58"/>
        <v>122.54</v>
      </c>
    </row>
    <row r="656" spans="1:36" hidden="1" outlineLevel="1" x14ac:dyDescent="0.35">
      <c r="A656" t="b">
        <f t="shared" si="43"/>
        <v>1</v>
      </c>
      <c r="B656" s="27" t="s">
        <v>1267</v>
      </c>
      <c r="C656" s="27" t="s">
        <v>51</v>
      </c>
      <c r="D656" s="27" t="s">
        <v>1846</v>
      </c>
      <c r="E656" s="27" t="s">
        <v>51</v>
      </c>
      <c r="F656" s="27" t="s">
        <v>563</v>
      </c>
      <c r="G656" s="27" t="s">
        <v>1525</v>
      </c>
      <c r="H656" s="27" t="s">
        <v>447</v>
      </c>
      <c r="I656" s="27" t="s">
        <v>440</v>
      </c>
      <c r="J656" s="27" t="s">
        <v>448</v>
      </c>
      <c r="K656" s="27" t="s">
        <v>491</v>
      </c>
      <c r="L656" s="27" t="s">
        <v>462</v>
      </c>
      <c r="M656" s="27" t="s">
        <v>462</v>
      </c>
      <c r="N656" s="27" t="s">
        <v>462</v>
      </c>
      <c r="O656" s="27" t="s">
        <v>491</v>
      </c>
      <c r="P656" s="27" t="s">
        <v>491</v>
      </c>
      <c r="Q656" s="27" t="s">
        <v>372</v>
      </c>
      <c r="R656" s="556">
        <f t="shared" si="44"/>
        <v>698383.65</v>
      </c>
      <c r="S656" s="556">
        <f t="shared" si="46"/>
        <v>828905.32000000018</v>
      </c>
      <c r="T656" s="556">
        <f t="shared" si="47"/>
        <v>756003.11999999965</v>
      </c>
      <c r="U656" s="556">
        <f t="shared" si="48"/>
        <v>1603706.7000000007</v>
      </c>
      <c r="V656" s="556">
        <f t="shared" si="49"/>
        <v>1457802.7999999993</v>
      </c>
      <c r="W656" s="556">
        <f t="shared" si="50"/>
        <v>1451409.0599999996</v>
      </c>
      <c r="X656" s="556">
        <f t="shared" si="51"/>
        <v>1575838.8900000015</v>
      </c>
      <c r="Y656" s="556">
        <f t="shared" si="52"/>
        <v>1603938.6699999981</v>
      </c>
      <c r="Z656" s="556">
        <f t="shared" si="53"/>
        <v>1597101.8000000007</v>
      </c>
      <c r="AA656" s="556">
        <f t="shared" si="54"/>
        <v>1618556.8000000007</v>
      </c>
      <c r="AB656" s="556">
        <f t="shared" si="55"/>
        <v>1829792.3299999982</v>
      </c>
      <c r="AC656" s="556">
        <f t="shared" si="56"/>
        <v>5541803.4199999999</v>
      </c>
      <c r="AD656" s="556">
        <f t="shared" si="45"/>
        <v>2417817.4699999997</v>
      </c>
      <c r="AE656" s="556">
        <f t="shared" si="58"/>
        <v>2410670.6099999994</v>
      </c>
      <c r="AF656" s="556">
        <f t="shared" si="58"/>
        <v>2894759.0900000017</v>
      </c>
      <c r="AG656" s="556">
        <f t="shared" si="58"/>
        <v>2864148.5299999984</v>
      </c>
      <c r="AH656" s="44"/>
      <c r="AJ656" s="44"/>
    </row>
    <row r="657" spans="1:34" hidden="1" outlineLevel="1" x14ac:dyDescent="0.35">
      <c r="A657" t="b">
        <f t="shared" si="43"/>
        <v>1</v>
      </c>
      <c r="B657" s="27" t="s">
        <v>565</v>
      </c>
      <c r="C657" s="27" t="s">
        <v>51</v>
      </c>
      <c r="D657" s="27" t="s">
        <v>1526</v>
      </c>
      <c r="E657" s="27" t="s">
        <v>51</v>
      </c>
      <c r="F657" s="27" t="s">
        <v>563</v>
      </c>
      <c r="G657" s="27" t="s">
        <v>566</v>
      </c>
      <c r="H657" s="27" t="s">
        <v>447</v>
      </c>
      <c r="I657" s="27" t="s">
        <v>440</v>
      </c>
      <c r="J657" s="27" t="s">
        <v>448</v>
      </c>
      <c r="K657" s="27" t="s">
        <v>491</v>
      </c>
      <c r="L657" s="27" t="s">
        <v>492</v>
      </c>
      <c r="M657" s="27" t="s">
        <v>567</v>
      </c>
      <c r="N657" s="27" t="s">
        <v>488</v>
      </c>
      <c r="O657" s="27" t="s">
        <v>491</v>
      </c>
      <c r="P657" s="27" t="s">
        <v>564</v>
      </c>
      <c r="Q657" s="27" t="s">
        <v>372</v>
      </c>
      <c r="R657" s="556">
        <f t="shared" si="44"/>
        <v>0</v>
      </c>
      <c r="S657" s="556">
        <f t="shared" si="46"/>
        <v>0</v>
      </c>
      <c r="T657" s="556">
        <f t="shared" si="47"/>
        <v>0</v>
      </c>
      <c r="U657" s="556">
        <f t="shared" si="48"/>
        <v>0</v>
      </c>
      <c r="V657" s="556">
        <f t="shared" si="49"/>
        <v>0</v>
      </c>
      <c r="W657" s="556">
        <f t="shared" si="50"/>
        <v>0</v>
      </c>
      <c r="X657" s="556">
        <f t="shared" si="51"/>
        <v>0</v>
      </c>
      <c r="Y657" s="556">
        <f t="shared" si="52"/>
        <v>0</v>
      </c>
      <c r="Z657" s="556">
        <f t="shared" si="53"/>
        <v>0</v>
      </c>
      <c r="AA657" s="556">
        <f t="shared" si="54"/>
        <v>0</v>
      </c>
      <c r="AB657" s="556">
        <f t="shared" si="55"/>
        <v>0</v>
      </c>
      <c r="AC657" s="556">
        <f t="shared" si="56"/>
        <v>0</v>
      </c>
      <c r="AD657" s="556">
        <f t="shared" si="45"/>
        <v>0</v>
      </c>
      <c r="AE657" s="556">
        <f t="shared" si="58"/>
        <v>0</v>
      </c>
      <c r="AF657" s="556">
        <f t="shared" si="58"/>
        <v>0</v>
      </c>
      <c r="AG657" s="556">
        <f t="shared" si="58"/>
        <v>0</v>
      </c>
      <c r="AH657" s="44"/>
    </row>
    <row r="658" spans="1:34" hidden="1" outlineLevel="1" x14ac:dyDescent="0.35">
      <c r="A658" t="b">
        <f t="shared" si="43"/>
        <v>1</v>
      </c>
      <c r="B658" s="27" t="s">
        <v>1268</v>
      </c>
      <c r="C658" s="27" t="s">
        <v>51</v>
      </c>
      <c r="D658" s="27" t="s">
        <v>1847</v>
      </c>
      <c r="E658" s="27" t="s">
        <v>51</v>
      </c>
      <c r="F658" s="27" t="s">
        <v>568</v>
      </c>
      <c r="G658" s="27" t="s">
        <v>1527</v>
      </c>
      <c r="H658" s="27" t="s">
        <v>447</v>
      </c>
      <c r="I658" s="27" t="s">
        <v>440</v>
      </c>
      <c r="J658" s="27" t="s">
        <v>448</v>
      </c>
      <c r="K658" s="27" t="s">
        <v>562</v>
      </c>
      <c r="L658" s="27" t="s">
        <v>562</v>
      </c>
      <c r="M658" s="27" t="s">
        <v>562</v>
      </c>
      <c r="N658" s="27" t="s">
        <v>562</v>
      </c>
      <c r="O658" s="27" t="s">
        <v>562</v>
      </c>
      <c r="P658" s="27" t="s">
        <v>562</v>
      </c>
      <c r="Q658" s="27" t="s">
        <v>372</v>
      </c>
      <c r="R658" s="556">
        <f t="shared" si="44"/>
        <v>0</v>
      </c>
      <c r="S658" s="556">
        <f t="shared" si="46"/>
        <v>0</v>
      </c>
      <c r="T658" s="556">
        <f t="shared" si="47"/>
        <v>-358255.99</v>
      </c>
      <c r="U658" s="556">
        <f t="shared" si="48"/>
        <v>0</v>
      </c>
      <c r="V658" s="556">
        <f t="shared" si="49"/>
        <v>-23746</v>
      </c>
      <c r="W658" s="556">
        <f t="shared" si="50"/>
        <v>0</v>
      </c>
      <c r="X658" s="556">
        <f t="shared" si="51"/>
        <v>0</v>
      </c>
      <c r="Y658" s="556">
        <f t="shared" si="52"/>
        <v>-6.220000000030268</v>
      </c>
      <c r="Z658" s="556">
        <f t="shared" si="53"/>
        <v>0</v>
      </c>
      <c r="AA658" s="556">
        <f t="shared" si="54"/>
        <v>-2.4699999999720603</v>
      </c>
      <c r="AB658" s="556">
        <f t="shared" si="55"/>
        <v>-583298.6100000001</v>
      </c>
      <c r="AC658" s="556">
        <f t="shared" si="56"/>
        <v>-65403.79999999993</v>
      </c>
      <c r="AD658" s="556">
        <f t="shared" si="45"/>
        <v>0</v>
      </c>
      <c r="AE658" s="556">
        <f t="shared" si="58"/>
        <v>0</v>
      </c>
      <c r="AF658" s="556">
        <f t="shared" si="58"/>
        <v>-129543.12</v>
      </c>
      <c r="AG658" s="556">
        <f t="shared" si="58"/>
        <v>-4648.0500000000175</v>
      </c>
      <c r="AH658" s="44"/>
    </row>
    <row r="659" spans="1:34" hidden="1" outlineLevel="1" x14ac:dyDescent="0.35">
      <c r="A659" t="b">
        <f t="shared" si="43"/>
        <v>1</v>
      </c>
      <c r="B659" s="27" t="s">
        <v>1269</v>
      </c>
      <c r="C659" s="27" t="s">
        <v>51</v>
      </c>
      <c r="D659" s="27" t="s">
        <v>1848</v>
      </c>
      <c r="E659" s="27" t="s">
        <v>51</v>
      </c>
      <c r="F659" s="27" t="s">
        <v>569</v>
      </c>
      <c r="G659" s="27" t="s">
        <v>1528</v>
      </c>
      <c r="H659" s="27" t="s">
        <v>447</v>
      </c>
      <c r="I659" s="27" t="s">
        <v>440</v>
      </c>
      <c r="J659" s="27" t="s">
        <v>448</v>
      </c>
      <c r="K659" s="27" t="s">
        <v>564</v>
      </c>
      <c r="L659" s="27" t="s">
        <v>564</v>
      </c>
      <c r="M659" s="27" t="s">
        <v>564</v>
      </c>
      <c r="N659" s="27" t="s">
        <v>564</v>
      </c>
      <c r="O659" s="27" t="s">
        <v>564</v>
      </c>
      <c r="P659" s="27" t="s">
        <v>564</v>
      </c>
      <c r="Q659" s="27" t="s">
        <v>372</v>
      </c>
      <c r="R659" s="556">
        <f t="shared" si="44"/>
        <v>-2310.44</v>
      </c>
      <c r="S659" s="556">
        <f t="shared" si="46"/>
        <v>-2278.14</v>
      </c>
      <c r="T659" s="556">
        <f t="shared" si="47"/>
        <v>-23607.979999999996</v>
      </c>
      <c r="U659" s="556">
        <f t="shared" si="48"/>
        <v>-34303.300000000003</v>
      </c>
      <c r="V659" s="556">
        <f t="shared" si="49"/>
        <v>-111601.91000000002</v>
      </c>
      <c r="W659" s="556">
        <f t="shared" si="50"/>
        <v>-69996.339999999967</v>
      </c>
      <c r="X659" s="556">
        <f t="shared" si="51"/>
        <v>-507646.68000000005</v>
      </c>
      <c r="Y659" s="556">
        <f t="shared" si="52"/>
        <v>-50757.809999999939</v>
      </c>
      <c r="Z659" s="556">
        <f t="shared" si="53"/>
        <v>-22899.599999999977</v>
      </c>
      <c r="AA659" s="556">
        <f t="shared" si="54"/>
        <v>-19175.860000000102</v>
      </c>
      <c r="AB659" s="556">
        <f t="shared" si="55"/>
        <v>-26470.269999999902</v>
      </c>
      <c r="AC659" s="556">
        <f t="shared" si="56"/>
        <v>-269954.63</v>
      </c>
      <c r="AD659" s="556">
        <f t="shared" si="45"/>
        <v>-29813.51</v>
      </c>
      <c r="AE659" s="556">
        <f t="shared" si="58"/>
        <v>-4320.7000000000007</v>
      </c>
      <c r="AF659" s="556">
        <f t="shared" si="58"/>
        <v>-122624.81</v>
      </c>
      <c r="AG659" s="556">
        <f t="shared" si="58"/>
        <v>-67251.22</v>
      </c>
      <c r="AH659" s="44"/>
    </row>
    <row r="660" spans="1:34" hidden="1" outlineLevel="1" x14ac:dyDescent="0.35">
      <c r="A660" t="b">
        <f t="shared" si="43"/>
        <v>1</v>
      </c>
      <c r="B660" s="27" t="s">
        <v>570</v>
      </c>
      <c r="C660" s="27" t="s">
        <v>51</v>
      </c>
      <c r="D660" s="27" t="s">
        <v>1529</v>
      </c>
      <c r="E660" s="27" t="s">
        <v>51</v>
      </c>
      <c r="F660" s="27" t="s">
        <v>569</v>
      </c>
      <c r="G660" s="27" t="s">
        <v>571</v>
      </c>
      <c r="H660" s="27" t="s">
        <v>447</v>
      </c>
      <c r="I660" s="27" t="s">
        <v>440</v>
      </c>
      <c r="J660" s="27" t="s">
        <v>448</v>
      </c>
      <c r="K660" s="27" t="s">
        <v>562</v>
      </c>
      <c r="L660" s="27" t="s">
        <v>502</v>
      </c>
      <c r="M660" s="27" t="s">
        <v>554</v>
      </c>
      <c r="N660" s="27" t="s">
        <v>371</v>
      </c>
      <c r="O660" s="27" t="s">
        <v>562</v>
      </c>
      <c r="P660" s="27" t="s">
        <v>564</v>
      </c>
      <c r="Q660" s="27" t="s">
        <v>372</v>
      </c>
      <c r="R660" s="556">
        <f t="shared" si="44"/>
        <v>-0.11</v>
      </c>
      <c r="S660" s="556">
        <f t="shared" si="46"/>
        <v>-3.9999999999999994E-2</v>
      </c>
      <c r="T660" s="556">
        <f t="shared" si="47"/>
        <v>-0.03</v>
      </c>
      <c r="U660" s="556">
        <f t="shared" si="48"/>
        <v>-0.19</v>
      </c>
      <c r="V660" s="556">
        <f t="shared" si="49"/>
        <v>-2.0699999999999998</v>
      </c>
      <c r="W660" s="556">
        <f t="shared" si="50"/>
        <v>-0.54</v>
      </c>
      <c r="X660" s="556">
        <f t="shared" si="51"/>
        <v>-20.94</v>
      </c>
      <c r="Y660" s="556">
        <f t="shared" si="52"/>
        <v>-1.259999999999998</v>
      </c>
      <c r="Z660" s="556">
        <f t="shared" si="53"/>
        <v>-5.6900000000000013</v>
      </c>
      <c r="AA660" s="556">
        <f t="shared" si="54"/>
        <v>-14.620000000000001</v>
      </c>
      <c r="AB660" s="556">
        <f t="shared" si="55"/>
        <v>-7.3399999999999963</v>
      </c>
      <c r="AC660" s="556">
        <f t="shared" si="56"/>
        <v>-0.34000000000000341</v>
      </c>
      <c r="AD660" s="556">
        <f t="shared" si="45"/>
        <v>0</v>
      </c>
      <c r="AE660" s="556">
        <f t="shared" si="58"/>
        <v>0</v>
      </c>
      <c r="AF660" s="556">
        <f t="shared" si="58"/>
        <v>0</v>
      </c>
      <c r="AG660" s="556">
        <f t="shared" si="58"/>
        <v>0</v>
      </c>
      <c r="AH660" s="44"/>
    </row>
    <row r="661" spans="1:34" hidden="1" outlineLevel="1" x14ac:dyDescent="0.35">
      <c r="A661" t="b">
        <f t="shared" si="43"/>
        <v>1</v>
      </c>
      <c r="B661" s="27" t="s">
        <v>301</v>
      </c>
      <c r="C661" s="27" t="s">
        <v>51</v>
      </c>
      <c r="D661" s="27" t="s">
        <v>1530</v>
      </c>
      <c r="E661" s="27" t="s">
        <v>51</v>
      </c>
      <c r="F661" s="27" t="s">
        <v>195</v>
      </c>
      <c r="G661" s="27" t="s">
        <v>303</v>
      </c>
      <c r="H661" s="27" t="s">
        <v>54</v>
      </c>
      <c r="I661" s="27" t="s">
        <v>142</v>
      </c>
      <c r="J661" s="27" t="s">
        <v>197</v>
      </c>
      <c r="K661" s="27" t="s">
        <v>371</v>
      </c>
      <c r="L661" s="27" t="s">
        <v>371</v>
      </c>
      <c r="M661" s="27" t="s">
        <v>371</v>
      </c>
      <c r="N661" s="27" t="s">
        <v>371</v>
      </c>
      <c r="O661" s="27" t="s">
        <v>371</v>
      </c>
      <c r="P661" s="27" t="s">
        <v>371</v>
      </c>
      <c r="Q661" s="27" t="s">
        <v>372</v>
      </c>
      <c r="R661" s="556">
        <f t="shared" si="44"/>
        <v>0</v>
      </c>
      <c r="S661" s="556">
        <f t="shared" si="46"/>
        <v>0</v>
      </c>
      <c r="T661" s="556">
        <f t="shared" si="47"/>
        <v>0</v>
      </c>
      <c r="U661" s="556">
        <f t="shared" si="48"/>
        <v>0</v>
      </c>
      <c r="V661" s="556">
        <f t="shared" si="49"/>
        <v>0</v>
      </c>
      <c r="W661" s="556">
        <f t="shared" si="50"/>
        <v>0</v>
      </c>
      <c r="X661" s="556">
        <f t="shared" si="51"/>
        <v>0</v>
      </c>
      <c r="Y661" s="556">
        <f t="shared" si="52"/>
        <v>0</v>
      </c>
      <c r="Z661" s="556">
        <f t="shared" si="53"/>
        <v>0</v>
      </c>
      <c r="AA661" s="556">
        <f t="shared" si="54"/>
        <v>0</v>
      </c>
      <c r="AB661" s="556">
        <f t="shared" si="55"/>
        <v>0</v>
      </c>
      <c r="AC661" s="556">
        <f t="shared" si="56"/>
        <v>0</v>
      </c>
      <c r="AD661" s="556">
        <f t="shared" si="45"/>
        <v>0</v>
      </c>
      <c r="AE661" s="556">
        <f t="shared" si="58"/>
        <v>0</v>
      </c>
      <c r="AF661" s="556">
        <f t="shared" si="58"/>
        <v>0</v>
      </c>
      <c r="AG661" s="556">
        <f t="shared" si="58"/>
        <v>0</v>
      </c>
    </row>
    <row r="662" spans="1:34" hidden="1" outlineLevel="1" x14ac:dyDescent="0.35">
      <c r="A662" t="b">
        <f t="shared" si="43"/>
        <v>1</v>
      </c>
      <c r="B662" s="27" t="s">
        <v>1270</v>
      </c>
      <c r="C662" s="27" t="s">
        <v>51</v>
      </c>
      <c r="D662" s="27" t="s">
        <v>1849</v>
      </c>
      <c r="E662" s="27" t="s">
        <v>51</v>
      </c>
      <c r="F662" s="27" t="s">
        <v>442</v>
      </c>
      <c r="G662" s="27" t="s">
        <v>1531</v>
      </c>
      <c r="H662" s="27" t="s">
        <v>54</v>
      </c>
      <c r="I662" s="27" t="s">
        <v>440</v>
      </c>
      <c r="J662" s="27" t="s">
        <v>443</v>
      </c>
      <c r="K662" s="27" t="s">
        <v>371</v>
      </c>
      <c r="L662" s="27" t="s">
        <v>371</v>
      </c>
      <c r="M662" s="27" t="s">
        <v>371</v>
      </c>
      <c r="N662" s="27" t="s">
        <v>371</v>
      </c>
      <c r="O662" s="27" t="s">
        <v>371</v>
      </c>
      <c r="P662" s="27" t="s">
        <v>371</v>
      </c>
      <c r="Q662" s="27" t="s">
        <v>372</v>
      </c>
      <c r="R662" s="556">
        <f t="shared" si="44"/>
        <v>38097477.770000003</v>
      </c>
      <c r="S662" s="556">
        <f t="shared" si="46"/>
        <v>38097477.770000003</v>
      </c>
      <c r="T662" s="556">
        <f t="shared" si="47"/>
        <v>38097477.770000003</v>
      </c>
      <c r="U662" s="556">
        <f t="shared" si="48"/>
        <v>38097477.770000003</v>
      </c>
      <c r="V662" s="556">
        <f t="shared" si="49"/>
        <v>38097477.770000003</v>
      </c>
      <c r="W662" s="556">
        <f t="shared" si="50"/>
        <v>38097477.770000003</v>
      </c>
      <c r="X662" s="556">
        <f t="shared" si="51"/>
        <v>38097477.770000003</v>
      </c>
      <c r="Y662" s="556">
        <f t="shared" si="52"/>
        <v>38097477.770000003</v>
      </c>
      <c r="Z662" s="556">
        <f t="shared" si="53"/>
        <v>38097477.770000003</v>
      </c>
      <c r="AA662" s="556">
        <f t="shared" si="54"/>
        <v>38097477.770000003</v>
      </c>
      <c r="AB662" s="556">
        <f t="shared" si="55"/>
        <v>38097477.770000003</v>
      </c>
      <c r="AC662" s="556">
        <f t="shared" si="56"/>
        <v>38097477.770000003</v>
      </c>
      <c r="AD662" s="556">
        <f t="shared" si="45"/>
        <v>38097477.770000003</v>
      </c>
      <c r="AE662" s="556">
        <f t="shared" si="58"/>
        <v>38097477.770000003</v>
      </c>
      <c r="AF662" s="556">
        <f t="shared" si="58"/>
        <v>38097477.770000003</v>
      </c>
      <c r="AG662" s="556">
        <f t="shared" si="58"/>
        <v>38097477.770000003</v>
      </c>
    </row>
    <row r="663" spans="1:34" hidden="1" outlineLevel="1" x14ac:dyDescent="0.35">
      <c r="A663" t="b">
        <f t="shared" si="43"/>
        <v>1</v>
      </c>
      <c r="B663" s="27" t="s">
        <v>572</v>
      </c>
      <c r="C663" s="27" t="s">
        <v>51</v>
      </c>
      <c r="D663" s="27" t="s">
        <v>1532</v>
      </c>
      <c r="E663" s="27" t="s">
        <v>51</v>
      </c>
      <c r="F663" s="27" t="s">
        <v>501</v>
      </c>
      <c r="G663" s="27" t="s">
        <v>453</v>
      </c>
      <c r="H663" s="27" t="s">
        <v>447</v>
      </c>
      <c r="I663" s="27" t="s">
        <v>440</v>
      </c>
      <c r="J663" s="27" t="s">
        <v>448</v>
      </c>
      <c r="K663" s="27" t="s">
        <v>491</v>
      </c>
      <c r="L663" s="27" t="s">
        <v>492</v>
      </c>
      <c r="M663" s="27" t="s">
        <v>493</v>
      </c>
      <c r="N663" s="27" t="s">
        <v>494</v>
      </c>
      <c r="O663" s="27" t="s">
        <v>491</v>
      </c>
      <c r="P663" s="27" t="s">
        <v>480</v>
      </c>
      <c r="Q663" s="27" t="s">
        <v>372</v>
      </c>
      <c r="R663" s="556">
        <f t="shared" si="44"/>
        <v>572.41</v>
      </c>
      <c r="S663" s="556">
        <f t="shared" si="46"/>
        <v>1717.23</v>
      </c>
      <c r="T663" s="556">
        <f t="shared" si="47"/>
        <v>0</v>
      </c>
      <c r="U663" s="556">
        <f t="shared" si="48"/>
        <v>0</v>
      </c>
      <c r="V663" s="556">
        <f t="shared" si="49"/>
        <v>0</v>
      </c>
      <c r="W663" s="556">
        <f t="shared" si="50"/>
        <v>0</v>
      </c>
      <c r="X663" s="556">
        <f t="shared" si="51"/>
        <v>0</v>
      </c>
      <c r="Y663" s="556">
        <f t="shared" si="52"/>
        <v>0</v>
      </c>
      <c r="Z663" s="556">
        <f t="shared" si="53"/>
        <v>0</v>
      </c>
      <c r="AA663" s="556">
        <f t="shared" si="54"/>
        <v>0</v>
      </c>
      <c r="AB663" s="556">
        <f t="shared" si="55"/>
        <v>0</v>
      </c>
      <c r="AC663" s="556">
        <f t="shared" si="56"/>
        <v>0</v>
      </c>
      <c r="AD663" s="556">
        <f t="shared" si="45"/>
        <v>0</v>
      </c>
      <c r="AE663" s="556">
        <f t="shared" si="58"/>
        <v>0</v>
      </c>
      <c r="AF663" s="556">
        <f t="shared" si="58"/>
        <v>0</v>
      </c>
      <c r="AG663" s="556">
        <f t="shared" si="58"/>
        <v>0</v>
      </c>
      <c r="AH663" s="44"/>
    </row>
    <row r="664" spans="1:34" hidden="1" outlineLevel="1" x14ac:dyDescent="0.35">
      <c r="A664" t="b">
        <f t="shared" si="43"/>
        <v>1</v>
      </c>
      <c r="B664" s="27" t="s">
        <v>573</v>
      </c>
      <c r="C664" s="27" t="s">
        <v>51</v>
      </c>
      <c r="D664" s="27" t="s">
        <v>1533</v>
      </c>
      <c r="E664" s="27" t="s">
        <v>51</v>
      </c>
      <c r="F664" s="27" t="s">
        <v>501</v>
      </c>
      <c r="G664" s="27" t="s">
        <v>574</v>
      </c>
      <c r="H664" s="27" t="s">
        <v>447</v>
      </c>
      <c r="I664" s="27" t="s">
        <v>440</v>
      </c>
      <c r="J664" s="27" t="s">
        <v>448</v>
      </c>
      <c r="K664" s="27" t="s">
        <v>491</v>
      </c>
      <c r="L664" s="27" t="s">
        <v>492</v>
      </c>
      <c r="M664" s="27" t="s">
        <v>524</v>
      </c>
      <c r="N664" s="27" t="s">
        <v>494</v>
      </c>
      <c r="O664" s="27" t="s">
        <v>491</v>
      </c>
      <c r="P664" s="27" t="s">
        <v>480</v>
      </c>
      <c r="Q664" s="27" t="s">
        <v>372</v>
      </c>
      <c r="R664" s="556">
        <f t="shared" si="44"/>
        <v>0</v>
      </c>
      <c r="S664" s="556">
        <f t="shared" si="46"/>
        <v>0</v>
      </c>
      <c r="T664" s="556">
        <f t="shared" si="47"/>
        <v>0</v>
      </c>
      <c r="U664" s="556">
        <f t="shared" si="48"/>
        <v>0</v>
      </c>
      <c r="V664" s="556">
        <f t="shared" si="49"/>
        <v>0</v>
      </c>
      <c r="W664" s="556">
        <f t="shared" si="50"/>
        <v>0</v>
      </c>
      <c r="X664" s="556">
        <f t="shared" si="51"/>
        <v>0</v>
      </c>
      <c r="Y664" s="556">
        <f t="shared" si="52"/>
        <v>0</v>
      </c>
      <c r="Z664" s="556">
        <f t="shared" si="53"/>
        <v>0</v>
      </c>
      <c r="AA664" s="556">
        <f t="shared" si="54"/>
        <v>0</v>
      </c>
      <c r="AB664" s="556">
        <f t="shared" si="55"/>
        <v>0</v>
      </c>
      <c r="AC664" s="556">
        <f t="shared" si="56"/>
        <v>0</v>
      </c>
      <c r="AD664" s="556">
        <f t="shared" si="45"/>
        <v>0</v>
      </c>
      <c r="AE664" s="556">
        <f t="shared" si="58"/>
        <v>0</v>
      </c>
      <c r="AF664" s="556">
        <f t="shared" si="58"/>
        <v>0</v>
      </c>
      <c r="AG664" s="556">
        <f t="shared" si="58"/>
        <v>0</v>
      </c>
      <c r="AH664" s="44"/>
    </row>
    <row r="665" spans="1:34" hidden="1" outlineLevel="1" x14ac:dyDescent="0.35">
      <c r="A665" t="b">
        <f t="shared" si="43"/>
        <v>1</v>
      </c>
      <c r="B665" s="27" t="s">
        <v>575</v>
      </c>
      <c r="C665" s="27" t="s">
        <v>51</v>
      </c>
      <c r="D665" s="27" t="s">
        <v>1534</v>
      </c>
      <c r="E665" s="27" t="s">
        <v>51</v>
      </c>
      <c r="F665" s="27" t="s">
        <v>501</v>
      </c>
      <c r="G665" s="27" t="s">
        <v>576</v>
      </c>
      <c r="H665" s="27" t="s">
        <v>447</v>
      </c>
      <c r="I665" s="27" t="s">
        <v>440</v>
      </c>
      <c r="J665" s="27" t="s">
        <v>448</v>
      </c>
      <c r="K665" s="27" t="s">
        <v>491</v>
      </c>
      <c r="L665" s="27" t="s">
        <v>492</v>
      </c>
      <c r="M665" s="27" t="s">
        <v>493</v>
      </c>
      <c r="N665" s="27" t="s">
        <v>494</v>
      </c>
      <c r="O665" s="27" t="s">
        <v>491</v>
      </c>
      <c r="P665" s="27" t="s">
        <v>480</v>
      </c>
      <c r="Q665" s="27" t="s">
        <v>372</v>
      </c>
      <c r="R665" s="556">
        <f t="shared" si="44"/>
        <v>486.21</v>
      </c>
      <c r="S665" s="556">
        <f t="shared" si="46"/>
        <v>0</v>
      </c>
      <c r="T665" s="556">
        <f t="shared" si="47"/>
        <v>1034.48</v>
      </c>
      <c r="U665" s="556">
        <f t="shared" si="48"/>
        <v>0</v>
      </c>
      <c r="V665" s="556">
        <f t="shared" si="49"/>
        <v>0</v>
      </c>
      <c r="W665" s="556">
        <f t="shared" si="50"/>
        <v>0</v>
      </c>
      <c r="X665" s="556">
        <f t="shared" si="51"/>
        <v>0</v>
      </c>
      <c r="Y665" s="556">
        <f t="shared" si="52"/>
        <v>0</v>
      </c>
      <c r="Z665" s="556">
        <f t="shared" si="53"/>
        <v>0</v>
      </c>
      <c r="AA665" s="556">
        <f t="shared" si="54"/>
        <v>0</v>
      </c>
      <c r="AB665" s="556">
        <f t="shared" si="55"/>
        <v>0</v>
      </c>
      <c r="AC665" s="556">
        <f t="shared" si="56"/>
        <v>0</v>
      </c>
      <c r="AD665" s="556">
        <f t="shared" si="45"/>
        <v>0</v>
      </c>
      <c r="AE665" s="556">
        <f t="shared" si="58"/>
        <v>0</v>
      </c>
      <c r="AF665" s="556">
        <f t="shared" si="58"/>
        <v>0</v>
      </c>
      <c r="AG665" s="556">
        <f t="shared" si="58"/>
        <v>0</v>
      </c>
      <c r="AH665" s="44"/>
    </row>
    <row r="666" spans="1:34" hidden="1" outlineLevel="1" x14ac:dyDescent="0.35">
      <c r="A666" t="b">
        <f t="shared" si="43"/>
        <v>1</v>
      </c>
      <c r="B666" s="27" t="s">
        <v>577</v>
      </c>
      <c r="C666" s="27" t="s">
        <v>51</v>
      </c>
      <c r="D666" s="27" t="s">
        <v>1535</v>
      </c>
      <c r="E666" s="27" t="s">
        <v>51</v>
      </c>
      <c r="F666" s="27" t="s">
        <v>501</v>
      </c>
      <c r="G666" s="27" t="s">
        <v>555</v>
      </c>
      <c r="H666" s="27" t="s">
        <v>447</v>
      </c>
      <c r="I666" s="27" t="s">
        <v>440</v>
      </c>
      <c r="J666" s="27" t="s">
        <v>448</v>
      </c>
      <c r="K666" s="27" t="s">
        <v>476</v>
      </c>
      <c r="L666" s="27" t="s">
        <v>502</v>
      </c>
      <c r="M666" s="27" t="s">
        <v>502</v>
      </c>
      <c r="N666" s="27" t="s">
        <v>488</v>
      </c>
      <c r="O666" s="27" t="s">
        <v>480</v>
      </c>
      <c r="P666" s="27" t="s">
        <v>480</v>
      </c>
      <c r="Q666" s="27" t="s">
        <v>372</v>
      </c>
      <c r="R666" s="556">
        <f t="shared" si="44"/>
        <v>0</v>
      </c>
      <c r="S666" s="556">
        <f t="shared" si="46"/>
        <v>0</v>
      </c>
      <c r="T666" s="556">
        <f t="shared" si="47"/>
        <v>0</v>
      </c>
      <c r="U666" s="556">
        <f t="shared" si="48"/>
        <v>0</v>
      </c>
      <c r="V666" s="556">
        <f t="shared" si="49"/>
        <v>0</v>
      </c>
      <c r="W666" s="556">
        <f t="shared" si="50"/>
        <v>0</v>
      </c>
      <c r="X666" s="556">
        <f t="shared" si="51"/>
        <v>0</v>
      </c>
      <c r="Y666" s="556">
        <f t="shared" si="52"/>
        <v>0</v>
      </c>
      <c r="Z666" s="556">
        <f t="shared" si="53"/>
        <v>0</v>
      </c>
      <c r="AA666" s="556">
        <f t="shared" si="54"/>
        <v>0</v>
      </c>
      <c r="AB666" s="556">
        <f t="shared" si="55"/>
        <v>0</v>
      </c>
      <c r="AC666" s="556">
        <f t="shared" si="56"/>
        <v>0</v>
      </c>
      <c r="AD666" s="556">
        <f t="shared" si="45"/>
        <v>0</v>
      </c>
      <c r="AE666" s="556">
        <f t="shared" si="58"/>
        <v>0</v>
      </c>
      <c r="AF666" s="556">
        <f t="shared" si="58"/>
        <v>0</v>
      </c>
      <c r="AG666" s="556">
        <f t="shared" si="58"/>
        <v>0</v>
      </c>
      <c r="AH666" s="44"/>
    </row>
    <row r="667" spans="1:34" hidden="1" outlineLevel="1" x14ac:dyDescent="0.35">
      <c r="A667" t="b">
        <f t="shared" si="43"/>
        <v>1</v>
      </c>
      <c r="B667" s="27" t="s">
        <v>331</v>
      </c>
      <c r="C667" s="27" t="s">
        <v>51</v>
      </c>
      <c r="D667" s="27" t="s">
        <v>1536</v>
      </c>
      <c r="E667" s="27" t="s">
        <v>51</v>
      </c>
      <c r="F667" s="27" t="s">
        <v>195</v>
      </c>
      <c r="G667" s="27" t="s">
        <v>333</v>
      </c>
      <c r="H667" s="27" t="s">
        <v>54</v>
      </c>
      <c r="I667" s="27" t="s">
        <v>142</v>
      </c>
      <c r="J667" s="27" t="s">
        <v>197</v>
      </c>
      <c r="K667" s="27" t="s">
        <v>371</v>
      </c>
      <c r="L667" s="27" t="s">
        <v>371</v>
      </c>
      <c r="M667" s="27" t="s">
        <v>371</v>
      </c>
      <c r="N667" s="27" t="s">
        <v>371</v>
      </c>
      <c r="O667" s="27" t="s">
        <v>371</v>
      </c>
      <c r="P667" s="27" t="s">
        <v>371</v>
      </c>
      <c r="Q667" s="27" t="s">
        <v>372</v>
      </c>
      <c r="R667" s="556">
        <f t="shared" si="44"/>
        <v>0</v>
      </c>
      <c r="S667" s="556">
        <f t="shared" si="46"/>
        <v>0</v>
      </c>
      <c r="T667" s="556">
        <f t="shared" si="47"/>
        <v>0</v>
      </c>
      <c r="U667" s="556">
        <f t="shared" si="48"/>
        <v>0</v>
      </c>
      <c r="V667" s="556">
        <f t="shared" si="49"/>
        <v>0</v>
      </c>
      <c r="W667" s="556">
        <f t="shared" si="50"/>
        <v>0</v>
      </c>
      <c r="X667" s="556">
        <f t="shared" si="51"/>
        <v>0</v>
      </c>
      <c r="Y667" s="556">
        <f t="shared" si="52"/>
        <v>0</v>
      </c>
      <c r="Z667" s="556">
        <f t="shared" si="53"/>
        <v>0</v>
      </c>
      <c r="AA667" s="556">
        <f t="shared" si="54"/>
        <v>0</v>
      </c>
      <c r="AB667" s="556">
        <f t="shared" si="55"/>
        <v>0</v>
      </c>
      <c r="AC667" s="556">
        <f t="shared" si="56"/>
        <v>0</v>
      </c>
      <c r="AD667" s="556">
        <f t="shared" si="45"/>
        <v>0</v>
      </c>
      <c r="AE667" s="556">
        <f t="shared" si="58"/>
        <v>0</v>
      </c>
      <c r="AF667" s="556">
        <f t="shared" si="58"/>
        <v>0</v>
      </c>
      <c r="AG667" s="556">
        <f t="shared" si="58"/>
        <v>0</v>
      </c>
    </row>
    <row r="668" spans="1:34" hidden="1" outlineLevel="1" x14ac:dyDescent="0.35">
      <c r="A668" t="b">
        <f t="shared" si="43"/>
        <v>1</v>
      </c>
      <c r="B668" s="27" t="s">
        <v>578</v>
      </c>
      <c r="C668" s="27" t="s">
        <v>51</v>
      </c>
      <c r="D668" s="27" t="s">
        <v>1537</v>
      </c>
      <c r="E668" s="27" t="s">
        <v>51</v>
      </c>
      <c r="F668" s="27" t="s">
        <v>579</v>
      </c>
      <c r="G668" s="27" t="s">
        <v>580</v>
      </c>
      <c r="H668" s="27" t="s">
        <v>54</v>
      </c>
      <c r="I668" s="27" t="s">
        <v>55</v>
      </c>
      <c r="J668" s="27" t="s">
        <v>581</v>
      </c>
      <c r="K668" s="27" t="s">
        <v>371</v>
      </c>
      <c r="L668" s="27" t="s">
        <v>371</v>
      </c>
      <c r="M668" s="27" t="s">
        <v>371</v>
      </c>
      <c r="N668" s="27" t="s">
        <v>371</v>
      </c>
      <c r="O668" s="27" t="s">
        <v>371</v>
      </c>
      <c r="P668" s="27" t="s">
        <v>371</v>
      </c>
      <c r="Q668" s="27" t="s">
        <v>372</v>
      </c>
      <c r="R668" s="556">
        <f t="shared" si="44"/>
        <v>0</v>
      </c>
      <c r="S668" s="556">
        <f t="shared" si="46"/>
        <v>0</v>
      </c>
      <c r="T668" s="556">
        <f t="shared" si="47"/>
        <v>0</v>
      </c>
      <c r="U668" s="556">
        <f t="shared" si="48"/>
        <v>0</v>
      </c>
      <c r="V668" s="556">
        <f t="shared" si="49"/>
        <v>0</v>
      </c>
      <c r="W668" s="556">
        <f t="shared" si="50"/>
        <v>0</v>
      </c>
      <c r="X668" s="556">
        <f t="shared" si="51"/>
        <v>0</v>
      </c>
      <c r="Y668" s="556">
        <f t="shared" si="52"/>
        <v>0</v>
      </c>
      <c r="Z668" s="556">
        <f t="shared" si="53"/>
        <v>0</v>
      </c>
      <c r="AA668" s="556">
        <f t="shared" si="54"/>
        <v>0</v>
      </c>
      <c r="AB668" s="556">
        <f t="shared" si="55"/>
        <v>0</v>
      </c>
      <c r="AC668" s="556">
        <f t="shared" si="56"/>
        <v>0</v>
      </c>
      <c r="AD668" s="556">
        <f t="shared" si="45"/>
        <v>0</v>
      </c>
      <c r="AE668" s="556">
        <f t="shared" si="58"/>
        <v>0</v>
      </c>
      <c r="AF668" s="556">
        <f t="shared" si="58"/>
        <v>0</v>
      </c>
      <c r="AG668" s="556">
        <f t="shared" si="58"/>
        <v>0</v>
      </c>
    </row>
    <row r="669" spans="1:34" hidden="1" outlineLevel="1" x14ac:dyDescent="0.35">
      <c r="A669" t="b">
        <f t="shared" si="43"/>
        <v>1</v>
      </c>
      <c r="B669" s="27" t="s">
        <v>1271</v>
      </c>
      <c r="C669" s="27" t="s">
        <v>51</v>
      </c>
      <c r="D669" s="27" t="s">
        <v>1850</v>
      </c>
      <c r="E669" s="27" t="s">
        <v>51</v>
      </c>
      <c r="F669" s="27" t="s">
        <v>501</v>
      </c>
      <c r="G669" s="27" t="s">
        <v>1538</v>
      </c>
      <c r="H669" s="27" t="s">
        <v>447</v>
      </c>
      <c r="I669" s="27" t="s">
        <v>440</v>
      </c>
      <c r="J669" s="27" t="s">
        <v>448</v>
      </c>
      <c r="K669" s="27" t="s">
        <v>476</v>
      </c>
      <c r="L669" s="27" t="s">
        <v>535</v>
      </c>
      <c r="M669" s="27" t="s">
        <v>535</v>
      </c>
      <c r="N669" s="27" t="s">
        <v>535</v>
      </c>
      <c r="O669" s="27" t="s">
        <v>480</v>
      </c>
      <c r="P669" s="27" t="s">
        <v>480</v>
      </c>
      <c r="Q669" s="27" t="s">
        <v>372</v>
      </c>
      <c r="R669" s="556">
        <f t="shared" si="44"/>
        <v>0</v>
      </c>
      <c r="S669" s="556">
        <f t="shared" si="46"/>
        <v>0</v>
      </c>
      <c r="T669" s="556">
        <f t="shared" si="47"/>
        <v>0</v>
      </c>
      <c r="U669" s="556">
        <f t="shared" si="48"/>
        <v>0</v>
      </c>
      <c r="V669" s="556">
        <f t="shared" si="49"/>
        <v>0</v>
      </c>
      <c r="W669" s="556">
        <f t="shared" si="50"/>
        <v>0</v>
      </c>
      <c r="X669" s="556">
        <f t="shared" si="51"/>
        <v>8910</v>
      </c>
      <c r="Y669" s="556">
        <f t="shared" si="52"/>
        <v>0</v>
      </c>
      <c r="Z669" s="556">
        <f t="shared" si="53"/>
        <v>12449.25</v>
      </c>
      <c r="AA669" s="556">
        <f t="shared" si="54"/>
        <v>0</v>
      </c>
      <c r="AB669" s="556">
        <f t="shared" si="55"/>
        <v>0</v>
      </c>
      <c r="AC669" s="556">
        <f t="shared" si="56"/>
        <v>0</v>
      </c>
      <c r="AD669" s="556">
        <f t="shared" si="45"/>
        <v>0</v>
      </c>
      <c r="AE669" s="556">
        <f t="shared" si="58"/>
        <v>0</v>
      </c>
      <c r="AF669" s="556">
        <f t="shared" si="58"/>
        <v>35847.21</v>
      </c>
      <c r="AG669" s="556">
        <f t="shared" si="58"/>
        <v>17542.25</v>
      </c>
      <c r="AH669" s="44"/>
    </row>
    <row r="670" spans="1:34" hidden="1" outlineLevel="1" x14ac:dyDescent="0.35">
      <c r="A670" t="b">
        <f t="shared" si="43"/>
        <v>1</v>
      </c>
      <c r="B670" s="27" t="s">
        <v>175</v>
      </c>
      <c r="C670" s="27" t="s">
        <v>51</v>
      </c>
      <c r="D670" s="27" t="s">
        <v>1539</v>
      </c>
      <c r="E670" s="27" t="s">
        <v>51</v>
      </c>
      <c r="F670" s="27" t="s">
        <v>85</v>
      </c>
      <c r="G670" s="27" t="s">
        <v>177</v>
      </c>
      <c r="H670" s="27" t="s">
        <v>54</v>
      </c>
      <c r="I670" s="27" t="s">
        <v>55</v>
      </c>
      <c r="J670" s="27" t="s">
        <v>101</v>
      </c>
      <c r="K670" s="27" t="s">
        <v>371</v>
      </c>
      <c r="L670" s="27" t="s">
        <v>371</v>
      </c>
      <c r="M670" s="27" t="s">
        <v>371</v>
      </c>
      <c r="N670" s="27" t="s">
        <v>371</v>
      </c>
      <c r="O670" s="27" t="s">
        <v>371</v>
      </c>
      <c r="P670" s="27" t="s">
        <v>371</v>
      </c>
      <c r="Q670" s="27" t="s">
        <v>372</v>
      </c>
      <c r="R670" s="556">
        <f t="shared" si="44"/>
        <v>0</v>
      </c>
      <c r="S670" s="556">
        <f t="shared" si="46"/>
        <v>0</v>
      </c>
      <c r="T670" s="556">
        <f t="shared" si="47"/>
        <v>0</v>
      </c>
      <c r="U670" s="556">
        <f t="shared" si="48"/>
        <v>0</v>
      </c>
      <c r="V670" s="556">
        <f t="shared" si="49"/>
        <v>0</v>
      </c>
      <c r="W670" s="556">
        <f t="shared" si="50"/>
        <v>0</v>
      </c>
      <c r="X670" s="556">
        <f t="shared" si="51"/>
        <v>0</v>
      </c>
      <c r="Y670" s="556">
        <f t="shared" si="52"/>
        <v>0</v>
      </c>
      <c r="Z670" s="556">
        <f t="shared" si="53"/>
        <v>0</v>
      </c>
      <c r="AA670" s="556">
        <f t="shared" si="54"/>
        <v>0</v>
      </c>
      <c r="AB670" s="556">
        <f t="shared" si="55"/>
        <v>0</v>
      </c>
      <c r="AC670" s="556">
        <f t="shared" si="56"/>
        <v>0</v>
      </c>
      <c r="AD670" s="556">
        <f t="shared" si="45"/>
        <v>0</v>
      </c>
      <c r="AE670" s="556">
        <f t="shared" si="58"/>
        <v>0</v>
      </c>
      <c r="AF670" s="556">
        <f t="shared" si="58"/>
        <v>0</v>
      </c>
      <c r="AG670" s="556">
        <f t="shared" si="58"/>
        <v>0</v>
      </c>
    </row>
    <row r="671" spans="1:34" hidden="1" outlineLevel="1" x14ac:dyDescent="0.35">
      <c r="A671" t="b">
        <f t="shared" si="43"/>
        <v>1</v>
      </c>
      <c r="B671" s="27" t="s">
        <v>583</v>
      </c>
      <c r="C671" s="27" t="s">
        <v>51</v>
      </c>
      <c r="D671" s="27" t="s">
        <v>1540</v>
      </c>
      <c r="E671" s="27" t="s">
        <v>51</v>
      </c>
      <c r="F671" s="27" t="s">
        <v>474</v>
      </c>
      <c r="G671" s="27" t="s">
        <v>584</v>
      </c>
      <c r="H671" s="27" t="s">
        <v>447</v>
      </c>
      <c r="I671" s="27" t="s">
        <v>440</v>
      </c>
      <c r="J671" s="27" t="s">
        <v>448</v>
      </c>
      <c r="K671" s="27" t="s">
        <v>476</v>
      </c>
      <c r="L671" s="27" t="s">
        <v>503</v>
      </c>
      <c r="M671" s="27" t="s">
        <v>503</v>
      </c>
      <c r="N671" s="27" t="s">
        <v>503</v>
      </c>
      <c r="O671" s="27" t="s">
        <v>480</v>
      </c>
      <c r="P671" s="27" t="s">
        <v>480</v>
      </c>
      <c r="Q671" s="27" t="s">
        <v>372</v>
      </c>
      <c r="R671" s="556">
        <f t="shared" si="44"/>
        <v>0</v>
      </c>
      <c r="S671" s="556">
        <f t="shared" si="46"/>
        <v>0</v>
      </c>
      <c r="T671" s="556">
        <f t="shared" si="47"/>
        <v>0</v>
      </c>
      <c r="U671" s="556">
        <f t="shared" si="48"/>
        <v>0</v>
      </c>
      <c r="V671" s="556">
        <f t="shared" si="49"/>
        <v>0</v>
      </c>
      <c r="W671" s="556">
        <f t="shared" si="50"/>
        <v>0</v>
      </c>
      <c r="X671" s="556">
        <f t="shared" si="51"/>
        <v>0</v>
      </c>
      <c r="Y671" s="556">
        <f t="shared" si="52"/>
        <v>0</v>
      </c>
      <c r="Z671" s="556">
        <f t="shared" si="53"/>
        <v>0</v>
      </c>
      <c r="AA671" s="556">
        <f t="shared" si="54"/>
        <v>0</v>
      </c>
      <c r="AB671" s="556">
        <f t="shared" si="55"/>
        <v>0</v>
      </c>
      <c r="AC671" s="556">
        <f t="shared" si="56"/>
        <v>0</v>
      </c>
      <c r="AD671" s="556">
        <f t="shared" si="45"/>
        <v>0</v>
      </c>
      <c r="AE671" s="556">
        <f t="shared" ref="AE671:AG690" si="59">+IF(AE$10="Actuals",IF($O193="Revenue",-IF($H193="BS",AE193,IF($H193="P&amp;L",AE193-AD193,0)),IF($H193="BS",AE193,IF($H193="P&amp;L",AE193-AD193,0))),0)</f>
        <v>0</v>
      </c>
      <c r="AF671" s="556">
        <f t="shared" si="59"/>
        <v>0</v>
      </c>
      <c r="AG671" s="556">
        <f t="shared" si="59"/>
        <v>0</v>
      </c>
      <c r="AH671" s="44"/>
    </row>
    <row r="672" spans="1:34" hidden="1" outlineLevel="1" x14ac:dyDescent="0.35">
      <c r="A672" t="b">
        <f t="shared" si="43"/>
        <v>1</v>
      </c>
      <c r="B672" s="27" t="s">
        <v>337</v>
      </c>
      <c r="C672" s="27" t="s">
        <v>51</v>
      </c>
      <c r="D672" s="27" t="s">
        <v>1541</v>
      </c>
      <c r="E672" s="27" t="s">
        <v>51</v>
      </c>
      <c r="F672" s="27" t="s">
        <v>195</v>
      </c>
      <c r="G672" s="27" t="s">
        <v>177</v>
      </c>
      <c r="H672" s="27" t="s">
        <v>54</v>
      </c>
      <c r="I672" s="27" t="s">
        <v>142</v>
      </c>
      <c r="J672" s="27" t="s">
        <v>197</v>
      </c>
      <c r="K672" s="27" t="s">
        <v>371</v>
      </c>
      <c r="L672" s="27" t="s">
        <v>371</v>
      </c>
      <c r="M672" s="27" t="s">
        <v>371</v>
      </c>
      <c r="N672" s="27" t="s">
        <v>371</v>
      </c>
      <c r="O672" s="27" t="s">
        <v>371</v>
      </c>
      <c r="P672" s="27" t="s">
        <v>371</v>
      </c>
      <c r="Q672" s="27" t="s">
        <v>372</v>
      </c>
      <c r="R672" s="556">
        <f t="shared" si="44"/>
        <v>-76250.009999999995</v>
      </c>
      <c r="S672" s="556">
        <f t="shared" si="46"/>
        <v>-76250.009999999995</v>
      </c>
      <c r="T672" s="556">
        <f t="shared" si="47"/>
        <v>-76250.009999999995</v>
      </c>
      <c r="U672" s="556">
        <f t="shared" si="48"/>
        <v>-76250.009999999995</v>
      </c>
      <c r="V672" s="556">
        <f t="shared" si="49"/>
        <v>-76250.009999999995</v>
      </c>
      <c r="W672" s="556">
        <f t="shared" si="50"/>
        <v>-76250.009999999995</v>
      </c>
      <c r="X672" s="556">
        <f t="shared" si="51"/>
        <v>0</v>
      </c>
      <c r="Y672" s="556">
        <f t="shared" si="52"/>
        <v>0</v>
      </c>
      <c r="Z672" s="556">
        <f t="shared" si="53"/>
        <v>0</v>
      </c>
      <c r="AA672" s="556">
        <f t="shared" si="54"/>
        <v>0</v>
      </c>
      <c r="AB672" s="556">
        <f t="shared" si="55"/>
        <v>0</v>
      </c>
      <c r="AC672" s="556">
        <f t="shared" si="56"/>
        <v>0</v>
      </c>
      <c r="AD672" s="556">
        <f t="shared" si="45"/>
        <v>0</v>
      </c>
      <c r="AE672" s="556">
        <f t="shared" si="59"/>
        <v>0</v>
      </c>
      <c r="AF672" s="556">
        <f t="shared" si="59"/>
        <v>0</v>
      </c>
      <c r="AG672" s="556">
        <f t="shared" si="59"/>
        <v>0</v>
      </c>
    </row>
    <row r="673" spans="1:34" hidden="1" outlineLevel="1" x14ac:dyDescent="0.35">
      <c r="A673" t="b">
        <f t="shared" si="43"/>
        <v>1</v>
      </c>
      <c r="B673" s="27" t="s">
        <v>585</v>
      </c>
      <c r="C673" s="27" t="s">
        <v>51</v>
      </c>
      <c r="D673" s="27" t="s">
        <v>1542</v>
      </c>
      <c r="E673" s="27" t="s">
        <v>51</v>
      </c>
      <c r="F673" s="27" t="s">
        <v>385</v>
      </c>
      <c r="G673" s="27" t="s">
        <v>1092</v>
      </c>
      <c r="H673" s="27" t="s">
        <v>54</v>
      </c>
      <c r="I673" s="27" t="s">
        <v>55</v>
      </c>
      <c r="J673" s="27" t="s">
        <v>393</v>
      </c>
      <c r="K673" s="27" t="s">
        <v>371</v>
      </c>
      <c r="L673" s="27" t="s">
        <v>371</v>
      </c>
      <c r="M673" s="27" t="s">
        <v>371</v>
      </c>
      <c r="N673" s="27" t="s">
        <v>371</v>
      </c>
      <c r="O673" s="27" t="s">
        <v>371</v>
      </c>
      <c r="P673" s="27" t="s">
        <v>371</v>
      </c>
      <c r="Q673" s="27" t="s">
        <v>372</v>
      </c>
      <c r="R673" s="556">
        <f t="shared" si="44"/>
        <v>17877225.91</v>
      </c>
      <c r="S673" s="556">
        <f t="shared" si="46"/>
        <v>18014238.859999999</v>
      </c>
      <c r="T673" s="556">
        <f t="shared" si="47"/>
        <v>18559672.530000001</v>
      </c>
      <c r="U673" s="556">
        <f t="shared" si="48"/>
        <v>18698955.75</v>
      </c>
      <c r="V673" s="556">
        <f t="shared" si="49"/>
        <v>19417666.859999999</v>
      </c>
      <c r="W673" s="556">
        <f t="shared" si="50"/>
        <v>19632927.18</v>
      </c>
      <c r="X673" s="556">
        <f t="shared" si="51"/>
        <v>19632927.18</v>
      </c>
      <c r="Y673" s="556">
        <f t="shared" si="52"/>
        <v>19632927.18</v>
      </c>
      <c r="Z673" s="556">
        <f t="shared" si="53"/>
        <v>19479213.960000001</v>
      </c>
      <c r="AA673" s="556">
        <f t="shared" si="54"/>
        <v>19479213.960000001</v>
      </c>
      <c r="AB673" s="556">
        <f t="shared" si="55"/>
        <v>19479213.960000001</v>
      </c>
      <c r="AC673" s="556">
        <f t="shared" si="56"/>
        <v>19479213.960000001</v>
      </c>
      <c r="AD673" s="556">
        <f t="shared" si="45"/>
        <v>19827265.739999998</v>
      </c>
      <c r="AE673" s="556">
        <f t="shared" si="59"/>
        <v>19841827.309999999</v>
      </c>
      <c r="AF673" s="556">
        <f t="shared" si="59"/>
        <v>22071793.449999999</v>
      </c>
      <c r="AG673" s="556">
        <f t="shared" si="59"/>
        <v>0</v>
      </c>
    </row>
    <row r="674" spans="1:34" hidden="1" outlineLevel="1" x14ac:dyDescent="0.35">
      <c r="A674" t="b">
        <f t="shared" si="43"/>
        <v>1</v>
      </c>
      <c r="B674" s="27" t="s">
        <v>586</v>
      </c>
      <c r="C674" s="27" t="s">
        <v>51</v>
      </c>
      <c r="D674" s="27" t="s">
        <v>1543</v>
      </c>
      <c r="E674" s="27" t="s">
        <v>51</v>
      </c>
      <c r="F674" s="27" t="s">
        <v>587</v>
      </c>
      <c r="G674" s="27" t="s">
        <v>84</v>
      </c>
      <c r="H674" s="27" t="s">
        <v>54</v>
      </c>
      <c r="I674" s="27" t="s">
        <v>142</v>
      </c>
      <c r="J674" s="27" t="s">
        <v>197</v>
      </c>
      <c r="K674" s="27" t="s">
        <v>371</v>
      </c>
      <c r="L674" s="27" t="s">
        <v>371</v>
      </c>
      <c r="M674" s="27" t="s">
        <v>371</v>
      </c>
      <c r="N674" s="27" t="s">
        <v>371</v>
      </c>
      <c r="O674" s="27" t="s">
        <v>371</v>
      </c>
      <c r="P674" s="27" t="s">
        <v>371</v>
      </c>
      <c r="Q674" s="27" t="s">
        <v>372</v>
      </c>
      <c r="R674" s="556">
        <f t="shared" si="44"/>
        <v>-596920</v>
      </c>
      <c r="S674" s="556">
        <f t="shared" si="46"/>
        <v>-596920</v>
      </c>
      <c r="T674" s="556">
        <f t="shared" si="47"/>
        <v>-596920</v>
      </c>
      <c r="U674" s="556">
        <f t="shared" si="48"/>
        <v>-596920</v>
      </c>
      <c r="V674" s="556">
        <f t="shared" si="49"/>
        <v>0</v>
      </c>
      <c r="W674" s="556">
        <f t="shared" si="50"/>
        <v>0</v>
      </c>
      <c r="X674" s="556">
        <f t="shared" si="51"/>
        <v>0</v>
      </c>
      <c r="Y674" s="556">
        <f t="shared" si="52"/>
        <v>0</v>
      </c>
      <c r="Z674" s="556">
        <f t="shared" si="53"/>
        <v>0</v>
      </c>
      <c r="AA674" s="556">
        <f t="shared" si="54"/>
        <v>0</v>
      </c>
      <c r="AB674" s="556">
        <f t="shared" si="55"/>
        <v>0</v>
      </c>
      <c r="AC674" s="556">
        <f t="shared" si="56"/>
        <v>0</v>
      </c>
      <c r="AD674" s="556">
        <f t="shared" si="45"/>
        <v>0</v>
      </c>
      <c r="AE674" s="556">
        <f t="shared" si="59"/>
        <v>0</v>
      </c>
      <c r="AF674" s="556">
        <f t="shared" si="59"/>
        <v>0</v>
      </c>
      <c r="AG674" s="556">
        <f t="shared" si="59"/>
        <v>0</v>
      </c>
    </row>
    <row r="675" spans="1:34" hidden="1" outlineLevel="1" x14ac:dyDescent="0.35">
      <c r="A675" t="b">
        <f t="shared" si="43"/>
        <v>1</v>
      </c>
      <c r="B675" s="27" t="s">
        <v>588</v>
      </c>
      <c r="C675" s="27" t="s">
        <v>51</v>
      </c>
      <c r="D675" s="27" t="s">
        <v>1544</v>
      </c>
      <c r="E675" s="27" t="s">
        <v>51</v>
      </c>
      <c r="F675" s="27" t="s">
        <v>432</v>
      </c>
      <c r="G675" s="27" t="s">
        <v>589</v>
      </c>
      <c r="H675" s="27" t="s">
        <v>54</v>
      </c>
      <c r="I675" s="27" t="s">
        <v>142</v>
      </c>
      <c r="J675" s="27" t="s">
        <v>143</v>
      </c>
      <c r="K675" s="27" t="s">
        <v>371</v>
      </c>
      <c r="L675" s="27" t="s">
        <v>371</v>
      </c>
      <c r="M675" s="27" t="s">
        <v>371</v>
      </c>
      <c r="N675" s="27" t="s">
        <v>371</v>
      </c>
      <c r="O675" s="27" t="s">
        <v>371</v>
      </c>
      <c r="P675" s="27" t="s">
        <v>371</v>
      </c>
      <c r="Q675" s="27" t="s">
        <v>372</v>
      </c>
      <c r="R675" s="556">
        <f t="shared" si="44"/>
        <v>27.57</v>
      </c>
      <c r="S675" s="556">
        <f t="shared" si="46"/>
        <v>0</v>
      </c>
      <c r="T675" s="556">
        <f t="shared" si="47"/>
        <v>143.25</v>
      </c>
      <c r="U675" s="556">
        <f t="shared" si="48"/>
        <v>159.26000000000204</v>
      </c>
      <c r="V675" s="556">
        <f t="shared" si="49"/>
        <v>117.0199999999968</v>
      </c>
      <c r="W675" s="556">
        <f t="shared" si="50"/>
        <v>148.52999999999884</v>
      </c>
      <c r="X675" s="556">
        <f t="shared" si="51"/>
        <v>145.72999999999999</v>
      </c>
      <c r="Y675" s="556">
        <f t="shared" si="52"/>
        <v>145.72999999999999</v>
      </c>
      <c r="Z675" s="556">
        <f t="shared" si="53"/>
        <v>0</v>
      </c>
      <c r="AA675" s="556">
        <f t="shared" si="54"/>
        <v>0</v>
      </c>
      <c r="AB675" s="556">
        <f t="shared" si="55"/>
        <v>0</v>
      </c>
      <c r="AC675" s="556">
        <f t="shared" si="56"/>
        <v>0</v>
      </c>
      <c r="AD675" s="556">
        <f t="shared" si="45"/>
        <v>0</v>
      </c>
      <c r="AE675" s="556">
        <f t="shared" si="59"/>
        <v>0</v>
      </c>
      <c r="AF675" s="556">
        <f t="shared" si="59"/>
        <v>0</v>
      </c>
      <c r="AG675" s="556">
        <f t="shared" si="59"/>
        <v>0</v>
      </c>
    </row>
    <row r="676" spans="1:34" hidden="1" outlineLevel="1" x14ac:dyDescent="0.35">
      <c r="A676" t="b">
        <f t="shared" si="43"/>
        <v>1</v>
      </c>
      <c r="B676" s="27" t="s">
        <v>590</v>
      </c>
      <c r="C676" s="27" t="s">
        <v>51</v>
      </c>
      <c r="D676" s="27" t="s">
        <v>1545</v>
      </c>
      <c r="E676" s="27" t="s">
        <v>51</v>
      </c>
      <c r="F676" s="27" t="s">
        <v>474</v>
      </c>
      <c r="G676" s="27" t="s">
        <v>591</v>
      </c>
      <c r="H676" s="27" t="s">
        <v>447</v>
      </c>
      <c r="I676" s="27" t="s">
        <v>440</v>
      </c>
      <c r="J676" s="27" t="s">
        <v>448</v>
      </c>
      <c r="K676" s="27" t="s">
        <v>476</v>
      </c>
      <c r="L676" s="27" t="s">
        <v>487</v>
      </c>
      <c r="M676" s="27" t="s">
        <v>532</v>
      </c>
      <c r="N676" s="27" t="s">
        <v>494</v>
      </c>
      <c r="O676" s="27" t="s">
        <v>480</v>
      </c>
      <c r="P676" s="27" t="s">
        <v>480</v>
      </c>
      <c r="Q676" s="27" t="s">
        <v>372</v>
      </c>
      <c r="R676" s="556">
        <f t="shared" si="44"/>
        <v>0</v>
      </c>
      <c r="S676" s="556">
        <f t="shared" si="46"/>
        <v>0</v>
      </c>
      <c r="T676" s="556">
        <f t="shared" si="47"/>
        <v>0</v>
      </c>
      <c r="U676" s="556">
        <f t="shared" si="48"/>
        <v>0</v>
      </c>
      <c r="V676" s="556">
        <f t="shared" si="49"/>
        <v>0</v>
      </c>
      <c r="W676" s="556">
        <f t="shared" si="50"/>
        <v>0</v>
      </c>
      <c r="X676" s="556">
        <f t="shared" si="51"/>
        <v>0</v>
      </c>
      <c r="Y676" s="556">
        <f t="shared" si="52"/>
        <v>0</v>
      </c>
      <c r="Z676" s="556">
        <f t="shared" si="53"/>
        <v>0</v>
      </c>
      <c r="AA676" s="556">
        <f t="shared" si="54"/>
        <v>0</v>
      </c>
      <c r="AB676" s="556">
        <f t="shared" si="55"/>
        <v>0</v>
      </c>
      <c r="AC676" s="556">
        <f t="shared" si="56"/>
        <v>0</v>
      </c>
      <c r="AD676" s="556">
        <f t="shared" si="45"/>
        <v>0</v>
      </c>
      <c r="AE676" s="556">
        <f t="shared" si="59"/>
        <v>0</v>
      </c>
      <c r="AF676" s="556">
        <f t="shared" si="59"/>
        <v>0</v>
      </c>
      <c r="AG676" s="556">
        <f t="shared" si="59"/>
        <v>0</v>
      </c>
      <c r="AH676" s="44"/>
    </row>
    <row r="677" spans="1:34" hidden="1" outlineLevel="1" x14ac:dyDescent="0.35">
      <c r="A677" t="b">
        <f t="shared" si="43"/>
        <v>1</v>
      </c>
      <c r="B677" s="27" t="s">
        <v>1272</v>
      </c>
      <c r="C677" s="27" t="s">
        <v>51</v>
      </c>
      <c r="D677" s="27" t="s">
        <v>1851</v>
      </c>
      <c r="E677" s="27" t="s">
        <v>51</v>
      </c>
      <c r="F677" s="27" t="s">
        <v>501</v>
      </c>
      <c r="G677" s="27" t="s">
        <v>1761</v>
      </c>
      <c r="H677" s="27" t="s">
        <v>447</v>
      </c>
      <c r="I677" s="27" t="s">
        <v>440</v>
      </c>
      <c r="J677" s="27" t="s">
        <v>448</v>
      </c>
      <c r="K677" s="27" t="s">
        <v>476</v>
      </c>
      <c r="L677" s="27" t="s">
        <v>904</v>
      </c>
      <c r="M677" s="27" t="s">
        <v>904</v>
      </c>
      <c r="N677" s="27" t="s">
        <v>904</v>
      </c>
      <c r="O677" s="27" t="s">
        <v>480</v>
      </c>
      <c r="P677" s="27" t="s">
        <v>480</v>
      </c>
      <c r="Q677" s="27" t="s">
        <v>372</v>
      </c>
      <c r="R677" s="556">
        <f t="shared" si="44"/>
        <v>0</v>
      </c>
      <c r="S677" s="556">
        <f t="shared" si="46"/>
        <v>0</v>
      </c>
      <c r="T677" s="556">
        <f t="shared" si="47"/>
        <v>11122</v>
      </c>
      <c r="U677" s="556">
        <f t="shared" si="48"/>
        <v>0</v>
      </c>
      <c r="V677" s="556">
        <f t="shared" si="49"/>
        <v>8337.34</v>
      </c>
      <c r="W677" s="556">
        <f t="shared" si="50"/>
        <v>25745.359999999997</v>
      </c>
      <c r="X677" s="556">
        <f t="shared" si="51"/>
        <v>5782.8000000000029</v>
      </c>
      <c r="Y677" s="556">
        <f t="shared" si="52"/>
        <v>36942.710000000006</v>
      </c>
      <c r="Z677" s="556">
        <f t="shared" si="53"/>
        <v>24748.210000000006</v>
      </c>
      <c r="AA677" s="556">
        <f t="shared" si="54"/>
        <v>35737.729999999981</v>
      </c>
      <c r="AB677" s="556">
        <f t="shared" si="55"/>
        <v>26935.279999999999</v>
      </c>
      <c r="AC677" s="556">
        <f t="shared" si="56"/>
        <v>29138.630000000005</v>
      </c>
      <c r="AD677" s="556">
        <f t="shared" si="45"/>
        <v>54941.599999999999</v>
      </c>
      <c r="AE677" s="556">
        <f t="shared" si="59"/>
        <v>47935.98</v>
      </c>
      <c r="AF677" s="556">
        <f t="shared" si="59"/>
        <v>96832.04</v>
      </c>
      <c r="AG677" s="556">
        <f t="shared" si="59"/>
        <v>0</v>
      </c>
      <c r="AH677" s="44"/>
    </row>
    <row r="678" spans="1:34" hidden="1" outlineLevel="1" x14ac:dyDescent="0.35">
      <c r="A678" t="b">
        <f t="shared" si="43"/>
        <v>1</v>
      </c>
      <c r="B678" s="27" t="s">
        <v>592</v>
      </c>
      <c r="C678" s="27" t="s">
        <v>51</v>
      </c>
      <c r="D678" s="27" t="s">
        <v>1546</v>
      </c>
      <c r="E678" s="27" t="s">
        <v>51</v>
      </c>
      <c r="F678" s="27" t="s">
        <v>501</v>
      </c>
      <c r="G678" s="27" t="s">
        <v>593</v>
      </c>
      <c r="H678" s="27" t="s">
        <v>447</v>
      </c>
      <c r="I678" s="27" t="s">
        <v>440</v>
      </c>
      <c r="J678" s="27" t="s">
        <v>448</v>
      </c>
      <c r="K678" s="27" t="s">
        <v>476</v>
      </c>
      <c r="L678" s="27" t="s">
        <v>502</v>
      </c>
      <c r="M678" s="27" t="s">
        <v>502</v>
      </c>
      <c r="N678" s="27" t="s">
        <v>488</v>
      </c>
      <c r="O678" s="27" t="s">
        <v>480</v>
      </c>
      <c r="P678" s="27" t="s">
        <v>480</v>
      </c>
      <c r="Q678" s="27" t="s">
        <v>372</v>
      </c>
      <c r="R678" s="556">
        <f t="shared" si="44"/>
        <v>0</v>
      </c>
      <c r="S678" s="556">
        <f t="shared" si="46"/>
        <v>0</v>
      </c>
      <c r="T678" s="556">
        <f t="shared" si="47"/>
        <v>0</v>
      </c>
      <c r="U678" s="556">
        <f t="shared" si="48"/>
        <v>0</v>
      </c>
      <c r="V678" s="556">
        <f t="shared" si="49"/>
        <v>0</v>
      </c>
      <c r="W678" s="556">
        <f t="shared" si="50"/>
        <v>0</v>
      </c>
      <c r="X678" s="556">
        <f t="shared" si="51"/>
        <v>0</v>
      </c>
      <c r="Y678" s="556">
        <f t="shared" si="52"/>
        <v>0</v>
      </c>
      <c r="Z678" s="556">
        <f t="shared" si="53"/>
        <v>0</v>
      </c>
      <c r="AA678" s="556">
        <f t="shared" si="54"/>
        <v>0</v>
      </c>
      <c r="AB678" s="556">
        <f t="shared" si="55"/>
        <v>0</v>
      </c>
      <c r="AC678" s="556">
        <f t="shared" si="56"/>
        <v>0</v>
      </c>
      <c r="AD678" s="556">
        <f t="shared" si="45"/>
        <v>0</v>
      </c>
      <c r="AE678" s="556">
        <f t="shared" si="59"/>
        <v>0</v>
      </c>
      <c r="AF678" s="556">
        <f t="shared" si="59"/>
        <v>0</v>
      </c>
      <c r="AG678" s="556">
        <f t="shared" si="59"/>
        <v>0</v>
      </c>
      <c r="AH678" s="44"/>
    </row>
    <row r="679" spans="1:34" hidden="1" outlineLevel="1" x14ac:dyDescent="0.35">
      <c r="A679" t="b">
        <f t="shared" si="43"/>
        <v>1</v>
      </c>
      <c r="B679" s="27" t="s">
        <v>1273</v>
      </c>
      <c r="C679" s="27" t="s">
        <v>51</v>
      </c>
      <c r="D679" s="27" t="s">
        <v>1852</v>
      </c>
      <c r="E679" s="27" t="s">
        <v>51</v>
      </c>
      <c r="F679" s="27" t="s">
        <v>539</v>
      </c>
      <c r="G679" s="27" t="s">
        <v>1547</v>
      </c>
      <c r="H679" s="27" t="s">
        <v>447</v>
      </c>
      <c r="I679" s="27" t="s">
        <v>440</v>
      </c>
      <c r="J679" s="27" t="s">
        <v>448</v>
      </c>
      <c r="K679" s="27" t="s">
        <v>476</v>
      </c>
      <c r="L679" s="27" t="s">
        <v>542</v>
      </c>
      <c r="M679" s="27" t="s">
        <v>542</v>
      </c>
      <c r="N679" s="27" t="s">
        <v>478</v>
      </c>
      <c r="O679" s="27" t="s">
        <v>480</v>
      </c>
      <c r="P679" s="27" t="s">
        <v>480</v>
      </c>
      <c r="Q679" s="27" t="s">
        <v>372</v>
      </c>
      <c r="R679" s="556">
        <f t="shared" si="44"/>
        <v>21202.720000000001</v>
      </c>
      <c r="S679" s="556">
        <f t="shared" si="46"/>
        <v>23977.489999999998</v>
      </c>
      <c r="T679" s="556">
        <f t="shared" si="47"/>
        <v>36294.670000000006</v>
      </c>
      <c r="U679" s="556">
        <f t="shared" si="48"/>
        <v>37798.100000000006</v>
      </c>
      <c r="V679" s="556">
        <f t="shared" si="49"/>
        <v>34170.459999999992</v>
      </c>
      <c r="W679" s="556">
        <f t="shared" si="50"/>
        <v>37125.440000000002</v>
      </c>
      <c r="X679" s="556">
        <f t="shared" si="51"/>
        <v>36636.119999999995</v>
      </c>
      <c r="Y679" s="556">
        <f t="shared" si="52"/>
        <v>19638.829999999987</v>
      </c>
      <c r="Z679" s="556">
        <f t="shared" si="53"/>
        <v>22375.99000000002</v>
      </c>
      <c r="AA679" s="556">
        <f t="shared" si="54"/>
        <v>21082.5</v>
      </c>
      <c r="AB679" s="556">
        <f t="shared" si="55"/>
        <v>28622.390000000014</v>
      </c>
      <c r="AC679" s="556">
        <f t="shared" si="56"/>
        <v>40299.989999999991</v>
      </c>
      <c r="AD679" s="556">
        <f t="shared" si="45"/>
        <v>42015.98</v>
      </c>
      <c r="AE679" s="556">
        <f t="shared" si="59"/>
        <v>48919.969999999994</v>
      </c>
      <c r="AF679" s="556">
        <f t="shared" si="59"/>
        <v>87447.33</v>
      </c>
      <c r="AG679" s="556">
        <f t="shared" si="59"/>
        <v>65001.31</v>
      </c>
      <c r="AH679" s="44"/>
    </row>
    <row r="680" spans="1:34" hidden="1" outlineLevel="1" x14ac:dyDescent="0.35">
      <c r="A680" t="b">
        <f t="shared" si="43"/>
        <v>1</v>
      </c>
      <c r="B680" s="27" t="s">
        <v>1274</v>
      </c>
      <c r="C680" s="27" t="s">
        <v>51</v>
      </c>
      <c r="D680" s="27" t="s">
        <v>1853</v>
      </c>
      <c r="E680" s="27" t="s">
        <v>51</v>
      </c>
      <c r="F680" s="27" t="s">
        <v>501</v>
      </c>
      <c r="G680" s="27" t="s">
        <v>1548</v>
      </c>
      <c r="H680" s="27" t="s">
        <v>447</v>
      </c>
      <c r="I680" s="27" t="s">
        <v>440</v>
      </c>
      <c r="J680" s="27" t="s">
        <v>448</v>
      </c>
      <c r="K680" s="27" t="s">
        <v>476</v>
      </c>
      <c r="L680" s="27" t="s">
        <v>502</v>
      </c>
      <c r="M680" s="27" t="s">
        <v>502</v>
      </c>
      <c r="N680" s="27" t="s">
        <v>502</v>
      </c>
      <c r="O680" s="27" t="s">
        <v>480</v>
      </c>
      <c r="P680" s="27" t="s">
        <v>480</v>
      </c>
      <c r="Q680" s="27" t="s">
        <v>372</v>
      </c>
      <c r="R680" s="556">
        <f t="shared" si="44"/>
        <v>0</v>
      </c>
      <c r="S680" s="556">
        <f t="shared" si="46"/>
        <v>0</v>
      </c>
      <c r="T680" s="556">
        <f t="shared" si="47"/>
        <v>0</v>
      </c>
      <c r="U680" s="556">
        <f t="shared" si="48"/>
        <v>0</v>
      </c>
      <c r="V680" s="556">
        <f t="shared" si="49"/>
        <v>0</v>
      </c>
      <c r="W680" s="556">
        <f t="shared" si="50"/>
        <v>0</v>
      </c>
      <c r="X680" s="556">
        <f t="shared" si="51"/>
        <v>0</v>
      </c>
      <c r="Y680" s="556">
        <f t="shared" si="52"/>
        <v>0</v>
      </c>
      <c r="Z680" s="556">
        <f t="shared" si="53"/>
        <v>552.17999999999995</v>
      </c>
      <c r="AA680" s="556">
        <f t="shared" si="54"/>
        <v>3208.3700000000003</v>
      </c>
      <c r="AB680" s="556">
        <f t="shared" si="55"/>
        <v>496.17000000000007</v>
      </c>
      <c r="AC680" s="556">
        <f t="shared" si="56"/>
        <v>7987.64</v>
      </c>
      <c r="AD680" s="556">
        <f t="shared" si="45"/>
        <v>684.12</v>
      </c>
      <c r="AE680" s="556">
        <f t="shared" si="59"/>
        <v>790.7700000000001</v>
      </c>
      <c r="AF680" s="556">
        <f t="shared" si="59"/>
        <v>833.5799999999997</v>
      </c>
      <c r="AG680" s="556">
        <f t="shared" si="59"/>
        <v>3671.68</v>
      </c>
      <c r="AH680" s="44"/>
    </row>
    <row r="681" spans="1:34" hidden="1" outlineLevel="1" x14ac:dyDescent="0.35">
      <c r="A681" t="b">
        <f t="shared" si="43"/>
        <v>1</v>
      </c>
      <c r="B681" s="27" t="s">
        <v>1275</v>
      </c>
      <c r="C681" s="27" t="s">
        <v>51</v>
      </c>
      <c r="D681" s="27" t="s">
        <v>1854</v>
      </c>
      <c r="E681" s="27" t="s">
        <v>51</v>
      </c>
      <c r="F681" s="27" t="s">
        <v>445</v>
      </c>
      <c r="G681" s="27" t="s">
        <v>1549</v>
      </c>
      <c r="H681" s="27" t="s">
        <v>447</v>
      </c>
      <c r="I681" s="27" t="s">
        <v>440</v>
      </c>
      <c r="J681" s="27" t="s">
        <v>448</v>
      </c>
      <c r="K681" s="27" t="s">
        <v>449</v>
      </c>
      <c r="L681" s="27" t="s">
        <v>595</v>
      </c>
      <c r="M681" s="27" t="s">
        <v>595</v>
      </c>
      <c r="N681" s="27" t="s">
        <v>595</v>
      </c>
      <c r="O681" s="27" t="s">
        <v>449</v>
      </c>
      <c r="P681" s="27" t="s">
        <v>449</v>
      </c>
      <c r="Q681" s="27" t="s">
        <v>372</v>
      </c>
      <c r="R681" s="556">
        <f t="shared" si="44"/>
        <v>2081191.38</v>
      </c>
      <c r="S681" s="556">
        <f t="shared" si="46"/>
        <v>1422852.08</v>
      </c>
      <c r="T681" s="556">
        <f t="shared" si="47"/>
        <v>2142882.54</v>
      </c>
      <c r="U681" s="556">
        <f t="shared" si="48"/>
        <v>2619896</v>
      </c>
      <c r="V681" s="556">
        <f t="shared" si="49"/>
        <v>2987605</v>
      </c>
      <c r="W681" s="556">
        <f t="shared" si="50"/>
        <v>3202383</v>
      </c>
      <c r="X681" s="556">
        <f t="shared" si="51"/>
        <v>3620472</v>
      </c>
      <c r="Y681" s="556">
        <f t="shared" si="52"/>
        <v>4037184.6999999993</v>
      </c>
      <c r="Z681" s="556">
        <f t="shared" si="53"/>
        <v>3074861.4800000004</v>
      </c>
      <c r="AA681" s="556">
        <f t="shared" si="54"/>
        <v>3854853.4499999993</v>
      </c>
      <c r="AB681" s="556">
        <f t="shared" si="55"/>
        <v>4035370.6900000013</v>
      </c>
      <c r="AC681" s="556">
        <f t="shared" si="56"/>
        <v>4207022.4099999964</v>
      </c>
      <c r="AD681" s="556">
        <f t="shared" si="45"/>
        <v>5415172.4100000001</v>
      </c>
      <c r="AE681" s="556">
        <f t="shared" si="59"/>
        <v>5043866.51</v>
      </c>
      <c r="AF681" s="556">
        <f t="shared" si="59"/>
        <v>4980031.3499999996</v>
      </c>
      <c r="AG681" s="556">
        <f t="shared" si="59"/>
        <v>5227633.32</v>
      </c>
      <c r="AH681" s="44"/>
    </row>
    <row r="682" spans="1:34" hidden="1" outlineLevel="1" x14ac:dyDescent="0.35">
      <c r="A682" t="b">
        <f t="shared" si="43"/>
        <v>1</v>
      </c>
      <c r="B682" s="27" t="s">
        <v>596</v>
      </c>
      <c r="C682" s="27" t="s">
        <v>51</v>
      </c>
      <c r="D682" s="27" t="s">
        <v>1550</v>
      </c>
      <c r="E682" s="27" t="s">
        <v>51</v>
      </c>
      <c r="F682" s="27" t="s">
        <v>106</v>
      </c>
      <c r="G682" s="27" t="s">
        <v>597</v>
      </c>
      <c r="H682" s="27" t="s">
        <v>54</v>
      </c>
      <c r="I682" s="27" t="s">
        <v>142</v>
      </c>
      <c r="J682" s="27" t="s">
        <v>180</v>
      </c>
      <c r="K682" s="27" t="s">
        <v>371</v>
      </c>
      <c r="L682" s="27" t="s">
        <v>371</v>
      </c>
      <c r="M682" s="27" t="s">
        <v>371</v>
      </c>
      <c r="N682" s="27" t="s">
        <v>371</v>
      </c>
      <c r="O682" s="27" t="s">
        <v>371</v>
      </c>
      <c r="P682" s="27" t="s">
        <v>371</v>
      </c>
      <c r="Q682" s="27" t="s">
        <v>372</v>
      </c>
      <c r="R682" s="556">
        <f t="shared" si="44"/>
        <v>-195737.45</v>
      </c>
      <c r="S682" s="556">
        <f t="shared" si="46"/>
        <v>-156737.45000000001</v>
      </c>
      <c r="T682" s="556">
        <f t="shared" si="47"/>
        <v>-805867.01</v>
      </c>
      <c r="U682" s="556">
        <f t="shared" si="48"/>
        <v>0</v>
      </c>
      <c r="V682" s="556">
        <f t="shared" si="49"/>
        <v>-1274946.8400000001</v>
      </c>
      <c r="W682" s="556">
        <f t="shared" si="50"/>
        <v>-1274946.8400000001</v>
      </c>
      <c r="X682" s="556">
        <f t="shared" si="51"/>
        <v>0</v>
      </c>
      <c r="Y682" s="556">
        <f t="shared" si="52"/>
        <v>0</v>
      </c>
      <c r="Z682" s="556">
        <f t="shared" si="53"/>
        <v>0</v>
      </c>
      <c r="AA682" s="556">
        <f t="shared" si="54"/>
        <v>0</v>
      </c>
      <c r="AB682" s="556">
        <f t="shared" si="55"/>
        <v>0</v>
      </c>
      <c r="AC682" s="556">
        <f t="shared" si="56"/>
        <v>0</v>
      </c>
      <c r="AD682" s="556">
        <f t="shared" si="45"/>
        <v>0</v>
      </c>
      <c r="AE682" s="556">
        <f t="shared" si="59"/>
        <v>0</v>
      </c>
      <c r="AF682" s="556">
        <f t="shared" si="59"/>
        <v>0</v>
      </c>
      <c r="AG682" s="556">
        <f t="shared" si="59"/>
        <v>0</v>
      </c>
    </row>
    <row r="683" spans="1:34" ht="15" hidden="1" outlineLevel="1" x14ac:dyDescent="0.35">
      <c r="A683" t="b">
        <f t="shared" ref="A683:A746" si="60">B205=B683</f>
        <v>1</v>
      </c>
      <c r="B683" s="27" t="s">
        <v>598</v>
      </c>
      <c r="C683" s="27" t="s">
        <v>51</v>
      </c>
      <c r="D683" s="27" t="s">
        <v>1551</v>
      </c>
      <c r="E683" s="27" t="s">
        <v>51</v>
      </c>
      <c r="F683" s="27" t="s">
        <v>474</v>
      </c>
      <c r="G683" s="27" t="s">
        <v>507</v>
      </c>
      <c r="H683" s="27" t="s">
        <v>447</v>
      </c>
      <c r="I683" s="27" t="s">
        <v>440</v>
      </c>
      <c r="J683" s="27" t="s">
        <v>448</v>
      </c>
      <c r="K683" s="27" t="s">
        <v>476</v>
      </c>
      <c r="L683" s="27" t="s">
        <v>492</v>
      </c>
      <c r="M683" s="102" t="s">
        <v>2031</v>
      </c>
      <c r="N683" s="27" t="s">
        <v>494</v>
      </c>
      <c r="O683" s="27" t="s">
        <v>480</v>
      </c>
      <c r="P683" s="27" t="s">
        <v>480</v>
      </c>
      <c r="Q683" s="27" t="s">
        <v>372</v>
      </c>
      <c r="R683" s="556">
        <f t="shared" ref="R683:R746" si="61">+IF(R$10="Actuals",IF($O205="Revenue",-IF($H205="BS",R205,IF($H205="P&amp;L",R205,0)),IF($H205="BS",R205,IF($H205="P&amp;L",R205,0))),0)</f>
        <v>10489.46</v>
      </c>
      <c r="S683" s="556">
        <f t="shared" si="46"/>
        <v>0</v>
      </c>
      <c r="T683" s="556">
        <f t="shared" si="47"/>
        <v>-10489.46</v>
      </c>
      <c r="U683" s="556">
        <f t="shared" si="48"/>
        <v>0</v>
      </c>
      <c r="V683" s="556">
        <f t="shared" si="49"/>
        <v>0</v>
      </c>
      <c r="W683" s="556">
        <f t="shared" si="50"/>
        <v>0</v>
      </c>
      <c r="X683" s="556">
        <f t="shared" si="51"/>
        <v>0</v>
      </c>
      <c r="Y683" s="556">
        <f t="shared" si="52"/>
        <v>0</v>
      </c>
      <c r="Z683" s="556">
        <f t="shared" si="53"/>
        <v>0</v>
      </c>
      <c r="AA683" s="556">
        <f t="shared" si="54"/>
        <v>0</v>
      </c>
      <c r="AB683" s="556">
        <f t="shared" si="55"/>
        <v>0</v>
      </c>
      <c r="AC683" s="556">
        <f t="shared" si="56"/>
        <v>0</v>
      </c>
      <c r="AD683" s="556">
        <f t="shared" ref="AD683:AD746" si="62">+IF(AD$10="Actuals",IF($O205="Revenue",-IF($H205="BS",AD205,IF($H205="P&amp;L",AD205,0)),IF($H205="BS",AD205,IF($H205="P&amp;L",AD205,0))),0)</f>
        <v>0</v>
      </c>
      <c r="AE683" s="556">
        <f t="shared" si="59"/>
        <v>0</v>
      </c>
      <c r="AF683" s="556">
        <f t="shared" si="59"/>
        <v>0</v>
      </c>
      <c r="AG683" s="556">
        <f t="shared" si="59"/>
        <v>0</v>
      </c>
      <c r="AH683" s="44"/>
    </row>
    <row r="684" spans="1:34" hidden="1" outlineLevel="1" x14ac:dyDescent="0.35">
      <c r="A684" t="b">
        <f t="shared" si="60"/>
        <v>1</v>
      </c>
      <c r="B684" s="27" t="s">
        <v>599</v>
      </c>
      <c r="C684" s="27" t="s">
        <v>51</v>
      </c>
      <c r="D684" s="27" t="s">
        <v>1552</v>
      </c>
      <c r="E684" s="27" t="s">
        <v>51</v>
      </c>
      <c r="F684" s="27" t="s">
        <v>385</v>
      </c>
      <c r="G684" s="27" t="s">
        <v>1093</v>
      </c>
      <c r="H684" s="27" t="s">
        <v>54</v>
      </c>
      <c r="I684" s="27" t="s">
        <v>55</v>
      </c>
      <c r="J684" s="27" t="s">
        <v>393</v>
      </c>
      <c r="K684" s="27" t="s">
        <v>371</v>
      </c>
      <c r="L684" s="27" t="s">
        <v>371</v>
      </c>
      <c r="M684" s="27" t="s">
        <v>371</v>
      </c>
      <c r="N684" s="27" t="s">
        <v>371</v>
      </c>
      <c r="O684" s="27" t="s">
        <v>371</v>
      </c>
      <c r="P684" s="27" t="s">
        <v>371</v>
      </c>
      <c r="Q684" s="27" t="s">
        <v>372</v>
      </c>
      <c r="R684" s="556">
        <f t="shared" si="61"/>
        <v>493360.24</v>
      </c>
      <c r="S684" s="556">
        <f t="shared" ref="S684:S747" si="63">+IF(S$10="Actuals",IF($O206="Revenue",-IF($H206="BS",S206,IF($H206="P&amp;L",S206-R206,0)),IF($H206="BS",S206,IF($H206="P&amp;L",S206-R206,0))),0)</f>
        <v>493360.24</v>
      </c>
      <c r="T684" s="556">
        <f t="shared" ref="T684:T747" si="64">+IF(T$10="Actuals",IF($O206="Revenue",-IF($H206="BS",T206,IF($H206="P&amp;L",T206-S206,0)),IF($H206="BS",T206,IF($H206="P&amp;L",T206-S206,0))),0)</f>
        <v>493360.24</v>
      </c>
      <c r="U684" s="556">
        <f t="shared" ref="U684:U747" si="65">+IF(U$10="Actuals",IF($O206="Revenue",-IF($H206="BS",U206,IF($H206="P&amp;L",U206-T206,0)),IF($H206="BS",U206,IF($H206="P&amp;L",U206-T206,0))),0)</f>
        <v>493360.24</v>
      </c>
      <c r="V684" s="556">
        <f t="shared" ref="V684:V747" si="66">+IF(V$10="Actuals",IF($O206="Revenue",-IF($H206="BS",V206,IF($H206="P&amp;L",V206-U206,0)),IF($H206="BS",V206,IF($H206="P&amp;L",V206-U206,0))),0)</f>
        <v>493360.24</v>
      </c>
      <c r="W684" s="556">
        <f t="shared" ref="W684:W747" si="67">+IF(W$10="Actuals",IF($O206="Revenue",-IF($H206="BS",W206,IF($H206="P&amp;L",W206-V206,0)),IF($H206="BS",W206,IF($H206="P&amp;L",W206-V206,0))),0)</f>
        <v>493360.24</v>
      </c>
      <c r="X684" s="556">
        <f t="shared" ref="X684:X747" si="68">+IF(X$10="Actuals",IF($O206="Revenue",-IF($H206="BS",X206,IF($H206="P&amp;L",X206-W206,0)),IF($H206="BS",X206,IF($H206="P&amp;L",X206-W206,0))),0)</f>
        <v>493360.24</v>
      </c>
      <c r="Y684" s="556">
        <f t="shared" ref="Y684:Y747" si="69">+IF(Y$10="Actuals",IF($O206="Revenue",-IF($H206="BS",Y206,IF($H206="P&amp;L",Y206-X206,0)),IF($H206="BS",Y206,IF($H206="P&amp;L",Y206-X206,0))),0)</f>
        <v>493360.24</v>
      </c>
      <c r="Z684" s="556">
        <f t="shared" ref="Z684:Z747" si="70">+IF(Z$10="Actuals",IF($O206="Revenue",-IF($H206="BS",Z206,IF($H206="P&amp;L",Z206-Y206,0)),IF($H206="BS",Z206,IF($H206="P&amp;L",Z206-Y206,0))),0)</f>
        <v>493360.24</v>
      </c>
      <c r="AA684" s="556">
        <f t="shared" ref="AA684:AA747" si="71">+IF(AA$10="Actuals",IF($O206="Revenue",-IF($H206="BS",AA206,IF($H206="P&amp;L",AA206-Z206,0)),IF($H206="BS",AA206,IF($H206="P&amp;L",AA206-Z206,0))),0)</f>
        <v>493360.24</v>
      </c>
      <c r="AB684" s="556">
        <f t="shared" ref="AB684:AB747" si="72">+IF(AB$10="Actuals",IF($O206="Revenue",-IF($H206="BS",AB206,IF($H206="P&amp;L",AB206-AA206,0)),IF($H206="BS",AB206,IF($H206="P&amp;L",AB206-AA206,0))),0)</f>
        <v>493360.24</v>
      </c>
      <c r="AC684" s="556">
        <f t="shared" ref="AC684:AC747" si="73">+IF(AC$10="Actuals",IF($O206="Revenue",-IF($H206="BS",AC206,IF($H206="P&amp;L",AC206-AB206,0)),IF($H206="BS",AC206,IF($H206="P&amp;L",AC206-AB206,0))),0)</f>
        <v>493360.24</v>
      </c>
      <c r="AD684" s="556">
        <f t="shared" si="62"/>
        <v>493360.24</v>
      </c>
      <c r="AE684" s="556">
        <f t="shared" si="59"/>
        <v>493360.24</v>
      </c>
      <c r="AF684" s="556">
        <f t="shared" si="59"/>
        <v>493360.24</v>
      </c>
      <c r="AG684" s="556">
        <f t="shared" si="59"/>
        <v>0</v>
      </c>
    </row>
    <row r="685" spans="1:34" hidden="1" outlineLevel="1" x14ac:dyDescent="0.35">
      <c r="A685" t="b">
        <f t="shared" si="60"/>
        <v>1</v>
      </c>
      <c r="B685" s="27" t="s">
        <v>600</v>
      </c>
      <c r="C685" s="27" t="s">
        <v>51</v>
      </c>
      <c r="D685" s="27" t="s">
        <v>1553</v>
      </c>
      <c r="E685" s="27" t="s">
        <v>51</v>
      </c>
      <c r="F685" s="27" t="s">
        <v>432</v>
      </c>
      <c r="G685" s="27" t="s">
        <v>601</v>
      </c>
      <c r="H685" s="27" t="s">
        <v>54</v>
      </c>
      <c r="I685" s="27" t="s">
        <v>142</v>
      </c>
      <c r="J685" s="27" t="s">
        <v>143</v>
      </c>
      <c r="K685" s="27" t="s">
        <v>371</v>
      </c>
      <c r="L685" s="27" t="s">
        <v>371</v>
      </c>
      <c r="M685" s="27" t="s">
        <v>371</v>
      </c>
      <c r="N685" s="27" t="s">
        <v>371</v>
      </c>
      <c r="O685" s="27" t="s">
        <v>371</v>
      </c>
      <c r="P685" s="27" t="s">
        <v>371</v>
      </c>
      <c r="Q685" s="27" t="s">
        <v>372</v>
      </c>
      <c r="R685" s="556">
        <f t="shared" si="61"/>
        <v>0</v>
      </c>
      <c r="S685" s="556">
        <f t="shared" si="63"/>
        <v>0</v>
      </c>
      <c r="T685" s="556">
        <f t="shared" si="64"/>
        <v>0</v>
      </c>
      <c r="U685" s="556">
        <f t="shared" si="65"/>
        <v>0</v>
      </c>
      <c r="V685" s="556">
        <f t="shared" si="66"/>
        <v>0</v>
      </c>
      <c r="W685" s="556">
        <f t="shared" si="67"/>
        <v>0</v>
      </c>
      <c r="X685" s="556">
        <f t="shared" si="68"/>
        <v>0</v>
      </c>
      <c r="Y685" s="556">
        <f t="shared" si="69"/>
        <v>0</v>
      </c>
      <c r="Z685" s="556">
        <f t="shared" si="70"/>
        <v>0</v>
      </c>
      <c r="AA685" s="556">
        <f t="shared" si="71"/>
        <v>0</v>
      </c>
      <c r="AB685" s="556">
        <f t="shared" si="72"/>
        <v>0</v>
      </c>
      <c r="AC685" s="556">
        <f t="shared" si="73"/>
        <v>0</v>
      </c>
      <c r="AD685" s="556">
        <f t="shared" si="62"/>
        <v>0</v>
      </c>
      <c r="AE685" s="556">
        <f t="shared" si="59"/>
        <v>0</v>
      </c>
      <c r="AF685" s="556">
        <f t="shared" si="59"/>
        <v>0</v>
      </c>
      <c r="AG685" s="556">
        <f t="shared" si="59"/>
        <v>0</v>
      </c>
    </row>
    <row r="686" spans="1:34" hidden="1" outlineLevel="1" x14ac:dyDescent="0.35">
      <c r="A686" t="b">
        <f t="shared" si="60"/>
        <v>1</v>
      </c>
      <c r="B686" s="27" t="s">
        <v>602</v>
      </c>
      <c r="C686" s="27" t="s">
        <v>51</v>
      </c>
      <c r="D686" s="27" t="s">
        <v>1554</v>
      </c>
      <c r="E686" s="27" t="s">
        <v>51</v>
      </c>
      <c r="F686" s="27" t="s">
        <v>501</v>
      </c>
      <c r="G686" s="27" t="s">
        <v>603</v>
      </c>
      <c r="H686" s="27" t="s">
        <v>447</v>
      </c>
      <c r="I686" s="27" t="s">
        <v>440</v>
      </c>
      <c r="J686" s="27" t="s">
        <v>448</v>
      </c>
      <c r="K686" s="27" t="s">
        <v>476</v>
      </c>
      <c r="L686" s="27" t="s">
        <v>502</v>
      </c>
      <c r="M686" s="27" t="s">
        <v>502</v>
      </c>
      <c r="N686" s="27" t="s">
        <v>488</v>
      </c>
      <c r="O686" s="27" t="s">
        <v>480</v>
      </c>
      <c r="P686" s="27" t="s">
        <v>480</v>
      </c>
      <c r="Q686" s="27" t="s">
        <v>372</v>
      </c>
      <c r="R686" s="556">
        <f t="shared" si="61"/>
        <v>0</v>
      </c>
      <c r="S686" s="556">
        <f t="shared" si="63"/>
        <v>0</v>
      </c>
      <c r="T686" s="556">
        <f t="shared" si="64"/>
        <v>0</v>
      </c>
      <c r="U686" s="556">
        <f t="shared" si="65"/>
        <v>0</v>
      </c>
      <c r="V686" s="556">
        <f t="shared" si="66"/>
        <v>0</v>
      </c>
      <c r="W686" s="556">
        <f t="shared" si="67"/>
        <v>0</v>
      </c>
      <c r="X686" s="556">
        <f t="shared" si="68"/>
        <v>0</v>
      </c>
      <c r="Y686" s="556">
        <f t="shared" si="69"/>
        <v>0</v>
      </c>
      <c r="Z686" s="556">
        <f t="shared" si="70"/>
        <v>0</v>
      </c>
      <c r="AA686" s="556">
        <f t="shared" si="71"/>
        <v>0</v>
      </c>
      <c r="AB686" s="556">
        <f t="shared" si="72"/>
        <v>0</v>
      </c>
      <c r="AC686" s="556">
        <f t="shared" si="73"/>
        <v>0</v>
      </c>
      <c r="AD686" s="556">
        <f t="shared" si="62"/>
        <v>0</v>
      </c>
      <c r="AE686" s="556">
        <f t="shared" si="59"/>
        <v>0</v>
      </c>
      <c r="AF686" s="556">
        <f t="shared" si="59"/>
        <v>0</v>
      </c>
      <c r="AG686" s="556">
        <f t="shared" si="59"/>
        <v>0</v>
      </c>
      <c r="AH686" s="44"/>
    </row>
    <row r="687" spans="1:34" hidden="1" outlineLevel="1" x14ac:dyDescent="0.35">
      <c r="A687" t="b">
        <f t="shared" si="60"/>
        <v>1</v>
      </c>
      <c r="B687" s="27" t="s">
        <v>604</v>
      </c>
      <c r="C687" s="27" t="s">
        <v>51</v>
      </c>
      <c r="D687" s="27" t="s">
        <v>1555</v>
      </c>
      <c r="E687" s="27" t="s">
        <v>51</v>
      </c>
      <c r="F687" s="27" t="s">
        <v>369</v>
      </c>
      <c r="G687" s="27" t="s">
        <v>605</v>
      </c>
      <c r="H687" s="27" t="s">
        <v>54</v>
      </c>
      <c r="I687" s="27" t="s">
        <v>55</v>
      </c>
      <c r="J687" s="27" t="s">
        <v>370</v>
      </c>
      <c r="K687" s="27" t="s">
        <v>371</v>
      </c>
      <c r="L687" s="27" t="s">
        <v>371</v>
      </c>
      <c r="M687" s="27" t="s">
        <v>371</v>
      </c>
      <c r="N687" s="27" t="s">
        <v>371</v>
      </c>
      <c r="O687" s="27" t="s">
        <v>371</v>
      </c>
      <c r="P687" s="27" t="s">
        <v>371</v>
      </c>
      <c r="Q687" s="27" t="s">
        <v>372</v>
      </c>
      <c r="R687" s="556">
        <f t="shared" si="61"/>
        <v>0</v>
      </c>
      <c r="S687" s="556">
        <f t="shared" si="63"/>
        <v>0</v>
      </c>
      <c r="T687" s="556">
        <f t="shared" si="64"/>
        <v>0</v>
      </c>
      <c r="U687" s="556">
        <f t="shared" si="65"/>
        <v>0</v>
      </c>
      <c r="V687" s="556">
        <f t="shared" si="66"/>
        <v>0</v>
      </c>
      <c r="W687" s="556">
        <f t="shared" si="67"/>
        <v>0</v>
      </c>
      <c r="X687" s="556">
        <f t="shared" si="68"/>
        <v>0</v>
      </c>
      <c r="Y687" s="556">
        <f t="shared" si="69"/>
        <v>0</v>
      </c>
      <c r="Z687" s="556">
        <f t="shared" si="70"/>
        <v>0</v>
      </c>
      <c r="AA687" s="556">
        <f t="shared" si="71"/>
        <v>0</v>
      </c>
      <c r="AB687" s="556">
        <f t="shared" si="72"/>
        <v>0</v>
      </c>
      <c r="AC687" s="556">
        <f t="shared" si="73"/>
        <v>0</v>
      </c>
      <c r="AD687" s="556">
        <f t="shared" si="62"/>
        <v>0</v>
      </c>
      <c r="AE687" s="556">
        <f t="shared" si="59"/>
        <v>0</v>
      </c>
      <c r="AF687" s="556">
        <f t="shared" si="59"/>
        <v>0</v>
      </c>
      <c r="AG687" s="556">
        <f t="shared" si="59"/>
        <v>0</v>
      </c>
    </row>
    <row r="688" spans="1:34" hidden="1" outlineLevel="1" x14ac:dyDescent="0.35">
      <c r="A688" t="b">
        <f t="shared" si="60"/>
        <v>1</v>
      </c>
      <c r="B688" s="27" t="s">
        <v>606</v>
      </c>
      <c r="C688" s="27" t="s">
        <v>51</v>
      </c>
      <c r="D688" s="27" t="s">
        <v>1556</v>
      </c>
      <c r="E688" s="27" t="s">
        <v>51</v>
      </c>
      <c r="F688" s="27" t="s">
        <v>369</v>
      </c>
      <c r="G688" s="27" t="s">
        <v>607</v>
      </c>
      <c r="H688" s="27" t="s">
        <v>54</v>
      </c>
      <c r="I688" s="27" t="s">
        <v>55</v>
      </c>
      <c r="J688" s="27" t="s">
        <v>370</v>
      </c>
      <c r="K688" s="27" t="s">
        <v>371</v>
      </c>
      <c r="L688" s="27" t="s">
        <v>371</v>
      </c>
      <c r="M688" s="27" t="s">
        <v>371</v>
      </c>
      <c r="N688" s="27" t="s">
        <v>371</v>
      </c>
      <c r="O688" s="27" t="s">
        <v>371</v>
      </c>
      <c r="P688" s="27" t="s">
        <v>371</v>
      </c>
      <c r="Q688" s="27" t="s">
        <v>372</v>
      </c>
      <c r="R688" s="556">
        <f t="shared" si="61"/>
        <v>0</v>
      </c>
      <c r="S688" s="556">
        <f t="shared" si="63"/>
        <v>0</v>
      </c>
      <c r="T688" s="556">
        <f t="shared" si="64"/>
        <v>0</v>
      </c>
      <c r="U688" s="556">
        <f t="shared" si="65"/>
        <v>0</v>
      </c>
      <c r="V688" s="556">
        <f t="shared" si="66"/>
        <v>0</v>
      </c>
      <c r="W688" s="556">
        <f t="shared" si="67"/>
        <v>0</v>
      </c>
      <c r="X688" s="556">
        <f t="shared" si="68"/>
        <v>0</v>
      </c>
      <c r="Y688" s="556">
        <f t="shared" si="69"/>
        <v>0</v>
      </c>
      <c r="Z688" s="556">
        <f t="shared" si="70"/>
        <v>0</v>
      </c>
      <c r="AA688" s="556">
        <f t="shared" si="71"/>
        <v>0</v>
      </c>
      <c r="AB688" s="556">
        <f t="shared" si="72"/>
        <v>0</v>
      </c>
      <c r="AC688" s="556">
        <f t="shared" si="73"/>
        <v>0</v>
      </c>
      <c r="AD688" s="556">
        <f t="shared" si="62"/>
        <v>0</v>
      </c>
      <c r="AE688" s="556">
        <f t="shared" si="59"/>
        <v>0</v>
      </c>
      <c r="AF688" s="556">
        <f t="shared" si="59"/>
        <v>0</v>
      </c>
      <c r="AG688" s="556">
        <f t="shared" si="59"/>
        <v>0</v>
      </c>
    </row>
    <row r="689" spans="1:36" hidden="1" outlineLevel="1" x14ac:dyDescent="0.35">
      <c r="A689" t="b">
        <f t="shared" si="60"/>
        <v>1</v>
      </c>
      <c r="B689" s="27" t="s">
        <v>1276</v>
      </c>
      <c r="C689" s="27" t="s">
        <v>51</v>
      </c>
      <c r="D689" s="27" t="s">
        <v>1855</v>
      </c>
      <c r="E689" s="27" t="s">
        <v>51</v>
      </c>
      <c r="F689" s="27" t="s">
        <v>608</v>
      </c>
      <c r="G689" s="27" t="s">
        <v>1557</v>
      </c>
      <c r="H689" s="27" t="s">
        <v>54</v>
      </c>
      <c r="I689" s="27" t="s">
        <v>55</v>
      </c>
      <c r="J689" s="27" t="s">
        <v>379</v>
      </c>
      <c r="K689" s="27" t="s">
        <v>371</v>
      </c>
      <c r="L689" s="27" t="s">
        <v>371</v>
      </c>
      <c r="M689" s="27" t="s">
        <v>371</v>
      </c>
      <c r="N689" s="27" t="s">
        <v>371</v>
      </c>
      <c r="O689" s="27" t="s">
        <v>371</v>
      </c>
      <c r="P689" s="27" t="s">
        <v>371</v>
      </c>
      <c r="Q689" s="27" t="s">
        <v>372</v>
      </c>
      <c r="R689" s="556">
        <f t="shared" si="61"/>
        <v>1790052.45</v>
      </c>
      <c r="S689" s="556">
        <f t="shared" si="63"/>
        <v>1790052.45</v>
      </c>
      <c r="T689" s="556">
        <f t="shared" si="64"/>
        <v>1790052.45</v>
      </c>
      <c r="U689" s="556">
        <f t="shared" si="65"/>
        <v>1790052.45</v>
      </c>
      <c r="V689" s="556">
        <f t="shared" si="66"/>
        <v>4509484.67</v>
      </c>
      <c r="W689" s="556">
        <f t="shared" si="67"/>
        <v>4509484.67</v>
      </c>
      <c r="X689" s="556">
        <f t="shared" si="68"/>
        <v>4509484.67</v>
      </c>
      <c r="Y689" s="556">
        <f t="shared" si="69"/>
        <v>4509484.67</v>
      </c>
      <c r="Z689" s="556">
        <f t="shared" si="70"/>
        <v>4509484.67</v>
      </c>
      <c r="AA689" s="556">
        <f t="shared" si="71"/>
        <v>4509484.67</v>
      </c>
      <c r="AB689" s="556">
        <f t="shared" si="72"/>
        <v>4509484.67</v>
      </c>
      <c r="AC689" s="556">
        <f t="shared" si="73"/>
        <v>12535064.07</v>
      </c>
      <c r="AD689" s="556">
        <f t="shared" si="62"/>
        <v>4509484.67</v>
      </c>
      <c r="AE689" s="556">
        <f t="shared" si="59"/>
        <v>4509484.67</v>
      </c>
      <c r="AF689" s="556">
        <f t="shared" si="59"/>
        <v>12535064.07</v>
      </c>
      <c r="AG689" s="556">
        <f t="shared" si="59"/>
        <v>12535064.07</v>
      </c>
    </row>
    <row r="690" spans="1:36" hidden="1" outlineLevel="1" x14ac:dyDescent="0.35">
      <c r="A690" t="b">
        <f t="shared" si="60"/>
        <v>1</v>
      </c>
      <c r="B690" s="27" t="s">
        <v>1277</v>
      </c>
      <c r="C690" s="27" t="s">
        <v>51</v>
      </c>
      <c r="D690" s="27" t="s">
        <v>1856</v>
      </c>
      <c r="E690" s="27" t="s">
        <v>51</v>
      </c>
      <c r="F690" s="27" t="s">
        <v>609</v>
      </c>
      <c r="G690" s="27" t="s">
        <v>1558</v>
      </c>
      <c r="H690" s="27" t="s">
        <v>54</v>
      </c>
      <c r="I690" s="27" t="s">
        <v>55</v>
      </c>
      <c r="J690" s="27" t="s">
        <v>379</v>
      </c>
      <c r="K690" s="27" t="s">
        <v>371</v>
      </c>
      <c r="L690" s="27" t="s">
        <v>371</v>
      </c>
      <c r="M690" s="27" t="s">
        <v>371</v>
      </c>
      <c r="N690" s="27" t="s">
        <v>371</v>
      </c>
      <c r="O690" s="27" t="s">
        <v>371</v>
      </c>
      <c r="P690" s="27" t="s">
        <v>371</v>
      </c>
      <c r="Q690" s="27" t="s">
        <v>372</v>
      </c>
      <c r="R690" s="556">
        <f t="shared" si="61"/>
        <v>662982.39</v>
      </c>
      <c r="S690" s="556">
        <f t="shared" si="63"/>
        <v>662982.39</v>
      </c>
      <c r="T690" s="556">
        <f t="shared" si="64"/>
        <v>662982.39</v>
      </c>
      <c r="U690" s="556">
        <f t="shared" si="65"/>
        <v>662982.39</v>
      </c>
      <c r="V690" s="556">
        <f t="shared" si="66"/>
        <v>1670179.73</v>
      </c>
      <c r="W690" s="556">
        <f t="shared" si="67"/>
        <v>1670179.73</v>
      </c>
      <c r="X690" s="556">
        <f t="shared" si="68"/>
        <v>1670179.73</v>
      </c>
      <c r="Y690" s="556">
        <f t="shared" si="69"/>
        <v>1670179.73</v>
      </c>
      <c r="Z690" s="556">
        <f t="shared" si="70"/>
        <v>1670179.73</v>
      </c>
      <c r="AA690" s="556">
        <f t="shared" si="71"/>
        <v>1670179.73</v>
      </c>
      <c r="AB690" s="556">
        <f t="shared" si="72"/>
        <v>1670179.73</v>
      </c>
      <c r="AC690" s="556">
        <f t="shared" si="73"/>
        <v>4642616.32</v>
      </c>
      <c r="AD690" s="556">
        <f t="shared" si="62"/>
        <v>1670179.73</v>
      </c>
      <c r="AE690" s="556">
        <f t="shared" si="59"/>
        <v>1670179.73</v>
      </c>
      <c r="AF690" s="556">
        <f t="shared" si="59"/>
        <v>4642616.32</v>
      </c>
      <c r="AG690" s="556">
        <f t="shared" si="59"/>
        <v>4642616.32</v>
      </c>
    </row>
    <row r="691" spans="1:36" hidden="1" outlineLevel="1" x14ac:dyDescent="0.35">
      <c r="A691" t="b">
        <f t="shared" si="60"/>
        <v>1</v>
      </c>
      <c r="B691" s="27" t="s">
        <v>1278</v>
      </c>
      <c r="C691" s="27" t="s">
        <v>51</v>
      </c>
      <c r="D691" s="27" t="s">
        <v>1857</v>
      </c>
      <c r="E691" s="27" t="s">
        <v>51</v>
      </c>
      <c r="F691" s="27" t="s">
        <v>539</v>
      </c>
      <c r="G691" s="27" t="s">
        <v>1559</v>
      </c>
      <c r="H691" s="27" t="s">
        <v>447</v>
      </c>
      <c r="I691" s="27" t="s">
        <v>440</v>
      </c>
      <c r="J691" s="27" t="s">
        <v>448</v>
      </c>
      <c r="K691" s="27" t="s">
        <v>476</v>
      </c>
      <c r="L691" s="27" t="s">
        <v>542</v>
      </c>
      <c r="M691" s="27" t="s">
        <v>542</v>
      </c>
      <c r="N691" s="27" t="s">
        <v>541</v>
      </c>
      <c r="O691" s="27" t="s">
        <v>480</v>
      </c>
      <c r="P691" s="27" t="s">
        <v>480</v>
      </c>
      <c r="Q691" s="27" t="s">
        <v>372</v>
      </c>
      <c r="R691" s="556">
        <f t="shared" si="61"/>
        <v>0</v>
      </c>
      <c r="S691" s="556">
        <f t="shared" si="63"/>
        <v>0</v>
      </c>
      <c r="T691" s="556">
        <f t="shared" si="64"/>
        <v>37500</v>
      </c>
      <c r="U691" s="556">
        <f t="shared" si="65"/>
        <v>12500</v>
      </c>
      <c r="V691" s="556">
        <f t="shared" si="66"/>
        <v>11900</v>
      </c>
      <c r="W691" s="556">
        <f t="shared" si="67"/>
        <v>10500</v>
      </c>
      <c r="X691" s="556">
        <f t="shared" si="68"/>
        <v>10500</v>
      </c>
      <c r="Y691" s="556">
        <f t="shared" si="69"/>
        <v>31060.009999999995</v>
      </c>
      <c r="Z691" s="556">
        <f t="shared" si="70"/>
        <v>4266.5</v>
      </c>
      <c r="AA691" s="556">
        <f t="shared" si="71"/>
        <v>105000.00000000001</v>
      </c>
      <c r="AB691" s="556">
        <f t="shared" si="72"/>
        <v>0</v>
      </c>
      <c r="AC691" s="556">
        <f t="shared" si="73"/>
        <v>0</v>
      </c>
      <c r="AD691" s="556">
        <f t="shared" si="62"/>
        <v>0</v>
      </c>
      <c r="AE691" s="556">
        <f t="shared" ref="AE691:AG710" si="74">+IF(AE$10="Actuals",IF($O213="Revenue",-IF($H213="BS",AE213,IF($H213="P&amp;L",AE213-AD213,0)),IF($H213="BS",AE213,IF($H213="P&amp;L",AE213-AD213,0))),0)</f>
        <v>383000</v>
      </c>
      <c r="AF691" s="556">
        <f t="shared" si="74"/>
        <v>0</v>
      </c>
      <c r="AG691" s="556">
        <f t="shared" si="74"/>
        <v>16875</v>
      </c>
      <c r="AH691" s="44"/>
    </row>
    <row r="692" spans="1:36" hidden="1" outlineLevel="1" x14ac:dyDescent="0.35">
      <c r="A692" t="b">
        <f t="shared" si="60"/>
        <v>1</v>
      </c>
      <c r="B692" s="27" t="s">
        <v>610</v>
      </c>
      <c r="C692" s="27" t="s">
        <v>51</v>
      </c>
      <c r="D692" s="27" t="s">
        <v>1560</v>
      </c>
      <c r="E692" s="27" t="s">
        <v>51</v>
      </c>
      <c r="F692" s="27" t="s">
        <v>377</v>
      </c>
      <c r="G692" s="27" t="s">
        <v>611</v>
      </c>
      <c r="H692" s="27" t="s">
        <v>54</v>
      </c>
      <c r="I692" s="27" t="s">
        <v>55</v>
      </c>
      <c r="J692" s="27" t="s">
        <v>56</v>
      </c>
      <c r="K692" s="27" t="s">
        <v>371</v>
      </c>
      <c r="L692" s="27" t="s">
        <v>371</v>
      </c>
      <c r="M692" s="27" t="s">
        <v>371</v>
      </c>
      <c r="N692" s="27" t="s">
        <v>371</v>
      </c>
      <c r="O692" s="27" t="s">
        <v>371</v>
      </c>
      <c r="P692" s="27" t="s">
        <v>371</v>
      </c>
      <c r="Q692" s="27" t="s">
        <v>372</v>
      </c>
      <c r="R692" s="556">
        <f t="shared" si="61"/>
        <v>0</v>
      </c>
      <c r="S692" s="556">
        <f t="shared" si="63"/>
        <v>0</v>
      </c>
      <c r="T692" s="556">
        <f t="shared" si="64"/>
        <v>963.09000000000015</v>
      </c>
      <c r="U692" s="556">
        <f t="shared" si="65"/>
        <v>963.08999999999651</v>
      </c>
      <c r="V692" s="556">
        <f t="shared" si="66"/>
        <v>963.09000000000015</v>
      </c>
      <c r="W692" s="556">
        <f t="shared" si="67"/>
        <v>963.09000000000015</v>
      </c>
      <c r="X692" s="556">
        <f t="shared" si="68"/>
        <v>963.09</v>
      </c>
      <c r="Y692" s="556">
        <f t="shared" si="69"/>
        <v>963.09</v>
      </c>
      <c r="Z692" s="556">
        <f t="shared" si="70"/>
        <v>963.08999999999651</v>
      </c>
      <c r="AA692" s="556">
        <f t="shared" si="71"/>
        <v>0</v>
      </c>
      <c r="AB692" s="556">
        <f t="shared" si="72"/>
        <v>0</v>
      </c>
      <c r="AC692" s="556">
        <f t="shared" si="73"/>
        <v>0</v>
      </c>
      <c r="AD692" s="556">
        <f t="shared" si="62"/>
        <v>0</v>
      </c>
      <c r="AE692" s="556">
        <f t="shared" si="74"/>
        <v>0</v>
      </c>
      <c r="AF692" s="556">
        <f t="shared" si="74"/>
        <v>0</v>
      </c>
      <c r="AG692" s="556">
        <f t="shared" si="74"/>
        <v>0</v>
      </c>
    </row>
    <row r="693" spans="1:36" hidden="1" outlineLevel="1" x14ac:dyDescent="0.35">
      <c r="A693" t="b">
        <f t="shared" si="60"/>
        <v>1</v>
      </c>
      <c r="B693" s="27" t="s">
        <v>1279</v>
      </c>
      <c r="C693" s="27" t="s">
        <v>51</v>
      </c>
      <c r="D693" s="27" t="s">
        <v>1858</v>
      </c>
      <c r="E693" s="27" t="s">
        <v>51</v>
      </c>
      <c r="F693" s="27" t="s">
        <v>501</v>
      </c>
      <c r="G693" s="27" t="s">
        <v>1561</v>
      </c>
      <c r="H693" s="27" t="s">
        <v>447</v>
      </c>
      <c r="I693" s="27" t="s">
        <v>440</v>
      </c>
      <c r="J693" s="27" t="s">
        <v>448</v>
      </c>
      <c r="K693" s="27" t="s">
        <v>476</v>
      </c>
      <c r="L693" s="27" t="s">
        <v>492</v>
      </c>
      <c r="M693" s="27" t="s">
        <v>1763</v>
      </c>
      <c r="N693" s="27" t="s">
        <v>1763</v>
      </c>
      <c r="O693" s="27" t="s">
        <v>480</v>
      </c>
      <c r="P693" s="27" t="s">
        <v>480</v>
      </c>
      <c r="Q693" s="27" t="s">
        <v>372</v>
      </c>
      <c r="R693" s="556">
        <f t="shared" si="61"/>
        <v>187866.2</v>
      </c>
      <c r="S693" s="556">
        <f t="shared" si="63"/>
        <v>191050</v>
      </c>
      <c r="T693" s="556">
        <f t="shared" si="64"/>
        <v>226810.50999999995</v>
      </c>
      <c r="U693" s="556">
        <f t="shared" si="65"/>
        <v>171217.40000000002</v>
      </c>
      <c r="V693" s="556">
        <f t="shared" si="66"/>
        <v>171217.40000000002</v>
      </c>
      <c r="W693" s="556">
        <f t="shared" si="67"/>
        <v>171217.40000000014</v>
      </c>
      <c r="X693" s="556">
        <f t="shared" si="68"/>
        <v>171217.39999999991</v>
      </c>
      <c r="Y693" s="556">
        <f t="shared" si="69"/>
        <v>171217.39999999991</v>
      </c>
      <c r="Z693" s="556">
        <f t="shared" si="70"/>
        <v>177217.39999999991</v>
      </c>
      <c r="AA693" s="556">
        <f t="shared" si="71"/>
        <v>171217.40000000014</v>
      </c>
      <c r="AB693" s="556">
        <f t="shared" si="72"/>
        <v>171217.40000000014</v>
      </c>
      <c r="AC693" s="556">
        <f t="shared" si="73"/>
        <v>171217.39999999991</v>
      </c>
      <c r="AD693" s="556">
        <f t="shared" si="62"/>
        <v>173687.4</v>
      </c>
      <c r="AE693" s="556">
        <f t="shared" si="74"/>
        <v>173687.4</v>
      </c>
      <c r="AF693" s="556">
        <f t="shared" si="74"/>
        <v>189437.39999999997</v>
      </c>
      <c r="AG693" s="556">
        <f t="shared" si="74"/>
        <v>110687.40000000002</v>
      </c>
      <c r="AH693" s="44"/>
    </row>
    <row r="694" spans="1:36" hidden="1" outlineLevel="1" x14ac:dyDescent="0.35">
      <c r="A694" t="b">
        <f t="shared" si="60"/>
        <v>1</v>
      </c>
      <c r="B694" s="27" t="s">
        <v>1280</v>
      </c>
      <c r="C694" s="27" t="s">
        <v>51</v>
      </c>
      <c r="D694" s="27" t="s">
        <v>1859</v>
      </c>
      <c r="E694" s="27" t="s">
        <v>51</v>
      </c>
      <c r="F694" s="27" t="s">
        <v>512</v>
      </c>
      <c r="G694" s="27" t="s">
        <v>1562</v>
      </c>
      <c r="H694" s="27" t="s">
        <v>447</v>
      </c>
      <c r="I694" s="27" t="s">
        <v>440</v>
      </c>
      <c r="J694" s="27" t="s">
        <v>448</v>
      </c>
      <c r="K694" s="27" t="s">
        <v>491</v>
      </c>
      <c r="L694" s="27" t="s">
        <v>521</v>
      </c>
      <c r="M694" s="27" t="s">
        <v>521</v>
      </c>
      <c r="N694" s="27" t="s">
        <v>521</v>
      </c>
      <c r="O694" s="27" t="s">
        <v>491</v>
      </c>
      <c r="P694" s="27" t="s">
        <v>491</v>
      </c>
      <c r="Q694" s="27" t="s">
        <v>372</v>
      </c>
      <c r="R694" s="556">
        <f t="shared" si="61"/>
        <v>343325.26</v>
      </c>
      <c r="S694" s="556">
        <f t="shared" si="63"/>
        <v>471607.12</v>
      </c>
      <c r="T694" s="556">
        <f t="shared" si="64"/>
        <v>826595.67</v>
      </c>
      <c r="U694" s="556">
        <f t="shared" si="65"/>
        <v>922861.26</v>
      </c>
      <c r="V694" s="556">
        <f t="shared" si="66"/>
        <v>788129.30000000028</v>
      </c>
      <c r="W694" s="556">
        <f t="shared" si="67"/>
        <v>466384.58999999939</v>
      </c>
      <c r="X694" s="556">
        <f t="shared" si="68"/>
        <v>2825226.4100000006</v>
      </c>
      <c r="Y694" s="556">
        <f t="shared" si="69"/>
        <v>1713876.83</v>
      </c>
      <c r="Z694" s="556">
        <f t="shared" si="70"/>
        <v>3326801.7399999993</v>
      </c>
      <c r="AA694" s="556">
        <f t="shared" si="71"/>
        <v>3564223.4500000011</v>
      </c>
      <c r="AB694" s="556">
        <f t="shared" si="72"/>
        <v>3621507.8699999992</v>
      </c>
      <c r="AC694" s="556">
        <f t="shared" si="73"/>
        <v>2418799.6799999997</v>
      </c>
      <c r="AD694" s="556">
        <f t="shared" si="62"/>
        <v>3752882.27</v>
      </c>
      <c r="AE694" s="556">
        <f t="shared" si="74"/>
        <v>4757873.1300000008</v>
      </c>
      <c r="AF694" s="556">
        <f t="shared" si="74"/>
        <v>7059254.2199999988</v>
      </c>
      <c r="AG694" s="556">
        <f t="shared" si="74"/>
        <v>4783408.0000000019</v>
      </c>
      <c r="AH694" s="44"/>
      <c r="AJ694" s="44"/>
    </row>
    <row r="695" spans="1:36" hidden="1" outlineLevel="1" x14ac:dyDescent="0.35">
      <c r="A695" t="b">
        <f t="shared" si="60"/>
        <v>1</v>
      </c>
      <c r="B695" s="27" t="s">
        <v>1281</v>
      </c>
      <c r="C695" s="27" t="s">
        <v>51</v>
      </c>
      <c r="D695" s="27" t="s">
        <v>1860</v>
      </c>
      <c r="E695" s="27" t="s">
        <v>51</v>
      </c>
      <c r="F695" s="27" t="s">
        <v>501</v>
      </c>
      <c r="G695" s="27" t="s">
        <v>1563</v>
      </c>
      <c r="H695" s="27" t="s">
        <v>447</v>
      </c>
      <c r="I695" s="27" t="s">
        <v>440</v>
      </c>
      <c r="J695" s="27" t="s">
        <v>448</v>
      </c>
      <c r="K695" s="27" t="s">
        <v>476</v>
      </c>
      <c r="L695" s="27" t="s">
        <v>502</v>
      </c>
      <c r="M695" s="27" t="s">
        <v>502</v>
      </c>
      <c r="N695" s="27" t="s">
        <v>502</v>
      </c>
      <c r="O695" s="27" t="s">
        <v>480</v>
      </c>
      <c r="P695" s="27" t="s">
        <v>480</v>
      </c>
      <c r="Q695" s="27" t="s">
        <v>372</v>
      </c>
      <c r="R695" s="556">
        <f t="shared" si="61"/>
        <v>196.16</v>
      </c>
      <c r="S695" s="556">
        <f t="shared" si="63"/>
        <v>196.16</v>
      </c>
      <c r="T695" s="556">
        <f t="shared" si="64"/>
        <v>0</v>
      </c>
      <c r="U695" s="556">
        <f t="shared" si="65"/>
        <v>0</v>
      </c>
      <c r="V695" s="556">
        <f t="shared" si="66"/>
        <v>0</v>
      </c>
      <c r="W695" s="556">
        <f t="shared" si="67"/>
        <v>785.71</v>
      </c>
      <c r="X695" s="556">
        <f t="shared" si="68"/>
        <v>0</v>
      </c>
      <c r="Y695" s="556">
        <f t="shared" si="69"/>
        <v>0</v>
      </c>
      <c r="Z695" s="556">
        <f t="shared" si="70"/>
        <v>6347.78</v>
      </c>
      <c r="AA695" s="556">
        <f t="shared" si="71"/>
        <v>9.0949470177292824E-13</v>
      </c>
      <c r="AB695" s="556">
        <f t="shared" si="72"/>
        <v>0</v>
      </c>
      <c r="AC695" s="556">
        <f t="shared" si="73"/>
        <v>0</v>
      </c>
      <c r="AD695" s="556">
        <f t="shared" si="62"/>
        <v>0</v>
      </c>
      <c r="AE695" s="556">
        <f t="shared" si="74"/>
        <v>215.42</v>
      </c>
      <c r="AF695" s="556">
        <f t="shared" si="74"/>
        <v>317.08000000000004</v>
      </c>
      <c r="AG695" s="556">
        <f t="shared" si="74"/>
        <v>0</v>
      </c>
      <c r="AH695" s="44"/>
    </row>
    <row r="696" spans="1:36" hidden="1" outlineLevel="1" x14ac:dyDescent="0.35">
      <c r="A696" t="b">
        <f t="shared" si="60"/>
        <v>1</v>
      </c>
      <c r="B696" s="27" t="s">
        <v>1282</v>
      </c>
      <c r="C696" s="27" t="s">
        <v>51</v>
      </c>
      <c r="D696" s="27" t="s">
        <v>1861</v>
      </c>
      <c r="E696" s="27" t="s">
        <v>51</v>
      </c>
      <c r="F696" s="27" t="s">
        <v>474</v>
      </c>
      <c r="G696" s="27" t="s">
        <v>1564</v>
      </c>
      <c r="H696" s="27" t="s">
        <v>447</v>
      </c>
      <c r="I696" s="27" t="s">
        <v>440</v>
      </c>
      <c r="J696" s="27" t="s">
        <v>448</v>
      </c>
      <c r="K696" s="27" t="s">
        <v>476</v>
      </c>
      <c r="L696" s="27" t="s">
        <v>492</v>
      </c>
      <c r="M696" s="27" t="s">
        <v>612</v>
      </c>
      <c r="N696" s="27" t="s">
        <v>612</v>
      </c>
      <c r="O696" s="27" t="s">
        <v>480</v>
      </c>
      <c r="P696" s="27" t="s">
        <v>480</v>
      </c>
      <c r="Q696" s="27" t="s">
        <v>372</v>
      </c>
      <c r="R696" s="556">
        <f t="shared" si="61"/>
        <v>24834</v>
      </c>
      <c r="S696" s="556">
        <f t="shared" si="63"/>
        <v>24834</v>
      </c>
      <c r="T696" s="556">
        <f t="shared" si="64"/>
        <v>24834</v>
      </c>
      <c r="U696" s="556">
        <f t="shared" si="65"/>
        <v>24834</v>
      </c>
      <c r="V696" s="556">
        <f t="shared" si="66"/>
        <v>24834</v>
      </c>
      <c r="W696" s="556">
        <f t="shared" si="67"/>
        <v>24834</v>
      </c>
      <c r="X696" s="556">
        <f t="shared" si="68"/>
        <v>24834</v>
      </c>
      <c r="Y696" s="556">
        <f t="shared" si="69"/>
        <v>24834</v>
      </c>
      <c r="Z696" s="556">
        <f t="shared" si="70"/>
        <v>24834</v>
      </c>
      <c r="AA696" s="556">
        <f t="shared" si="71"/>
        <v>24834</v>
      </c>
      <c r="AB696" s="556">
        <f t="shared" si="72"/>
        <v>24834</v>
      </c>
      <c r="AC696" s="556">
        <f t="shared" si="73"/>
        <v>24834</v>
      </c>
      <c r="AD696" s="556">
        <f t="shared" si="62"/>
        <v>24834</v>
      </c>
      <c r="AE696" s="556">
        <f t="shared" si="74"/>
        <v>24834</v>
      </c>
      <c r="AF696" s="556">
        <f t="shared" si="74"/>
        <v>24834</v>
      </c>
      <c r="AG696" s="556">
        <f t="shared" si="74"/>
        <v>24834</v>
      </c>
      <c r="AH696" s="44"/>
    </row>
    <row r="697" spans="1:36" hidden="1" outlineLevel="1" x14ac:dyDescent="0.35">
      <c r="A697" t="b">
        <f t="shared" si="60"/>
        <v>1</v>
      </c>
      <c r="B697" s="27" t="s">
        <v>614</v>
      </c>
      <c r="C697" s="27" t="s">
        <v>51</v>
      </c>
      <c r="D697" s="27" t="s">
        <v>1565</v>
      </c>
      <c r="E697" s="27" t="s">
        <v>51</v>
      </c>
      <c r="F697" s="27" t="s">
        <v>369</v>
      </c>
      <c r="G697" s="27" t="s">
        <v>615</v>
      </c>
      <c r="H697" s="27" t="s">
        <v>54</v>
      </c>
      <c r="I697" s="27" t="s">
        <v>55</v>
      </c>
      <c r="J697" s="27" t="s">
        <v>370</v>
      </c>
      <c r="K697" s="27" t="s">
        <v>371</v>
      </c>
      <c r="L697" s="27" t="s">
        <v>371</v>
      </c>
      <c r="M697" s="27" t="s">
        <v>371</v>
      </c>
      <c r="N697" s="27" t="s">
        <v>371</v>
      </c>
      <c r="O697" s="27" t="s">
        <v>371</v>
      </c>
      <c r="P697" s="27" t="s">
        <v>371</v>
      </c>
      <c r="Q697" s="27" t="s">
        <v>372</v>
      </c>
      <c r="R697" s="556">
        <f t="shared" si="61"/>
        <v>0</v>
      </c>
      <c r="S697" s="556">
        <f t="shared" si="63"/>
        <v>0</v>
      </c>
      <c r="T697" s="556">
        <f t="shared" si="64"/>
        <v>0</v>
      </c>
      <c r="U697" s="556">
        <f t="shared" si="65"/>
        <v>0</v>
      </c>
      <c r="V697" s="556">
        <f t="shared" si="66"/>
        <v>0</v>
      </c>
      <c r="W697" s="556">
        <f t="shared" si="67"/>
        <v>0</v>
      </c>
      <c r="X697" s="556">
        <f t="shared" si="68"/>
        <v>0</v>
      </c>
      <c r="Y697" s="556">
        <f t="shared" si="69"/>
        <v>0</v>
      </c>
      <c r="Z697" s="556">
        <f t="shared" si="70"/>
        <v>0</v>
      </c>
      <c r="AA697" s="556">
        <f t="shared" si="71"/>
        <v>0</v>
      </c>
      <c r="AB697" s="556">
        <f t="shared" si="72"/>
        <v>0</v>
      </c>
      <c r="AC697" s="556">
        <f t="shared" si="73"/>
        <v>0</v>
      </c>
      <c r="AD697" s="556">
        <f t="shared" si="62"/>
        <v>0</v>
      </c>
      <c r="AE697" s="556">
        <f t="shared" si="74"/>
        <v>0</v>
      </c>
      <c r="AF697" s="556">
        <f t="shared" si="74"/>
        <v>0</v>
      </c>
      <c r="AG697" s="556">
        <f t="shared" si="74"/>
        <v>0</v>
      </c>
    </row>
    <row r="698" spans="1:36" hidden="1" outlineLevel="1" x14ac:dyDescent="0.35">
      <c r="A698" t="b">
        <f t="shared" si="60"/>
        <v>1</v>
      </c>
      <c r="B698" s="27" t="s">
        <v>616</v>
      </c>
      <c r="C698" s="27" t="s">
        <v>51</v>
      </c>
      <c r="D698" s="27" t="s">
        <v>1566</v>
      </c>
      <c r="E698" s="27" t="s">
        <v>51</v>
      </c>
      <c r="F698" s="27" t="s">
        <v>109</v>
      </c>
      <c r="G698" s="27" t="s">
        <v>617</v>
      </c>
      <c r="H698" s="27" t="s">
        <v>54</v>
      </c>
      <c r="I698" s="27" t="s">
        <v>55</v>
      </c>
      <c r="J698" s="27" t="s">
        <v>101</v>
      </c>
      <c r="K698" s="27" t="s">
        <v>371</v>
      </c>
      <c r="L698" s="27" t="s">
        <v>371</v>
      </c>
      <c r="M698" s="27" t="s">
        <v>371</v>
      </c>
      <c r="N698" s="27" t="s">
        <v>371</v>
      </c>
      <c r="O698" s="27" t="s">
        <v>371</v>
      </c>
      <c r="P698" s="27" t="s">
        <v>371</v>
      </c>
      <c r="Q698" s="27" t="s">
        <v>372</v>
      </c>
      <c r="R698" s="556">
        <f t="shared" si="61"/>
        <v>0</v>
      </c>
      <c r="S698" s="556">
        <f t="shared" si="63"/>
        <v>0</v>
      </c>
      <c r="T698" s="556">
        <f t="shared" si="64"/>
        <v>0</v>
      </c>
      <c r="U698" s="556">
        <f t="shared" si="65"/>
        <v>0</v>
      </c>
      <c r="V698" s="556">
        <f t="shared" si="66"/>
        <v>0</v>
      </c>
      <c r="W698" s="556">
        <f t="shared" si="67"/>
        <v>0</v>
      </c>
      <c r="X698" s="556">
        <f t="shared" si="68"/>
        <v>0</v>
      </c>
      <c r="Y698" s="556">
        <f t="shared" si="69"/>
        <v>0</v>
      </c>
      <c r="Z698" s="556">
        <f t="shared" si="70"/>
        <v>0</v>
      </c>
      <c r="AA698" s="556">
        <f t="shared" si="71"/>
        <v>1694.73</v>
      </c>
      <c r="AB698" s="556">
        <f t="shared" si="72"/>
        <v>1694.73</v>
      </c>
      <c r="AC698" s="556">
        <f t="shared" si="73"/>
        <v>1694.73</v>
      </c>
      <c r="AD698" s="556">
        <f t="shared" si="62"/>
        <v>1694.73</v>
      </c>
      <c r="AE698" s="556">
        <f t="shared" si="74"/>
        <v>1694.73</v>
      </c>
      <c r="AF698" s="556">
        <f t="shared" si="74"/>
        <v>0</v>
      </c>
      <c r="AG698" s="556">
        <f t="shared" si="74"/>
        <v>0</v>
      </c>
    </row>
    <row r="699" spans="1:36" hidden="1" outlineLevel="1" x14ac:dyDescent="0.35">
      <c r="A699" t="b">
        <f t="shared" si="60"/>
        <v>1</v>
      </c>
      <c r="B699" s="27" t="s">
        <v>618</v>
      </c>
      <c r="C699" s="27" t="s">
        <v>51</v>
      </c>
      <c r="D699" s="27" t="s">
        <v>1567</v>
      </c>
      <c r="E699" s="27" t="s">
        <v>51</v>
      </c>
      <c r="F699" s="27" t="s">
        <v>195</v>
      </c>
      <c r="G699" s="27" t="s">
        <v>619</v>
      </c>
      <c r="H699" s="27" t="s">
        <v>54</v>
      </c>
      <c r="I699" s="27" t="s">
        <v>142</v>
      </c>
      <c r="J699" s="27" t="s">
        <v>197</v>
      </c>
      <c r="K699" s="27" t="s">
        <v>371</v>
      </c>
      <c r="L699" s="27" t="s">
        <v>371</v>
      </c>
      <c r="M699" s="27" t="s">
        <v>371</v>
      </c>
      <c r="N699" s="27" t="s">
        <v>371</v>
      </c>
      <c r="O699" s="27" t="s">
        <v>371</v>
      </c>
      <c r="P699" s="27" t="s">
        <v>371</v>
      </c>
      <c r="Q699" s="27" t="s">
        <v>372</v>
      </c>
      <c r="R699" s="556">
        <f t="shared" si="61"/>
        <v>-23172.41</v>
      </c>
      <c r="S699" s="556">
        <f t="shared" si="63"/>
        <v>-23172.41</v>
      </c>
      <c r="T699" s="556">
        <f t="shared" si="64"/>
        <v>-23172.41</v>
      </c>
      <c r="U699" s="556">
        <f t="shared" si="65"/>
        <v>-23172.41</v>
      </c>
      <c r="V699" s="556">
        <f t="shared" si="66"/>
        <v>-23172.41</v>
      </c>
      <c r="W699" s="556">
        <f t="shared" si="67"/>
        <v>-47341.25</v>
      </c>
      <c r="X699" s="556">
        <f t="shared" si="68"/>
        <v>0</v>
      </c>
      <c r="Y699" s="556">
        <f t="shared" si="69"/>
        <v>0</v>
      </c>
      <c r="Z699" s="556">
        <f t="shared" si="70"/>
        <v>0</v>
      </c>
      <c r="AA699" s="556">
        <f t="shared" si="71"/>
        <v>0</v>
      </c>
      <c r="AB699" s="556">
        <f t="shared" si="72"/>
        <v>0</v>
      </c>
      <c r="AC699" s="556">
        <f t="shared" si="73"/>
        <v>0</v>
      </c>
      <c r="AD699" s="556">
        <f t="shared" si="62"/>
        <v>0</v>
      </c>
      <c r="AE699" s="556">
        <f t="shared" si="74"/>
        <v>0</v>
      </c>
      <c r="AF699" s="556">
        <f t="shared" si="74"/>
        <v>0</v>
      </c>
      <c r="AG699" s="556">
        <f t="shared" si="74"/>
        <v>0</v>
      </c>
    </row>
    <row r="700" spans="1:36" hidden="1" outlineLevel="1" x14ac:dyDescent="0.35">
      <c r="A700" t="b">
        <f t="shared" si="60"/>
        <v>1</v>
      </c>
      <c r="B700" s="27" t="s">
        <v>1283</v>
      </c>
      <c r="C700" s="27" t="s">
        <v>51</v>
      </c>
      <c r="D700" s="27" t="s">
        <v>1862</v>
      </c>
      <c r="E700" s="27" t="s">
        <v>51</v>
      </c>
      <c r="F700" s="27" t="s">
        <v>587</v>
      </c>
      <c r="G700" s="27" t="s">
        <v>1568</v>
      </c>
      <c r="H700" s="27" t="s">
        <v>54</v>
      </c>
      <c r="I700" s="27" t="s">
        <v>142</v>
      </c>
      <c r="J700" s="27" t="s">
        <v>197</v>
      </c>
      <c r="K700" s="27" t="s">
        <v>371</v>
      </c>
      <c r="L700" s="27" t="s">
        <v>371</v>
      </c>
      <c r="M700" s="27" t="s">
        <v>371</v>
      </c>
      <c r="N700" s="27" t="s">
        <v>371</v>
      </c>
      <c r="O700" s="27" t="s">
        <v>371</v>
      </c>
      <c r="P700" s="27" t="s">
        <v>371</v>
      </c>
      <c r="Q700" s="27" t="s">
        <v>372</v>
      </c>
      <c r="R700" s="556">
        <f t="shared" si="61"/>
        <v>-1676882</v>
      </c>
      <c r="S700" s="556">
        <f t="shared" si="63"/>
        <v>-895632</v>
      </c>
      <c r="T700" s="556">
        <f t="shared" si="64"/>
        <v>-880007</v>
      </c>
      <c r="U700" s="556">
        <f t="shared" si="65"/>
        <v>-864382</v>
      </c>
      <c r="V700" s="556">
        <f t="shared" si="66"/>
        <v>-801882</v>
      </c>
      <c r="W700" s="556">
        <f t="shared" si="67"/>
        <v>-786257</v>
      </c>
      <c r="X700" s="556">
        <f t="shared" si="68"/>
        <v>-719289</v>
      </c>
      <c r="Y700" s="556">
        <f t="shared" si="69"/>
        <v>-703664</v>
      </c>
      <c r="Z700" s="556">
        <f t="shared" si="70"/>
        <v>-5044400</v>
      </c>
      <c r="AA700" s="556">
        <f t="shared" si="71"/>
        <v>-5013150</v>
      </c>
      <c r="AB700" s="556">
        <f t="shared" si="72"/>
        <v>-5127525</v>
      </c>
      <c r="AC700" s="556">
        <f t="shared" si="73"/>
        <v>-5377749.2000000002</v>
      </c>
      <c r="AD700" s="556">
        <f t="shared" si="62"/>
        <v>-5101600</v>
      </c>
      <c r="AE700" s="556">
        <f t="shared" si="74"/>
        <v>-7424907</v>
      </c>
      <c r="AF700" s="556">
        <f t="shared" si="74"/>
        <v>-7047554</v>
      </c>
      <c r="AG700" s="556">
        <f t="shared" si="74"/>
        <v>-6878877.4000000004</v>
      </c>
    </row>
    <row r="701" spans="1:36" hidden="1" outlineLevel="1" x14ac:dyDescent="0.35">
      <c r="A701" t="b">
        <f t="shared" si="60"/>
        <v>1</v>
      </c>
      <c r="B701" s="27" t="s">
        <v>620</v>
      </c>
      <c r="C701" s="27" t="s">
        <v>51</v>
      </c>
      <c r="D701" s="27" t="s">
        <v>1569</v>
      </c>
      <c r="E701" s="27" t="s">
        <v>51</v>
      </c>
      <c r="F701" s="27" t="s">
        <v>501</v>
      </c>
      <c r="G701" s="27" t="s">
        <v>613</v>
      </c>
      <c r="H701" s="27" t="s">
        <v>447</v>
      </c>
      <c r="I701" s="27" t="s">
        <v>440</v>
      </c>
      <c r="J701" s="27" t="s">
        <v>448</v>
      </c>
      <c r="K701" s="27" t="s">
        <v>476</v>
      </c>
      <c r="L701" s="27" t="s">
        <v>621</v>
      </c>
      <c r="M701" s="27" t="s">
        <v>621</v>
      </c>
      <c r="N701" s="27" t="s">
        <v>494</v>
      </c>
      <c r="O701" s="27" t="s">
        <v>480</v>
      </c>
      <c r="P701" s="27" t="s">
        <v>480</v>
      </c>
      <c r="Q701" s="27" t="s">
        <v>372</v>
      </c>
      <c r="R701" s="556">
        <f t="shared" si="61"/>
        <v>0</v>
      </c>
      <c r="S701" s="556">
        <f t="shared" si="63"/>
        <v>0</v>
      </c>
      <c r="T701" s="556">
        <f t="shared" si="64"/>
        <v>0</v>
      </c>
      <c r="U701" s="556">
        <f t="shared" si="65"/>
        <v>0</v>
      </c>
      <c r="V701" s="556">
        <f t="shared" si="66"/>
        <v>0</v>
      </c>
      <c r="W701" s="556">
        <f t="shared" si="67"/>
        <v>0</v>
      </c>
      <c r="X701" s="556">
        <f t="shared" si="68"/>
        <v>0</v>
      </c>
      <c r="Y701" s="556">
        <f t="shared" si="69"/>
        <v>0</v>
      </c>
      <c r="Z701" s="556">
        <f t="shared" si="70"/>
        <v>0</v>
      </c>
      <c r="AA701" s="556">
        <f t="shared" si="71"/>
        <v>0</v>
      </c>
      <c r="AB701" s="556">
        <f t="shared" si="72"/>
        <v>0</v>
      </c>
      <c r="AC701" s="556">
        <f t="shared" si="73"/>
        <v>0</v>
      </c>
      <c r="AD701" s="556">
        <f t="shared" si="62"/>
        <v>0</v>
      </c>
      <c r="AE701" s="556">
        <f t="shared" si="74"/>
        <v>0</v>
      </c>
      <c r="AF701" s="556">
        <f t="shared" si="74"/>
        <v>0</v>
      </c>
      <c r="AG701" s="556">
        <f t="shared" si="74"/>
        <v>0</v>
      </c>
      <c r="AH701" s="44"/>
    </row>
    <row r="702" spans="1:36" hidden="1" outlineLevel="1" x14ac:dyDescent="0.35">
      <c r="A702" t="b">
        <f t="shared" si="60"/>
        <v>1</v>
      </c>
      <c r="B702" s="27" t="s">
        <v>622</v>
      </c>
      <c r="C702" s="27" t="s">
        <v>51</v>
      </c>
      <c r="D702" s="27" t="s">
        <v>1570</v>
      </c>
      <c r="E702" s="27" t="s">
        <v>51</v>
      </c>
      <c r="F702" s="27" t="s">
        <v>377</v>
      </c>
      <c r="G702" s="27" t="s">
        <v>623</v>
      </c>
      <c r="H702" s="27" t="s">
        <v>54</v>
      </c>
      <c r="I702" s="27" t="s">
        <v>55</v>
      </c>
      <c r="J702" s="27" t="s">
        <v>56</v>
      </c>
      <c r="K702" s="27" t="s">
        <v>371</v>
      </c>
      <c r="L702" s="27" t="s">
        <v>371</v>
      </c>
      <c r="M702" s="27" t="s">
        <v>371</v>
      </c>
      <c r="N702" s="27" t="s">
        <v>371</v>
      </c>
      <c r="O702" s="27" t="s">
        <v>371</v>
      </c>
      <c r="P702" s="27" t="s">
        <v>371</v>
      </c>
      <c r="Q702" s="27" t="s">
        <v>372</v>
      </c>
      <c r="R702" s="556">
        <f t="shared" si="61"/>
        <v>870000</v>
      </c>
      <c r="S702" s="556">
        <f t="shared" si="63"/>
        <v>0</v>
      </c>
      <c r="T702" s="556">
        <f t="shared" si="64"/>
        <v>0</v>
      </c>
      <c r="U702" s="556">
        <f t="shared" si="65"/>
        <v>0</v>
      </c>
      <c r="V702" s="556">
        <f t="shared" si="66"/>
        <v>0</v>
      </c>
      <c r="W702" s="556">
        <f t="shared" si="67"/>
        <v>0</v>
      </c>
      <c r="X702" s="556">
        <f t="shared" si="68"/>
        <v>0</v>
      </c>
      <c r="Y702" s="556">
        <f t="shared" si="69"/>
        <v>0</v>
      </c>
      <c r="Z702" s="556">
        <f t="shared" si="70"/>
        <v>0</v>
      </c>
      <c r="AA702" s="556">
        <f t="shared" si="71"/>
        <v>0</v>
      </c>
      <c r="AB702" s="556">
        <f t="shared" si="72"/>
        <v>0</v>
      </c>
      <c r="AC702" s="556">
        <f t="shared" si="73"/>
        <v>0</v>
      </c>
      <c r="AD702" s="556">
        <f t="shared" si="62"/>
        <v>0</v>
      </c>
      <c r="AE702" s="556">
        <f t="shared" si="74"/>
        <v>0</v>
      </c>
      <c r="AF702" s="556">
        <f t="shared" si="74"/>
        <v>0</v>
      </c>
      <c r="AG702" s="556">
        <f t="shared" si="74"/>
        <v>0</v>
      </c>
    </row>
    <row r="703" spans="1:36" hidden="1" outlineLevel="1" x14ac:dyDescent="0.35">
      <c r="A703" t="b">
        <f t="shared" si="60"/>
        <v>1</v>
      </c>
      <c r="B703" s="27" t="s">
        <v>624</v>
      </c>
      <c r="C703" s="27" t="s">
        <v>51</v>
      </c>
      <c r="D703" s="27" t="s">
        <v>1571</v>
      </c>
      <c r="E703" s="27" t="s">
        <v>51</v>
      </c>
      <c r="F703" s="27" t="s">
        <v>109</v>
      </c>
      <c r="G703" s="27" t="s">
        <v>135</v>
      </c>
      <c r="H703" s="27" t="s">
        <v>54</v>
      </c>
      <c r="I703" s="27" t="s">
        <v>55</v>
      </c>
      <c r="J703" s="27" t="s">
        <v>101</v>
      </c>
      <c r="K703" s="27" t="s">
        <v>371</v>
      </c>
      <c r="L703" s="27" t="s">
        <v>371</v>
      </c>
      <c r="M703" s="27" t="s">
        <v>371</v>
      </c>
      <c r="N703" s="27" t="s">
        <v>371</v>
      </c>
      <c r="O703" s="27" t="s">
        <v>371</v>
      </c>
      <c r="P703" s="27" t="s">
        <v>371</v>
      </c>
      <c r="Q703" s="27" t="s">
        <v>372</v>
      </c>
      <c r="R703" s="556">
        <f t="shared" si="61"/>
        <v>0</v>
      </c>
      <c r="S703" s="556">
        <f t="shared" si="63"/>
        <v>0</v>
      </c>
      <c r="T703" s="556">
        <f t="shared" si="64"/>
        <v>0</v>
      </c>
      <c r="U703" s="556">
        <f t="shared" si="65"/>
        <v>0</v>
      </c>
      <c r="V703" s="556">
        <f t="shared" si="66"/>
        <v>0</v>
      </c>
      <c r="W703" s="556">
        <f t="shared" si="67"/>
        <v>0</v>
      </c>
      <c r="X703" s="556">
        <f t="shared" si="68"/>
        <v>0</v>
      </c>
      <c r="Y703" s="556">
        <f t="shared" si="69"/>
        <v>0</v>
      </c>
      <c r="Z703" s="556">
        <f t="shared" si="70"/>
        <v>0</v>
      </c>
      <c r="AA703" s="556">
        <f t="shared" si="71"/>
        <v>0</v>
      </c>
      <c r="AB703" s="556">
        <f t="shared" si="72"/>
        <v>0</v>
      </c>
      <c r="AC703" s="556">
        <f t="shared" si="73"/>
        <v>0</v>
      </c>
      <c r="AD703" s="556">
        <f t="shared" si="62"/>
        <v>0</v>
      </c>
      <c r="AE703" s="556">
        <f t="shared" si="74"/>
        <v>0</v>
      </c>
      <c r="AF703" s="556">
        <f t="shared" si="74"/>
        <v>0</v>
      </c>
      <c r="AG703" s="556">
        <f t="shared" si="74"/>
        <v>0</v>
      </c>
    </row>
    <row r="704" spans="1:36" hidden="1" outlineLevel="1" x14ac:dyDescent="0.35">
      <c r="A704" t="b">
        <f t="shared" si="60"/>
        <v>1</v>
      </c>
      <c r="B704" s="27" t="s">
        <v>625</v>
      </c>
      <c r="C704" s="27" t="s">
        <v>51</v>
      </c>
      <c r="D704" s="27" t="s">
        <v>1572</v>
      </c>
      <c r="E704" s="27" t="s">
        <v>51</v>
      </c>
      <c r="F704" s="27" t="s">
        <v>587</v>
      </c>
      <c r="G704" s="27" t="s">
        <v>626</v>
      </c>
      <c r="H704" s="27" t="s">
        <v>54</v>
      </c>
      <c r="I704" s="27" t="s">
        <v>142</v>
      </c>
      <c r="J704" s="27" t="s">
        <v>197</v>
      </c>
      <c r="K704" s="27" t="s">
        <v>371</v>
      </c>
      <c r="L704" s="27" t="s">
        <v>371</v>
      </c>
      <c r="M704" s="27" t="s">
        <v>371</v>
      </c>
      <c r="N704" s="27" t="s">
        <v>371</v>
      </c>
      <c r="O704" s="27" t="s">
        <v>371</v>
      </c>
      <c r="P704" s="27" t="s">
        <v>371</v>
      </c>
      <c r="Q704" s="27" t="s">
        <v>372</v>
      </c>
      <c r="R704" s="556">
        <f t="shared" si="61"/>
        <v>-69600</v>
      </c>
      <c r="S704" s="556">
        <f t="shared" si="63"/>
        <v>-69600</v>
      </c>
      <c r="T704" s="556">
        <f t="shared" si="64"/>
        <v>-69600</v>
      </c>
      <c r="U704" s="556">
        <f t="shared" si="65"/>
        <v>-69600</v>
      </c>
      <c r="V704" s="556">
        <f t="shared" si="66"/>
        <v>-69600</v>
      </c>
      <c r="W704" s="556">
        <f t="shared" si="67"/>
        <v>-69600</v>
      </c>
      <c r="X704" s="556">
        <f t="shared" si="68"/>
        <v>-69600</v>
      </c>
      <c r="Y704" s="556">
        <f t="shared" si="69"/>
        <v>0</v>
      </c>
      <c r="Z704" s="556">
        <f t="shared" si="70"/>
        <v>0</v>
      </c>
      <c r="AA704" s="556">
        <f t="shared" si="71"/>
        <v>0</v>
      </c>
      <c r="AB704" s="556">
        <f t="shared" si="72"/>
        <v>0</v>
      </c>
      <c r="AC704" s="556">
        <f t="shared" si="73"/>
        <v>0</v>
      </c>
      <c r="AD704" s="556">
        <f t="shared" si="62"/>
        <v>0</v>
      </c>
      <c r="AE704" s="556">
        <f t="shared" si="74"/>
        <v>0</v>
      </c>
      <c r="AF704" s="556">
        <f t="shared" si="74"/>
        <v>0</v>
      </c>
      <c r="AG704" s="556">
        <f t="shared" si="74"/>
        <v>0</v>
      </c>
    </row>
    <row r="705" spans="1:34" hidden="1" outlineLevel="1" x14ac:dyDescent="0.35">
      <c r="A705" t="b">
        <f t="shared" si="60"/>
        <v>1</v>
      </c>
      <c r="B705" s="27" t="s">
        <v>1284</v>
      </c>
      <c r="C705" s="27" t="s">
        <v>51</v>
      </c>
      <c r="D705" s="27" t="s">
        <v>1863</v>
      </c>
      <c r="E705" s="27" t="s">
        <v>51</v>
      </c>
      <c r="F705" s="27" t="s">
        <v>457</v>
      </c>
      <c r="G705" s="27" t="s">
        <v>1573</v>
      </c>
      <c r="H705" s="27" t="s">
        <v>447</v>
      </c>
      <c r="I705" s="27" t="s">
        <v>440</v>
      </c>
      <c r="J705" s="27" t="s">
        <v>448</v>
      </c>
      <c r="K705" s="27" t="s">
        <v>449</v>
      </c>
      <c r="L705" s="27" t="s">
        <v>1028</v>
      </c>
      <c r="M705" s="27" t="s">
        <v>1028</v>
      </c>
      <c r="N705" s="27" t="s">
        <v>1028</v>
      </c>
      <c r="O705" s="27" t="s">
        <v>449</v>
      </c>
      <c r="P705" s="27" t="s">
        <v>449</v>
      </c>
      <c r="Q705" s="27" t="s">
        <v>372</v>
      </c>
      <c r="R705" s="556">
        <f t="shared" si="61"/>
        <v>0</v>
      </c>
      <c r="S705" s="556">
        <f t="shared" si="63"/>
        <v>31250</v>
      </c>
      <c r="T705" s="556">
        <f t="shared" si="64"/>
        <v>15625</v>
      </c>
      <c r="U705" s="556">
        <f t="shared" si="65"/>
        <v>15625</v>
      </c>
      <c r="V705" s="556">
        <f t="shared" si="66"/>
        <v>15625</v>
      </c>
      <c r="W705" s="556">
        <f t="shared" si="67"/>
        <v>15625</v>
      </c>
      <c r="X705" s="556">
        <f t="shared" si="68"/>
        <v>15625</v>
      </c>
      <c r="Y705" s="556">
        <f t="shared" si="69"/>
        <v>15625</v>
      </c>
      <c r="Z705" s="556">
        <f t="shared" si="70"/>
        <v>0</v>
      </c>
      <c r="AA705" s="556">
        <f t="shared" si="71"/>
        <v>31250</v>
      </c>
      <c r="AB705" s="556">
        <f t="shared" si="72"/>
        <v>15625</v>
      </c>
      <c r="AC705" s="556">
        <f t="shared" si="73"/>
        <v>15625</v>
      </c>
      <c r="AD705" s="556">
        <f t="shared" si="62"/>
        <v>35625</v>
      </c>
      <c r="AE705" s="556">
        <f t="shared" si="74"/>
        <v>35625</v>
      </c>
      <c r="AF705" s="556">
        <f t="shared" si="74"/>
        <v>35625</v>
      </c>
      <c r="AG705" s="556">
        <f t="shared" si="74"/>
        <v>35625</v>
      </c>
      <c r="AH705" s="44"/>
    </row>
    <row r="706" spans="1:34" hidden="1" outlineLevel="1" x14ac:dyDescent="0.35">
      <c r="A706" t="b">
        <f t="shared" si="60"/>
        <v>1</v>
      </c>
      <c r="B706" s="27" t="s">
        <v>1285</v>
      </c>
      <c r="C706" s="27" t="s">
        <v>51</v>
      </c>
      <c r="D706" s="27" t="s">
        <v>1864</v>
      </c>
      <c r="E706" s="27" t="s">
        <v>51</v>
      </c>
      <c r="F706" s="27" t="s">
        <v>501</v>
      </c>
      <c r="G706" s="27" t="s">
        <v>1574</v>
      </c>
      <c r="H706" s="27" t="s">
        <v>447</v>
      </c>
      <c r="I706" s="27" t="s">
        <v>440</v>
      </c>
      <c r="J706" s="27" t="s">
        <v>448</v>
      </c>
      <c r="K706" s="27" t="s">
        <v>476</v>
      </c>
      <c r="L706" s="27" t="s">
        <v>1016</v>
      </c>
      <c r="M706" s="27" t="s">
        <v>1016</v>
      </c>
      <c r="N706" s="27" t="s">
        <v>1016</v>
      </c>
      <c r="O706" s="27" t="s">
        <v>480</v>
      </c>
      <c r="P706" s="27" t="s">
        <v>480</v>
      </c>
      <c r="Q706" s="27" t="s">
        <v>372</v>
      </c>
      <c r="R706" s="556">
        <f t="shared" si="61"/>
        <v>0</v>
      </c>
      <c r="S706" s="556">
        <f t="shared" si="63"/>
        <v>0</v>
      </c>
      <c r="T706" s="556">
        <f t="shared" si="64"/>
        <v>0</v>
      </c>
      <c r="U706" s="556">
        <f t="shared" si="65"/>
        <v>6000</v>
      </c>
      <c r="V706" s="556">
        <f t="shared" si="66"/>
        <v>35000</v>
      </c>
      <c r="W706" s="556">
        <f t="shared" si="67"/>
        <v>0</v>
      </c>
      <c r="X706" s="556">
        <f t="shared" si="68"/>
        <v>0</v>
      </c>
      <c r="Y706" s="556">
        <f t="shared" si="69"/>
        <v>0</v>
      </c>
      <c r="Z706" s="556">
        <f t="shared" si="70"/>
        <v>0</v>
      </c>
      <c r="AA706" s="556">
        <f t="shared" si="71"/>
        <v>0</v>
      </c>
      <c r="AB706" s="556">
        <f t="shared" si="72"/>
        <v>0</v>
      </c>
      <c r="AC706" s="556">
        <f t="shared" si="73"/>
        <v>0</v>
      </c>
      <c r="AD706" s="556">
        <f t="shared" si="62"/>
        <v>0</v>
      </c>
      <c r="AE706" s="556">
        <f t="shared" si="74"/>
        <v>0</v>
      </c>
      <c r="AF706" s="556">
        <f t="shared" si="74"/>
        <v>45615.93</v>
      </c>
      <c r="AG706" s="556">
        <f t="shared" si="74"/>
        <v>7401.989999999998</v>
      </c>
      <c r="AH706" s="44"/>
    </row>
    <row r="707" spans="1:34" hidden="1" outlineLevel="1" x14ac:dyDescent="0.35">
      <c r="A707" t="b">
        <f t="shared" si="60"/>
        <v>1</v>
      </c>
      <c r="B707" s="27" t="s">
        <v>627</v>
      </c>
      <c r="C707" s="27" t="s">
        <v>51</v>
      </c>
      <c r="D707" s="27" t="s">
        <v>1575</v>
      </c>
      <c r="E707" s="27" t="s">
        <v>51</v>
      </c>
      <c r="F707" s="27" t="s">
        <v>501</v>
      </c>
      <c r="G707" s="27" t="s">
        <v>628</v>
      </c>
      <c r="H707" s="27" t="s">
        <v>447</v>
      </c>
      <c r="I707" s="27" t="s">
        <v>440</v>
      </c>
      <c r="J707" s="27" t="s">
        <v>448</v>
      </c>
      <c r="K707" s="27" t="s">
        <v>491</v>
      </c>
      <c r="L707" s="27" t="s">
        <v>492</v>
      </c>
      <c r="M707" s="27" t="s">
        <v>502</v>
      </c>
      <c r="N707" s="27" t="s">
        <v>502</v>
      </c>
      <c r="O707" s="27" t="s">
        <v>491</v>
      </c>
      <c r="P707" s="27" t="s">
        <v>480</v>
      </c>
      <c r="Q707" s="27" t="s">
        <v>372</v>
      </c>
      <c r="R707" s="556">
        <f t="shared" si="61"/>
        <v>0</v>
      </c>
      <c r="S707" s="556">
        <f t="shared" si="63"/>
        <v>0</v>
      </c>
      <c r="T707" s="556">
        <f t="shared" si="64"/>
        <v>0</v>
      </c>
      <c r="U707" s="556">
        <f t="shared" si="65"/>
        <v>0</v>
      </c>
      <c r="V707" s="556">
        <f t="shared" si="66"/>
        <v>0</v>
      </c>
      <c r="W707" s="556">
        <f t="shared" si="67"/>
        <v>0</v>
      </c>
      <c r="X707" s="556">
        <f t="shared" si="68"/>
        <v>0</v>
      </c>
      <c r="Y707" s="556">
        <f t="shared" si="69"/>
        <v>0</v>
      </c>
      <c r="Z707" s="556">
        <f t="shared" si="70"/>
        <v>0</v>
      </c>
      <c r="AA707" s="556">
        <f t="shared" si="71"/>
        <v>0</v>
      </c>
      <c r="AB707" s="556">
        <f t="shared" si="72"/>
        <v>0</v>
      </c>
      <c r="AC707" s="556">
        <f t="shared" si="73"/>
        <v>0</v>
      </c>
      <c r="AD707" s="556">
        <f t="shared" si="62"/>
        <v>0</v>
      </c>
      <c r="AE707" s="556">
        <f t="shared" si="74"/>
        <v>0</v>
      </c>
      <c r="AF707" s="556">
        <f t="shared" si="74"/>
        <v>0</v>
      </c>
      <c r="AG707" s="556">
        <f t="shared" si="74"/>
        <v>0</v>
      </c>
      <c r="AH707" s="44"/>
    </row>
    <row r="708" spans="1:34" hidden="1" outlineLevel="1" x14ac:dyDescent="0.35">
      <c r="A708" t="b">
        <f t="shared" si="60"/>
        <v>1</v>
      </c>
      <c r="B708" s="27" t="s">
        <v>1286</v>
      </c>
      <c r="C708" s="27" t="s">
        <v>51</v>
      </c>
      <c r="D708" s="27" t="s">
        <v>1865</v>
      </c>
      <c r="E708" s="27" t="s">
        <v>51</v>
      </c>
      <c r="F708" s="27" t="s">
        <v>385</v>
      </c>
      <c r="G708" s="27" t="s">
        <v>1576</v>
      </c>
      <c r="H708" s="27" t="s">
        <v>54</v>
      </c>
      <c r="I708" s="27" t="s">
        <v>55</v>
      </c>
      <c r="J708" s="27" t="s">
        <v>393</v>
      </c>
      <c r="K708" s="27" t="s">
        <v>371</v>
      </c>
      <c r="L708" s="27" t="s">
        <v>371</v>
      </c>
      <c r="M708" s="27" t="s">
        <v>371</v>
      </c>
      <c r="N708" s="27" t="s">
        <v>371</v>
      </c>
      <c r="O708" s="27" t="s">
        <v>371</v>
      </c>
      <c r="P708" s="27" t="s">
        <v>371</v>
      </c>
      <c r="Q708" s="27" t="s">
        <v>372</v>
      </c>
      <c r="R708" s="556">
        <f t="shared" si="61"/>
        <v>653497</v>
      </c>
      <c r="S708" s="556">
        <f t="shared" si="63"/>
        <v>653497</v>
      </c>
      <c r="T708" s="556">
        <f t="shared" si="64"/>
        <v>677945.86</v>
      </c>
      <c r="U708" s="556">
        <f t="shared" si="65"/>
        <v>720156.15</v>
      </c>
      <c r="V708" s="556">
        <f t="shared" si="66"/>
        <v>749254.15</v>
      </c>
      <c r="W708" s="556">
        <f t="shared" si="67"/>
        <v>749254.15</v>
      </c>
      <c r="X708" s="556">
        <f t="shared" si="68"/>
        <v>821335.47</v>
      </c>
      <c r="Y708" s="556">
        <f t="shared" si="69"/>
        <v>821335.47</v>
      </c>
      <c r="Z708" s="556">
        <f t="shared" si="70"/>
        <v>839924.47</v>
      </c>
      <c r="AA708" s="556">
        <f t="shared" si="71"/>
        <v>839924.47</v>
      </c>
      <c r="AB708" s="556">
        <f t="shared" si="72"/>
        <v>940059.47</v>
      </c>
      <c r="AC708" s="556">
        <f t="shared" si="73"/>
        <v>1017107.33</v>
      </c>
      <c r="AD708" s="556">
        <f t="shared" si="62"/>
        <v>1103979.19</v>
      </c>
      <c r="AE708" s="556">
        <f t="shared" si="74"/>
        <v>1340606.33</v>
      </c>
      <c r="AF708" s="556">
        <f t="shared" si="74"/>
        <v>2176341.92</v>
      </c>
      <c r="AG708" s="556">
        <f t="shared" si="74"/>
        <v>2289178.92</v>
      </c>
    </row>
    <row r="709" spans="1:34" hidden="1" outlineLevel="1" x14ac:dyDescent="0.35">
      <c r="A709" t="b">
        <f t="shared" si="60"/>
        <v>1</v>
      </c>
      <c r="B709" s="27" t="s">
        <v>629</v>
      </c>
      <c r="C709" s="27" t="s">
        <v>51</v>
      </c>
      <c r="D709" s="27" t="s">
        <v>1577</v>
      </c>
      <c r="E709" s="27" t="s">
        <v>51</v>
      </c>
      <c r="F709" s="27" t="s">
        <v>385</v>
      </c>
      <c r="G709" s="27" t="s">
        <v>630</v>
      </c>
      <c r="H709" s="27" t="s">
        <v>54</v>
      </c>
      <c r="I709" s="27" t="s">
        <v>55</v>
      </c>
      <c r="J709" s="27" t="s">
        <v>393</v>
      </c>
      <c r="K709" s="27" t="s">
        <v>371</v>
      </c>
      <c r="L709" s="27" t="s">
        <v>371</v>
      </c>
      <c r="M709" s="27" t="s">
        <v>371</v>
      </c>
      <c r="N709" s="27" t="s">
        <v>371</v>
      </c>
      <c r="O709" s="27" t="s">
        <v>371</v>
      </c>
      <c r="P709" s="27" t="s">
        <v>371</v>
      </c>
      <c r="Q709" s="27" t="s">
        <v>372</v>
      </c>
      <c r="R709" s="556">
        <f t="shared" si="61"/>
        <v>4624518.8099999996</v>
      </c>
      <c r="S709" s="556">
        <f t="shared" si="63"/>
        <v>4624518.8099999996</v>
      </c>
      <c r="T709" s="556">
        <f t="shared" si="64"/>
        <v>4624518.8099999996</v>
      </c>
      <c r="U709" s="556">
        <f t="shared" si="65"/>
        <v>4624518.8099999996</v>
      </c>
      <c r="V709" s="556">
        <f t="shared" si="66"/>
        <v>4624518.8099999996</v>
      </c>
      <c r="W709" s="556">
        <f t="shared" si="67"/>
        <v>4624518.8099999996</v>
      </c>
      <c r="X709" s="556">
        <f t="shared" si="68"/>
        <v>4624518.8099999996</v>
      </c>
      <c r="Y709" s="556">
        <f t="shared" si="69"/>
        <v>4624518.8099999996</v>
      </c>
      <c r="Z709" s="556">
        <f t="shared" si="70"/>
        <v>4624518.8099999996</v>
      </c>
      <c r="AA709" s="556">
        <f t="shared" si="71"/>
        <v>4624518.8099999996</v>
      </c>
      <c r="AB709" s="556">
        <f t="shared" si="72"/>
        <v>4624518.8099999996</v>
      </c>
      <c r="AC709" s="556">
        <f t="shared" si="73"/>
        <v>4624518.8099999996</v>
      </c>
      <c r="AD709" s="556">
        <f t="shared" si="62"/>
        <v>4624518.8099999996</v>
      </c>
      <c r="AE709" s="556">
        <f t="shared" si="74"/>
        <v>4624518.8099999996</v>
      </c>
      <c r="AF709" s="556">
        <f t="shared" si="74"/>
        <v>4624518.8099999996</v>
      </c>
      <c r="AG709" s="556">
        <f t="shared" si="74"/>
        <v>0</v>
      </c>
    </row>
    <row r="710" spans="1:34" hidden="1" outlineLevel="1" x14ac:dyDescent="0.35">
      <c r="A710" t="b">
        <f t="shared" si="60"/>
        <v>1</v>
      </c>
      <c r="B710" s="27" t="s">
        <v>1287</v>
      </c>
      <c r="C710" s="27" t="s">
        <v>51</v>
      </c>
      <c r="D710" s="27" t="s">
        <v>1866</v>
      </c>
      <c r="E710" s="27" t="s">
        <v>51</v>
      </c>
      <c r="F710" s="27" t="s">
        <v>385</v>
      </c>
      <c r="G710" s="27" t="s">
        <v>1963</v>
      </c>
      <c r="H710" s="27" t="s">
        <v>54</v>
      </c>
      <c r="I710" s="27" t="s">
        <v>55</v>
      </c>
      <c r="J710" s="27" t="s">
        <v>393</v>
      </c>
      <c r="K710" s="27" t="s">
        <v>371</v>
      </c>
      <c r="L710" s="27" t="s">
        <v>371</v>
      </c>
      <c r="M710" s="27" t="s">
        <v>371</v>
      </c>
      <c r="N710" s="27" t="s">
        <v>371</v>
      </c>
      <c r="O710" s="27" t="s">
        <v>371</v>
      </c>
      <c r="P710" s="27" t="s">
        <v>371</v>
      </c>
      <c r="Q710" s="27" t="s">
        <v>372</v>
      </c>
      <c r="R710" s="556">
        <f t="shared" si="61"/>
        <v>-183724.95</v>
      </c>
      <c r="S710" s="556">
        <f t="shared" si="63"/>
        <v>-200062.38</v>
      </c>
      <c r="T710" s="556">
        <f t="shared" si="64"/>
        <v>-216399.81</v>
      </c>
      <c r="U710" s="556">
        <f t="shared" si="65"/>
        <v>-233144.72</v>
      </c>
      <c r="V710" s="556">
        <f t="shared" si="66"/>
        <v>-250593.13</v>
      </c>
      <c r="W710" s="556">
        <f t="shared" si="67"/>
        <v>-268526.51</v>
      </c>
      <c r="X710" s="556">
        <f t="shared" si="68"/>
        <v>-288815.05</v>
      </c>
      <c r="Y710" s="556">
        <f t="shared" si="69"/>
        <v>-309348.44</v>
      </c>
      <c r="Z710" s="556">
        <f t="shared" si="70"/>
        <v>-329881.83</v>
      </c>
      <c r="AA710" s="556">
        <f t="shared" si="71"/>
        <v>-350879.94</v>
      </c>
      <c r="AB710" s="556">
        <f t="shared" si="72"/>
        <v>-371878.05</v>
      </c>
      <c r="AC710" s="556">
        <f t="shared" si="73"/>
        <v>-395379.54</v>
      </c>
      <c r="AD710" s="556">
        <f t="shared" si="62"/>
        <v>-420807.22</v>
      </c>
      <c r="AE710" s="556">
        <f t="shared" si="74"/>
        <v>-452505.33</v>
      </c>
      <c r="AF710" s="556">
        <f t="shared" si="74"/>
        <v>-486020.49</v>
      </c>
      <c r="AG710" s="556">
        <f t="shared" si="74"/>
        <v>-540429.49</v>
      </c>
    </row>
    <row r="711" spans="1:34" hidden="1" outlineLevel="1" x14ac:dyDescent="0.35">
      <c r="A711" t="b">
        <f t="shared" si="60"/>
        <v>1</v>
      </c>
      <c r="B711" s="27" t="s">
        <v>631</v>
      </c>
      <c r="C711" s="27" t="s">
        <v>51</v>
      </c>
      <c r="D711" s="27" t="s">
        <v>1578</v>
      </c>
      <c r="E711" s="27" t="s">
        <v>51</v>
      </c>
      <c r="F711" s="27" t="s">
        <v>195</v>
      </c>
      <c r="G711" s="27" t="s">
        <v>632</v>
      </c>
      <c r="H711" s="27" t="s">
        <v>54</v>
      </c>
      <c r="I711" s="27" t="s">
        <v>142</v>
      </c>
      <c r="J711" s="27" t="s">
        <v>197</v>
      </c>
      <c r="K711" s="27" t="s">
        <v>371</v>
      </c>
      <c r="L711" s="27" t="s">
        <v>371</v>
      </c>
      <c r="M711" s="27" t="s">
        <v>371</v>
      </c>
      <c r="N711" s="27" t="s">
        <v>371</v>
      </c>
      <c r="O711" s="27" t="s">
        <v>371</v>
      </c>
      <c r="P711" s="27" t="s">
        <v>371</v>
      </c>
      <c r="Q711" s="27" t="s">
        <v>372</v>
      </c>
      <c r="R711" s="556">
        <f t="shared" si="61"/>
        <v>0</v>
      </c>
      <c r="S711" s="556">
        <f t="shared" si="63"/>
        <v>0</v>
      </c>
      <c r="T711" s="556">
        <f t="shared" si="64"/>
        <v>0</v>
      </c>
      <c r="U711" s="556">
        <f t="shared" si="65"/>
        <v>0</v>
      </c>
      <c r="V711" s="556">
        <f t="shared" si="66"/>
        <v>0</v>
      </c>
      <c r="W711" s="556">
        <f t="shared" si="67"/>
        <v>0</v>
      </c>
      <c r="X711" s="556">
        <f t="shared" si="68"/>
        <v>0</v>
      </c>
      <c r="Y711" s="556">
        <f t="shared" si="69"/>
        <v>0</v>
      </c>
      <c r="Z711" s="556">
        <f t="shared" si="70"/>
        <v>0</v>
      </c>
      <c r="AA711" s="556">
        <f t="shared" si="71"/>
        <v>0</v>
      </c>
      <c r="AB711" s="556">
        <f t="shared" si="72"/>
        <v>0</v>
      </c>
      <c r="AC711" s="556">
        <f t="shared" si="73"/>
        <v>0</v>
      </c>
      <c r="AD711" s="556">
        <f t="shared" si="62"/>
        <v>0</v>
      </c>
      <c r="AE711" s="556">
        <f t="shared" ref="AE711:AG730" si="75">+IF(AE$10="Actuals",IF($O233="Revenue",-IF($H233="BS",AE233,IF($H233="P&amp;L",AE233-AD233,0)),IF($H233="BS",AE233,IF($H233="P&amp;L",AE233-AD233,0))),0)</f>
        <v>0</v>
      </c>
      <c r="AF711" s="556">
        <f t="shared" si="75"/>
        <v>0</v>
      </c>
      <c r="AG711" s="556">
        <f t="shared" si="75"/>
        <v>0</v>
      </c>
    </row>
    <row r="712" spans="1:34" hidden="1" outlineLevel="1" x14ac:dyDescent="0.35">
      <c r="A712" t="b">
        <f t="shared" si="60"/>
        <v>1</v>
      </c>
      <c r="B712" s="27" t="s">
        <v>633</v>
      </c>
      <c r="C712" s="27" t="s">
        <v>51</v>
      </c>
      <c r="D712" s="27" t="s">
        <v>1579</v>
      </c>
      <c r="E712" s="27" t="s">
        <v>51</v>
      </c>
      <c r="F712" s="27" t="s">
        <v>501</v>
      </c>
      <c r="G712" s="27" t="s">
        <v>634</v>
      </c>
      <c r="H712" s="27" t="s">
        <v>447</v>
      </c>
      <c r="I712" s="27" t="s">
        <v>440</v>
      </c>
      <c r="J712" s="27" t="s">
        <v>448</v>
      </c>
      <c r="K712" s="27" t="s">
        <v>476</v>
      </c>
      <c r="L712" s="27" t="s">
        <v>502</v>
      </c>
      <c r="M712" s="27" t="s">
        <v>502</v>
      </c>
      <c r="N712" s="27" t="s">
        <v>488</v>
      </c>
      <c r="O712" s="27" t="s">
        <v>480</v>
      </c>
      <c r="P712" s="27" t="s">
        <v>480</v>
      </c>
      <c r="Q712" s="27" t="s">
        <v>372</v>
      </c>
      <c r="R712" s="556">
        <f t="shared" si="61"/>
        <v>0</v>
      </c>
      <c r="S712" s="556">
        <f t="shared" si="63"/>
        <v>0</v>
      </c>
      <c r="T712" s="556">
        <f t="shared" si="64"/>
        <v>0</v>
      </c>
      <c r="U712" s="556">
        <f t="shared" si="65"/>
        <v>0</v>
      </c>
      <c r="V712" s="556">
        <f t="shared" si="66"/>
        <v>0</v>
      </c>
      <c r="W712" s="556">
        <f t="shared" si="67"/>
        <v>0</v>
      </c>
      <c r="X712" s="556">
        <f t="shared" si="68"/>
        <v>0</v>
      </c>
      <c r="Y712" s="556">
        <f t="shared" si="69"/>
        <v>0</v>
      </c>
      <c r="Z712" s="556">
        <f t="shared" si="70"/>
        <v>0</v>
      </c>
      <c r="AA712" s="556">
        <f t="shared" si="71"/>
        <v>0</v>
      </c>
      <c r="AB712" s="556">
        <f t="shared" si="72"/>
        <v>0</v>
      </c>
      <c r="AC712" s="556">
        <f t="shared" si="73"/>
        <v>0</v>
      </c>
      <c r="AD712" s="556">
        <f t="shared" si="62"/>
        <v>0</v>
      </c>
      <c r="AE712" s="556">
        <f t="shared" si="75"/>
        <v>0</v>
      </c>
      <c r="AF712" s="556">
        <f t="shared" si="75"/>
        <v>0</v>
      </c>
      <c r="AG712" s="556">
        <f t="shared" si="75"/>
        <v>0</v>
      </c>
      <c r="AH712" s="44"/>
    </row>
    <row r="713" spans="1:34" hidden="1" outlineLevel="1" x14ac:dyDescent="0.35">
      <c r="A713" t="b">
        <f t="shared" si="60"/>
        <v>1</v>
      </c>
      <c r="B713" s="27" t="s">
        <v>1288</v>
      </c>
      <c r="C713" s="27" t="s">
        <v>51</v>
      </c>
      <c r="D713" s="27" t="s">
        <v>1867</v>
      </c>
      <c r="E713" s="27" t="s">
        <v>51</v>
      </c>
      <c r="F713" s="27" t="s">
        <v>556</v>
      </c>
      <c r="G713" s="27" t="s">
        <v>1580</v>
      </c>
      <c r="H713" s="27" t="s">
        <v>447</v>
      </c>
      <c r="I713" s="27" t="s">
        <v>440</v>
      </c>
      <c r="J713" s="27" t="s">
        <v>448</v>
      </c>
      <c r="K713" s="27" t="s">
        <v>557</v>
      </c>
      <c r="L713" s="27" t="s">
        <v>557</v>
      </c>
      <c r="M713" s="27" t="s">
        <v>806</v>
      </c>
      <c r="N713" s="27" t="s">
        <v>806</v>
      </c>
      <c r="O713" s="27" t="s">
        <v>557</v>
      </c>
      <c r="P713" s="27" t="s">
        <v>557</v>
      </c>
      <c r="Q713" s="27" t="s">
        <v>372</v>
      </c>
      <c r="R713" s="556">
        <f t="shared" si="61"/>
        <v>15974.95</v>
      </c>
      <c r="S713" s="556">
        <f t="shared" si="63"/>
        <v>16337.43</v>
      </c>
      <c r="T713" s="556">
        <f t="shared" si="64"/>
        <v>16337.429999999997</v>
      </c>
      <c r="U713" s="556">
        <f t="shared" si="65"/>
        <v>16744.910000000003</v>
      </c>
      <c r="V713" s="556">
        <f t="shared" si="66"/>
        <v>17448.410000000003</v>
      </c>
      <c r="W713" s="556">
        <f t="shared" si="67"/>
        <v>17933.380000000005</v>
      </c>
      <c r="X713" s="556">
        <f t="shared" si="68"/>
        <v>20288.539999999994</v>
      </c>
      <c r="Y713" s="556">
        <f t="shared" si="69"/>
        <v>20533.39</v>
      </c>
      <c r="Z713" s="556">
        <f t="shared" si="70"/>
        <v>20533.390000000014</v>
      </c>
      <c r="AA713" s="556">
        <f t="shared" si="71"/>
        <v>20998.109999999986</v>
      </c>
      <c r="AB713" s="556">
        <f t="shared" si="72"/>
        <v>20998.109999999986</v>
      </c>
      <c r="AC713" s="556">
        <f t="shared" si="73"/>
        <v>23501.49000000002</v>
      </c>
      <c r="AD713" s="556">
        <f t="shared" si="62"/>
        <v>25427.68</v>
      </c>
      <c r="AE713" s="556">
        <f t="shared" si="75"/>
        <v>31698.11</v>
      </c>
      <c r="AF713" s="556">
        <f t="shared" si="75"/>
        <v>33515.159999999996</v>
      </c>
      <c r="AG713" s="556">
        <f t="shared" si="75"/>
        <v>54409.000000000015</v>
      </c>
      <c r="AH713" s="44"/>
    </row>
    <row r="714" spans="1:34" hidden="1" outlineLevel="1" x14ac:dyDescent="0.35">
      <c r="A714" t="b">
        <f t="shared" si="60"/>
        <v>1</v>
      </c>
      <c r="B714" s="27" t="s">
        <v>1289</v>
      </c>
      <c r="C714" s="27" t="s">
        <v>51</v>
      </c>
      <c r="D714" s="27" t="s">
        <v>1868</v>
      </c>
      <c r="E714" s="27" t="s">
        <v>51</v>
      </c>
      <c r="F714" s="27" t="s">
        <v>635</v>
      </c>
      <c r="G714" s="27" t="s">
        <v>1581</v>
      </c>
      <c r="H714" s="27" t="s">
        <v>447</v>
      </c>
      <c r="I714" s="27" t="s">
        <v>440</v>
      </c>
      <c r="J714" s="27" t="s">
        <v>448</v>
      </c>
      <c r="K714" s="27" t="s">
        <v>449</v>
      </c>
      <c r="L714" s="27" t="s">
        <v>458</v>
      </c>
      <c r="M714" s="27" t="s">
        <v>502</v>
      </c>
      <c r="N714" s="27" t="s">
        <v>502</v>
      </c>
      <c r="O714" s="27" t="s">
        <v>449</v>
      </c>
      <c r="P714" s="27" t="s">
        <v>449</v>
      </c>
      <c r="Q714" s="27" t="s">
        <v>372</v>
      </c>
      <c r="R714" s="556">
        <f t="shared" si="61"/>
        <v>0</v>
      </c>
      <c r="S714" s="556">
        <f t="shared" si="63"/>
        <v>85.47</v>
      </c>
      <c r="T714" s="556">
        <f t="shared" si="64"/>
        <v>0</v>
      </c>
      <c r="U714" s="556">
        <f t="shared" si="65"/>
        <v>-85.47</v>
      </c>
      <c r="V714" s="556">
        <f t="shared" si="66"/>
        <v>0</v>
      </c>
      <c r="W714" s="556">
        <f t="shared" si="67"/>
        <v>52000</v>
      </c>
      <c r="X714" s="556">
        <f t="shared" si="68"/>
        <v>-50370.81</v>
      </c>
      <c r="Y714" s="556">
        <f t="shared" si="69"/>
        <v>0</v>
      </c>
      <c r="Z714" s="556">
        <f t="shared" si="70"/>
        <v>0.24000000000000909</v>
      </c>
      <c r="AA714" s="556">
        <f t="shared" si="71"/>
        <v>101.73000000000002</v>
      </c>
      <c r="AB714" s="556">
        <f t="shared" si="72"/>
        <v>305.09999999999991</v>
      </c>
      <c r="AC714" s="556">
        <f t="shared" si="73"/>
        <v>27961.09</v>
      </c>
      <c r="AD714" s="556">
        <f t="shared" si="62"/>
        <v>0.36</v>
      </c>
      <c r="AE714" s="556">
        <f t="shared" si="75"/>
        <v>0.42000000000000004</v>
      </c>
      <c r="AF714" s="556">
        <f t="shared" si="75"/>
        <v>8396.58</v>
      </c>
      <c r="AG714" s="556">
        <f t="shared" si="75"/>
        <v>2787.26</v>
      </c>
      <c r="AH714" s="44"/>
    </row>
    <row r="715" spans="1:34" hidden="1" outlineLevel="1" x14ac:dyDescent="0.35">
      <c r="A715" t="b">
        <f t="shared" si="60"/>
        <v>1</v>
      </c>
      <c r="B715" s="27" t="s">
        <v>636</v>
      </c>
      <c r="C715" s="27" t="s">
        <v>51</v>
      </c>
      <c r="D715" s="27" t="s">
        <v>1582</v>
      </c>
      <c r="E715" s="27" t="s">
        <v>51</v>
      </c>
      <c r="F715" s="27" t="s">
        <v>195</v>
      </c>
      <c r="G715" s="27" t="s">
        <v>637</v>
      </c>
      <c r="H715" s="27" t="s">
        <v>54</v>
      </c>
      <c r="I715" s="27" t="s">
        <v>142</v>
      </c>
      <c r="J715" s="27" t="s">
        <v>197</v>
      </c>
      <c r="K715" s="27" t="s">
        <v>371</v>
      </c>
      <c r="L715" s="27" t="s">
        <v>371</v>
      </c>
      <c r="M715" s="27" t="s">
        <v>371</v>
      </c>
      <c r="N715" s="27" t="s">
        <v>371</v>
      </c>
      <c r="O715" s="27" t="s">
        <v>371</v>
      </c>
      <c r="P715" s="27" t="s">
        <v>371</v>
      </c>
      <c r="Q715" s="27" t="s">
        <v>372</v>
      </c>
      <c r="R715" s="556">
        <f t="shared" si="61"/>
        <v>-8542.73</v>
      </c>
      <c r="S715" s="556">
        <f t="shared" si="63"/>
        <v>-8542.73</v>
      </c>
      <c r="T715" s="556">
        <f t="shared" si="64"/>
        <v>-8542.73</v>
      </c>
      <c r="U715" s="556">
        <f t="shared" si="65"/>
        <v>-8542.73</v>
      </c>
      <c r="V715" s="556">
        <f t="shared" si="66"/>
        <v>-8542.73</v>
      </c>
      <c r="W715" s="556">
        <f t="shared" si="67"/>
        <v>-8542.73</v>
      </c>
      <c r="X715" s="556">
        <f t="shared" si="68"/>
        <v>0</v>
      </c>
      <c r="Y715" s="556">
        <f t="shared" si="69"/>
        <v>0</v>
      </c>
      <c r="Z715" s="556">
        <f t="shared" si="70"/>
        <v>0</v>
      </c>
      <c r="AA715" s="556">
        <f t="shared" si="71"/>
        <v>0</v>
      </c>
      <c r="AB715" s="556">
        <f t="shared" si="72"/>
        <v>0</v>
      </c>
      <c r="AC715" s="556">
        <f t="shared" si="73"/>
        <v>0</v>
      </c>
      <c r="AD715" s="556">
        <f t="shared" si="62"/>
        <v>0</v>
      </c>
      <c r="AE715" s="556">
        <f t="shared" si="75"/>
        <v>0</v>
      </c>
      <c r="AF715" s="556">
        <f t="shared" si="75"/>
        <v>0</v>
      </c>
      <c r="AG715" s="556">
        <f t="shared" si="75"/>
        <v>0</v>
      </c>
    </row>
    <row r="716" spans="1:34" hidden="1" outlineLevel="1" x14ac:dyDescent="0.35">
      <c r="A716" t="b">
        <f t="shared" si="60"/>
        <v>1</v>
      </c>
      <c r="B716" s="27" t="s">
        <v>639</v>
      </c>
      <c r="C716" s="27" t="s">
        <v>51</v>
      </c>
      <c r="D716" s="27" t="s">
        <v>1583</v>
      </c>
      <c r="E716" s="27" t="s">
        <v>51</v>
      </c>
      <c r="F716" s="27" t="s">
        <v>381</v>
      </c>
      <c r="G716" s="27" t="s">
        <v>640</v>
      </c>
      <c r="H716" s="27" t="s">
        <v>54</v>
      </c>
      <c r="I716" s="27" t="s">
        <v>55</v>
      </c>
      <c r="J716" s="27" t="s">
        <v>383</v>
      </c>
      <c r="K716" s="27" t="s">
        <v>371</v>
      </c>
      <c r="L716" s="27" t="s">
        <v>371</v>
      </c>
      <c r="M716" s="27" t="s">
        <v>371</v>
      </c>
      <c r="N716" s="27" t="s">
        <v>371</v>
      </c>
      <c r="O716" s="27" t="s">
        <v>371</v>
      </c>
      <c r="P716" s="27" t="s">
        <v>371</v>
      </c>
      <c r="Q716" s="27" t="s">
        <v>372</v>
      </c>
      <c r="R716" s="556">
        <f t="shared" si="61"/>
        <v>1679795.76</v>
      </c>
      <c r="S716" s="556">
        <f t="shared" si="63"/>
        <v>1679795.76</v>
      </c>
      <c r="T716" s="556">
        <f t="shared" si="64"/>
        <v>0</v>
      </c>
      <c r="U716" s="556">
        <f t="shared" si="65"/>
        <v>0</v>
      </c>
      <c r="V716" s="556">
        <f t="shared" si="66"/>
        <v>0</v>
      </c>
      <c r="W716" s="556">
        <f t="shared" si="67"/>
        <v>0</v>
      </c>
      <c r="X716" s="556">
        <f t="shared" si="68"/>
        <v>0</v>
      </c>
      <c r="Y716" s="556">
        <f t="shared" si="69"/>
        <v>0</v>
      </c>
      <c r="Z716" s="556">
        <f t="shared" si="70"/>
        <v>0</v>
      </c>
      <c r="AA716" s="556">
        <f t="shared" si="71"/>
        <v>0</v>
      </c>
      <c r="AB716" s="556">
        <f t="shared" si="72"/>
        <v>0</v>
      </c>
      <c r="AC716" s="556">
        <f t="shared" si="73"/>
        <v>0</v>
      </c>
      <c r="AD716" s="556">
        <f t="shared" si="62"/>
        <v>0</v>
      </c>
      <c r="AE716" s="556">
        <f t="shared" si="75"/>
        <v>0</v>
      </c>
      <c r="AF716" s="556">
        <f t="shared" si="75"/>
        <v>0</v>
      </c>
      <c r="AG716" s="556">
        <f t="shared" si="75"/>
        <v>0</v>
      </c>
    </row>
    <row r="717" spans="1:34" hidden="1" outlineLevel="1" x14ac:dyDescent="0.35">
      <c r="A717" t="b">
        <f t="shared" si="60"/>
        <v>1</v>
      </c>
      <c r="B717" s="27" t="s">
        <v>641</v>
      </c>
      <c r="C717" s="27" t="s">
        <v>51</v>
      </c>
      <c r="D717" s="27" t="s">
        <v>1584</v>
      </c>
      <c r="E717" s="27" t="s">
        <v>51</v>
      </c>
      <c r="F717" s="27" t="s">
        <v>381</v>
      </c>
      <c r="G717" s="27" t="s">
        <v>642</v>
      </c>
      <c r="H717" s="27" t="s">
        <v>54</v>
      </c>
      <c r="I717" s="27" t="s">
        <v>55</v>
      </c>
      <c r="J717" s="27" t="s">
        <v>383</v>
      </c>
      <c r="K717" s="27" t="s">
        <v>371</v>
      </c>
      <c r="L717" s="27" t="s">
        <v>371</v>
      </c>
      <c r="M717" s="27" t="s">
        <v>371</v>
      </c>
      <c r="N717" s="27" t="s">
        <v>371</v>
      </c>
      <c r="O717" s="27" t="s">
        <v>371</v>
      </c>
      <c r="P717" s="27" t="s">
        <v>371</v>
      </c>
      <c r="Q717" s="27" t="s">
        <v>372</v>
      </c>
      <c r="R717" s="556">
        <f t="shared" si="61"/>
        <v>52000</v>
      </c>
      <c r="S717" s="556">
        <f t="shared" si="63"/>
        <v>52000</v>
      </c>
      <c r="T717" s="556">
        <f t="shared" si="64"/>
        <v>52000</v>
      </c>
      <c r="U717" s="556">
        <f t="shared" si="65"/>
        <v>52000</v>
      </c>
      <c r="V717" s="556">
        <f t="shared" si="66"/>
        <v>52000</v>
      </c>
      <c r="W717" s="556">
        <f t="shared" si="67"/>
        <v>0</v>
      </c>
      <c r="X717" s="556">
        <f t="shared" si="68"/>
        <v>0</v>
      </c>
      <c r="Y717" s="556">
        <f t="shared" si="69"/>
        <v>0</v>
      </c>
      <c r="Z717" s="556">
        <f t="shared" si="70"/>
        <v>0</v>
      </c>
      <c r="AA717" s="556">
        <f t="shared" si="71"/>
        <v>0</v>
      </c>
      <c r="AB717" s="556">
        <f t="shared" si="72"/>
        <v>0</v>
      </c>
      <c r="AC717" s="556">
        <f t="shared" si="73"/>
        <v>0</v>
      </c>
      <c r="AD717" s="556">
        <f t="shared" si="62"/>
        <v>0</v>
      </c>
      <c r="AE717" s="556">
        <f t="shared" si="75"/>
        <v>0</v>
      </c>
      <c r="AF717" s="556">
        <f t="shared" si="75"/>
        <v>0</v>
      </c>
      <c r="AG717" s="556">
        <f t="shared" si="75"/>
        <v>0</v>
      </c>
    </row>
    <row r="718" spans="1:34" hidden="1" outlineLevel="1" x14ac:dyDescent="0.35">
      <c r="A718" t="b">
        <f t="shared" si="60"/>
        <v>1</v>
      </c>
      <c r="B718" s="27" t="s">
        <v>643</v>
      </c>
      <c r="C718" s="27" t="s">
        <v>51</v>
      </c>
      <c r="D718" s="27" t="s">
        <v>1585</v>
      </c>
      <c r="E718" s="27" t="s">
        <v>51</v>
      </c>
      <c r="F718" s="27" t="s">
        <v>381</v>
      </c>
      <c r="G718" s="27" t="s">
        <v>644</v>
      </c>
      <c r="H718" s="27" t="s">
        <v>54</v>
      </c>
      <c r="I718" s="27" t="s">
        <v>55</v>
      </c>
      <c r="J718" s="27" t="s">
        <v>383</v>
      </c>
      <c r="K718" s="27" t="s">
        <v>371</v>
      </c>
      <c r="L718" s="27" t="s">
        <v>371</v>
      </c>
      <c r="M718" s="27" t="s">
        <v>371</v>
      </c>
      <c r="N718" s="27" t="s">
        <v>371</v>
      </c>
      <c r="O718" s="27" t="s">
        <v>371</v>
      </c>
      <c r="P718" s="27" t="s">
        <v>371</v>
      </c>
      <c r="Q718" s="27" t="s">
        <v>372</v>
      </c>
      <c r="R718" s="556">
        <f t="shared" si="61"/>
        <v>10629025.810000001</v>
      </c>
      <c r="S718" s="556">
        <f t="shared" si="63"/>
        <v>13161163.449999999</v>
      </c>
      <c r="T718" s="556">
        <f t="shared" si="64"/>
        <v>0</v>
      </c>
      <c r="U718" s="556">
        <f t="shared" si="65"/>
        <v>0</v>
      </c>
      <c r="V718" s="556">
        <f t="shared" si="66"/>
        <v>0</v>
      </c>
      <c r="W718" s="556">
        <f t="shared" si="67"/>
        <v>0</v>
      </c>
      <c r="X718" s="556">
        <f t="shared" si="68"/>
        <v>0</v>
      </c>
      <c r="Y718" s="556">
        <f t="shared" si="69"/>
        <v>0</v>
      </c>
      <c r="Z718" s="556">
        <f t="shared" si="70"/>
        <v>0</v>
      </c>
      <c r="AA718" s="556">
        <f t="shared" si="71"/>
        <v>0</v>
      </c>
      <c r="AB718" s="556">
        <f t="shared" si="72"/>
        <v>0</v>
      </c>
      <c r="AC718" s="556">
        <f t="shared" si="73"/>
        <v>0</v>
      </c>
      <c r="AD718" s="556">
        <f t="shared" si="62"/>
        <v>0</v>
      </c>
      <c r="AE718" s="556">
        <f t="shared" si="75"/>
        <v>0</v>
      </c>
      <c r="AF718" s="556">
        <f t="shared" si="75"/>
        <v>0</v>
      </c>
      <c r="AG718" s="556">
        <f t="shared" si="75"/>
        <v>0</v>
      </c>
    </row>
    <row r="719" spans="1:34" hidden="1" outlineLevel="1" x14ac:dyDescent="0.35">
      <c r="A719" t="b">
        <f t="shared" si="60"/>
        <v>1</v>
      </c>
      <c r="B719" s="27" t="s">
        <v>645</v>
      </c>
      <c r="C719" s="27" t="s">
        <v>51</v>
      </c>
      <c r="D719" s="27" t="s">
        <v>1586</v>
      </c>
      <c r="E719" s="27" t="s">
        <v>51</v>
      </c>
      <c r="F719" s="27" t="s">
        <v>1053</v>
      </c>
      <c r="G719" s="27" t="s">
        <v>646</v>
      </c>
      <c r="H719" s="27" t="s">
        <v>54</v>
      </c>
      <c r="I719" s="27" t="s">
        <v>55</v>
      </c>
      <c r="J719" s="27" t="s">
        <v>383</v>
      </c>
      <c r="K719" s="27" t="s">
        <v>371</v>
      </c>
      <c r="L719" s="27" t="s">
        <v>371</v>
      </c>
      <c r="M719" s="27" t="s">
        <v>371</v>
      </c>
      <c r="N719" s="27" t="s">
        <v>371</v>
      </c>
      <c r="O719" s="27" t="s">
        <v>371</v>
      </c>
      <c r="P719" s="27" t="s">
        <v>371</v>
      </c>
      <c r="Q719" s="27" t="s">
        <v>372</v>
      </c>
      <c r="R719" s="556">
        <f t="shared" si="61"/>
        <v>577861.4</v>
      </c>
      <c r="S719" s="556">
        <f t="shared" si="63"/>
        <v>637123.31000000006</v>
      </c>
      <c r="T719" s="556">
        <f t="shared" si="64"/>
        <v>527982.10000000009</v>
      </c>
      <c r="U719" s="556">
        <f t="shared" si="65"/>
        <v>1425686.9100000001</v>
      </c>
      <c r="V719" s="556">
        <f t="shared" si="66"/>
        <v>11730278.52</v>
      </c>
      <c r="W719" s="556">
        <f t="shared" si="67"/>
        <v>17965132.789999999</v>
      </c>
      <c r="X719" s="556">
        <f t="shared" si="68"/>
        <v>17847239.140000001</v>
      </c>
      <c r="Y719" s="556">
        <f t="shared" si="69"/>
        <v>20577406.260000002</v>
      </c>
      <c r="Z719" s="556">
        <f t="shared" si="70"/>
        <v>22576062.57</v>
      </c>
      <c r="AA719" s="556">
        <f t="shared" si="71"/>
        <v>0.08</v>
      </c>
      <c r="AB719" s="556">
        <f t="shared" si="72"/>
        <v>0</v>
      </c>
      <c r="AC719" s="556">
        <f t="shared" si="73"/>
        <v>0</v>
      </c>
      <c r="AD719" s="556">
        <f t="shared" si="62"/>
        <v>0</v>
      </c>
      <c r="AE719" s="556">
        <f t="shared" si="75"/>
        <v>63940.44</v>
      </c>
      <c r="AF719" s="556">
        <f t="shared" si="75"/>
        <v>0</v>
      </c>
      <c r="AG719" s="556">
        <f t="shared" si="75"/>
        <v>0</v>
      </c>
    </row>
    <row r="720" spans="1:34" hidden="1" outlineLevel="1" x14ac:dyDescent="0.35">
      <c r="A720" t="b">
        <f t="shared" si="60"/>
        <v>1</v>
      </c>
      <c r="B720" s="27" t="s">
        <v>647</v>
      </c>
      <c r="C720" s="27" t="s">
        <v>51</v>
      </c>
      <c r="D720" s="27" t="s">
        <v>1587</v>
      </c>
      <c r="E720" s="27" t="s">
        <v>51</v>
      </c>
      <c r="F720" s="27" t="s">
        <v>381</v>
      </c>
      <c r="G720" s="27" t="s">
        <v>648</v>
      </c>
      <c r="H720" s="27" t="s">
        <v>54</v>
      </c>
      <c r="I720" s="27" t="s">
        <v>55</v>
      </c>
      <c r="J720" s="27" t="s">
        <v>383</v>
      </c>
      <c r="K720" s="27" t="s">
        <v>371</v>
      </c>
      <c r="L720" s="27" t="s">
        <v>371</v>
      </c>
      <c r="M720" s="27" t="s">
        <v>371</v>
      </c>
      <c r="N720" s="27" t="s">
        <v>371</v>
      </c>
      <c r="O720" s="27" t="s">
        <v>371</v>
      </c>
      <c r="P720" s="27" t="s">
        <v>371</v>
      </c>
      <c r="Q720" s="27" t="s">
        <v>372</v>
      </c>
      <c r="R720" s="556">
        <f t="shared" si="61"/>
        <v>0</v>
      </c>
      <c r="S720" s="556">
        <f t="shared" si="63"/>
        <v>0</v>
      </c>
      <c r="T720" s="556">
        <f t="shared" si="64"/>
        <v>0</v>
      </c>
      <c r="U720" s="556">
        <f t="shared" si="65"/>
        <v>0</v>
      </c>
      <c r="V720" s="556">
        <f t="shared" si="66"/>
        <v>0</v>
      </c>
      <c r="W720" s="556">
        <f t="shared" si="67"/>
        <v>0</v>
      </c>
      <c r="X720" s="556">
        <f t="shared" si="68"/>
        <v>0</v>
      </c>
      <c r="Y720" s="556">
        <f t="shared" si="69"/>
        <v>0</v>
      </c>
      <c r="Z720" s="556">
        <f t="shared" si="70"/>
        <v>0</v>
      </c>
      <c r="AA720" s="556">
        <f t="shared" si="71"/>
        <v>0</v>
      </c>
      <c r="AB720" s="556">
        <f t="shared" si="72"/>
        <v>0</v>
      </c>
      <c r="AC720" s="556">
        <f t="shared" si="73"/>
        <v>0</v>
      </c>
      <c r="AD720" s="556">
        <f t="shared" si="62"/>
        <v>0</v>
      </c>
      <c r="AE720" s="556">
        <f t="shared" si="75"/>
        <v>0</v>
      </c>
      <c r="AF720" s="556">
        <f t="shared" si="75"/>
        <v>0</v>
      </c>
      <c r="AG720" s="556">
        <f t="shared" si="75"/>
        <v>0</v>
      </c>
    </row>
    <row r="721" spans="1:34" hidden="1" outlineLevel="1" x14ac:dyDescent="0.35">
      <c r="A721" t="b">
        <f t="shared" si="60"/>
        <v>1</v>
      </c>
      <c r="B721" s="27" t="s">
        <v>1290</v>
      </c>
      <c r="C721" s="27" t="s">
        <v>51</v>
      </c>
      <c r="D721" s="27" t="s">
        <v>1869</v>
      </c>
      <c r="E721" s="27" t="s">
        <v>51</v>
      </c>
      <c r="F721" s="27" t="s">
        <v>90</v>
      </c>
      <c r="G721" s="27" t="s">
        <v>1588</v>
      </c>
      <c r="H721" s="27" t="s">
        <v>54</v>
      </c>
      <c r="I721" s="27" t="s">
        <v>55</v>
      </c>
      <c r="J721" s="27" t="s">
        <v>393</v>
      </c>
      <c r="K721" s="27" t="s">
        <v>371</v>
      </c>
      <c r="L721" s="27" t="s">
        <v>371</v>
      </c>
      <c r="M721" s="27" t="s">
        <v>371</v>
      </c>
      <c r="N721" s="27" t="s">
        <v>371</v>
      </c>
      <c r="O721" s="27" t="s">
        <v>371</v>
      </c>
      <c r="P721" s="27" t="s">
        <v>371</v>
      </c>
      <c r="Q721" s="27" t="s">
        <v>372</v>
      </c>
      <c r="R721" s="556">
        <f t="shared" si="61"/>
        <v>11722891.67</v>
      </c>
      <c r="S721" s="556">
        <f t="shared" si="63"/>
        <v>17544952.189999998</v>
      </c>
      <c r="T721" s="556">
        <f t="shared" si="64"/>
        <v>17565952.189999998</v>
      </c>
      <c r="U721" s="556">
        <f t="shared" si="65"/>
        <v>18776066.719999999</v>
      </c>
      <c r="V721" s="556">
        <f t="shared" si="66"/>
        <v>47817813.289999999</v>
      </c>
      <c r="W721" s="556">
        <f t="shared" si="67"/>
        <v>50133107.93</v>
      </c>
      <c r="X721" s="556">
        <f t="shared" si="68"/>
        <v>55694949.039999999</v>
      </c>
      <c r="Y721" s="556">
        <f t="shared" si="69"/>
        <v>60505800</v>
      </c>
      <c r="Z721" s="556">
        <f t="shared" si="70"/>
        <v>86976753.969999999</v>
      </c>
      <c r="AA721" s="556">
        <f t="shared" si="71"/>
        <v>99687474.279999986</v>
      </c>
      <c r="AB721" s="556">
        <f t="shared" si="72"/>
        <v>121152070.87000002</v>
      </c>
      <c r="AC721" s="556">
        <f t="shared" si="73"/>
        <v>73393477.310000002</v>
      </c>
      <c r="AD721" s="556">
        <f t="shared" si="62"/>
        <v>82751737.070000008</v>
      </c>
      <c r="AE721" s="556">
        <f t="shared" si="75"/>
        <v>97568909.959999993</v>
      </c>
      <c r="AF721" s="556">
        <f t="shared" si="75"/>
        <v>76100935.160000011</v>
      </c>
      <c r="AG721" s="556">
        <f t="shared" si="75"/>
        <v>34787588.990000002</v>
      </c>
    </row>
    <row r="722" spans="1:34" hidden="1" outlineLevel="1" x14ac:dyDescent="0.35">
      <c r="A722" t="b">
        <f t="shared" si="60"/>
        <v>1</v>
      </c>
      <c r="B722" s="27" t="s">
        <v>649</v>
      </c>
      <c r="C722" s="27" t="s">
        <v>51</v>
      </c>
      <c r="D722" s="27" t="s">
        <v>1589</v>
      </c>
      <c r="E722" s="27" t="s">
        <v>51</v>
      </c>
      <c r="F722" s="27" t="s">
        <v>381</v>
      </c>
      <c r="G722" s="27" t="s">
        <v>650</v>
      </c>
      <c r="H722" s="27" t="s">
        <v>54</v>
      </c>
      <c r="I722" s="27" t="s">
        <v>55</v>
      </c>
      <c r="J722" s="27" t="s">
        <v>383</v>
      </c>
      <c r="K722" s="27" t="s">
        <v>371</v>
      </c>
      <c r="L722" s="27" t="s">
        <v>371</v>
      </c>
      <c r="M722" s="27" t="s">
        <v>371</v>
      </c>
      <c r="N722" s="27" t="s">
        <v>371</v>
      </c>
      <c r="O722" s="27" t="s">
        <v>371</v>
      </c>
      <c r="P722" s="27" t="s">
        <v>371</v>
      </c>
      <c r="Q722" s="27" t="s">
        <v>372</v>
      </c>
      <c r="R722" s="556">
        <f t="shared" si="61"/>
        <v>5822060.5199999996</v>
      </c>
      <c r="S722" s="556">
        <f t="shared" si="63"/>
        <v>0</v>
      </c>
      <c r="T722" s="556">
        <f t="shared" si="64"/>
        <v>0</v>
      </c>
      <c r="U722" s="556">
        <f t="shared" si="65"/>
        <v>0</v>
      </c>
      <c r="V722" s="556">
        <f t="shared" si="66"/>
        <v>0</v>
      </c>
      <c r="W722" s="556">
        <f t="shared" si="67"/>
        <v>0</v>
      </c>
      <c r="X722" s="556">
        <f t="shared" si="68"/>
        <v>0</v>
      </c>
      <c r="Y722" s="556">
        <f t="shared" si="69"/>
        <v>0</v>
      </c>
      <c r="Z722" s="556">
        <f t="shared" si="70"/>
        <v>0</v>
      </c>
      <c r="AA722" s="556">
        <f t="shared" si="71"/>
        <v>0</v>
      </c>
      <c r="AB722" s="556">
        <f t="shared" si="72"/>
        <v>0</v>
      </c>
      <c r="AC722" s="556">
        <f t="shared" si="73"/>
        <v>0</v>
      </c>
      <c r="AD722" s="556">
        <f t="shared" si="62"/>
        <v>0</v>
      </c>
      <c r="AE722" s="556">
        <f t="shared" si="75"/>
        <v>0</v>
      </c>
      <c r="AF722" s="556">
        <f t="shared" si="75"/>
        <v>0</v>
      </c>
      <c r="AG722" s="556">
        <f t="shared" si="75"/>
        <v>0</v>
      </c>
    </row>
    <row r="723" spans="1:34" hidden="1" outlineLevel="1" x14ac:dyDescent="0.35">
      <c r="A723" t="b">
        <f t="shared" si="60"/>
        <v>1</v>
      </c>
      <c r="B723" s="27" t="s">
        <v>651</v>
      </c>
      <c r="C723" s="27" t="s">
        <v>51</v>
      </c>
      <c r="D723" s="27" t="s">
        <v>1590</v>
      </c>
      <c r="E723" s="27" t="s">
        <v>51</v>
      </c>
      <c r="F723" s="27" t="s">
        <v>109</v>
      </c>
      <c r="G723" s="27" t="s">
        <v>652</v>
      </c>
      <c r="H723" s="27" t="s">
        <v>54</v>
      </c>
      <c r="I723" s="27" t="s">
        <v>55</v>
      </c>
      <c r="J723" s="27" t="s">
        <v>101</v>
      </c>
      <c r="K723" s="27" t="s">
        <v>371</v>
      </c>
      <c r="L723" s="27" t="s">
        <v>371</v>
      </c>
      <c r="M723" s="27" t="s">
        <v>371</v>
      </c>
      <c r="N723" s="27" t="s">
        <v>371</v>
      </c>
      <c r="O723" s="27" t="s">
        <v>371</v>
      </c>
      <c r="P723" s="27" t="s">
        <v>371</v>
      </c>
      <c r="Q723" s="27" t="s">
        <v>372</v>
      </c>
      <c r="R723" s="556">
        <f t="shared" si="61"/>
        <v>178254.5</v>
      </c>
      <c r="S723" s="556">
        <f t="shared" si="63"/>
        <v>178254.5</v>
      </c>
      <c r="T723" s="556">
        <f t="shared" si="64"/>
        <v>282853.53999999998</v>
      </c>
      <c r="U723" s="556">
        <f t="shared" si="65"/>
        <v>104599.03999999998</v>
      </c>
      <c r="V723" s="556">
        <f t="shared" si="66"/>
        <v>104599.03999999999</v>
      </c>
      <c r="W723" s="556">
        <f t="shared" si="67"/>
        <v>104599.03999999999</v>
      </c>
      <c r="X723" s="556">
        <f t="shared" si="68"/>
        <v>0</v>
      </c>
      <c r="Y723" s="556">
        <f t="shared" si="69"/>
        <v>0</v>
      </c>
      <c r="Z723" s="556">
        <f t="shared" si="70"/>
        <v>154034.5</v>
      </c>
      <c r="AA723" s="556">
        <f t="shared" si="71"/>
        <v>154034.5</v>
      </c>
      <c r="AB723" s="556">
        <f t="shared" si="72"/>
        <v>0</v>
      </c>
      <c r="AC723" s="556">
        <f t="shared" si="73"/>
        <v>0</v>
      </c>
      <c r="AD723" s="556">
        <f t="shared" si="62"/>
        <v>0</v>
      </c>
      <c r="AE723" s="556">
        <f t="shared" si="75"/>
        <v>0</v>
      </c>
      <c r="AF723" s="556">
        <f t="shared" si="75"/>
        <v>0</v>
      </c>
      <c r="AG723" s="556">
        <f t="shared" si="75"/>
        <v>0</v>
      </c>
    </row>
    <row r="724" spans="1:34" hidden="1" outlineLevel="1" x14ac:dyDescent="0.35">
      <c r="A724" t="b">
        <f t="shared" si="60"/>
        <v>1</v>
      </c>
      <c r="B724" s="27" t="s">
        <v>653</v>
      </c>
      <c r="C724" s="27" t="s">
        <v>51</v>
      </c>
      <c r="D724" s="27" t="s">
        <v>1591</v>
      </c>
      <c r="E724" s="27" t="s">
        <v>51</v>
      </c>
      <c r="F724" s="27" t="s">
        <v>109</v>
      </c>
      <c r="G724" s="27" t="s">
        <v>654</v>
      </c>
      <c r="H724" s="27" t="s">
        <v>54</v>
      </c>
      <c r="I724" s="27" t="s">
        <v>55</v>
      </c>
      <c r="J724" s="27" t="s">
        <v>101</v>
      </c>
      <c r="K724" s="27" t="s">
        <v>371</v>
      </c>
      <c r="L724" s="27" t="s">
        <v>371</v>
      </c>
      <c r="M724" s="27" t="s">
        <v>371</v>
      </c>
      <c r="N724" s="27" t="s">
        <v>371</v>
      </c>
      <c r="O724" s="27" t="s">
        <v>371</v>
      </c>
      <c r="P724" s="27" t="s">
        <v>371</v>
      </c>
      <c r="Q724" s="27" t="s">
        <v>372</v>
      </c>
      <c r="R724" s="556">
        <f t="shared" si="61"/>
        <v>458192.27</v>
      </c>
      <c r="S724" s="556">
        <f t="shared" si="63"/>
        <v>665832.27</v>
      </c>
      <c r="T724" s="556">
        <f t="shared" si="64"/>
        <v>665832.27</v>
      </c>
      <c r="U724" s="556">
        <f t="shared" si="65"/>
        <v>873472.27</v>
      </c>
      <c r="V724" s="556">
        <f t="shared" si="66"/>
        <v>873472.27</v>
      </c>
      <c r="W724" s="556">
        <f t="shared" si="67"/>
        <v>1081112.27</v>
      </c>
      <c r="X724" s="556">
        <f t="shared" si="68"/>
        <v>42912.27</v>
      </c>
      <c r="Y724" s="556">
        <f t="shared" si="69"/>
        <v>0</v>
      </c>
      <c r="Z724" s="556">
        <f t="shared" si="70"/>
        <v>0</v>
      </c>
      <c r="AA724" s="556">
        <f t="shared" si="71"/>
        <v>0</v>
      </c>
      <c r="AB724" s="556">
        <f t="shared" si="72"/>
        <v>0</v>
      </c>
      <c r="AC724" s="556">
        <f t="shared" si="73"/>
        <v>0</v>
      </c>
      <c r="AD724" s="556">
        <f t="shared" si="62"/>
        <v>0</v>
      </c>
      <c r="AE724" s="556">
        <f t="shared" si="75"/>
        <v>0</v>
      </c>
      <c r="AF724" s="556">
        <f t="shared" si="75"/>
        <v>0</v>
      </c>
      <c r="AG724" s="556">
        <f t="shared" si="75"/>
        <v>0</v>
      </c>
    </row>
    <row r="725" spans="1:34" hidden="1" outlineLevel="1" x14ac:dyDescent="0.35">
      <c r="A725" t="b">
        <f t="shared" si="60"/>
        <v>1</v>
      </c>
      <c r="B725" s="27" t="s">
        <v>655</v>
      </c>
      <c r="C725" s="27" t="s">
        <v>51</v>
      </c>
      <c r="D725" s="27" t="s">
        <v>1592</v>
      </c>
      <c r="E725" s="27" t="s">
        <v>51</v>
      </c>
      <c r="F725" s="27" t="s">
        <v>385</v>
      </c>
      <c r="G725" s="27" t="s">
        <v>656</v>
      </c>
      <c r="H725" s="27" t="s">
        <v>54</v>
      </c>
      <c r="I725" s="27" t="s">
        <v>55</v>
      </c>
      <c r="J725" s="27" t="s">
        <v>393</v>
      </c>
      <c r="K725" s="27" t="s">
        <v>371</v>
      </c>
      <c r="L725" s="27" t="s">
        <v>371</v>
      </c>
      <c r="M725" s="27" t="s">
        <v>371</v>
      </c>
      <c r="N725" s="27" t="s">
        <v>371</v>
      </c>
      <c r="O725" s="27" t="s">
        <v>371</v>
      </c>
      <c r="P725" s="27" t="s">
        <v>371</v>
      </c>
      <c r="Q725" s="27" t="s">
        <v>372</v>
      </c>
      <c r="R725" s="556">
        <f t="shared" si="61"/>
        <v>3963581.89</v>
      </c>
      <c r="S725" s="556">
        <f t="shared" si="63"/>
        <v>3963581.89</v>
      </c>
      <c r="T725" s="556">
        <f t="shared" si="64"/>
        <v>3963581.89</v>
      </c>
      <c r="U725" s="556">
        <f t="shared" si="65"/>
        <v>3963581.89</v>
      </c>
      <c r="V725" s="556">
        <f t="shared" si="66"/>
        <v>3963581.89</v>
      </c>
      <c r="W725" s="556">
        <f t="shared" si="67"/>
        <v>3963581.89</v>
      </c>
      <c r="X725" s="556">
        <f t="shared" si="68"/>
        <v>3963581.89</v>
      </c>
      <c r="Y725" s="556">
        <f t="shared" si="69"/>
        <v>3963581.89</v>
      </c>
      <c r="Z725" s="556">
        <f t="shared" si="70"/>
        <v>3963581.89</v>
      </c>
      <c r="AA725" s="556">
        <f t="shared" si="71"/>
        <v>3963581.89</v>
      </c>
      <c r="AB725" s="556">
        <f t="shared" si="72"/>
        <v>3963581.89</v>
      </c>
      <c r="AC725" s="556">
        <f t="shared" si="73"/>
        <v>4099596.46</v>
      </c>
      <c r="AD725" s="556">
        <f t="shared" si="62"/>
        <v>4099596.46</v>
      </c>
      <c r="AE725" s="556">
        <f t="shared" si="75"/>
        <v>4099596.46</v>
      </c>
      <c r="AF725" s="556">
        <f t="shared" si="75"/>
        <v>4099596.46</v>
      </c>
      <c r="AG725" s="556">
        <f t="shared" si="75"/>
        <v>0</v>
      </c>
    </row>
    <row r="726" spans="1:34" hidden="1" outlineLevel="1" x14ac:dyDescent="0.35">
      <c r="A726" t="b">
        <f t="shared" si="60"/>
        <v>1</v>
      </c>
      <c r="B726" s="27" t="s">
        <v>657</v>
      </c>
      <c r="C726" s="27" t="s">
        <v>51</v>
      </c>
      <c r="D726" s="27" t="s">
        <v>1593</v>
      </c>
      <c r="E726" s="27" t="s">
        <v>51</v>
      </c>
      <c r="F726" s="27" t="s">
        <v>195</v>
      </c>
      <c r="G726" s="27" t="s">
        <v>658</v>
      </c>
      <c r="H726" s="27" t="s">
        <v>54</v>
      </c>
      <c r="I726" s="27" t="s">
        <v>142</v>
      </c>
      <c r="J726" s="27" t="s">
        <v>197</v>
      </c>
      <c r="K726" s="27" t="s">
        <v>371</v>
      </c>
      <c r="L726" s="27" t="s">
        <v>371</v>
      </c>
      <c r="M726" s="27" t="s">
        <v>371</v>
      </c>
      <c r="N726" s="27" t="s">
        <v>371</v>
      </c>
      <c r="O726" s="27" t="s">
        <v>371</v>
      </c>
      <c r="P726" s="27" t="s">
        <v>371</v>
      </c>
      <c r="Q726" s="27" t="s">
        <v>372</v>
      </c>
      <c r="R726" s="556">
        <f t="shared" si="61"/>
        <v>0</v>
      </c>
      <c r="S726" s="556">
        <f t="shared" si="63"/>
        <v>0</v>
      </c>
      <c r="T726" s="556">
        <f t="shared" si="64"/>
        <v>0</v>
      </c>
      <c r="U726" s="556">
        <f t="shared" si="65"/>
        <v>0</v>
      </c>
      <c r="V726" s="556">
        <f t="shared" si="66"/>
        <v>0</v>
      </c>
      <c r="W726" s="556">
        <f t="shared" si="67"/>
        <v>0</v>
      </c>
      <c r="X726" s="556">
        <f t="shared" si="68"/>
        <v>0</v>
      </c>
      <c r="Y726" s="556">
        <f t="shared" si="69"/>
        <v>0</v>
      </c>
      <c r="Z726" s="556">
        <f t="shared" si="70"/>
        <v>0</v>
      </c>
      <c r="AA726" s="556">
        <f t="shared" si="71"/>
        <v>0</v>
      </c>
      <c r="AB726" s="556">
        <f t="shared" si="72"/>
        <v>0</v>
      </c>
      <c r="AC726" s="556">
        <f t="shared" si="73"/>
        <v>0</v>
      </c>
      <c r="AD726" s="556">
        <f t="shared" si="62"/>
        <v>0</v>
      </c>
      <c r="AE726" s="556">
        <f t="shared" si="75"/>
        <v>0</v>
      </c>
      <c r="AF726" s="556">
        <f t="shared" si="75"/>
        <v>0</v>
      </c>
      <c r="AG726" s="556">
        <f t="shared" si="75"/>
        <v>0</v>
      </c>
    </row>
    <row r="727" spans="1:34" hidden="1" outlineLevel="1" x14ac:dyDescent="0.35">
      <c r="A727" t="b">
        <f t="shared" si="60"/>
        <v>1</v>
      </c>
      <c r="B727" s="27" t="s">
        <v>659</v>
      </c>
      <c r="C727" s="27" t="s">
        <v>51</v>
      </c>
      <c r="D727" s="27" t="s">
        <v>1594</v>
      </c>
      <c r="E727" s="27" t="s">
        <v>51</v>
      </c>
      <c r="F727" s="27" t="s">
        <v>106</v>
      </c>
      <c r="G727" s="27" t="s">
        <v>660</v>
      </c>
      <c r="H727" s="27" t="s">
        <v>54</v>
      </c>
      <c r="I727" s="27" t="s">
        <v>142</v>
      </c>
      <c r="J727" s="27" t="s">
        <v>180</v>
      </c>
      <c r="K727" s="27" t="s">
        <v>371</v>
      </c>
      <c r="L727" s="27" t="s">
        <v>371</v>
      </c>
      <c r="M727" s="27" t="s">
        <v>371</v>
      </c>
      <c r="N727" s="27" t="s">
        <v>371</v>
      </c>
      <c r="O727" s="27" t="s">
        <v>371</v>
      </c>
      <c r="P727" s="27" t="s">
        <v>371</v>
      </c>
      <c r="Q727" s="27" t="s">
        <v>372</v>
      </c>
      <c r="R727" s="556">
        <f t="shared" si="61"/>
        <v>0</v>
      </c>
      <c r="S727" s="556">
        <f t="shared" si="63"/>
        <v>0</v>
      </c>
      <c r="T727" s="556">
        <f t="shared" si="64"/>
        <v>0</v>
      </c>
      <c r="U727" s="556">
        <f t="shared" si="65"/>
        <v>0</v>
      </c>
      <c r="V727" s="556">
        <f t="shared" si="66"/>
        <v>0</v>
      </c>
      <c r="W727" s="556">
        <f t="shared" si="67"/>
        <v>0</v>
      </c>
      <c r="X727" s="556">
        <f t="shared" si="68"/>
        <v>0</v>
      </c>
      <c r="Y727" s="556">
        <f t="shared" si="69"/>
        <v>0</v>
      </c>
      <c r="Z727" s="556">
        <f t="shared" si="70"/>
        <v>0</v>
      </c>
      <c r="AA727" s="556">
        <f t="shared" si="71"/>
        <v>0</v>
      </c>
      <c r="AB727" s="556">
        <f t="shared" si="72"/>
        <v>0</v>
      </c>
      <c r="AC727" s="556">
        <f t="shared" si="73"/>
        <v>0</v>
      </c>
      <c r="AD727" s="556">
        <f t="shared" si="62"/>
        <v>0</v>
      </c>
      <c r="AE727" s="556">
        <f t="shared" si="75"/>
        <v>0</v>
      </c>
      <c r="AF727" s="556">
        <f t="shared" si="75"/>
        <v>0</v>
      </c>
      <c r="AG727" s="556">
        <f t="shared" si="75"/>
        <v>0</v>
      </c>
    </row>
    <row r="728" spans="1:34" hidden="1" outlineLevel="1" x14ac:dyDescent="0.35">
      <c r="A728" t="b">
        <f t="shared" si="60"/>
        <v>1</v>
      </c>
      <c r="B728" s="27" t="s">
        <v>662</v>
      </c>
      <c r="C728" s="27" t="s">
        <v>51</v>
      </c>
      <c r="D728" s="27" t="s">
        <v>1595</v>
      </c>
      <c r="E728" s="27" t="s">
        <v>51</v>
      </c>
      <c r="F728" s="27" t="s">
        <v>109</v>
      </c>
      <c r="G728" s="27" t="s">
        <v>663</v>
      </c>
      <c r="H728" s="27" t="s">
        <v>54</v>
      </c>
      <c r="I728" s="27" t="s">
        <v>55</v>
      </c>
      <c r="J728" s="27" t="s">
        <v>101</v>
      </c>
      <c r="K728" s="27" t="s">
        <v>371</v>
      </c>
      <c r="L728" s="27" t="s">
        <v>371</v>
      </c>
      <c r="M728" s="27" t="s">
        <v>371</v>
      </c>
      <c r="N728" s="27" t="s">
        <v>371</v>
      </c>
      <c r="O728" s="27" t="s">
        <v>371</v>
      </c>
      <c r="P728" s="27" t="s">
        <v>371</v>
      </c>
      <c r="Q728" s="27" t="s">
        <v>372</v>
      </c>
      <c r="R728" s="556">
        <f t="shared" si="61"/>
        <v>0</v>
      </c>
      <c r="S728" s="556">
        <f t="shared" si="63"/>
        <v>0</v>
      </c>
      <c r="T728" s="556">
        <f t="shared" si="64"/>
        <v>0</v>
      </c>
      <c r="U728" s="556">
        <f t="shared" si="65"/>
        <v>0</v>
      </c>
      <c r="V728" s="556">
        <f t="shared" si="66"/>
        <v>0</v>
      </c>
      <c r="W728" s="556">
        <f t="shared" si="67"/>
        <v>0</v>
      </c>
      <c r="X728" s="556">
        <f t="shared" si="68"/>
        <v>0</v>
      </c>
      <c r="Y728" s="556">
        <f t="shared" si="69"/>
        <v>0</v>
      </c>
      <c r="Z728" s="556">
        <f t="shared" si="70"/>
        <v>0</v>
      </c>
      <c r="AA728" s="556">
        <f t="shared" si="71"/>
        <v>0</v>
      </c>
      <c r="AB728" s="556">
        <f t="shared" si="72"/>
        <v>0</v>
      </c>
      <c r="AC728" s="556">
        <f t="shared" si="73"/>
        <v>0</v>
      </c>
      <c r="AD728" s="556">
        <f t="shared" si="62"/>
        <v>0</v>
      </c>
      <c r="AE728" s="556">
        <f t="shared" si="75"/>
        <v>0</v>
      </c>
      <c r="AF728" s="556">
        <f t="shared" si="75"/>
        <v>0</v>
      </c>
      <c r="AG728" s="556">
        <f t="shared" si="75"/>
        <v>0</v>
      </c>
    </row>
    <row r="729" spans="1:34" hidden="1" outlineLevel="1" x14ac:dyDescent="0.35">
      <c r="A729" t="b">
        <f t="shared" si="60"/>
        <v>1</v>
      </c>
      <c r="B729" s="27" t="s">
        <v>664</v>
      </c>
      <c r="C729" s="27" t="s">
        <v>51</v>
      </c>
      <c r="D729" s="27" t="s">
        <v>1596</v>
      </c>
      <c r="E729" s="27" t="s">
        <v>51</v>
      </c>
      <c r="F729" s="27" t="s">
        <v>474</v>
      </c>
      <c r="G729" s="27" t="s">
        <v>665</v>
      </c>
      <c r="H729" s="27" t="s">
        <v>447</v>
      </c>
      <c r="I729" s="27" t="s">
        <v>440</v>
      </c>
      <c r="J729" s="27" t="s">
        <v>448</v>
      </c>
      <c r="K729" s="27" t="s">
        <v>491</v>
      </c>
      <c r="L729" s="27" t="s">
        <v>495</v>
      </c>
      <c r="M729" s="27" t="s">
        <v>495</v>
      </c>
      <c r="N729" s="27" t="s">
        <v>495</v>
      </c>
      <c r="O729" s="27" t="s">
        <v>491</v>
      </c>
      <c r="P729" s="27" t="s">
        <v>491</v>
      </c>
      <c r="Q729" s="27" t="s">
        <v>372</v>
      </c>
      <c r="R729" s="556">
        <f t="shared" si="61"/>
        <v>158249.72</v>
      </c>
      <c r="S729" s="556">
        <f t="shared" si="63"/>
        <v>0</v>
      </c>
      <c r="T729" s="556">
        <f t="shared" si="64"/>
        <v>-158249.72</v>
      </c>
      <c r="U729" s="556">
        <f t="shared" si="65"/>
        <v>0</v>
      </c>
      <c r="V729" s="556">
        <f t="shared" si="66"/>
        <v>0</v>
      </c>
      <c r="W729" s="556">
        <f t="shared" si="67"/>
        <v>0</v>
      </c>
      <c r="X729" s="556">
        <f t="shared" si="68"/>
        <v>0</v>
      </c>
      <c r="Y729" s="556">
        <f t="shared" si="69"/>
        <v>0</v>
      </c>
      <c r="Z729" s="556">
        <f t="shared" si="70"/>
        <v>0</v>
      </c>
      <c r="AA729" s="556">
        <f t="shared" si="71"/>
        <v>0</v>
      </c>
      <c r="AB729" s="556">
        <f t="shared" si="72"/>
        <v>0</v>
      </c>
      <c r="AC729" s="556">
        <f t="shared" si="73"/>
        <v>0</v>
      </c>
      <c r="AD729" s="556">
        <f t="shared" si="62"/>
        <v>0</v>
      </c>
      <c r="AE729" s="556">
        <f t="shared" si="75"/>
        <v>0</v>
      </c>
      <c r="AF729" s="556">
        <f t="shared" si="75"/>
        <v>0</v>
      </c>
      <c r="AG729" s="556">
        <f t="shared" si="75"/>
        <v>0</v>
      </c>
      <c r="AH729" s="44"/>
    </row>
    <row r="730" spans="1:34" hidden="1" outlineLevel="1" x14ac:dyDescent="0.35">
      <c r="A730" t="b">
        <f t="shared" si="60"/>
        <v>1</v>
      </c>
      <c r="B730" s="27" t="s">
        <v>666</v>
      </c>
      <c r="C730" s="27" t="s">
        <v>51</v>
      </c>
      <c r="D730" s="27" t="s">
        <v>1597</v>
      </c>
      <c r="E730" s="27" t="s">
        <v>51</v>
      </c>
      <c r="F730" s="27" t="s">
        <v>501</v>
      </c>
      <c r="G730" s="27" t="s">
        <v>667</v>
      </c>
      <c r="H730" s="27" t="s">
        <v>447</v>
      </c>
      <c r="I730" s="27" t="s">
        <v>440</v>
      </c>
      <c r="J730" s="27" t="s">
        <v>448</v>
      </c>
      <c r="K730" s="27" t="s">
        <v>491</v>
      </c>
      <c r="L730" s="27" t="s">
        <v>495</v>
      </c>
      <c r="M730" s="27" t="s">
        <v>495</v>
      </c>
      <c r="N730" s="27" t="s">
        <v>495</v>
      </c>
      <c r="O730" s="27" t="s">
        <v>491</v>
      </c>
      <c r="P730" s="27" t="s">
        <v>491</v>
      </c>
      <c r="Q730" s="27" t="s">
        <v>372</v>
      </c>
      <c r="R730" s="556">
        <f t="shared" si="61"/>
        <v>0</v>
      </c>
      <c r="S730" s="556">
        <f t="shared" si="63"/>
        <v>0</v>
      </c>
      <c r="T730" s="556">
        <f t="shared" si="64"/>
        <v>0</v>
      </c>
      <c r="U730" s="556">
        <f t="shared" si="65"/>
        <v>0</v>
      </c>
      <c r="V730" s="556">
        <f t="shared" si="66"/>
        <v>0</v>
      </c>
      <c r="W730" s="556">
        <f t="shared" si="67"/>
        <v>0</v>
      </c>
      <c r="X730" s="556">
        <f t="shared" si="68"/>
        <v>0</v>
      </c>
      <c r="Y730" s="556">
        <f t="shared" si="69"/>
        <v>0</v>
      </c>
      <c r="Z730" s="556">
        <f t="shared" si="70"/>
        <v>0</v>
      </c>
      <c r="AA730" s="556">
        <f t="shared" si="71"/>
        <v>0</v>
      </c>
      <c r="AB730" s="556">
        <f t="shared" si="72"/>
        <v>0</v>
      </c>
      <c r="AC730" s="556">
        <f t="shared" si="73"/>
        <v>0</v>
      </c>
      <c r="AD730" s="556">
        <f t="shared" si="62"/>
        <v>0</v>
      </c>
      <c r="AE730" s="556">
        <f t="shared" si="75"/>
        <v>0</v>
      </c>
      <c r="AF730" s="556">
        <f t="shared" si="75"/>
        <v>0</v>
      </c>
      <c r="AG730" s="556">
        <f t="shared" si="75"/>
        <v>0</v>
      </c>
      <c r="AH730" s="44"/>
    </row>
    <row r="731" spans="1:34" hidden="1" outlineLevel="1" x14ac:dyDescent="0.35">
      <c r="A731" t="b">
        <f t="shared" si="60"/>
        <v>1</v>
      </c>
      <c r="B731" s="27" t="s">
        <v>1291</v>
      </c>
      <c r="C731" s="27" t="s">
        <v>51</v>
      </c>
      <c r="D731" s="27" t="s">
        <v>1870</v>
      </c>
      <c r="E731" s="27" t="s">
        <v>51</v>
      </c>
      <c r="F731" s="27" t="s">
        <v>501</v>
      </c>
      <c r="G731" s="27" t="s">
        <v>1598</v>
      </c>
      <c r="H731" s="27" t="s">
        <v>447</v>
      </c>
      <c r="I731" s="27" t="s">
        <v>440</v>
      </c>
      <c r="J731" s="27" t="s">
        <v>448</v>
      </c>
      <c r="K731" s="27" t="s">
        <v>476</v>
      </c>
      <c r="L731" s="27" t="s">
        <v>503</v>
      </c>
      <c r="M731" s="27" t="s">
        <v>503</v>
      </c>
      <c r="N731" s="27" t="s">
        <v>503</v>
      </c>
      <c r="O731" s="27" t="s">
        <v>480</v>
      </c>
      <c r="P731" s="27" t="s">
        <v>480</v>
      </c>
      <c r="Q731" s="27" t="s">
        <v>372</v>
      </c>
      <c r="R731" s="556">
        <f t="shared" si="61"/>
        <v>15966.66</v>
      </c>
      <c r="S731" s="556">
        <f t="shared" si="63"/>
        <v>0</v>
      </c>
      <c r="T731" s="556">
        <f t="shared" si="64"/>
        <v>0</v>
      </c>
      <c r="U731" s="556">
        <f t="shared" si="65"/>
        <v>47899.979999999996</v>
      </c>
      <c r="V731" s="556">
        <f t="shared" si="66"/>
        <v>15966.660000000003</v>
      </c>
      <c r="W731" s="556">
        <f t="shared" si="67"/>
        <v>15966.660000000003</v>
      </c>
      <c r="X731" s="556">
        <f t="shared" si="68"/>
        <v>15966.659999999989</v>
      </c>
      <c r="Y731" s="556">
        <f t="shared" si="69"/>
        <v>15966.660000000003</v>
      </c>
      <c r="Z731" s="556">
        <f t="shared" si="70"/>
        <v>15966.660000000003</v>
      </c>
      <c r="AA731" s="556">
        <f t="shared" si="71"/>
        <v>84300</v>
      </c>
      <c r="AB731" s="556">
        <f t="shared" si="72"/>
        <v>84300</v>
      </c>
      <c r="AC731" s="556">
        <f t="shared" si="73"/>
        <v>318724.51999999996</v>
      </c>
      <c r="AD731" s="556">
        <f t="shared" si="62"/>
        <v>41289</v>
      </c>
      <c r="AE731" s="556">
        <f t="shared" ref="AE731:AG750" si="76">+IF(AE$10="Actuals",IF($O253="Revenue",-IF($H253="BS",AE253,IF($H253="P&amp;L",AE253-AD253,0)),IF($H253="BS",AE253,IF($H253="P&amp;L",AE253-AD253,0))),0)</f>
        <v>41289</v>
      </c>
      <c r="AF731" s="556">
        <f t="shared" si="76"/>
        <v>41289</v>
      </c>
      <c r="AG731" s="556">
        <f t="shared" si="76"/>
        <v>43207</v>
      </c>
      <c r="AH731" s="44"/>
    </row>
    <row r="732" spans="1:34" hidden="1" outlineLevel="1" x14ac:dyDescent="0.35">
      <c r="A732" t="b">
        <f t="shared" si="60"/>
        <v>1</v>
      </c>
      <c r="B732" s="27" t="s">
        <v>669</v>
      </c>
      <c r="C732" s="27" t="s">
        <v>51</v>
      </c>
      <c r="D732" s="27" t="s">
        <v>1599</v>
      </c>
      <c r="E732" s="27" t="s">
        <v>51</v>
      </c>
      <c r="F732" s="27" t="s">
        <v>63</v>
      </c>
      <c r="G732" s="27" t="s">
        <v>670</v>
      </c>
      <c r="H732" s="27" t="s">
        <v>54</v>
      </c>
      <c r="I732" s="27" t="s">
        <v>55</v>
      </c>
      <c r="J732" s="27" t="s">
        <v>89</v>
      </c>
      <c r="K732" s="27" t="s">
        <v>371</v>
      </c>
      <c r="L732" s="27" t="s">
        <v>371</v>
      </c>
      <c r="M732" s="27" t="s">
        <v>371</v>
      </c>
      <c r="N732" s="27" t="s">
        <v>371</v>
      </c>
      <c r="O732" s="27" t="s">
        <v>371</v>
      </c>
      <c r="P732" s="27" t="s">
        <v>371</v>
      </c>
      <c r="Q732" s="27" t="s">
        <v>372</v>
      </c>
      <c r="R732" s="556">
        <f t="shared" si="61"/>
        <v>43934.99</v>
      </c>
      <c r="S732" s="556">
        <f t="shared" si="63"/>
        <v>43934.99</v>
      </c>
      <c r="T732" s="556">
        <f t="shared" si="64"/>
        <v>0</v>
      </c>
      <c r="U732" s="556">
        <f t="shared" si="65"/>
        <v>0</v>
      </c>
      <c r="V732" s="556">
        <f t="shared" si="66"/>
        <v>0</v>
      </c>
      <c r="W732" s="556">
        <f t="shared" si="67"/>
        <v>0</v>
      </c>
      <c r="X732" s="556">
        <f t="shared" si="68"/>
        <v>0</v>
      </c>
      <c r="Y732" s="556">
        <f t="shared" si="69"/>
        <v>0</v>
      </c>
      <c r="Z732" s="556">
        <f t="shared" si="70"/>
        <v>0</v>
      </c>
      <c r="AA732" s="556">
        <f t="shared" si="71"/>
        <v>0</v>
      </c>
      <c r="AB732" s="556">
        <f t="shared" si="72"/>
        <v>0</v>
      </c>
      <c r="AC732" s="556">
        <f t="shared" si="73"/>
        <v>0</v>
      </c>
      <c r="AD732" s="556">
        <f t="shared" si="62"/>
        <v>0</v>
      </c>
      <c r="AE732" s="556">
        <f t="shared" si="76"/>
        <v>0</v>
      </c>
      <c r="AF732" s="556">
        <f t="shared" si="76"/>
        <v>0</v>
      </c>
      <c r="AG732" s="556">
        <f t="shared" si="76"/>
        <v>0</v>
      </c>
    </row>
    <row r="733" spans="1:34" hidden="1" outlineLevel="1" x14ac:dyDescent="0.35">
      <c r="A733" t="b">
        <f t="shared" si="60"/>
        <v>1</v>
      </c>
      <c r="B733" s="27" t="s">
        <v>671</v>
      </c>
      <c r="C733" s="27" t="s">
        <v>51</v>
      </c>
      <c r="D733" s="27" t="s">
        <v>1600</v>
      </c>
      <c r="E733" s="27" t="s">
        <v>51</v>
      </c>
      <c r="F733" s="27" t="s">
        <v>445</v>
      </c>
      <c r="G733" s="27" t="s">
        <v>672</v>
      </c>
      <c r="H733" s="27" t="s">
        <v>447</v>
      </c>
      <c r="I733" s="27" t="s">
        <v>440</v>
      </c>
      <c r="J733" s="27" t="s">
        <v>448</v>
      </c>
      <c r="K733" s="27" t="s">
        <v>449</v>
      </c>
      <c r="L733" s="27" t="s">
        <v>458</v>
      </c>
      <c r="M733" s="27" t="s">
        <v>502</v>
      </c>
      <c r="N733" s="27" t="s">
        <v>458</v>
      </c>
      <c r="O733" s="27" t="s">
        <v>449</v>
      </c>
      <c r="P733" s="27" t="s">
        <v>449</v>
      </c>
      <c r="Q733" s="27" t="s">
        <v>372</v>
      </c>
      <c r="R733" s="556">
        <f t="shared" si="61"/>
        <v>0</v>
      </c>
      <c r="S733" s="556">
        <f t="shared" si="63"/>
        <v>0</v>
      </c>
      <c r="T733" s="556">
        <f t="shared" si="64"/>
        <v>0</v>
      </c>
      <c r="U733" s="556">
        <f t="shared" si="65"/>
        <v>0</v>
      </c>
      <c r="V733" s="556">
        <f t="shared" si="66"/>
        <v>0</v>
      </c>
      <c r="W733" s="556">
        <f t="shared" si="67"/>
        <v>0</v>
      </c>
      <c r="X733" s="556">
        <f t="shared" si="68"/>
        <v>0</v>
      </c>
      <c r="Y733" s="556">
        <f t="shared" si="69"/>
        <v>0</v>
      </c>
      <c r="Z733" s="556">
        <f t="shared" si="70"/>
        <v>0</v>
      </c>
      <c r="AA733" s="556">
        <f t="shared" si="71"/>
        <v>0</v>
      </c>
      <c r="AB733" s="556">
        <f t="shared" si="72"/>
        <v>0</v>
      </c>
      <c r="AC733" s="556">
        <f t="shared" si="73"/>
        <v>0</v>
      </c>
      <c r="AD733" s="556">
        <f t="shared" si="62"/>
        <v>0</v>
      </c>
      <c r="AE733" s="556">
        <f t="shared" si="76"/>
        <v>0</v>
      </c>
      <c r="AF733" s="556">
        <f t="shared" si="76"/>
        <v>0</v>
      </c>
      <c r="AG733" s="556">
        <f t="shared" si="76"/>
        <v>0</v>
      </c>
      <c r="AH733" s="44"/>
    </row>
    <row r="734" spans="1:34" hidden="1" outlineLevel="1" x14ac:dyDescent="0.35">
      <c r="A734" t="b">
        <f t="shared" si="60"/>
        <v>1</v>
      </c>
      <c r="B734" s="27" t="s">
        <v>673</v>
      </c>
      <c r="C734" s="27" t="s">
        <v>51</v>
      </c>
      <c r="D734" s="27" t="s">
        <v>1601</v>
      </c>
      <c r="E734" s="27" t="s">
        <v>51</v>
      </c>
      <c r="F734" s="27" t="s">
        <v>369</v>
      </c>
      <c r="G734" s="27" t="s">
        <v>674</v>
      </c>
      <c r="H734" s="27" t="s">
        <v>54</v>
      </c>
      <c r="I734" s="27" t="s">
        <v>55</v>
      </c>
      <c r="J734" s="27" t="s">
        <v>370</v>
      </c>
      <c r="K734" s="27" t="s">
        <v>371</v>
      </c>
      <c r="L734" s="27" t="s">
        <v>371</v>
      </c>
      <c r="M734" s="27" t="s">
        <v>371</v>
      </c>
      <c r="N734" s="27" t="s">
        <v>371</v>
      </c>
      <c r="O734" s="27" t="s">
        <v>371</v>
      </c>
      <c r="P734" s="27" t="s">
        <v>371</v>
      </c>
      <c r="Q734" s="27" t="s">
        <v>372</v>
      </c>
      <c r="R734" s="556">
        <f t="shared" si="61"/>
        <v>0</v>
      </c>
      <c r="S734" s="556">
        <f t="shared" si="63"/>
        <v>0</v>
      </c>
      <c r="T734" s="556">
        <f t="shared" si="64"/>
        <v>299588.14999999991</v>
      </c>
      <c r="U734" s="556">
        <f t="shared" si="65"/>
        <v>180058.44000000041</v>
      </c>
      <c r="V734" s="556">
        <f t="shared" si="66"/>
        <v>170041.03000000026</v>
      </c>
      <c r="W734" s="556">
        <f t="shared" si="67"/>
        <v>96900000</v>
      </c>
      <c r="X734" s="556">
        <f t="shared" si="68"/>
        <v>0</v>
      </c>
      <c r="Y734" s="556">
        <f t="shared" si="69"/>
        <v>0</v>
      </c>
      <c r="Z734" s="556">
        <f t="shared" si="70"/>
        <v>0</v>
      </c>
      <c r="AA734" s="556">
        <f t="shared" si="71"/>
        <v>0</v>
      </c>
      <c r="AB734" s="556">
        <f t="shared" si="72"/>
        <v>0</v>
      </c>
      <c r="AC734" s="556">
        <f t="shared" si="73"/>
        <v>360000</v>
      </c>
      <c r="AD734" s="556">
        <f t="shared" si="62"/>
        <v>0</v>
      </c>
      <c r="AE734" s="556">
        <f t="shared" si="76"/>
        <v>0</v>
      </c>
      <c r="AF734" s="556">
        <f t="shared" si="76"/>
        <v>0</v>
      </c>
      <c r="AG734" s="556">
        <f t="shared" si="76"/>
        <v>0</v>
      </c>
    </row>
    <row r="735" spans="1:34" hidden="1" outlineLevel="1" x14ac:dyDescent="0.35">
      <c r="A735" t="b">
        <f t="shared" si="60"/>
        <v>1</v>
      </c>
      <c r="B735" s="27" t="s">
        <v>675</v>
      </c>
      <c r="C735" s="27" t="s">
        <v>51</v>
      </c>
      <c r="D735" s="27" t="s">
        <v>1602</v>
      </c>
      <c r="E735" s="27" t="s">
        <v>51</v>
      </c>
      <c r="F735" s="27" t="s">
        <v>369</v>
      </c>
      <c r="G735" s="27" t="s">
        <v>676</v>
      </c>
      <c r="H735" s="27" t="s">
        <v>54</v>
      </c>
      <c r="I735" s="27" t="s">
        <v>55</v>
      </c>
      <c r="J735" s="27" t="s">
        <v>370</v>
      </c>
      <c r="K735" s="27" t="s">
        <v>371</v>
      </c>
      <c r="L735" s="27" t="s">
        <v>371</v>
      </c>
      <c r="M735" s="27" t="s">
        <v>371</v>
      </c>
      <c r="N735" s="27" t="s">
        <v>371</v>
      </c>
      <c r="O735" s="27" t="s">
        <v>371</v>
      </c>
      <c r="P735" s="27" t="s">
        <v>371</v>
      </c>
      <c r="Q735" s="27" t="s">
        <v>372</v>
      </c>
      <c r="R735" s="556">
        <f t="shared" si="61"/>
        <v>1030</v>
      </c>
      <c r="S735" s="556">
        <f t="shared" si="63"/>
        <v>1027.68</v>
      </c>
      <c r="T735" s="556">
        <f t="shared" si="64"/>
        <v>1027.68</v>
      </c>
      <c r="U735" s="556">
        <f t="shared" si="65"/>
        <v>0</v>
      </c>
      <c r="V735" s="556">
        <f t="shared" si="66"/>
        <v>0</v>
      </c>
      <c r="W735" s="556">
        <f t="shared" si="67"/>
        <v>0</v>
      </c>
      <c r="X735" s="556">
        <f t="shared" si="68"/>
        <v>0</v>
      </c>
      <c r="Y735" s="556">
        <f t="shared" si="69"/>
        <v>100</v>
      </c>
      <c r="Z735" s="556">
        <f t="shared" si="70"/>
        <v>100</v>
      </c>
      <c r="AA735" s="556">
        <f t="shared" si="71"/>
        <v>100</v>
      </c>
      <c r="AB735" s="556">
        <f t="shared" si="72"/>
        <v>100</v>
      </c>
      <c r="AC735" s="556">
        <f t="shared" si="73"/>
        <v>4103.8500000000004</v>
      </c>
      <c r="AD735" s="556">
        <f t="shared" si="62"/>
        <v>0</v>
      </c>
      <c r="AE735" s="556">
        <f t="shared" si="76"/>
        <v>0</v>
      </c>
      <c r="AF735" s="556">
        <f t="shared" si="76"/>
        <v>0</v>
      </c>
      <c r="AG735" s="556">
        <f t="shared" si="76"/>
        <v>0</v>
      </c>
    </row>
    <row r="736" spans="1:34" hidden="1" outlineLevel="1" x14ac:dyDescent="0.35">
      <c r="A736" t="b">
        <f t="shared" si="60"/>
        <v>1</v>
      </c>
      <c r="B736" s="27" t="s">
        <v>677</v>
      </c>
      <c r="C736" s="27" t="s">
        <v>51</v>
      </c>
      <c r="D736" s="27" t="s">
        <v>1603</v>
      </c>
      <c r="E736" s="27" t="s">
        <v>51</v>
      </c>
      <c r="F736" s="27" t="s">
        <v>369</v>
      </c>
      <c r="G736" s="27" t="s">
        <v>678</v>
      </c>
      <c r="H736" s="27" t="s">
        <v>54</v>
      </c>
      <c r="I736" s="27" t="s">
        <v>55</v>
      </c>
      <c r="J736" s="27" t="s">
        <v>370</v>
      </c>
      <c r="K736" s="27" t="s">
        <v>371</v>
      </c>
      <c r="L736" s="27" t="s">
        <v>371</v>
      </c>
      <c r="M736" s="27" t="s">
        <v>371</v>
      </c>
      <c r="N736" s="27" t="s">
        <v>371</v>
      </c>
      <c r="O736" s="27" t="s">
        <v>371</v>
      </c>
      <c r="P736" s="27" t="s">
        <v>371</v>
      </c>
      <c r="Q736" s="27" t="s">
        <v>372</v>
      </c>
      <c r="R736" s="556">
        <f t="shared" si="61"/>
        <v>20154.73</v>
      </c>
      <c r="S736" s="556">
        <f t="shared" si="63"/>
        <v>19965.46</v>
      </c>
      <c r="T736" s="556">
        <f t="shared" si="64"/>
        <v>19852.93</v>
      </c>
      <c r="U736" s="556">
        <f t="shared" si="65"/>
        <v>0</v>
      </c>
      <c r="V736" s="556">
        <f t="shared" si="66"/>
        <v>0</v>
      </c>
      <c r="W736" s="556">
        <f t="shared" si="67"/>
        <v>0</v>
      </c>
      <c r="X736" s="556">
        <f t="shared" si="68"/>
        <v>0</v>
      </c>
      <c r="Y736" s="556">
        <f t="shared" si="69"/>
        <v>1765.22</v>
      </c>
      <c r="Z736" s="556">
        <f t="shared" si="70"/>
        <v>1738.25</v>
      </c>
      <c r="AA736" s="556">
        <f t="shared" si="71"/>
        <v>1740.72</v>
      </c>
      <c r="AB736" s="556">
        <f t="shared" si="72"/>
        <v>1734.67</v>
      </c>
      <c r="AC736" s="556">
        <f t="shared" si="73"/>
        <v>71556.5</v>
      </c>
      <c r="AD736" s="556">
        <f t="shared" si="62"/>
        <v>0</v>
      </c>
      <c r="AE736" s="556">
        <f t="shared" si="76"/>
        <v>0</v>
      </c>
      <c r="AF736" s="556">
        <f t="shared" si="76"/>
        <v>0</v>
      </c>
      <c r="AG736" s="556">
        <f t="shared" si="76"/>
        <v>0</v>
      </c>
    </row>
    <row r="737" spans="1:36" hidden="1" outlineLevel="1" x14ac:dyDescent="0.35">
      <c r="A737" t="b">
        <f t="shared" si="60"/>
        <v>1</v>
      </c>
      <c r="B737" s="27" t="s">
        <v>679</v>
      </c>
      <c r="C737" s="27" t="s">
        <v>51</v>
      </c>
      <c r="D737" s="27" t="s">
        <v>1604</v>
      </c>
      <c r="E737" s="27" t="s">
        <v>51</v>
      </c>
      <c r="F737" s="27" t="s">
        <v>377</v>
      </c>
      <c r="G737" s="27" t="s">
        <v>680</v>
      </c>
      <c r="H737" s="27" t="s">
        <v>54</v>
      </c>
      <c r="I737" s="27" t="s">
        <v>55</v>
      </c>
      <c r="J737" s="27" t="s">
        <v>56</v>
      </c>
      <c r="K737" s="27" t="s">
        <v>371</v>
      </c>
      <c r="L737" s="27" t="s">
        <v>371</v>
      </c>
      <c r="M737" s="27" t="s">
        <v>371</v>
      </c>
      <c r="N737" s="27" t="s">
        <v>371</v>
      </c>
      <c r="O737" s="27" t="s">
        <v>371</v>
      </c>
      <c r="P737" s="27" t="s">
        <v>371</v>
      </c>
      <c r="Q737" s="27" t="s">
        <v>372</v>
      </c>
      <c r="R737" s="556">
        <f t="shared" si="61"/>
        <v>25885.96</v>
      </c>
      <c r="S737" s="556">
        <f t="shared" si="63"/>
        <v>30954.59</v>
      </c>
      <c r="T737" s="556">
        <f t="shared" si="64"/>
        <v>30954.59</v>
      </c>
      <c r="U737" s="556">
        <f t="shared" si="65"/>
        <v>25885.96</v>
      </c>
      <c r="V737" s="556">
        <f t="shared" si="66"/>
        <v>25885.96</v>
      </c>
      <c r="W737" s="556">
        <f t="shared" si="67"/>
        <v>6461.7199999999975</v>
      </c>
      <c r="X737" s="556">
        <f t="shared" si="68"/>
        <v>12942.98</v>
      </c>
      <c r="Y737" s="556">
        <f t="shared" si="69"/>
        <v>0</v>
      </c>
      <c r="Z737" s="556">
        <f t="shared" si="70"/>
        <v>0</v>
      </c>
      <c r="AA737" s="556">
        <f t="shared" si="71"/>
        <v>0</v>
      </c>
      <c r="AB737" s="556">
        <f t="shared" si="72"/>
        <v>0</v>
      </c>
      <c r="AC737" s="556">
        <f t="shared" si="73"/>
        <v>0</v>
      </c>
      <c r="AD737" s="556">
        <f t="shared" si="62"/>
        <v>0</v>
      </c>
      <c r="AE737" s="556">
        <f t="shared" si="76"/>
        <v>0</v>
      </c>
      <c r="AF737" s="556">
        <f t="shared" si="76"/>
        <v>0</v>
      </c>
      <c r="AG737" s="556">
        <f t="shared" si="76"/>
        <v>0</v>
      </c>
    </row>
    <row r="738" spans="1:36" hidden="1" outlineLevel="1" x14ac:dyDescent="0.35">
      <c r="A738" t="b">
        <f t="shared" si="60"/>
        <v>1</v>
      </c>
      <c r="B738" s="27" t="s">
        <v>681</v>
      </c>
      <c r="C738" s="27" t="s">
        <v>51</v>
      </c>
      <c r="D738" s="27" t="s">
        <v>1605</v>
      </c>
      <c r="E738" s="27" t="s">
        <v>51</v>
      </c>
      <c r="F738" s="27" t="s">
        <v>385</v>
      </c>
      <c r="G738" s="27" t="s">
        <v>682</v>
      </c>
      <c r="H738" s="27" t="s">
        <v>54</v>
      </c>
      <c r="I738" s="27" t="s">
        <v>55</v>
      </c>
      <c r="J738" s="27" t="s">
        <v>393</v>
      </c>
      <c r="K738" s="27" t="s">
        <v>371</v>
      </c>
      <c r="L738" s="27" t="s">
        <v>371</v>
      </c>
      <c r="M738" s="27" t="s">
        <v>371</v>
      </c>
      <c r="N738" s="27" t="s">
        <v>371</v>
      </c>
      <c r="O738" s="27" t="s">
        <v>371</v>
      </c>
      <c r="P738" s="27" t="s">
        <v>371</v>
      </c>
      <c r="Q738" s="27" t="s">
        <v>372</v>
      </c>
      <c r="R738" s="556">
        <f t="shared" si="61"/>
        <v>76128</v>
      </c>
      <c r="S738" s="556">
        <f t="shared" si="63"/>
        <v>76128</v>
      </c>
      <c r="T738" s="556">
        <f t="shared" si="64"/>
        <v>76128</v>
      </c>
      <c r="U738" s="556">
        <f t="shared" si="65"/>
        <v>76128</v>
      </c>
      <c r="V738" s="556">
        <f t="shared" si="66"/>
        <v>76128</v>
      </c>
      <c r="W738" s="556">
        <f t="shared" si="67"/>
        <v>76128</v>
      </c>
      <c r="X738" s="556">
        <f t="shared" si="68"/>
        <v>76128</v>
      </c>
      <c r="Y738" s="556">
        <f t="shared" si="69"/>
        <v>101336</v>
      </c>
      <c r="Z738" s="556">
        <f t="shared" si="70"/>
        <v>101336</v>
      </c>
      <c r="AA738" s="556">
        <f t="shared" si="71"/>
        <v>350505.08</v>
      </c>
      <c r="AB738" s="556">
        <f t="shared" si="72"/>
        <v>0</v>
      </c>
      <c r="AC738" s="556">
        <f t="shared" si="73"/>
        <v>0</v>
      </c>
      <c r="AD738" s="556">
        <f t="shared" si="62"/>
        <v>0</v>
      </c>
      <c r="AE738" s="556">
        <f t="shared" si="76"/>
        <v>0</v>
      </c>
      <c r="AF738" s="556">
        <f t="shared" si="76"/>
        <v>0</v>
      </c>
      <c r="AG738" s="556">
        <f t="shared" si="76"/>
        <v>0</v>
      </c>
    </row>
    <row r="739" spans="1:36" hidden="1" outlineLevel="1" x14ac:dyDescent="0.35">
      <c r="A739" t="b">
        <f t="shared" si="60"/>
        <v>1</v>
      </c>
      <c r="B739" s="27" t="s">
        <v>683</v>
      </c>
      <c r="C739" s="27" t="s">
        <v>51</v>
      </c>
      <c r="D739" s="27" t="s">
        <v>1606</v>
      </c>
      <c r="E739" s="27" t="s">
        <v>51</v>
      </c>
      <c r="F739" s="27" t="s">
        <v>109</v>
      </c>
      <c r="G739" s="27" t="s">
        <v>684</v>
      </c>
      <c r="H739" s="27" t="s">
        <v>54</v>
      </c>
      <c r="I739" s="27" t="s">
        <v>55</v>
      </c>
      <c r="J739" s="27" t="s">
        <v>101</v>
      </c>
      <c r="K739" s="27" t="s">
        <v>371</v>
      </c>
      <c r="L739" s="27" t="s">
        <v>371</v>
      </c>
      <c r="M739" s="27" t="s">
        <v>371</v>
      </c>
      <c r="N739" s="27" t="s">
        <v>371</v>
      </c>
      <c r="O739" s="27" t="s">
        <v>371</v>
      </c>
      <c r="P739" s="27" t="s">
        <v>371</v>
      </c>
      <c r="Q739" s="27" t="s">
        <v>372</v>
      </c>
      <c r="R739" s="556">
        <f t="shared" si="61"/>
        <v>0</v>
      </c>
      <c r="S739" s="556">
        <f t="shared" si="63"/>
        <v>0</v>
      </c>
      <c r="T739" s="556">
        <f t="shared" si="64"/>
        <v>0</v>
      </c>
      <c r="U739" s="556">
        <f t="shared" si="65"/>
        <v>0</v>
      </c>
      <c r="V739" s="556">
        <f t="shared" si="66"/>
        <v>0</v>
      </c>
      <c r="W739" s="556">
        <f t="shared" si="67"/>
        <v>0</v>
      </c>
      <c r="X739" s="556">
        <f t="shared" si="68"/>
        <v>0</v>
      </c>
      <c r="Y739" s="556">
        <f t="shared" si="69"/>
        <v>0</v>
      </c>
      <c r="Z739" s="556">
        <f t="shared" si="70"/>
        <v>0</v>
      </c>
      <c r="AA739" s="556">
        <f t="shared" si="71"/>
        <v>0</v>
      </c>
      <c r="AB739" s="556">
        <f t="shared" si="72"/>
        <v>0</v>
      </c>
      <c r="AC739" s="556">
        <f t="shared" si="73"/>
        <v>0</v>
      </c>
      <c r="AD739" s="556">
        <f t="shared" si="62"/>
        <v>0</v>
      </c>
      <c r="AE739" s="556">
        <f t="shared" si="76"/>
        <v>0</v>
      </c>
      <c r="AF739" s="556">
        <f t="shared" si="76"/>
        <v>0</v>
      </c>
      <c r="AG739" s="556">
        <f t="shared" si="76"/>
        <v>0</v>
      </c>
    </row>
    <row r="740" spans="1:36" hidden="1" outlineLevel="1" x14ac:dyDescent="0.35">
      <c r="A740" t="b">
        <f t="shared" si="60"/>
        <v>1</v>
      </c>
      <c r="B740" s="27" t="s">
        <v>685</v>
      </c>
      <c r="C740" s="27" t="s">
        <v>51</v>
      </c>
      <c r="D740" s="27" t="s">
        <v>1607</v>
      </c>
      <c r="E740" s="27" t="s">
        <v>51</v>
      </c>
      <c r="F740" s="27" t="s">
        <v>195</v>
      </c>
      <c r="G740" s="27" t="s">
        <v>663</v>
      </c>
      <c r="H740" s="27" t="s">
        <v>54</v>
      </c>
      <c r="I740" s="27" t="s">
        <v>142</v>
      </c>
      <c r="J740" s="27" t="s">
        <v>197</v>
      </c>
      <c r="K740" s="27" t="s">
        <v>371</v>
      </c>
      <c r="L740" s="27" t="s">
        <v>371</v>
      </c>
      <c r="M740" s="27" t="s">
        <v>371</v>
      </c>
      <c r="N740" s="27" t="s">
        <v>371</v>
      </c>
      <c r="O740" s="27" t="s">
        <v>371</v>
      </c>
      <c r="P740" s="27" t="s">
        <v>371</v>
      </c>
      <c r="Q740" s="27" t="s">
        <v>372</v>
      </c>
      <c r="R740" s="556">
        <f t="shared" si="61"/>
        <v>0</v>
      </c>
      <c r="S740" s="556">
        <f t="shared" si="63"/>
        <v>0</v>
      </c>
      <c r="T740" s="556">
        <f t="shared" si="64"/>
        <v>0</v>
      </c>
      <c r="U740" s="556">
        <f t="shared" si="65"/>
        <v>0</v>
      </c>
      <c r="V740" s="556">
        <f t="shared" si="66"/>
        <v>0</v>
      </c>
      <c r="W740" s="556">
        <f t="shared" si="67"/>
        <v>0</v>
      </c>
      <c r="X740" s="556">
        <f t="shared" si="68"/>
        <v>0</v>
      </c>
      <c r="Y740" s="556">
        <f t="shared" si="69"/>
        <v>0</v>
      </c>
      <c r="Z740" s="556">
        <f t="shared" si="70"/>
        <v>0</v>
      </c>
      <c r="AA740" s="556">
        <f t="shared" si="71"/>
        <v>0</v>
      </c>
      <c r="AB740" s="556">
        <f t="shared" si="72"/>
        <v>0</v>
      </c>
      <c r="AC740" s="556">
        <f t="shared" si="73"/>
        <v>0</v>
      </c>
      <c r="AD740" s="556">
        <f t="shared" si="62"/>
        <v>0</v>
      </c>
      <c r="AE740" s="556">
        <f t="shared" si="76"/>
        <v>0</v>
      </c>
      <c r="AF740" s="556">
        <f t="shared" si="76"/>
        <v>0</v>
      </c>
      <c r="AG740" s="556">
        <f t="shared" si="76"/>
        <v>0</v>
      </c>
    </row>
    <row r="741" spans="1:36" hidden="1" outlineLevel="1" x14ac:dyDescent="0.35">
      <c r="A741" t="b">
        <f t="shared" si="60"/>
        <v>1</v>
      </c>
      <c r="B741" s="27" t="s">
        <v>1292</v>
      </c>
      <c r="C741" s="27" t="s">
        <v>51</v>
      </c>
      <c r="D741" s="27" t="s">
        <v>1871</v>
      </c>
      <c r="E741" s="27" t="s">
        <v>51</v>
      </c>
      <c r="F741" s="27" t="s">
        <v>195</v>
      </c>
      <c r="G741" s="27" t="s">
        <v>1608</v>
      </c>
      <c r="H741" s="27" t="s">
        <v>54</v>
      </c>
      <c r="I741" s="27" t="s">
        <v>142</v>
      </c>
      <c r="J741" s="27" t="s">
        <v>197</v>
      </c>
      <c r="K741" s="27" t="s">
        <v>371</v>
      </c>
      <c r="L741" s="27" t="s">
        <v>371</v>
      </c>
      <c r="M741" s="27" t="s">
        <v>371</v>
      </c>
      <c r="N741" s="27" t="s">
        <v>371</v>
      </c>
      <c r="O741" s="27" t="s">
        <v>371</v>
      </c>
      <c r="P741" s="27" t="s">
        <v>371</v>
      </c>
      <c r="Q741" s="27" t="s">
        <v>372</v>
      </c>
      <c r="R741" s="556">
        <f t="shared" si="61"/>
        <v>-1021.61</v>
      </c>
      <c r="S741" s="556">
        <f t="shared" si="63"/>
        <v>-33057.68</v>
      </c>
      <c r="T741" s="556">
        <f t="shared" si="64"/>
        <v>-21365</v>
      </c>
      <c r="U741" s="556">
        <f t="shared" si="65"/>
        <v>-29506.809999999998</v>
      </c>
      <c r="V741" s="556">
        <f t="shared" si="66"/>
        <v>-45590.15</v>
      </c>
      <c r="W741" s="556">
        <f t="shared" si="67"/>
        <v>-36732.28</v>
      </c>
      <c r="X741" s="556">
        <f t="shared" si="68"/>
        <v>-64912.17</v>
      </c>
      <c r="Y741" s="556">
        <f t="shared" si="69"/>
        <v>-102266.24000000001</v>
      </c>
      <c r="Z741" s="556">
        <f t="shared" si="70"/>
        <v>-91282.95</v>
      </c>
      <c r="AA741" s="556">
        <f t="shared" si="71"/>
        <v>-42099.67</v>
      </c>
      <c r="AB741" s="556">
        <f t="shared" si="72"/>
        <v>-64460.49</v>
      </c>
      <c r="AC741" s="556">
        <f t="shared" si="73"/>
        <v>-121345.26</v>
      </c>
      <c r="AD741" s="556">
        <f t="shared" si="62"/>
        <v>-155873.43</v>
      </c>
      <c r="AE741" s="556">
        <f t="shared" si="76"/>
        <v>-178049.21</v>
      </c>
      <c r="AF741" s="556">
        <f t="shared" si="76"/>
        <v>-250161.85</v>
      </c>
      <c r="AG741" s="556">
        <f t="shared" si="76"/>
        <v>-343237.95</v>
      </c>
    </row>
    <row r="742" spans="1:36" hidden="1" outlineLevel="1" x14ac:dyDescent="0.35">
      <c r="A742" t="b">
        <f t="shared" si="60"/>
        <v>1</v>
      </c>
      <c r="B742" s="27" t="s">
        <v>1293</v>
      </c>
      <c r="C742" s="27" t="s">
        <v>51</v>
      </c>
      <c r="D742" s="27" t="s">
        <v>1872</v>
      </c>
      <c r="E742" s="27" t="s">
        <v>51</v>
      </c>
      <c r="F742" s="27" t="s">
        <v>434</v>
      </c>
      <c r="G742" s="27" t="s">
        <v>1609</v>
      </c>
      <c r="H742" s="27" t="s">
        <v>54</v>
      </c>
      <c r="I742" s="27" t="s">
        <v>142</v>
      </c>
      <c r="J742" s="27" t="s">
        <v>436</v>
      </c>
      <c r="K742" s="27" t="s">
        <v>371</v>
      </c>
      <c r="L742" s="27" t="s">
        <v>371</v>
      </c>
      <c r="M742" s="27" t="s">
        <v>371</v>
      </c>
      <c r="N742" s="27" t="s">
        <v>371</v>
      </c>
      <c r="O742" s="27" t="s">
        <v>371</v>
      </c>
      <c r="P742" s="27" t="s">
        <v>371</v>
      </c>
      <c r="Q742" s="27" t="s">
        <v>372</v>
      </c>
      <c r="R742" s="556">
        <f t="shared" si="61"/>
        <v>-20764</v>
      </c>
      <c r="S742" s="556">
        <f t="shared" si="63"/>
        <v>-41528</v>
      </c>
      <c r="T742" s="556">
        <f t="shared" si="64"/>
        <v>-20764</v>
      </c>
      <c r="U742" s="556">
        <f t="shared" si="65"/>
        <v>-45465.5</v>
      </c>
      <c r="V742" s="556">
        <f t="shared" si="66"/>
        <v>-30060.879999999997</v>
      </c>
      <c r="W742" s="556">
        <f t="shared" si="67"/>
        <v>-128952.9</v>
      </c>
      <c r="X742" s="556">
        <f t="shared" si="68"/>
        <v>-24701.5</v>
      </c>
      <c r="Y742" s="556">
        <f t="shared" si="69"/>
        <v>-45465.5</v>
      </c>
      <c r="Z742" s="556">
        <f t="shared" si="70"/>
        <v>-24701.5</v>
      </c>
      <c r="AA742" s="556">
        <f t="shared" si="71"/>
        <v>-45465.5</v>
      </c>
      <c r="AB742" s="556">
        <f t="shared" si="72"/>
        <v>-87959.9</v>
      </c>
      <c r="AC742" s="556">
        <f t="shared" si="73"/>
        <v>-83449.09</v>
      </c>
      <c r="AD742" s="556">
        <f t="shared" si="62"/>
        <v>-62685.18</v>
      </c>
      <c r="AE742" s="556">
        <f t="shared" si="76"/>
        <v>-28185.27</v>
      </c>
      <c r="AF742" s="556">
        <f t="shared" si="76"/>
        <v>-122840.77</v>
      </c>
      <c r="AG742" s="556">
        <f t="shared" si="76"/>
        <v>-98723.03</v>
      </c>
    </row>
    <row r="743" spans="1:36" hidden="1" outlineLevel="1" x14ac:dyDescent="0.35">
      <c r="A743" t="b">
        <f t="shared" si="60"/>
        <v>1</v>
      </c>
      <c r="B743" s="27" t="s">
        <v>1294</v>
      </c>
      <c r="C743" s="27" t="s">
        <v>51</v>
      </c>
      <c r="D743" s="27" t="s">
        <v>1873</v>
      </c>
      <c r="E743" s="27" t="s">
        <v>51</v>
      </c>
      <c r="F743" s="27" t="s">
        <v>474</v>
      </c>
      <c r="G743" s="27" t="s">
        <v>1610</v>
      </c>
      <c r="H743" s="27" t="s">
        <v>447</v>
      </c>
      <c r="I743" s="27" t="s">
        <v>440</v>
      </c>
      <c r="J743" s="27" t="s">
        <v>448</v>
      </c>
      <c r="K743" s="27" t="s">
        <v>491</v>
      </c>
      <c r="L743" s="27" t="s">
        <v>686</v>
      </c>
      <c r="M743" s="27" t="s">
        <v>686</v>
      </c>
      <c r="N743" s="27" t="s">
        <v>686</v>
      </c>
      <c r="O743" s="27" t="s">
        <v>491</v>
      </c>
      <c r="P743" s="27" t="s">
        <v>491</v>
      </c>
      <c r="Q743" s="27" t="s">
        <v>372</v>
      </c>
      <c r="R743" s="556">
        <f t="shared" si="61"/>
        <v>0</v>
      </c>
      <c r="S743" s="556">
        <f t="shared" si="63"/>
        <v>0</v>
      </c>
      <c r="T743" s="556">
        <f t="shared" si="64"/>
        <v>0</v>
      </c>
      <c r="U743" s="556">
        <f t="shared" si="65"/>
        <v>0</v>
      </c>
      <c r="V743" s="556">
        <f t="shared" si="66"/>
        <v>0</v>
      </c>
      <c r="W743" s="556">
        <f t="shared" si="67"/>
        <v>0</v>
      </c>
      <c r="X743" s="556">
        <f t="shared" si="68"/>
        <v>0</v>
      </c>
      <c r="Y743" s="556">
        <f t="shared" si="69"/>
        <v>0</v>
      </c>
      <c r="Z743" s="556">
        <f t="shared" si="70"/>
        <v>0</v>
      </c>
      <c r="AA743" s="556">
        <f t="shared" si="71"/>
        <v>0</v>
      </c>
      <c r="AB743" s="556">
        <f t="shared" si="72"/>
        <v>0</v>
      </c>
      <c r="AC743" s="556">
        <f t="shared" si="73"/>
        <v>60408.160000000003</v>
      </c>
      <c r="AD743" s="556">
        <f t="shared" si="62"/>
        <v>269397.87</v>
      </c>
      <c r="AE743" s="556">
        <f t="shared" si="76"/>
        <v>0</v>
      </c>
      <c r="AF743" s="556">
        <f t="shared" si="76"/>
        <v>154131.08000000002</v>
      </c>
      <c r="AG743" s="556">
        <f t="shared" si="76"/>
        <v>88677.950000000012</v>
      </c>
      <c r="AH743" s="44"/>
      <c r="AJ743" s="44"/>
    </row>
    <row r="744" spans="1:36" hidden="1" outlineLevel="1" x14ac:dyDescent="0.35">
      <c r="A744" t="b">
        <f t="shared" si="60"/>
        <v>1</v>
      </c>
      <c r="B744" s="27" t="s">
        <v>688</v>
      </c>
      <c r="C744" s="27" t="s">
        <v>51</v>
      </c>
      <c r="D744" s="27" t="s">
        <v>1611</v>
      </c>
      <c r="E744" s="27" t="s">
        <v>51</v>
      </c>
      <c r="F744" s="27" t="s">
        <v>501</v>
      </c>
      <c r="G744" s="27" t="s">
        <v>689</v>
      </c>
      <c r="H744" s="27" t="s">
        <v>447</v>
      </c>
      <c r="I744" s="27" t="s">
        <v>440</v>
      </c>
      <c r="J744" s="27" t="s">
        <v>448</v>
      </c>
      <c r="K744" s="27" t="s">
        <v>476</v>
      </c>
      <c r="L744" s="27" t="s">
        <v>502</v>
      </c>
      <c r="M744" s="27" t="s">
        <v>502</v>
      </c>
      <c r="N744" s="27" t="s">
        <v>499</v>
      </c>
      <c r="O744" s="27" t="s">
        <v>480</v>
      </c>
      <c r="P744" s="27" t="s">
        <v>480</v>
      </c>
      <c r="Q744" s="27" t="s">
        <v>372</v>
      </c>
      <c r="R744" s="556">
        <f t="shared" si="61"/>
        <v>0</v>
      </c>
      <c r="S744" s="556">
        <f t="shared" si="63"/>
        <v>0</v>
      </c>
      <c r="T744" s="556">
        <f t="shared" si="64"/>
        <v>0</v>
      </c>
      <c r="U744" s="556">
        <f t="shared" si="65"/>
        <v>0</v>
      </c>
      <c r="V744" s="556">
        <f t="shared" si="66"/>
        <v>0</v>
      </c>
      <c r="W744" s="556">
        <f t="shared" si="67"/>
        <v>0</v>
      </c>
      <c r="X744" s="556">
        <f t="shared" si="68"/>
        <v>0</v>
      </c>
      <c r="Y744" s="556">
        <f t="shared" si="69"/>
        <v>0</v>
      </c>
      <c r="Z744" s="556">
        <f t="shared" si="70"/>
        <v>0</v>
      </c>
      <c r="AA744" s="556">
        <f t="shared" si="71"/>
        <v>0</v>
      </c>
      <c r="AB744" s="556">
        <f t="shared" si="72"/>
        <v>0</v>
      </c>
      <c r="AC744" s="556">
        <f t="shared" si="73"/>
        <v>0</v>
      </c>
      <c r="AD744" s="556">
        <f t="shared" si="62"/>
        <v>0</v>
      </c>
      <c r="AE744" s="556">
        <f t="shared" si="76"/>
        <v>0</v>
      </c>
      <c r="AF744" s="556">
        <f t="shared" si="76"/>
        <v>0</v>
      </c>
      <c r="AG744" s="556">
        <f t="shared" si="76"/>
        <v>0</v>
      </c>
      <c r="AH744" s="44"/>
    </row>
    <row r="745" spans="1:36" hidden="1" outlineLevel="1" x14ac:dyDescent="0.35">
      <c r="A745" t="b">
        <f t="shared" si="60"/>
        <v>1</v>
      </c>
      <c r="B745" s="27" t="s">
        <v>690</v>
      </c>
      <c r="C745" s="27" t="s">
        <v>51</v>
      </c>
      <c r="D745" s="27" t="s">
        <v>1612</v>
      </c>
      <c r="E745" s="27" t="s">
        <v>51</v>
      </c>
      <c r="F745" s="27" t="s">
        <v>559</v>
      </c>
      <c r="G745" s="27" t="s">
        <v>691</v>
      </c>
      <c r="H745" s="27" t="s">
        <v>447</v>
      </c>
      <c r="I745" s="27" t="s">
        <v>440</v>
      </c>
      <c r="J745" s="27" t="s">
        <v>448</v>
      </c>
      <c r="K745" s="27" t="s">
        <v>557</v>
      </c>
      <c r="L745" s="27" t="s">
        <v>557</v>
      </c>
      <c r="M745" s="27" t="s">
        <v>558</v>
      </c>
      <c r="N745" s="27" t="s">
        <v>371</v>
      </c>
      <c r="O745" s="27" t="s">
        <v>557</v>
      </c>
      <c r="P745" s="27" t="s">
        <v>557</v>
      </c>
      <c r="Q745" s="27" t="s">
        <v>372</v>
      </c>
      <c r="R745" s="556">
        <f t="shared" si="61"/>
        <v>0</v>
      </c>
      <c r="S745" s="556">
        <f t="shared" si="63"/>
        <v>0</v>
      </c>
      <c r="T745" s="556">
        <f t="shared" si="64"/>
        <v>0</v>
      </c>
      <c r="U745" s="556">
        <f t="shared" si="65"/>
        <v>0</v>
      </c>
      <c r="V745" s="556">
        <f t="shared" si="66"/>
        <v>0</v>
      </c>
      <c r="W745" s="556">
        <f t="shared" si="67"/>
        <v>0</v>
      </c>
      <c r="X745" s="556">
        <f t="shared" si="68"/>
        <v>0</v>
      </c>
      <c r="Y745" s="556">
        <f t="shared" si="69"/>
        <v>0</v>
      </c>
      <c r="Z745" s="556">
        <f t="shared" si="70"/>
        <v>0</v>
      </c>
      <c r="AA745" s="556">
        <f t="shared" si="71"/>
        <v>0</v>
      </c>
      <c r="AB745" s="556">
        <f t="shared" si="72"/>
        <v>0</v>
      </c>
      <c r="AC745" s="556">
        <f t="shared" si="73"/>
        <v>0</v>
      </c>
      <c r="AD745" s="556">
        <f t="shared" si="62"/>
        <v>0</v>
      </c>
      <c r="AE745" s="556">
        <f t="shared" si="76"/>
        <v>0</v>
      </c>
      <c r="AF745" s="556">
        <f t="shared" si="76"/>
        <v>0</v>
      </c>
      <c r="AG745" s="556">
        <f t="shared" si="76"/>
        <v>0</v>
      </c>
      <c r="AH745" s="44"/>
    </row>
    <row r="746" spans="1:36" hidden="1" outlineLevel="1" x14ac:dyDescent="0.35">
      <c r="A746" t="b">
        <f t="shared" si="60"/>
        <v>1</v>
      </c>
      <c r="B746" s="27" t="s">
        <v>692</v>
      </c>
      <c r="C746" s="27" t="s">
        <v>51</v>
      </c>
      <c r="D746" s="27" t="s">
        <v>1613</v>
      </c>
      <c r="E746" s="27" t="s">
        <v>51</v>
      </c>
      <c r="F746" s="27" t="s">
        <v>377</v>
      </c>
      <c r="G746" s="27" t="s">
        <v>693</v>
      </c>
      <c r="H746" s="27" t="s">
        <v>54</v>
      </c>
      <c r="I746" s="27" t="s">
        <v>55</v>
      </c>
      <c r="J746" s="27" t="s">
        <v>56</v>
      </c>
      <c r="K746" s="27" t="s">
        <v>371</v>
      </c>
      <c r="L746" s="27" t="s">
        <v>371</v>
      </c>
      <c r="M746" s="27" t="s">
        <v>371</v>
      </c>
      <c r="N746" s="27" t="s">
        <v>371</v>
      </c>
      <c r="O746" s="27" t="s">
        <v>371</v>
      </c>
      <c r="P746" s="27" t="s">
        <v>371</v>
      </c>
      <c r="Q746" s="27" t="s">
        <v>372</v>
      </c>
      <c r="R746" s="556">
        <f t="shared" si="61"/>
        <v>13516.32</v>
      </c>
      <c r="S746" s="556">
        <f t="shared" si="63"/>
        <v>13516.32</v>
      </c>
      <c r="T746" s="556">
        <f t="shared" si="64"/>
        <v>13516.32</v>
      </c>
      <c r="U746" s="556">
        <f t="shared" si="65"/>
        <v>13516.32</v>
      </c>
      <c r="V746" s="556">
        <f t="shared" si="66"/>
        <v>13516.32</v>
      </c>
      <c r="W746" s="556">
        <f t="shared" si="67"/>
        <v>15222.33</v>
      </c>
      <c r="X746" s="556">
        <f t="shared" si="68"/>
        <v>15222.33</v>
      </c>
      <c r="Y746" s="556">
        <f t="shared" si="69"/>
        <v>15222.33</v>
      </c>
      <c r="Z746" s="556">
        <f t="shared" si="70"/>
        <v>15222.33</v>
      </c>
      <c r="AA746" s="556">
        <f t="shared" si="71"/>
        <v>585.21</v>
      </c>
      <c r="AB746" s="556">
        <f t="shared" si="72"/>
        <v>0</v>
      </c>
      <c r="AC746" s="556">
        <f t="shared" si="73"/>
        <v>0</v>
      </c>
      <c r="AD746" s="556">
        <f t="shared" si="62"/>
        <v>0</v>
      </c>
      <c r="AE746" s="556">
        <f t="shared" si="76"/>
        <v>0</v>
      </c>
      <c r="AF746" s="556">
        <f t="shared" si="76"/>
        <v>0</v>
      </c>
      <c r="AG746" s="556">
        <f t="shared" si="76"/>
        <v>0</v>
      </c>
    </row>
    <row r="747" spans="1:36" hidden="1" outlineLevel="1" x14ac:dyDescent="0.35">
      <c r="A747" t="b">
        <f t="shared" ref="A747:A810" si="77">B269=B747</f>
        <v>1</v>
      </c>
      <c r="B747" s="27" t="s">
        <v>694</v>
      </c>
      <c r="C747" s="27" t="s">
        <v>51</v>
      </c>
      <c r="D747" s="27" t="s">
        <v>1614</v>
      </c>
      <c r="E747" s="27" t="s">
        <v>51</v>
      </c>
      <c r="F747" s="27" t="s">
        <v>587</v>
      </c>
      <c r="G747" s="27" t="s">
        <v>695</v>
      </c>
      <c r="H747" s="27" t="s">
        <v>54</v>
      </c>
      <c r="I747" s="27" t="s">
        <v>142</v>
      </c>
      <c r="J747" s="27" t="s">
        <v>197</v>
      </c>
      <c r="K747" s="27" t="s">
        <v>371</v>
      </c>
      <c r="L747" s="27" t="s">
        <v>371</v>
      </c>
      <c r="M747" s="27" t="s">
        <v>371</v>
      </c>
      <c r="N747" s="27" t="s">
        <v>371</v>
      </c>
      <c r="O747" s="27" t="s">
        <v>371</v>
      </c>
      <c r="P747" s="27" t="s">
        <v>371</v>
      </c>
      <c r="Q747" s="27" t="s">
        <v>372</v>
      </c>
      <c r="R747" s="556">
        <f t="shared" ref="R747:R810" si="78">+IF(R$10="Actuals",IF($O269="Revenue",-IF($H269="BS",R269,IF($H269="P&amp;L",R269,0)),IF($H269="BS",R269,IF($H269="P&amp;L",R269,0))),0)</f>
        <v>-9729153.4499999993</v>
      </c>
      <c r="S747" s="556">
        <f t="shared" si="63"/>
        <v>-14082163.439999999</v>
      </c>
      <c r="T747" s="556">
        <f t="shared" si="64"/>
        <v>-13447901.589999998</v>
      </c>
      <c r="U747" s="556">
        <f t="shared" si="65"/>
        <v>-10828005.59</v>
      </c>
      <c r="V747" s="556">
        <f t="shared" si="66"/>
        <v>-7840400.5899999999</v>
      </c>
      <c r="W747" s="556">
        <f t="shared" si="67"/>
        <v>-4638017.59</v>
      </c>
      <c r="X747" s="556">
        <f t="shared" si="68"/>
        <v>-1017545.59</v>
      </c>
      <c r="Y747" s="556">
        <f t="shared" si="69"/>
        <v>0</v>
      </c>
      <c r="Z747" s="556">
        <f t="shared" si="70"/>
        <v>0</v>
      </c>
      <c r="AA747" s="556">
        <f t="shared" si="71"/>
        <v>0</v>
      </c>
      <c r="AB747" s="556">
        <f t="shared" si="72"/>
        <v>0</v>
      </c>
      <c r="AC747" s="556">
        <f t="shared" si="73"/>
        <v>0</v>
      </c>
      <c r="AD747" s="556">
        <f t="shared" ref="AD747:AD810" si="79">+IF(AD$10="Actuals",IF($O269="Revenue",-IF($H269="BS",AD269,IF($H269="P&amp;L",AD269,0)),IF($H269="BS",AD269,IF($H269="P&amp;L",AD269,0))),0)</f>
        <v>0</v>
      </c>
      <c r="AE747" s="556">
        <f t="shared" si="76"/>
        <v>0</v>
      </c>
      <c r="AF747" s="556">
        <f t="shared" si="76"/>
        <v>0</v>
      </c>
      <c r="AG747" s="556">
        <f t="shared" si="76"/>
        <v>0</v>
      </c>
    </row>
    <row r="748" spans="1:36" hidden="1" outlineLevel="1" x14ac:dyDescent="0.35">
      <c r="A748" t="b">
        <f t="shared" si="77"/>
        <v>1</v>
      </c>
      <c r="B748" s="27" t="s">
        <v>1295</v>
      </c>
      <c r="C748" s="27" t="s">
        <v>51</v>
      </c>
      <c r="D748" s="27" t="s">
        <v>1874</v>
      </c>
      <c r="E748" s="27" t="s">
        <v>51</v>
      </c>
      <c r="F748" s="27" t="s">
        <v>434</v>
      </c>
      <c r="G748" s="27" t="s">
        <v>1615</v>
      </c>
      <c r="H748" s="27" t="s">
        <v>54</v>
      </c>
      <c r="I748" s="27" t="s">
        <v>142</v>
      </c>
      <c r="J748" s="27" t="s">
        <v>436</v>
      </c>
      <c r="K748" s="27" t="s">
        <v>371</v>
      </c>
      <c r="L748" s="27" t="s">
        <v>371</v>
      </c>
      <c r="M748" s="27" t="s">
        <v>371</v>
      </c>
      <c r="N748" s="27" t="s">
        <v>371</v>
      </c>
      <c r="O748" s="27" t="s">
        <v>371</v>
      </c>
      <c r="P748" s="27" t="s">
        <v>371</v>
      </c>
      <c r="Q748" s="27" t="s">
        <v>372</v>
      </c>
      <c r="R748" s="556">
        <f t="shared" si="78"/>
        <v>-5398.62</v>
      </c>
      <c r="S748" s="556">
        <f t="shared" ref="S748:S811" si="80">+IF(S$10="Actuals",IF($O270="Revenue",-IF($H270="BS",S270,IF($H270="P&amp;L",S270-R270,0)),IF($H270="BS",S270,IF($H270="P&amp;L",S270-R270,0))),0)</f>
        <v>-8648.0499999999993</v>
      </c>
      <c r="T748" s="556">
        <f t="shared" ref="T748:T811" si="81">+IF(T$10="Actuals",IF($O270="Revenue",-IF($H270="BS",T270,IF($H270="P&amp;L",T270-S270,0)),IF($H270="BS",T270,IF($H270="P&amp;L",T270-S270,0))),0)</f>
        <v>-13107.4</v>
      </c>
      <c r="U748" s="556">
        <f t="shared" ref="U748:U811" si="82">+IF(U$10="Actuals",IF($O270="Revenue",-IF($H270="BS",U270,IF($H270="P&amp;L",U270-T270,0)),IF($H270="BS",U270,IF($H270="P&amp;L",U270-T270,0))),0)</f>
        <v>-17102.599999999999</v>
      </c>
      <c r="V748" s="556">
        <f t="shared" ref="V748:V811" si="83">+IF(V$10="Actuals",IF($O270="Revenue",-IF($H270="BS",V270,IF($H270="P&amp;L",V270-U270,0)),IF($H270="BS",V270,IF($H270="P&amp;L",V270-U270,0))),0)</f>
        <v>-20581.169999999998</v>
      </c>
      <c r="W748" s="556">
        <f t="shared" ref="W748:W811" si="84">+IF(W$10="Actuals",IF($O270="Revenue",-IF($H270="BS",W270,IF($H270="P&amp;L",W270-V270,0)),IF($H270="BS",W270,IF($H270="P&amp;L",W270-V270,0))),0)</f>
        <v>-23933.01</v>
      </c>
      <c r="X748" s="556">
        <f t="shared" ref="X748:X811" si="85">+IF(X$10="Actuals",IF($O270="Revenue",-IF($H270="BS",X270,IF($H270="P&amp;L",X270-W270,0)),IF($H270="BS",X270,IF($H270="P&amp;L",X270-W270,0))),0)</f>
        <v>-10344.09</v>
      </c>
      <c r="Y748" s="556">
        <f t="shared" ref="Y748:Y811" si="86">+IF(Y$10="Actuals",IF($O270="Revenue",-IF($H270="BS",Y270,IF($H270="P&amp;L",Y270-X270,0)),IF($H270="BS",Y270,IF($H270="P&amp;L",Y270-X270,0))),0)</f>
        <v>-13751.79</v>
      </c>
      <c r="Z748" s="556">
        <f t="shared" ref="Z748:Z811" si="87">+IF(Z$10="Actuals",IF($O270="Revenue",-IF($H270="BS",Z270,IF($H270="P&amp;L",Z270-Y270,0)),IF($H270="BS",Z270,IF($H270="P&amp;L",Z270-Y270,0))),0)</f>
        <v>-18226.36</v>
      </c>
      <c r="AA748" s="556">
        <f t="shared" ref="AA748:AA811" si="88">+IF(AA$10="Actuals",IF($O270="Revenue",-IF($H270="BS",AA270,IF($H270="P&amp;L",AA270-Z270,0)),IF($H270="BS",AA270,IF($H270="P&amp;L",AA270-Z270,0))),0)</f>
        <v>-34769.49</v>
      </c>
      <c r="AB748" s="556">
        <f t="shared" ref="AB748:AB811" si="89">+IF(AB$10="Actuals",IF($O270="Revenue",-IF($H270="BS",AB270,IF($H270="P&amp;L",AB270-AA270,0)),IF($H270="BS",AB270,IF($H270="P&amp;L",AB270-AA270,0))),0)</f>
        <v>-18385.82</v>
      </c>
      <c r="AC748" s="556">
        <f t="shared" ref="AC748:AC811" si="90">+IF(AC$10="Actuals",IF($O270="Revenue",-IF($H270="BS",AC270,IF($H270="P&amp;L",AC270-AB270,0)),IF($H270="BS",AC270,IF($H270="P&amp;L",AC270-AB270,0))),0)</f>
        <v>-55592.41</v>
      </c>
      <c r="AD748" s="556">
        <f t="shared" si="79"/>
        <v>-108219.15</v>
      </c>
      <c r="AE748" s="556">
        <f t="shared" si="76"/>
        <v>-155171.64000000001</v>
      </c>
      <c r="AF748" s="556">
        <f t="shared" si="76"/>
        <v>-49365.09</v>
      </c>
      <c r="AG748" s="556">
        <f t="shared" si="76"/>
        <v>-96269.01</v>
      </c>
    </row>
    <row r="749" spans="1:36" hidden="1" outlineLevel="1" x14ac:dyDescent="0.35">
      <c r="A749" t="b">
        <f t="shared" si="77"/>
        <v>1</v>
      </c>
      <c r="B749" s="27" t="s">
        <v>696</v>
      </c>
      <c r="C749" s="27" t="s">
        <v>51</v>
      </c>
      <c r="D749" s="27" t="s">
        <v>1616</v>
      </c>
      <c r="E749" s="27" t="s">
        <v>51</v>
      </c>
      <c r="F749" s="27" t="s">
        <v>106</v>
      </c>
      <c r="G749" s="27" t="s">
        <v>670</v>
      </c>
      <c r="H749" s="27" t="s">
        <v>54</v>
      </c>
      <c r="I749" s="27" t="s">
        <v>142</v>
      </c>
      <c r="J749" s="27" t="s">
        <v>180</v>
      </c>
      <c r="K749" s="27" t="s">
        <v>371</v>
      </c>
      <c r="L749" s="27" t="s">
        <v>371</v>
      </c>
      <c r="M749" s="27" t="s">
        <v>371</v>
      </c>
      <c r="N749" s="27" t="s">
        <v>371</v>
      </c>
      <c r="O749" s="27" t="s">
        <v>371</v>
      </c>
      <c r="P749" s="27" t="s">
        <v>371</v>
      </c>
      <c r="Q749" s="27" t="s">
        <v>372</v>
      </c>
      <c r="R749" s="556">
        <f t="shared" si="78"/>
        <v>-116000</v>
      </c>
      <c r="S749" s="556">
        <f t="shared" si="80"/>
        <v>-116000</v>
      </c>
      <c r="T749" s="556">
        <f t="shared" si="81"/>
        <v>-116000</v>
      </c>
      <c r="U749" s="556">
        <f t="shared" si="82"/>
        <v>-116000</v>
      </c>
      <c r="V749" s="556">
        <f t="shared" si="83"/>
        <v>-116000</v>
      </c>
      <c r="W749" s="556">
        <f t="shared" si="84"/>
        <v>-116000</v>
      </c>
      <c r="X749" s="556">
        <f t="shared" si="85"/>
        <v>-116000</v>
      </c>
      <c r="Y749" s="556">
        <f t="shared" si="86"/>
        <v>0</v>
      </c>
      <c r="Z749" s="556">
        <f t="shared" si="87"/>
        <v>0</v>
      </c>
      <c r="AA749" s="556">
        <f t="shared" si="88"/>
        <v>0</v>
      </c>
      <c r="AB749" s="556">
        <f t="shared" si="89"/>
        <v>0</v>
      </c>
      <c r="AC749" s="556">
        <f t="shared" si="90"/>
        <v>0</v>
      </c>
      <c r="AD749" s="556">
        <f t="shared" si="79"/>
        <v>0</v>
      </c>
      <c r="AE749" s="556">
        <f t="shared" si="76"/>
        <v>0</v>
      </c>
      <c r="AF749" s="556">
        <f t="shared" si="76"/>
        <v>0</v>
      </c>
      <c r="AG749" s="556">
        <f t="shared" si="76"/>
        <v>0</v>
      </c>
    </row>
    <row r="750" spans="1:36" hidden="1" outlineLevel="1" x14ac:dyDescent="0.35">
      <c r="A750" t="b">
        <f t="shared" si="77"/>
        <v>1</v>
      </c>
      <c r="B750" s="27" t="s">
        <v>1296</v>
      </c>
      <c r="C750" s="27" t="s">
        <v>51</v>
      </c>
      <c r="D750" s="27" t="s">
        <v>1875</v>
      </c>
      <c r="E750" s="27" t="s">
        <v>51</v>
      </c>
      <c r="F750" s="27" t="s">
        <v>442</v>
      </c>
      <c r="G750" s="27" t="s">
        <v>1617</v>
      </c>
      <c r="H750" s="27" t="s">
        <v>54</v>
      </c>
      <c r="I750" s="27" t="s">
        <v>440</v>
      </c>
      <c r="J750" s="27" t="s">
        <v>443</v>
      </c>
      <c r="K750" s="27" t="s">
        <v>371</v>
      </c>
      <c r="L750" s="27" t="s">
        <v>371</v>
      </c>
      <c r="M750" s="27" t="s">
        <v>371</v>
      </c>
      <c r="N750" s="27" t="s">
        <v>371</v>
      </c>
      <c r="O750" s="27" t="s">
        <v>371</v>
      </c>
      <c r="P750" s="27" t="s">
        <v>371</v>
      </c>
      <c r="Q750" s="27" t="s">
        <v>372</v>
      </c>
      <c r="R750" s="556">
        <f t="shared" si="78"/>
        <v>46412931.770000003</v>
      </c>
      <c r="S750" s="556">
        <f t="shared" si="80"/>
        <v>46412931.770000003</v>
      </c>
      <c r="T750" s="556">
        <f t="shared" si="81"/>
        <v>46412931.770000003</v>
      </c>
      <c r="U750" s="556">
        <f t="shared" si="82"/>
        <v>46412931.770000003</v>
      </c>
      <c r="V750" s="556">
        <f t="shared" si="83"/>
        <v>43077672.840000004</v>
      </c>
      <c r="W750" s="556">
        <f t="shared" si="84"/>
        <v>43077672.840000004</v>
      </c>
      <c r="X750" s="556">
        <f t="shared" si="85"/>
        <v>43077672.840000004</v>
      </c>
      <c r="Y750" s="556">
        <f t="shared" si="86"/>
        <v>43077672.840000004</v>
      </c>
      <c r="Z750" s="556">
        <f t="shared" si="87"/>
        <v>43077672.840000004</v>
      </c>
      <c r="AA750" s="556">
        <f t="shared" si="88"/>
        <v>43077672.840000004</v>
      </c>
      <c r="AB750" s="556">
        <f t="shared" si="89"/>
        <v>43077672.840000004</v>
      </c>
      <c r="AC750" s="556">
        <f t="shared" si="90"/>
        <v>43077672.840000004</v>
      </c>
      <c r="AD750" s="556">
        <f t="shared" si="79"/>
        <v>43077672.840000004</v>
      </c>
      <c r="AE750" s="556">
        <f t="shared" si="76"/>
        <v>43077672.840000004</v>
      </c>
      <c r="AF750" s="556">
        <f t="shared" si="76"/>
        <v>43077672.840000004</v>
      </c>
      <c r="AG750" s="556">
        <f t="shared" si="76"/>
        <v>43077672.840000004</v>
      </c>
    </row>
    <row r="751" spans="1:36" ht="15" hidden="1" outlineLevel="1" x14ac:dyDescent="0.35">
      <c r="A751" t="b">
        <f t="shared" si="77"/>
        <v>1</v>
      </c>
      <c r="B751" s="27" t="s">
        <v>698</v>
      </c>
      <c r="C751" s="27" t="s">
        <v>51</v>
      </c>
      <c r="D751" s="27" t="s">
        <v>1618</v>
      </c>
      <c r="E751" s="27" t="s">
        <v>51</v>
      </c>
      <c r="F751" s="27" t="s">
        <v>501</v>
      </c>
      <c r="G751" s="27" t="s">
        <v>699</v>
      </c>
      <c r="H751" s="27" t="s">
        <v>447</v>
      </c>
      <c r="I751" s="27" t="s">
        <v>440</v>
      </c>
      <c r="J751" s="27" t="s">
        <v>448</v>
      </c>
      <c r="K751" s="27" t="s">
        <v>491</v>
      </c>
      <c r="L751" s="27" t="s">
        <v>492</v>
      </c>
      <c r="M751" s="102" t="s">
        <v>2031</v>
      </c>
      <c r="N751" s="27" t="s">
        <v>494</v>
      </c>
      <c r="O751" s="27" t="s">
        <v>491</v>
      </c>
      <c r="P751" s="27" t="s">
        <v>480</v>
      </c>
      <c r="Q751" s="27" t="s">
        <v>372</v>
      </c>
      <c r="R751" s="556">
        <f t="shared" si="78"/>
        <v>473.28</v>
      </c>
      <c r="S751" s="556">
        <f t="shared" si="80"/>
        <v>473.28</v>
      </c>
      <c r="T751" s="556">
        <f t="shared" si="81"/>
        <v>0</v>
      </c>
      <c r="U751" s="556">
        <f t="shared" si="82"/>
        <v>0</v>
      </c>
      <c r="V751" s="556">
        <f t="shared" si="83"/>
        <v>0</v>
      </c>
      <c r="W751" s="556">
        <f t="shared" si="84"/>
        <v>0</v>
      </c>
      <c r="X751" s="556">
        <f t="shared" si="85"/>
        <v>0</v>
      </c>
      <c r="Y751" s="556">
        <f t="shared" si="86"/>
        <v>0</v>
      </c>
      <c r="Z751" s="556">
        <f t="shared" si="87"/>
        <v>0</v>
      </c>
      <c r="AA751" s="556">
        <f t="shared" si="88"/>
        <v>0</v>
      </c>
      <c r="AB751" s="556">
        <f t="shared" si="89"/>
        <v>0</v>
      </c>
      <c r="AC751" s="556">
        <f t="shared" si="90"/>
        <v>0</v>
      </c>
      <c r="AD751" s="556">
        <f t="shared" si="79"/>
        <v>0</v>
      </c>
      <c r="AE751" s="556">
        <f t="shared" ref="AE751:AG770" si="91">+IF(AE$10="Actuals",IF($O273="Revenue",-IF($H273="BS",AE273,IF($H273="P&amp;L",AE273-AD273,0)),IF($H273="BS",AE273,IF($H273="P&amp;L",AE273-AD273,0))),0)</f>
        <v>0</v>
      </c>
      <c r="AF751" s="556">
        <f t="shared" si="91"/>
        <v>0</v>
      </c>
      <c r="AG751" s="556">
        <f t="shared" si="91"/>
        <v>0</v>
      </c>
      <c r="AH751" s="44"/>
    </row>
    <row r="752" spans="1:36" hidden="1" outlineLevel="1" x14ac:dyDescent="0.35">
      <c r="A752" t="b">
        <f t="shared" si="77"/>
        <v>1</v>
      </c>
      <c r="B752" s="27" t="s">
        <v>1297</v>
      </c>
      <c r="C752" s="27" t="s">
        <v>51</v>
      </c>
      <c r="D752" s="27" t="s">
        <v>1876</v>
      </c>
      <c r="E752" s="27" t="s">
        <v>51</v>
      </c>
      <c r="F752" s="27" t="s">
        <v>539</v>
      </c>
      <c r="G752" s="27" t="s">
        <v>1619</v>
      </c>
      <c r="H752" s="27" t="s">
        <v>447</v>
      </c>
      <c r="I752" s="27" t="s">
        <v>440</v>
      </c>
      <c r="J752" s="27" t="s">
        <v>448</v>
      </c>
      <c r="K752" s="27" t="s">
        <v>476</v>
      </c>
      <c r="L752" s="27" t="s">
        <v>542</v>
      </c>
      <c r="M752" s="27" t="s">
        <v>542</v>
      </c>
      <c r="N752" s="27" t="s">
        <v>541</v>
      </c>
      <c r="O752" s="27" t="s">
        <v>480</v>
      </c>
      <c r="P752" s="27" t="s">
        <v>480</v>
      </c>
      <c r="Q752" s="27" t="s">
        <v>372</v>
      </c>
      <c r="R752" s="556">
        <f t="shared" si="78"/>
        <v>1190.45</v>
      </c>
      <c r="S752" s="556">
        <f t="shared" si="80"/>
        <v>1094.5899999999999</v>
      </c>
      <c r="T752" s="556">
        <f t="shared" si="81"/>
        <v>2093.38</v>
      </c>
      <c r="U752" s="556">
        <f t="shared" si="82"/>
        <v>2860.05</v>
      </c>
      <c r="V752" s="556">
        <f t="shared" si="83"/>
        <v>2955.8900000000003</v>
      </c>
      <c r="W752" s="556">
        <f t="shared" si="84"/>
        <v>4161.2700000000004</v>
      </c>
      <c r="X752" s="556">
        <f t="shared" si="85"/>
        <v>3450.0299999999988</v>
      </c>
      <c r="Y752" s="556">
        <f t="shared" si="86"/>
        <v>0</v>
      </c>
      <c r="Z752" s="556">
        <f t="shared" si="87"/>
        <v>0</v>
      </c>
      <c r="AA752" s="556">
        <f t="shared" si="88"/>
        <v>0</v>
      </c>
      <c r="AB752" s="556">
        <f t="shared" si="89"/>
        <v>2786.6700000000019</v>
      </c>
      <c r="AC752" s="556">
        <f t="shared" si="90"/>
        <v>0</v>
      </c>
      <c r="AD752" s="556">
        <f t="shared" si="79"/>
        <v>0</v>
      </c>
      <c r="AE752" s="556">
        <f t="shared" si="91"/>
        <v>287.5</v>
      </c>
      <c r="AF752" s="556">
        <f t="shared" si="91"/>
        <v>0</v>
      </c>
      <c r="AG752" s="556">
        <f t="shared" si="91"/>
        <v>4689.3599999999997</v>
      </c>
      <c r="AH752" s="44"/>
    </row>
    <row r="753" spans="1:36" hidden="1" outlineLevel="1" x14ac:dyDescent="0.35">
      <c r="A753" t="b">
        <f t="shared" si="77"/>
        <v>1</v>
      </c>
      <c r="B753" s="27" t="s">
        <v>700</v>
      </c>
      <c r="C753" s="27" t="s">
        <v>51</v>
      </c>
      <c r="D753" s="27" t="s">
        <v>1620</v>
      </c>
      <c r="E753" s="27" t="s">
        <v>51</v>
      </c>
      <c r="F753" s="27" t="s">
        <v>369</v>
      </c>
      <c r="G753" s="27" t="s">
        <v>701</v>
      </c>
      <c r="H753" s="27" t="s">
        <v>54</v>
      </c>
      <c r="I753" s="27" t="s">
        <v>55</v>
      </c>
      <c r="J753" s="27" t="s">
        <v>370</v>
      </c>
      <c r="K753" s="27" t="s">
        <v>371</v>
      </c>
      <c r="L753" s="27" t="s">
        <v>371</v>
      </c>
      <c r="M753" s="27" t="s">
        <v>371</v>
      </c>
      <c r="N753" s="27" t="s">
        <v>371</v>
      </c>
      <c r="O753" s="27" t="s">
        <v>371</v>
      </c>
      <c r="P753" s="27" t="s">
        <v>371</v>
      </c>
      <c r="Q753" s="27" t="s">
        <v>372</v>
      </c>
      <c r="R753" s="556">
        <f t="shared" si="78"/>
        <v>0</v>
      </c>
      <c r="S753" s="556">
        <f t="shared" si="80"/>
        <v>200517.23</v>
      </c>
      <c r="T753" s="556">
        <f t="shared" si="81"/>
        <v>0</v>
      </c>
      <c r="U753" s="556">
        <f t="shared" si="82"/>
        <v>0</v>
      </c>
      <c r="V753" s="556">
        <f t="shared" si="83"/>
        <v>0</v>
      </c>
      <c r="W753" s="556">
        <f t="shared" si="84"/>
        <v>0</v>
      </c>
      <c r="X753" s="556">
        <f t="shared" si="85"/>
        <v>0</v>
      </c>
      <c r="Y753" s="556">
        <f t="shared" si="86"/>
        <v>0</v>
      </c>
      <c r="Z753" s="556">
        <f t="shared" si="87"/>
        <v>0</v>
      </c>
      <c r="AA753" s="556">
        <f t="shared" si="88"/>
        <v>718487.88</v>
      </c>
      <c r="AB753" s="556">
        <f t="shared" si="89"/>
        <v>0</v>
      </c>
      <c r="AC753" s="556">
        <f t="shared" si="90"/>
        <v>0</v>
      </c>
      <c r="AD753" s="556">
        <f t="shared" si="79"/>
        <v>0</v>
      </c>
      <c r="AE753" s="556">
        <f t="shared" si="91"/>
        <v>0</v>
      </c>
      <c r="AF753" s="556">
        <f t="shared" si="91"/>
        <v>0</v>
      </c>
      <c r="AG753" s="556">
        <f t="shared" si="91"/>
        <v>0</v>
      </c>
    </row>
    <row r="754" spans="1:36" hidden="1" outlineLevel="1" x14ac:dyDescent="0.35">
      <c r="A754" t="b">
        <f t="shared" si="77"/>
        <v>1</v>
      </c>
      <c r="B754" s="27" t="s">
        <v>1298</v>
      </c>
      <c r="C754" s="27" t="s">
        <v>51</v>
      </c>
      <c r="D754" s="27" t="s">
        <v>1877</v>
      </c>
      <c r="E754" s="27" t="s">
        <v>51</v>
      </c>
      <c r="F754" s="27" t="s">
        <v>90</v>
      </c>
      <c r="G754" s="27" t="s">
        <v>1621</v>
      </c>
      <c r="H754" s="27" t="s">
        <v>54</v>
      </c>
      <c r="I754" s="27" t="s">
        <v>55</v>
      </c>
      <c r="J754" s="27" t="s">
        <v>393</v>
      </c>
      <c r="K754" s="27" t="s">
        <v>371</v>
      </c>
      <c r="L754" s="27" t="s">
        <v>371</v>
      </c>
      <c r="M754" s="27" t="s">
        <v>371</v>
      </c>
      <c r="N754" s="27" t="s">
        <v>371</v>
      </c>
      <c r="O754" s="27" t="s">
        <v>371</v>
      </c>
      <c r="P754" s="27" t="s">
        <v>371</v>
      </c>
      <c r="Q754" s="27" t="s">
        <v>372</v>
      </c>
      <c r="R754" s="556">
        <f t="shared" si="78"/>
        <v>0</v>
      </c>
      <c r="S754" s="556">
        <f t="shared" si="80"/>
        <v>374063.07</v>
      </c>
      <c r="T754" s="556">
        <f t="shared" si="81"/>
        <v>460582.12</v>
      </c>
      <c r="U754" s="556">
        <f t="shared" si="82"/>
        <v>460582.12</v>
      </c>
      <c r="V754" s="556">
        <f t="shared" si="83"/>
        <v>460582.12</v>
      </c>
      <c r="W754" s="556">
        <f t="shared" si="84"/>
        <v>460582.12</v>
      </c>
      <c r="X754" s="556">
        <f t="shared" si="85"/>
        <v>485417.79</v>
      </c>
      <c r="Y754" s="556">
        <f t="shared" si="86"/>
        <v>502960.46</v>
      </c>
      <c r="Z754" s="556">
        <f t="shared" si="87"/>
        <v>1199448.5499999998</v>
      </c>
      <c r="AA754" s="556">
        <f t="shared" si="88"/>
        <v>7273337.9299999997</v>
      </c>
      <c r="AB754" s="556">
        <f t="shared" si="89"/>
        <v>8918015.7000000011</v>
      </c>
      <c r="AC754" s="556">
        <f t="shared" si="90"/>
        <v>15451564.440000001</v>
      </c>
      <c r="AD754" s="556">
        <f t="shared" si="79"/>
        <v>16021053.410000002</v>
      </c>
      <c r="AE754" s="556">
        <f t="shared" si="91"/>
        <v>18469830.300000004</v>
      </c>
      <c r="AF754" s="556">
        <f t="shared" si="91"/>
        <v>21056354.699999996</v>
      </c>
      <c r="AG754" s="556">
        <f t="shared" si="91"/>
        <v>20515014.370000001</v>
      </c>
    </row>
    <row r="755" spans="1:36" hidden="1" outlineLevel="1" x14ac:dyDescent="0.35">
      <c r="A755" t="b">
        <f t="shared" si="77"/>
        <v>1</v>
      </c>
      <c r="B755" s="27" t="s">
        <v>702</v>
      </c>
      <c r="C755" s="27" t="s">
        <v>51</v>
      </c>
      <c r="D755" s="27" t="s">
        <v>1622</v>
      </c>
      <c r="E755" s="27" t="s">
        <v>51</v>
      </c>
      <c r="F755" s="27" t="s">
        <v>385</v>
      </c>
      <c r="G755" s="27" t="s">
        <v>703</v>
      </c>
      <c r="H755" s="27" t="s">
        <v>54</v>
      </c>
      <c r="I755" s="27" t="s">
        <v>55</v>
      </c>
      <c r="J755" s="27" t="s">
        <v>393</v>
      </c>
      <c r="K755" s="27" t="s">
        <v>371</v>
      </c>
      <c r="L755" s="27" t="s">
        <v>371</v>
      </c>
      <c r="M755" s="27" t="s">
        <v>371</v>
      </c>
      <c r="N755" s="27" t="s">
        <v>371</v>
      </c>
      <c r="O755" s="27" t="s">
        <v>371</v>
      </c>
      <c r="P755" s="27" t="s">
        <v>371</v>
      </c>
      <c r="Q755" s="27" t="s">
        <v>372</v>
      </c>
      <c r="R755" s="556">
        <f t="shared" si="78"/>
        <v>0</v>
      </c>
      <c r="S755" s="556">
        <f t="shared" si="80"/>
        <v>711239.51</v>
      </c>
      <c r="T755" s="556">
        <f t="shared" si="81"/>
        <v>711239.51</v>
      </c>
      <c r="U755" s="556">
        <f t="shared" si="82"/>
        <v>711239.51</v>
      </c>
      <c r="V755" s="556">
        <f t="shared" si="83"/>
        <v>711239.51</v>
      </c>
      <c r="W755" s="556">
        <f t="shared" si="84"/>
        <v>711239.51</v>
      </c>
      <c r="X755" s="556">
        <f t="shared" si="85"/>
        <v>984773.71</v>
      </c>
      <c r="Y755" s="556">
        <f t="shared" si="86"/>
        <v>984773.71</v>
      </c>
      <c r="Z755" s="556">
        <f t="shared" si="87"/>
        <v>3107080.92</v>
      </c>
      <c r="AA755" s="556">
        <f t="shared" si="88"/>
        <v>3107080.92</v>
      </c>
      <c r="AB755" s="556">
        <f t="shared" si="89"/>
        <v>0</v>
      </c>
      <c r="AC755" s="556">
        <f t="shared" si="90"/>
        <v>0</v>
      </c>
      <c r="AD755" s="556">
        <f t="shared" si="79"/>
        <v>0</v>
      </c>
      <c r="AE755" s="556">
        <f t="shared" si="91"/>
        <v>0</v>
      </c>
      <c r="AF755" s="556">
        <f t="shared" si="91"/>
        <v>0</v>
      </c>
      <c r="AG755" s="556">
        <f t="shared" si="91"/>
        <v>0</v>
      </c>
    </row>
    <row r="756" spans="1:36" hidden="1" outlineLevel="1" x14ac:dyDescent="0.35">
      <c r="A756" t="b">
        <f t="shared" si="77"/>
        <v>1</v>
      </c>
      <c r="B756" s="27" t="s">
        <v>704</v>
      </c>
      <c r="C756" s="27" t="s">
        <v>51</v>
      </c>
      <c r="D756" s="27" t="s">
        <v>1623</v>
      </c>
      <c r="E756" s="27" t="s">
        <v>51</v>
      </c>
      <c r="F756" s="27" t="s">
        <v>109</v>
      </c>
      <c r="G756" s="27" t="s">
        <v>619</v>
      </c>
      <c r="H756" s="27" t="s">
        <v>54</v>
      </c>
      <c r="I756" s="27" t="s">
        <v>55</v>
      </c>
      <c r="J756" s="27" t="s">
        <v>101</v>
      </c>
      <c r="K756" s="27" t="s">
        <v>371</v>
      </c>
      <c r="L756" s="27" t="s">
        <v>371</v>
      </c>
      <c r="M756" s="27" t="s">
        <v>371</v>
      </c>
      <c r="N756" s="27" t="s">
        <v>371</v>
      </c>
      <c r="O756" s="27" t="s">
        <v>371</v>
      </c>
      <c r="P756" s="27" t="s">
        <v>371</v>
      </c>
      <c r="Q756" s="27" t="s">
        <v>372</v>
      </c>
      <c r="R756" s="556">
        <f t="shared" si="78"/>
        <v>0</v>
      </c>
      <c r="S756" s="556">
        <f t="shared" si="80"/>
        <v>24168.84</v>
      </c>
      <c r="T756" s="556">
        <f t="shared" si="81"/>
        <v>24168.84</v>
      </c>
      <c r="U756" s="556">
        <f t="shared" si="82"/>
        <v>24168.84</v>
      </c>
      <c r="V756" s="556">
        <f t="shared" si="83"/>
        <v>24168.84</v>
      </c>
      <c r="W756" s="556">
        <f t="shared" si="84"/>
        <v>24168.84</v>
      </c>
      <c r="X756" s="556">
        <f t="shared" si="85"/>
        <v>0</v>
      </c>
      <c r="Y756" s="556">
        <f t="shared" si="86"/>
        <v>0</v>
      </c>
      <c r="Z756" s="556">
        <f t="shared" si="87"/>
        <v>0</v>
      </c>
      <c r="AA756" s="556">
        <f t="shared" si="88"/>
        <v>0</v>
      </c>
      <c r="AB756" s="556">
        <f t="shared" si="89"/>
        <v>0</v>
      </c>
      <c r="AC756" s="556">
        <f t="shared" si="90"/>
        <v>0</v>
      </c>
      <c r="AD756" s="556">
        <f t="shared" si="79"/>
        <v>0</v>
      </c>
      <c r="AE756" s="556">
        <f t="shared" si="91"/>
        <v>0</v>
      </c>
      <c r="AF756" s="556">
        <f t="shared" si="91"/>
        <v>0</v>
      </c>
      <c r="AG756" s="556">
        <f t="shared" si="91"/>
        <v>0</v>
      </c>
    </row>
    <row r="757" spans="1:36" hidden="1" outlineLevel="1" x14ac:dyDescent="0.35">
      <c r="A757" t="b">
        <f t="shared" si="77"/>
        <v>1</v>
      </c>
      <c r="B757" s="27" t="s">
        <v>1299</v>
      </c>
      <c r="C757" s="27" t="s">
        <v>51</v>
      </c>
      <c r="D757" s="27" t="s">
        <v>1878</v>
      </c>
      <c r="E757" s="27" t="s">
        <v>51</v>
      </c>
      <c r="F757" s="27" t="s">
        <v>512</v>
      </c>
      <c r="G757" s="27" t="s">
        <v>1519</v>
      </c>
      <c r="H757" s="27" t="s">
        <v>447</v>
      </c>
      <c r="I757" s="27" t="s">
        <v>440</v>
      </c>
      <c r="J757" s="27" t="s">
        <v>448</v>
      </c>
      <c r="K757" s="27" t="s">
        <v>491</v>
      </c>
      <c r="L757" s="27" t="s">
        <v>944</v>
      </c>
      <c r="M757" s="27" t="s">
        <v>944</v>
      </c>
      <c r="N757" s="27" t="s">
        <v>944</v>
      </c>
      <c r="O757" s="27" t="s">
        <v>491</v>
      </c>
      <c r="P757" s="27" t="s">
        <v>491</v>
      </c>
      <c r="Q757" s="27" t="s">
        <v>372</v>
      </c>
      <c r="R757" s="556">
        <f t="shared" si="78"/>
        <v>0</v>
      </c>
      <c r="S757" s="556">
        <f t="shared" si="80"/>
        <v>5087.5</v>
      </c>
      <c r="T757" s="556">
        <f t="shared" si="81"/>
        <v>0</v>
      </c>
      <c r="U757" s="556">
        <f t="shared" si="82"/>
        <v>12343.95</v>
      </c>
      <c r="V757" s="556">
        <f t="shared" si="83"/>
        <v>12343.95</v>
      </c>
      <c r="W757" s="556">
        <f t="shared" si="84"/>
        <v>12343.950000000004</v>
      </c>
      <c r="X757" s="556">
        <f t="shared" si="85"/>
        <v>22710.419999999991</v>
      </c>
      <c r="Y757" s="556">
        <f t="shared" si="86"/>
        <v>23884.65</v>
      </c>
      <c r="Z757" s="556">
        <f t="shared" si="87"/>
        <v>48995.039999999994</v>
      </c>
      <c r="AA757" s="556">
        <f t="shared" si="88"/>
        <v>50499.430000000022</v>
      </c>
      <c r="AB757" s="556">
        <f t="shared" si="89"/>
        <v>347253.74</v>
      </c>
      <c r="AC757" s="556">
        <f t="shared" si="90"/>
        <v>353044.80000000005</v>
      </c>
      <c r="AD757" s="556">
        <f t="shared" si="79"/>
        <v>50580.61</v>
      </c>
      <c r="AE757" s="556">
        <f t="shared" si="91"/>
        <v>49823.05</v>
      </c>
      <c r="AF757" s="556">
        <f t="shared" si="91"/>
        <v>266602.05999999994</v>
      </c>
      <c r="AG757" s="556">
        <f t="shared" si="91"/>
        <v>263889.99</v>
      </c>
      <c r="AH757" s="44"/>
      <c r="AJ757" s="44"/>
    </row>
    <row r="758" spans="1:36" hidden="1" outlineLevel="1" x14ac:dyDescent="0.35">
      <c r="A758" t="b">
        <f t="shared" si="77"/>
        <v>1</v>
      </c>
      <c r="B758" s="27" t="s">
        <v>1300</v>
      </c>
      <c r="C758" s="27" t="s">
        <v>51</v>
      </c>
      <c r="D758" s="27" t="s">
        <v>1879</v>
      </c>
      <c r="E758" s="27" t="s">
        <v>51</v>
      </c>
      <c r="F758" s="27" t="s">
        <v>369</v>
      </c>
      <c r="G758" s="27" t="s">
        <v>1624</v>
      </c>
      <c r="H758" s="27" t="s">
        <v>54</v>
      </c>
      <c r="I758" s="27" t="s">
        <v>55</v>
      </c>
      <c r="J758" s="27" t="s">
        <v>370</v>
      </c>
      <c r="K758" s="27" t="s">
        <v>371</v>
      </c>
      <c r="L758" s="27" t="s">
        <v>371</v>
      </c>
      <c r="M758" s="27" t="s">
        <v>371</v>
      </c>
      <c r="N758" s="27" t="s">
        <v>371</v>
      </c>
      <c r="O758" s="27" t="s">
        <v>371</v>
      </c>
      <c r="P758" s="27" t="s">
        <v>371</v>
      </c>
      <c r="Q758" s="27" t="s">
        <v>372</v>
      </c>
      <c r="R758" s="556">
        <f t="shared" si="78"/>
        <v>0</v>
      </c>
      <c r="S758" s="556">
        <f t="shared" si="80"/>
        <v>0</v>
      </c>
      <c r="T758" s="556">
        <f t="shared" si="81"/>
        <v>17346383.870000001</v>
      </c>
      <c r="U758" s="556">
        <f t="shared" si="82"/>
        <v>1787744.8399999994</v>
      </c>
      <c r="V758" s="556">
        <f t="shared" si="83"/>
        <v>28760176.489999995</v>
      </c>
      <c r="W758" s="556">
        <f t="shared" si="84"/>
        <v>13669182.630000003</v>
      </c>
      <c r="X758" s="556">
        <f t="shared" si="85"/>
        <v>13112279.98</v>
      </c>
      <c r="Y758" s="556">
        <f t="shared" si="86"/>
        <v>4123325.46</v>
      </c>
      <c r="Z758" s="556">
        <f t="shared" si="87"/>
        <v>2831133.6799999969</v>
      </c>
      <c r="AA758" s="556">
        <f t="shared" si="88"/>
        <v>166815.25</v>
      </c>
      <c r="AB758" s="556">
        <f t="shared" si="89"/>
        <v>12716.279999999999</v>
      </c>
      <c r="AC758" s="556">
        <f t="shared" si="90"/>
        <v>9677.7999999999993</v>
      </c>
      <c r="AD758" s="556">
        <f t="shared" si="79"/>
        <v>27203.98</v>
      </c>
      <c r="AE758" s="556">
        <f t="shared" si="91"/>
        <v>555.83000000000004</v>
      </c>
      <c r="AF758" s="556">
        <f t="shared" si="91"/>
        <v>230045.1</v>
      </c>
      <c r="AG758" s="556">
        <f t="shared" si="91"/>
        <v>16080.9</v>
      </c>
    </row>
    <row r="759" spans="1:36" hidden="1" outlineLevel="1" x14ac:dyDescent="0.35">
      <c r="A759" t="b">
        <f t="shared" si="77"/>
        <v>1</v>
      </c>
      <c r="B759" s="27" t="s">
        <v>705</v>
      </c>
      <c r="C759" s="27" t="s">
        <v>51</v>
      </c>
      <c r="D759" s="27" t="s">
        <v>1625</v>
      </c>
      <c r="E759" s="27" t="s">
        <v>51</v>
      </c>
      <c r="F759" s="27" t="s">
        <v>381</v>
      </c>
      <c r="G759" s="27" t="s">
        <v>706</v>
      </c>
      <c r="H759" s="27" t="s">
        <v>54</v>
      </c>
      <c r="I759" s="27" t="s">
        <v>55</v>
      </c>
      <c r="J759" s="27" t="s">
        <v>383</v>
      </c>
      <c r="K759" s="27" t="s">
        <v>371</v>
      </c>
      <c r="L759" s="27" t="s">
        <v>371</v>
      </c>
      <c r="M759" s="27" t="s">
        <v>371</v>
      </c>
      <c r="N759" s="27" t="s">
        <v>371</v>
      </c>
      <c r="O759" s="27" t="s">
        <v>371</v>
      </c>
      <c r="P759" s="27" t="s">
        <v>371</v>
      </c>
      <c r="Q759" s="27" t="s">
        <v>372</v>
      </c>
      <c r="R759" s="556">
        <f t="shared" si="78"/>
        <v>0</v>
      </c>
      <c r="S759" s="556">
        <f t="shared" si="80"/>
        <v>0</v>
      </c>
      <c r="T759" s="556">
        <f t="shared" si="81"/>
        <v>378930.03</v>
      </c>
      <c r="U759" s="556">
        <f t="shared" si="82"/>
        <v>0</v>
      </c>
      <c r="V759" s="556">
        <f t="shared" si="83"/>
        <v>0</v>
      </c>
      <c r="W759" s="556">
        <f t="shared" si="84"/>
        <v>0</v>
      </c>
      <c r="X759" s="556">
        <f t="shared" si="85"/>
        <v>0</v>
      </c>
      <c r="Y759" s="556">
        <f t="shared" si="86"/>
        <v>0</v>
      </c>
      <c r="Z759" s="556">
        <f t="shared" si="87"/>
        <v>0</v>
      </c>
      <c r="AA759" s="556">
        <f t="shared" si="88"/>
        <v>0</v>
      </c>
      <c r="AB759" s="556">
        <f t="shared" si="89"/>
        <v>0</v>
      </c>
      <c r="AC759" s="556">
        <f t="shared" si="90"/>
        <v>0</v>
      </c>
      <c r="AD759" s="556">
        <f t="shared" si="79"/>
        <v>0</v>
      </c>
      <c r="AE759" s="556">
        <f t="shared" si="91"/>
        <v>0</v>
      </c>
      <c r="AF759" s="556">
        <f t="shared" si="91"/>
        <v>0</v>
      </c>
      <c r="AG759" s="556">
        <f t="shared" si="91"/>
        <v>0</v>
      </c>
    </row>
    <row r="760" spans="1:36" hidden="1" outlineLevel="1" x14ac:dyDescent="0.35">
      <c r="A760" t="b">
        <f t="shared" si="77"/>
        <v>1</v>
      </c>
      <c r="B760" s="27" t="s">
        <v>707</v>
      </c>
      <c r="C760" s="27" t="s">
        <v>51</v>
      </c>
      <c r="D760" s="27" t="s">
        <v>1626</v>
      </c>
      <c r="E760" s="27" t="s">
        <v>51</v>
      </c>
      <c r="F760" s="27" t="s">
        <v>109</v>
      </c>
      <c r="G760" s="27" t="s">
        <v>708</v>
      </c>
      <c r="H760" s="27" t="s">
        <v>54</v>
      </c>
      <c r="I760" s="27" t="s">
        <v>55</v>
      </c>
      <c r="J760" s="27" t="s">
        <v>101</v>
      </c>
      <c r="K760" s="27" t="s">
        <v>371</v>
      </c>
      <c r="L760" s="27" t="s">
        <v>371</v>
      </c>
      <c r="M760" s="27" t="s">
        <v>371</v>
      </c>
      <c r="N760" s="27" t="s">
        <v>371</v>
      </c>
      <c r="O760" s="27" t="s">
        <v>371</v>
      </c>
      <c r="P760" s="27" t="s">
        <v>371</v>
      </c>
      <c r="Q760" s="27" t="s">
        <v>372</v>
      </c>
      <c r="R760" s="556">
        <f t="shared" si="78"/>
        <v>0</v>
      </c>
      <c r="S760" s="556">
        <f t="shared" si="80"/>
        <v>0</v>
      </c>
      <c r="T760" s="556">
        <f t="shared" si="81"/>
        <v>161637.07</v>
      </c>
      <c r="U760" s="556">
        <f t="shared" si="82"/>
        <v>0</v>
      </c>
      <c r="V760" s="556">
        <f t="shared" si="83"/>
        <v>0</v>
      </c>
      <c r="W760" s="556">
        <f t="shared" si="84"/>
        <v>0</v>
      </c>
      <c r="X760" s="556">
        <f t="shared" si="85"/>
        <v>0</v>
      </c>
      <c r="Y760" s="556">
        <f t="shared" si="86"/>
        <v>0</v>
      </c>
      <c r="Z760" s="556">
        <f t="shared" si="87"/>
        <v>0</v>
      </c>
      <c r="AA760" s="556">
        <f t="shared" si="88"/>
        <v>0</v>
      </c>
      <c r="AB760" s="556">
        <f t="shared" si="89"/>
        <v>0</v>
      </c>
      <c r="AC760" s="556">
        <f t="shared" si="90"/>
        <v>0</v>
      </c>
      <c r="AD760" s="556">
        <f t="shared" si="79"/>
        <v>0</v>
      </c>
      <c r="AE760" s="556">
        <f t="shared" si="91"/>
        <v>290067.15000000002</v>
      </c>
      <c r="AF760" s="556">
        <f t="shared" si="91"/>
        <v>0</v>
      </c>
      <c r="AG760" s="556">
        <f t="shared" si="91"/>
        <v>0</v>
      </c>
    </row>
    <row r="761" spans="1:36" hidden="1" outlineLevel="1" x14ac:dyDescent="0.35">
      <c r="A761" t="b">
        <f t="shared" si="77"/>
        <v>1</v>
      </c>
      <c r="B761" s="27" t="s">
        <v>709</v>
      </c>
      <c r="C761" s="27" t="s">
        <v>51</v>
      </c>
      <c r="D761" s="27" t="s">
        <v>1627</v>
      </c>
      <c r="E761" s="27" t="s">
        <v>51</v>
      </c>
      <c r="F761" s="27" t="s">
        <v>385</v>
      </c>
      <c r="G761" s="27" t="s">
        <v>710</v>
      </c>
      <c r="H761" s="27" t="s">
        <v>54</v>
      </c>
      <c r="I761" s="27" t="s">
        <v>55</v>
      </c>
      <c r="J761" s="27" t="s">
        <v>393</v>
      </c>
      <c r="K761" s="27" t="s">
        <v>371</v>
      </c>
      <c r="L761" s="27" t="s">
        <v>371</v>
      </c>
      <c r="M761" s="27" t="s">
        <v>371</v>
      </c>
      <c r="N761" s="27" t="s">
        <v>371</v>
      </c>
      <c r="O761" s="27" t="s">
        <v>371</v>
      </c>
      <c r="P761" s="27" t="s">
        <v>371</v>
      </c>
      <c r="Q761" s="27" t="s">
        <v>372</v>
      </c>
      <c r="R761" s="556">
        <f t="shared" si="78"/>
        <v>0</v>
      </c>
      <c r="S761" s="556">
        <f t="shared" si="80"/>
        <v>0</v>
      </c>
      <c r="T761" s="556">
        <f t="shared" si="81"/>
        <v>19937060.59</v>
      </c>
      <c r="U761" s="556">
        <f t="shared" si="82"/>
        <v>20755055.93</v>
      </c>
      <c r="V761" s="556">
        <f t="shared" si="83"/>
        <v>20755055.93</v>
      </c>
      <c r="W761" s="556">
        <f t="shared" si="84"/>
        <v>20755055.93</v>
      </c>
      <c r="X761" s="556">
        <f t="shared" si="85"/>
        <v>20778332.469999999</v>
      </c>
      <c r="Y761" s="556">
        <f t="shared" si="86"/>
        <v>20778332.469999999</v>
      </c>
      <c r="Z761" s="556">
        <f t="shared" si="87"/>
        <v>21088106.869999997</v>
      </c>
      <c r="AA761" s="556">
        <f t="shared" si="88"/>
        <v>21362682.870000001</v>
      </c>
      <c r="AB761" s="556">
        <f t="shared" si="89"/>
        <v>22717658.530000001</v>
      </c>
      <c r="AC761" s="556">
        <f t="shared" si="90"/>
        <v>24755447.640000001</v>
      </c>
      <c r="AD761" s="556">
        <f t="shared" si="79"/>
        <v>24775343.25</v>
      </c>
      <c r="AE761" s="556">
        <f t="shared" si="91"/>
        <v>24755447.640000001</v>
      </c>
      <c r="AF761" s="556">
        <f t="shared" si="91"/>
        <v>24755447.640000001</v>
      </c>
      <c r="AG761" s="556">
        <f t="shared" si="91"/>
        <v>0</v>
      </c>
    </row>
    <row r="762" spans="1:36" hidden="1" outlineLevel="1" x14ac:dyDescent="0.35">
      <c r="A762" t="b">
        <f t="shared" si="77"/>
        <v>1</v>
      </c>
      <c r="B762" s="27" t="s">
        <v>1301</v>
      </c>
      <c r="C762" s="27" t="s">
        <v>51</v>
      </c>
      <c r="D762" s="27" t="s">
        <v>1880</v>
      </c>
      <c r="E762" s="27" t="s">
        <v>51</v>
      </c>
      <c r="F762" s="27" t="s">
        <v>195</v>
      </c>
      <c r="G762" s="27" t="s">
        <v>1628</v>
      </c>
      <c r="H762" s="27" t="s">
        <v>54</v>
      </c>
      <c r="I762" s="27" t="s">
        <v>142</v>
      </c>
      <c r="J762" s="27" t="s">
        <v>197</v>
      </c>
      <c r="K762" s="27" t="s">
        <v>371</v>
      </c>
      <c r="L762" s="27" t="s">
        <v>371</v>
      </c>
      <c r="M762" s="27" t="s">
        <v>371</v>
      </c>
      <c r="N762" s="27" t="s">
        <v>371</v>
      </c>
      <c r="O762" s="27" t="s">
        <v>371</v>
      </c>
      <c r="P762" s="27" t="s">
        <v>371</v>
      </c>
      <c r="Q762" s="27" t="s">
        <v>372</v>
      </c>
      <c r="R762" s="556">
        <f t="shared" si="78"/>
        <v>0</v>
      </c>
      <c r="S762" s="556">
        <f t="shared" si="80"/>
        <v>0</v>
      </c>
      <c r="T762" s="556">
        <f t="shared" si="81"/>
        <v>5967.5699999998324</v>
      </c>
      <c r="U762" s="556">
        <f t="shared" si="82"/>
        <v>-1.0000000000218279E-2</v>
      </c>
      <c r="V762" s="556">
        <f t="shared" si="83"/>
        <v>-0.01</v>
      </c>
      <c r="W762" s="556">
        <f t="shared" si="84"/>
        <v>0</v>
      </c>
      <c r="X762" s="556">
        <f t="shared" si="85"/>
        <v>0</v>
      </c>
      <c r="Y762" s="556">
        <f t="shared" si="86"/>
        <v>0</v>
      </c>
      <c r="Z762" s="556">
        <f t="shared" si="87"/>
        <v>0</v>
      </c>
      <c r="AA762" s="556">
        <f t="shared" si="88"/>
        <v>0</v>
      </c>
      <c r="AB762" s="556">
        <f t="shared" si="89"/>
        <v>26.35</v>
      </c>
      <c r="AC762" s="556">
        <f t="shared" si="90"/>
        <v>495.22</v>
      </c>
      <c r="AD762" s="556">
        <f t="shared" si="79"/>
        <v>5963.43</v>
      </c>
      <c r="AE762" s="556">
        <f t="shared" si="91"/>
        <v>5963.43</v>
      </c>
      <c r="AF762" s="556">
        <f t="shared" si="91"/>
        <v>5963.43</v>
      </c>
      <c r="AG762" s="556">
        <f t="shared" si="91"/>
        <v>5963.43</v>
      </c>
    </row>
    <row r="763" spans="1:36" hidden="1" outlineLevel="1" x14ac:dyDescent="0.35">
      <c r="A763" t="b">
        <f t="shared" si="77"/>
        <v>1</v>
      </c>
      <c r="B763" s="27" t="s">
        <v>711</v>
      </c>
      <c r="C763" s="27" t="s">
        <v>51</v>
      </c>
      <c r="D763" s="27" t="s">
        <v>1629</v>
      </c>
      <c r="E763" s="27" t="s">
        <v>51</v>
      </c>
      <c r="F763" s="27" t="s">
        <v>432</v>
      </c>
      <c r="G763" s="27" t="s">
        <v>712</v>
      </c>
      <c r="H763" s="27" t="s">
        <v>54</v>
      </c>
      <c r="I763" s="27" t="s">
        <v>142</v>
      </c>
      <c r="J763" s="27" t="s">
        <v>143</v>
      </c>
      <c r="K763" s="27" t="s">
        <v>371</v>
      </c>
      <c r="L763" s="27" t="s">
        <v>371</v>
      </c>
      <c r="M763" s="27" t="s">
        <v>371</v>
      </c>
      <c r="N763" s="27" t="s">
        <v>371</v>
      </c>
      <c r="O763" s="27" t="s">
        <v>371</v>
      </c>
      <c r="P763" s="27" t="s">
        <v>371</v>
      </c>
      <c r="Q763" s="27" t="s">
        <v>372</v>
      </c>
      <c r="R763" s="556">
        <f t="shared" si="78"/>
        <v>0</v>
      </c>
      <c r="S763" s="556">
        <f t="shared" si="80"/>
        <v>0</v>
      </c>
      <c r="T763" s="556">
        <f t="shared" si="81"/>
        <v>-4800000</v>
      </c>
      <c r="U763" s="556">
        <f t="shared" si="82"/>
        <v>-4800000</v>
      </c>
      <c r="V763" s="556">
        <f t="shared" si="83"/>
        <v>-60244430</v>
      </c>
      <c r="W763" s="556">
        <f t="shared" si="84"/>
        <v>-60244430</v>
      </c>
      <c r="X763" s="556">
        <f t="shared" si="85"/>
        <v>-60244430</v>
      </c>
      <c r="Y763" s="556">
        <f t="shared" si="86"/>
        <v>-60244430</v>
      </c>
      <c r="Z763" s="556">
        <f t="shared" si="87"/>
        <v>-54091770</v>
      </c>
      <c r="AA763" s="556">
        <f t="shared" si="88"/>
        <v>-54091770</v>
      </c>
      <c r="AB763" s="556">
        <f t="shared" si="89"/>
        <v>-54091770</v>
      </c>
      <c r="AC763" s="556">
        <f t="shared" si="90"/>
        <v>0</v>
      </c>
      <c r="AD763" s="556">
        <f t="shared" si="79"/>
        <v>-54091770</v>
      </c>
      <c r="AE763" s="556">
        <f t="shared" si="91"/>
        <v>-54091770</v>
      </c>
      <c r="AF763" s="556">
        <f t="shared" si="91"/>
        <v>0</v>
      </c>
      <c r="AG763" s="556">
        <f t="shared" si="91"/>
        <v>0</v>
      </c>
    </row>
    <row r="764" spans="1:36" hidden="1" outlineLevel="1" x14ac:dyDescent="0.35">
      <c r="A764" t="b">
        <f t="shared" si="77"/>
        <v>1</v>
      </c>
      <c r="B764" s="27" t="s">
        <v>1302</v>
      </c>
      <c r="C764" s="27" t="s">
        <v>51</v>
      </c>
      <c r="D764" s="27" t="s">
        <v>1881</v>
      </c>
      <c r="E764" s="27" t="s">
        <v>51</v>
      </c>
      <c r="F764" s="27" t="s">
        <v>713</v>
      </c>
      <c r="G764" s="27" t="s">
        <v>1630</v>
      </c>
      <c r="H764" s="27" t="s">
        <v>54</v>
      </c>
      <c r="I764" s="27" t="s">
        <v>440</v>
      </c>
      <c r="J764" s="27" t="s">
        <v>441</v>
      </c>
      <c r="K764" s="27" t="s">
        <v>371</v>
      </c>
      <c r="L764" s="27" t="s">
        <v>371</v>
      </c>
      <c r="M764" s="27" t="s">
        <v>371</v>
      </c>
      <c r="N764" s="27" t="s">
        <v>371</v>
      </c>
      <c r="O764" s="27" t="s">
        <v>371</v>
      </c>
      <c r="P764" s="27" t="s">
        <v>371</v>
      </c>
      <c r="Q764" s="27" t="s">
        <v>372</v>
      </c>
      <c r="R764" s="556">
        <f t="shared" si="78"/>
        <v>0</v>
      </c>
      <c r="S764" s="556">
        <f t="shared" si="80"/>
        <v>0</v>
      </c>
      <c r="T764" s="556">
        <f t="shared" si="81"/>
        <v>-25200000</v>
      </c>
      <c r="U764" s="556">
        <f t="shared" si="82"/>
        <v>-25200000</v>
      </c>
      <c r="V764" s="556">
        <f t="shared" si="83"/>
        <v>-41333348</v>
      </c>
      <c r="W764" s="556">
        <f t="shared" si="84"/>
        <v>-42666681</v>
      </c>
      <c r="X764" s="556">
        <f t="shared" si="85"/>
        <v>-44000014</v>
      </c>
      <c r="Y764" s="556">
        <f t="shared" si="86"/>
        <v>-45333347</v>
      </c>
      <c r="Z764" s="556">
        <f t="shared" si="87"/>
        <v>-52113520</v>
      </c>
      <c r="AA764" s="556">
        <f t="shared" si="88"/>
        <v>-53460462</v>
      </c>
      <c r="AB764" s="556">
        <f t="shared" si="89"/>
        <v>-54790656</v>
      </c>
      <c r="AC764" s="556">
        <f t="shared" si="90"/>
        <v>-100000000</v>
      </c>
      <c r="AD764" s="556">
        <f t="shared" si="79"/>
        <v>-57357839</v>
      </c>
      <c r="AE764" s="556">
        <f t="shared" si="91"/>
        <v>-58608967</v>
      </c>
      <c r="AF764" s="556">
        <f t="shared" si="91"/>
        <v>-100000000</v>
      </c>
      <c r="AG764" s="556">
        <f t="shared" si="91"/>
        <v>-100000000</v>
      </c>
    </row>
    <row r="765" spans="1:36" hidden="1" outlineLevel="1" x14ac:dyDescent="0.35">
      <c r="A765" t="b">
        <f t="shared" si="77"/>
        <v>1</v>
      </c>
      <c r="B765" s="27" t="s">
        <v>714</v>
      </c>
      <c r="C765" s="27" t="s">
        <v>51</v>
      </c>
      <c r="D765" s="27" t="s">
        <v>1631</v>
      </c>
      <c r="E765" s="27" t="s">
        <v>51</v>
      </c>
      <c r="F765" s="27" t="s">
        <v>474</v>
      </c>
      <c r="G765" s="27" t="s">
        <v>715</v>
      </c>
      <c r="H765" s="27" t="s">
        <v>447</v>
      </c>
      <c r="I765" s="27" t="s">
        <v>440</v>
      </c>
      <c r="J765" s="27" t="s">
        <v>448</v>
      </c>
      <c r="K765" s="27" t="s">
        <v>476</v>
      </c>
      <c r="L765" s="27" t="s">
        <v>503</v>
      </c>
      <c r="M765" s="27" t="s">
        <v>503</v>
      </c>
      <c r="N765" s="27" t="s">
        <v>503</v>
      </c>
      <c r="O765" s="27" t="s">
        <v>480</v>
      </c>
      <c r="P765" s="27" t="s">
        <v>480</v>
      </c>
      <c r="Q765" s="27" t="s">
        <v>372</v>
      </c>
      <c r="R765" s="556">
        <f t="shared" si="78"/>
        <v>0</v>
      </c>
      <c r="S765" s="556">
        <f t="shared" si="80"/>
        <v>0</v>
      </c>
      <c r="T765" s="556">
        <f t="shared" si="81"/>
        <v>185000</v>
      </c>
      <c r="U765" s="556">
        <f t="shared" si="82"/>
        <v>0</v>
      </c>
      <c r="V765" s="556">
        <f t="shared" si="83"/>
        <v>0</v>
      </c>
      <c r="W765" s="556">
        <f t="shared" si="84"/>
        <v>0</v>
      </c>
      <c r="X765" s="556">
        <f t="shared" si="85"/>
        <v>0</v>
      </c>
      <c r="Y765" s="556">
        <f t="shared" si="86"/>
        <v>0</v>
      </c>
      <c r="Z765" s="556">
        <f t="shared" si="87"/>
        <v>0</v>
      </c>
      <c r="AA765" s="556">
        <f t="shared" si="88"/>
        <v>0</v>
      </c>
      <c r="AB765" s="556">
        <f t="shared" si="89"/>
        <v>0</v>
      </c>
      <c r="AC765" s="556">
        <f t="shared" si="90"/>
        <v>0</v>
      </c>
      <c r="AD765" s="556">
        <f t="shared" si="79"/>
        <v>0</v>
      </c>
      <c r="AE765" s="556">
        <f t="shared" si="91"/>
        <v>0</v>
      </c>
      <c r="AF765" s="556">
        <f t="shared" si="91"/>
        <v>0</v>
      </c>
      <c r="AG765" s="556">
        <f t="shared" si="91"/>
        <v>0</v>
      </c>
      <c r="AH765" s="44"/>
    </row>
    <row r="766" spans="1:36" hidden="1" outlineLevel="1" x14ac:dyDescent="0.35">
      <c r="A766" t="b">
        <f t="shared" si="77"/>
        <v>1</v>
      </c>
      <c r="B766" s="27" t="s">
        <v>1303</v>
      </c>
      <c r="C766" s="27" t="s">
        <v>51</v>
      </c>
      <c r="D766" s="27" t="s">
        <v>1882</v>
      </c>
      <c r="E766" s="27" t="s">
        <v>51</v>
      </c>
      <c r="F766" s="27" t="s">
        <v>501</v>
      </c>
      <c r="G766" s="27" t="s">
        <v>1632</v>
      </c>
      <c r="H766" s="27" t="s">
        <v>447</v>
      </c>
      <c r="I766" s="27" t="s">
        <v>440</v>
      </c>
      <c r="J766" s="27" t="s">
        <v>448</v>
      </c>
      <c r="K766" s="27" t="s">
        <v>491</v>
      </c>
      <c r="L766" s="27" t="s">
        <v>716</v>
      </c>
      <c r="M766" s="27" t="s">
        <v>716</v>
      </c>
      <c r="N766" s="27" t="s">
        <v>716</v>
      </c>
      <c r="O766" s="27" t="s">
        <v>491</v>
      </c>
      <c r="P766" s="27" t="s">
        <v>491</v>
      </c>
      <c r="Q766" s="27" t="s">
        <v>372</v>
      </c>
      <c r="R766" s="556">
        <f t="shared" si="78"/>
        <v>0</v>
      </c>
      <c r="S766" s="556">
        <f t="shared" si="80"/>
        <v>0</v>
      </c>
      <c r="T766" s="556">
        <f t="shared" si="81"/>
        <v>28036.66</v>
      </c>
      <c r="U766" s="556">
        <f t="shared" si="82"/>
        <v>65200</v>
      </c>
      <c r="V766" s="556">
        <f t="shared" si="83"/>
        <v>65200</v>
      </c>
      <c r="W766" s="556">
        <f t="shared" si="84"/>
        <v>64656.670000000013</v>
      </c>
      <c r="X766" s="556">
        <f t="shared" si="85"/>
        <v>121823.32999999996</v>
      </c>
      <c r="Y766" s="556">
        <f t="shared" si="86"/>
        <v>177560</v>
      </c>
      <c r="Z766" s="556">
        <f t="shared" si="87"/>
        <v>210159.99999999994</v>
      </c>
      <c r="AA766" s="556">
        <f t="shared" si="88"/>
        <v>191987.34000000008</v>
      </c>
      <c r="AB766" s="556">
        <f t="shared" si="89"/>
        <v>192230</v>
      </c>
      <c r="AC766" s="556">
        <f t="shared" si="90"/>
        <v>309195.33000000007</v>
      </c>
      <c r="AD766" s="556">
        <f t="shared" si="79"/>
        <v>197800</v>
      </c>
      <c r="AE766" s="556">
        <f t="shared" si="91"/>
        <v>211942</v>
      </c>
      <c r="AF766" s="556">
        <f t="shared" si="91"/>
        <v>220069</v>
      </c>
      <c r="AG766" s="556">
        <f t="shared" si="91"/>
        <v>254623.69999999995</v>
      </c>
      <c r="AH766" s="44"/>
      <c r="AJ766" s="44"/>
    </row>
    <row r="767" spans="1:36" hidden="1" outlineLevel="1" x14ac:dyDescent="0.35">
      <c r="A767" t="b">
        <f t="shared" si="77"/>
        <v>1</v>
      </c>
      <c r="B767" s="27" t="s">
        <v>717</v>
      </c>
      <c r="C767" s="27" t="s">
        <v>51</v>
      </c>
      <c r="D767" s="27" t="s">
        <v>1633</v>
      </c>
      <c r="E767" s="27" t="s">
        <v>51</v>
      </c>
      <c r="F767" s="27" t="s">
        <v>501</v>
      </c>
      <c r="G767" s="27" t="s">
        <v>718</v>
      </c>
      <c r="H767" s="27" t="s">
        <v>447</v>
      </c>
      <c r="I767" s="27" t="s">
        <v>440</v>
      </c>
      <c r="J767" s="27" t="s">
        <v>448</v>
      </c>
      <c r="K767" s="27" t="s">
        <v>476</v>
      </c>
      <c r="L767" s="27" t="s">
        <v>502</v>
      </c>
      <c r="M767" s="27" t="s">
        <v>502</v>
      </c>
      <c r="N767" s="27" t="s">
        <v>488</v>
      </c>
      <c r="O767" s="27" t="s">
        <v>480</v>
      </c>
      <c r="P767" s="27" t="s">
        <v>480</v>
      </c>
      <c r="Q767" s="27" t="s">
        <v>372</v>
      </c>
      <c r="R767" s="556">
        <f t="shared" si="78"/>
        <v>0</v>
      </c>
      <c r="S767" s="556">
        <f t="shared" si="80"/>
        <v>0</v>
      </c>
      <c r="T767" s="556">
        <f t="shared" si="81"/>
        <v>5480</v>
      </c>
      <c r="U767" s="556">
        <f t="shared" si="82"/>
        <v>950</v>
      </c>
      <c r="V767" s="556">
        <f t="shared" si="83"/>
        <v>0</v>
      </c>
      <c r="W767" s="556">
        <f t="shared" si="84"/>
        <v>0</v>
      </c>
      <c r="X767" s="556">
        <f t="shared" si="85"/>
        <v>0</v>
      </c>
      <c r="Y767" s="556">
        <f t="shared" si="86"/>
        <v>34500</v>
      </c>
      <c r="Z767" s="556">
        <f t="shared" si="87"/>
        <v>0</v>
      </c>
      <c r="AA767" s="556">
        <f t="shared" si="88"/>
        <v>504000</v>
      </c>
      <c r="AB767" s="556">
        <f t="shared" si="89"/>
        <v>0</v>
      </c>
      <c r="AC767" s="556">
        <f t="shared" si="90"/>
        <v>46500</v>
      </c>
      <c r="AD767" s="556">
        <f t="shared" si="79"/>
        <v>0</v>
      </c>
      <c r="AE767" s="556">
        <f t="shared" si="91"/>
        <v>0</v>
      </c>
      <c r="AF767" s="556">
        <f t="shared" si="91"/>
        <v>0</v>
      </c>
      <c r="AG767" s="556">
        <f t="shared" si="91"/>
        <v>0</v>
      </c>
      <c r="AH767" s="44"/>
    </row>
    <row r="768" spans="1:36" hidden="1" outlineLevel="1" x14ac:dyDescent="0.35">
      <c r="A768" t="b">
        <f t="shared" si="77"/>
        <v>1</v>
      </c>
      <c r="B768" s="27" t="s">
        <v>1304</v>
      </c>
      <c r="C768" s="27" t="s">
        <v>51</v>
      </c>
      <c r="D768" s="27" t="s">
        <v>1883</v>
      </c>
      <c r="E768" s="27" t="s">
        <v>51</v>
      </c>
      <c r="F768" s="27" t="s">
        <v>501</v>
      </c>
      <c r="G768" s="27" t="s">
        <v>1634</v>
      </c>
      <c r="H768" s="27" t="s">
        <v>447</v>
      </c>
      <c r="I768" s="27" t="s">
        <v>440</v>
      </c>
      <c r="J768" s="27" t="s">
        <v>448</v>
      </c>
      <c r="K768" s="27" t="s">
        <v>476</v>
      </c>
      <c r="L768" s="27" t="s">
        <v>503</v>
      </c>
      <c r="M768" s="27" t="s">
        <v>503</v>
      </c>
      <c r="N768" s="27" t="s">
        <v>503</v>
      </c>
      <c r="O768" s="27" t="s">
        <v>480</v>
      </c>
      <c r="P768" s="27" t="s">
        <v>480</v>
      </c>
      <c r="Q768" s="27" t="s">
        <v>372</v>
      </c>
      <c r="R768" s="556">
        <f t="shared" si="78"/>
        <v>0</v>
      </c>
      <c r="S768" s="556">
        <f t="shared" si="80"/>
        <v>0</v>
      </c>
      <c r="T768" s="556">
        <f t="shared" si="81"/>
        <v>122500</v>
      </c>
      <c r="U768" s="556">
        <f t="shared" si="82"/>
        <v>0</v>
      </c>
      <c r="V768" s="556">
        <f t="shared" si="83"/>
        <v>0</v>
      </c>
      <c r="W768" s="556">
        <f t="shared" si="84"/>
        <v>0</v>
      </c>
      <c r="X768" s="556">
        <f t="shared" si="85"/>
        <v>0</v>
      </c>
      <c r="Y768" s="556">
        <f t="shared" si="86"/>
        <v>0</v>
      </c>
      <c r="Z768" s="556">
        <f t="shared" si="87"/>
        <v>91946</v>
      </c>
      <c r="AA768" s="556">
        <f t="shared" si="88"/>
        <v>15000</v>
      </c>
      <c r="AB768" s="556">
        <f t="shared" si="89"/>
        <v>240000</v>
      </c>
      <c r="AC768" s="556">
        <f t="shared" si="90"/>
        <v>0</v>
      </c>
      <c r="AD768" s="556">
        <f t="shared" si="79"/>
        <v>9000</v>
      </c>
      <c r="AE768" s="556">
        <f t="shared" si="91"/>
        <v>0</v>
      </c>
      <c r="AF768" s="556">
        <f t="shared" si="91"/>
        <v>0</v>
      </c>
      <c r="AG768" s="556">
        <f t="shared" si="91"/>
        <v>3284</v>
      </c>
      <c r="AH768" s="44"/>
    </row>
    <row r="769" spans="1:34" hidden="1" outlineLevel="1" x14ac:dyDescent="0.35">
      <c r="A769" t="b">
        <f t="shared" si="77"/>
        <v>1</v>
      </c>
      <c r="B769" s="27" t="s">
        <v>1305</v>
      </c>
      <c r="C769" s="27" t="s">
        <v>51</v>
      </c>
      <c r="D769" s="27" t="s">
        <v>1884</v>
      </c>
      <c r="E769" s="27" t="s">
        <v>51</v>
      </c>
      <c r="F769" s="27" t="s">
        <v>385</v>
      </c>
      <c r="G769" s="27" t="s">
        <v>1635</v>
      </c>
      <c r="H769" s="27" t="s">
        <v>54</v>
      </c>
      <c r="I769" s="27" t="s">
        <v>55</v>
      </c>
      <c r="J769" s="27" t="s">
        <v>393</v>
      </c>
      <c r="K769" s="27" t="s">
        <v>371</v>
      </c>
      <c r="L769" s="27" t="s">
        <v>371</v>
      </c>
      <c r="M769" s="27" t="s">
        <v>371</v>
      </c>
      <c r="N769" s="27" t="s">
        <v>371</v>
      </c>
      <c r="O769" s="27" t="s">
        <v>371</v>
      </c>
      <c r="P769" s="27" t="s">
        <v>371</v>
      </c>
      <c r="Q769" s="27" t="s">
        <v>372</v>
      </c>
      <c r="R769" s="556">
        <f t="shared" si="78"/>
        <v>0</v>
      </c>
      <c r="S769" s="556">
        <f t="shared" si="80"/>
        <v>0</v>
      </c>
      <c r="T769" s="556">
        <f t="shared" si="81"/>
        <v>397198</v>
      </c>
      <c r="U769" s="556">
        <f t="shared" si="82"/>
        <v>910726</v>
      </c>
      <c r="V769" s="556">
        <f t="shared" si="83"/>
        <v>1053126</v>
      </c>
      <c r="W769" s="556">
        <f t="shared" si="84"/>
        <v>1221833.1499999999</v>
      </c>
      <c r="X769" s="556">
        <f t="shared" si="85"/>
        <v>1245065.1499999999</v>
      </c>
      <c r="Y769" s="556">
        <f t="shared" si="86"/>
        <v>1245065.1499999999</v>
      </c>
      <c r="Z769" s="556">
        <f t="shared" si="87"/>
        <v>1221833.1499999999</v>
      </c>
      <c r="AA769" s="556">
        <f t="shared" si="88"/>
        <v>1212676</v>
      </c>
      <c r="AB769" s="556">
        <f t="shared" si="89"/>
        <v>1212676</v>
      </c>
      <c r="AC769" s="556">
        <f t="shared" si="90"/>
        <v>1212676</v>
      </c>
      <c r="AD769" s="556">
        <f t="shared" si="79"/>
        <v>1212676</v>
      </c>
      <c r="AE769" s="556">
        <f t="shared" si="91"/>
        <v>1212676</v>
      </c>
      <c r="AF769" s="556">
        <f t="shared" si="91"/>
        <v>1212676</v>
      </c>
      <c r="AG769" s="556">
        <f t="shared" si="91"/>
        <v>1212676</v>
      </c>
    </row>
    <row r="770" spans="1:34" hidden="1" outlineLevel="1" x14ac:dyDescent="0.35">
      <c r="A770" t="b">
        <f t="shared" si="77"/>
        <v>1</v>
      </c>
      <c r="B770" s="27" t="s">
        <v>719</v>
      </c>
      <c r="C770" s="27" t="s">
        <v>51</v>
      </c>
      <c r="D770" s="27" t="s">
        <v>1636</v>
      </c>
      <c r="E770" s="27" t="s">
        <v>51</v>
      </c>
      <c r="F770" s="27" t="s">
        <v>195</v>
      </c>
      <c r="G770" s="27" t="s">
        <v>720</v>
      </c>
      <c r="H770" s="27" t="s">
        <v>54</v>
      </c>
      <c r="I770" s="27" t="s">
        <v>142</v>
      </c>
      <c r="J770" s="27" t="s">
        <v>197</v>
      </c>
      <c r="K770" s="27" t="s">
        <v>371</v>
      </c>
      <c r="L770" s="27" t="s">
        <v>371</v>
      </c>
      <c r="M770" s="27" t="s">
        <v>371</v>
      </c>
      <c r="N770" s="27" t="s">
        <v>371</v>
      </c>
      <c r="O770" s="27" t="s">
        <v>371</v>
      </c>
      <c r="P770" s="27" t="s">
        <v>371</v>
      </c>
      <c r="Q770" s="27" t="s">
        <v>372</v>
      </c>
      <c r="R770" s="556">
        <f t="shared" si="78"/>
        <v>0</v>
      </c>
      <c r="S770" s="556">
        <f t="shared" si="80"/>
        <v>0</v>
      </c>
      <c r="T770" s="556">
        <f t="shared" si="81"/>
        <v>-374836.6</v>
      </c>
      <c r="U770" s="556">
        <f t="shared" si="82"/>
        <v>-351405.76</v>
      </c>
      <c r="V770" s="556">
        <f t="shared" si="83"/>
        <v>-307480.03999999998</v>
      </c>
      <c r="W770" s="556">
        <f t="shared" si="84"/>
        <v>-307480.03999999998</v>
      </c>
      <c r="X770" s="556">
        <f t="shared" si="85"/>
        <v>-307480.03999999998</v>
      </c>
      <c r="Y770" s="556">
        <f t="shared" si="86"/>
        <v>-307480.03999999998</v>
      </c>
      <c r="Z770" s="556">
        <f t="shared" si="87"/>
        <v>-307480.03999999998</v>
      </c>
      <c r="AA770" s="556">
        <f t="shared" si="88"/>
        <v>-307480.03999999998</v>
      </c>
      <c r="AB770" s="556">
        <f t="shared" si="89"/>
        <v>-307480.03999999998</v>
      </c>
      <c r="AC770" s="556">
        <f t="shared" si="90"/>
        <v>-43925.72</v>
      </c>
      <c r="AD770" s="556">
        <f t="shared" si="79"/>
        <v>-43925.72</v>
      </c>
      <c r="AE770" s="556">
        <f t="shared" si="91"/>
        <v>-43925.72</v>
      </c>
      <c r="AF770" s="556">
        <f t="shared" si="91"/>
        <v>0</v>
      </c>
      <c r="AG770" s="556">
        <f t="shared" si="91"/>
        <v>0</v>
      </c>
    </row>
    <row r="771" spans="1:34" hidden="1" outlineLevel="1" x14ac:dyDescent="0.35">
      <c r="A771" t="b">
        <f t="shared" si="77"/>
        <v>1</v>
      </c>
      <c r="B771" s="27" t="s">
        <v>1306</v>
      </c>
      <c r="C771" s="27" t="s">
        <v>51</v>
      </c>
      <c r="D771" s="27" t="s">
        <v>1885</v>
      </c>
      <c r="E771" s="27" t="s">
        <v>51</v>
      </c>
      <c r="F771" s="27" t="s">
        <v>90</v>
      </c>
      <c r="G771" s="27" t="s">
        <v>1637</v>
      </c>
      <c r="H771" s="27" t="s">
        <v>54</v>
      </c>
      <c r="I771" s="27" t="s">
        <v>55</v>
      </c>
      <c r="J771" s="27" t="s">
        <v>393</v>
      </c>
      <c r="K771" s="27" t="s">
        <v>371</v>
      </c>
      <c r="L771" s="27" t="s">
        <v>371</v>
      </c>
      <c r="M771" s="27" t="s">
        <v>371</v>
      </c>
      <c r="N771" s="27" t="s">
        <v>371</v>
      </c>
      <c r="O771" s="27" t="s">
        <v>371</v>
      </c>
      <c r="P771" s="27" t="s">
        <v>371</v>
      </c>
      <c r="Q771" s="27" t="s">
        <v>372</v>
      </c>
      <c r="R771" s="556">
        <f t="shared" si="78"/>
        <v>0</v>
      </c>
      <c r="S771" s="556">
        <f t="shared" si="80"/>
        <v>0</v>
      </c>
      <c r="T771" s="556">
        <f t="shared" si="81"/>
        <v>728333.63</v>
      </c>
      <c r="U771" s="556">
        <f t="shared" si="82"/>
        <v>728333.63</v>
      </c>
      <c r="V771" s="556">
        <f t="shared" si="83"/>
        <v>1827425.73</v>
      </c>
      <c r="W771" s="556">
        <f t="shared" si="84"/>
        <v>1827425.73</v>
      </c>
      <c r="X771" s="556">
        <f t="shared" si="85"/>
        <v>0</v>
      </c>
      <c r="Y771" s="556">
        <f t="shared" si="86"/>
        <v>989330</v>
      </c>
      <c r="Z771" s="556">
        <f t="shared" si="87"/>
        <v>989330</v>
      </c>
      <c r="AA771" s="556">
        <f t="shared" si="88"/>
        <v>1134110.02</v>
      </c>
      <c r="AB771" s="556">
        <f t="shared" si="89"/>
        <v>1303020.06</v>
      </c>
      <c r="AC771" s="556">
        <f t="shared" si="90"/>
        <v>1351280.08</v>
      </c>
      <c r="AD771" s="556">
        <f t="shared" si="79"/>
        <v>1351280.08</v>
      </c>
      <c r="AE771" s="556">
        <f t="shared" ref="AE771:AG790" si="92">+IF(AE$10="Actuals",IF($O293="Revenue",-IF($H293="BS",AE293,IF($H293="P&amp;L",AE293-AD293,0)),IF($H293="BS",AE293,IF($H293="P&amp;L",AE293-AD293,0))),0)</f>
        <v>1351280.08</v>
      </c>
      <c r="AF771" s="556">
        <f t="shared" si="92"/>
        <v>1351280.08</v>
      </c>
      <c r="AG771" s="556">
        <f t="shared" si="92"/>
        <v>1351280.08</v>
      </c>
    </row>
    <row r="772" spans="1:34" hidden="1" outlineLevel="1" x14ac:dyDescent="0.35">
      <c r="A772" t="b">
        <f t="shared" si="77"/>
        <v>1</v>
      </c>
      <c r="B772" s="27" t="s">
        <v>1307</v>
      </c>
      <c r="C772" s="27" t="s">
        <v>51</v>
      </c>
      <c r="D772" s="27" t="s">
        <v>1886</v>
      </c>
      <c r="E772" s="27" t="s">
        <v>51</v>
      </c>
      <c r="F772" s="27" t="s">
        <v>85</v>
      </c>
      <c r="G772" s="27" t="s">
        <v>1638</v>
      </c>
      <c r="H772" s="27" t="s">
        <v>54</v>
      </c>
      <c r="I772" s="27" t="s">
        <v>55</v>
      </c>
      <c r="J772" s="27" t="s">
        <v>101</v>
      </c>
      <c r="K772" s="27" t="s">
        <v>371</v>
      </c>
      <c r="L772" s="27" t="s">
        <v>371</v>
      </c>
      <c r="M772" s="27" t="s">
        <v>371</v>
      </c>
      <c r="N772" s="27" t="s">
        <v>371</v>
      </c>
      <c r="O772" s="27" t="s">
        <v>371</v>
      </c>
      <c r="P772" s="27" t="s">
        <v>371</v>
      </c>
      <c r="Q772" s="27" t="s">
        <v>372</v>
      </c>
      <c r="R772" s="556">
        <f t="shared" si="78"/>
        <v>0</v>
      </c>
      <c r="S772" s="556">
        <f t="shared" si="80"/>
        <v>0</v>
      </c>
      <c r="T772" s="556">
        <f t="shared" si="81"/>
        <v>0</v>
      </c>
      <c r="U772" s="556">
        <f t="shared" si="82"/>
        <v>135783.91999999998</v>
      </c>
      <c r="V772" s="556">
        <f t="shared" si="83"/>
        <v>123439.97</v>
      </c>
      <c r="W772" s="556">
        <f t="shared" si="84"/>
        <v>237409.05000000002</v>
      </c>
      <c r="X772" s="556">
        <f t="shared" si="85"/>
        <v>215553.63</v>
      </c>
      <c r="Y772" s="556">
        <f t="shared" si="86"/>
        <v>505168.98000000004</v>
      </c>
      <c r="Z772" s="556">
        <f t="shared" si="87"/>
        <v>474226.71000000008</v>
      </c>
      <c r="AA772" s="556">
        <f t="shared" si="88"/>
        <v>1070726.1299999999</v>
      </c>
      <c r="AB772" s="556">
        <f t="shared" si="89"/>
        <v>792965.16</v>
      </c>
      <c r="AC772" s="556">
        <f t="shared" si="90"/>
        <v>515961.10000000003</v>
      </c>
      <c r="AD772" s="556">
        <f t="shared" si="79"/>
        <v>977775.88</v>
      </c>
      <c r="AE772" s="556">
        <f t="shared" si="92"/>
        <v>1294098.71</v>
      </c>
      <c r="AF772" s="556">
        <f t="shared" si="92"/>
        <v>1619644.98</v>
      </c>
      <c r="AG772" s="556">
        <f t="shared" si="92"/>
        <v>1425221.09</v>
      </c>
    </row>
    <row r="773" spans="1:34" hidden="1" outlineLevel="1" x14ac:dyDescent="0.35">
      <c r="A773" t="b">
        <f t="shared" si="77"/>
        <v>1</v>
      </c>
      <c r="B773" s="27" t="s">
        <v>722</v>
      </c>
      <c r="C773" s="27" t="s">
        <v>51</v>
      </c>
      <c r="D773" s="27" t="s">
        <v>1639</v>
      </c>
      <c r="E773" s="27" t="s">
        <v>51</v>
      </c>
      <c r="F773" s="27" t="s">
        <v>1053</v>
      </c>
      <c r="G773" s="27" t="s">
        <v>723</v>
      </c>
      <c r="H773" s="27" t="s">
        <v>54</v>
      </c>
      <c r="I773" s="27" t="s">
        <v>55</v>
      </c>
      <c r="J773" s="27" t="s">
        <v>383</v>
      </c>
      <c r="K773" s="27" t="s">
        <v>371</v>
      </c>
      <c r="L773" s="27" t="s">
        <v>371</v>
      </c>
      <c r="M773" s="27" t="s">
        <v>371</v>
      </c>
      <c r="N773" s="27" t="s">
        <v>371</v>
      </c>
      <c r="O773" s="27" t="s">
        <v>371</v>
      </c>
      <c r="P773" s="27" t="s">
        <v>371</v>
      </c>
      <c r="Q773" s="27" t="s">
        <v>372</v>
      </c>
      <c r="R773" s="556">
        <f t="shared" si="78"/>
        <v>0</v>
      </c>
      <c r="S773" s="556">
        <f t="shared" si="80"/>
        <v>0</v>
      </c>
      <c r="T773" s="556">
        <f t="shared" si="81"/>
        <v>0</v>
      </c>
      <c r="U773" s="556">
        <f t="shared" si="82"/>
        <v>8693.39</v>
      </c>
      <c r="V773" s="556">
        <f t="shared" si="83"/>
        <v>8693.39</v>
      </c>
      <c r="W773" s="556">
        <f t="shared" si="84"/>
        <v>8693.39</v>
      </c>
      <c r="X773" s="556">
        <f t="shared" si="85"/>
        <v>8693.39</v>
      </c>
      <c r="Y773" s="556">
        <f t="shared" si="86"/>
        <v>8693.39</v>
      </c>
      <c r="Z773" s="556">
        <f t="shared" si="87"/>
        <v>8693.39</v>
      </c>
      <c r="AA773" s="556">
        <f t="shared" si="88"/>
        <v>8693.39</v>
      </c>
      <c r="AB773" s="556">
        <f t="shared" si="89"/>
        <v>8693.39</v>
      </c>
      <c r="AC773" s="556">
        <f t="shared" si="90"/>
        <v>483072.51</v>
      </c>
      <c r="AD773" s="556">
        <f t="shared" si="79"/>
        <v>0</v>
      </c>
      <c r="AE773" s="556">
        <f t="shared" si="92"/>
        <v>0</v>
      </c>
      <c r="AF773" s="556">
        <f t="shared" si="92"/>
        <v>0</v>
      </c>
      <c r="AG773" s="556">
        <f t="shared" si="92"/>
        <v>0</v>
      </c>
    </row>
    <row r="774" spans="1:34" hidden="1" outlineLevel="1" x14ac:dyDescent="0.35">
      <c r="A774" t="b">
        <f t="shared" si="77"/>
        <v>1</v>
      </c>
      <c r="B774" s="27" t="s">
        <v>724</v>
      </c>
      <c r="C774" s="27" t="s">
        <v>51</v>
      </c>
      <c r="D774" s="27" t="s">
        <v>1640</v>
      </c>
      <c r="E774" s="27" t="s">
        <v>51</v>
      </c>
      <c r="F774" s="27" t="s">
        <v>109</v>
      </c>
      <c r="G774" s="27" t="s">
        <v>725</v>
      </c>
      <c r="H774" s="27" t="s">
        <v>54</v>
      </c>
      <c r="I774" s="27" t="s">
        <v>55</v>
      </c>
      <c r="J774" s="27" t="s">
        <v>101</v>
      </c>
      <c r="K774" s="27" t="s">
        <v>371</v>
      </c>
      <c r="L774" s="27" t="s">
        <v>371</v>
      </c>
      <c r="M774" s="27" t="s">
        <v>371</v>
      </c>
      <c r="N774" s="27" t="s">
        <v>371</v>
      </c>
      <c r="O774" s="27" t="s">
        <v>371</v>
      </c>
      <c r="P774" s="27" t="s">
        <v>371</v>
      </c>
      <c r="Q774" s="27" t="s">
        <v>372</v>
      </c>
      <c r="R774" s="556">
        <f t="shared" si="78"/>
        <v>0</v>
      </c>
      <c r="S774" s="556">
        <f t="shared" si="80"/>
        <v>0</v>
      </c>
      <c r="T774" s="556">
        <f t="shared" si="81"/>
        <v>0</v>
      </c>
      <c r="U774" s="556">
        <f t="shared" si="82"/>
        <v>61513.36</v>
      </c>
      <c r="V774" s="556">
        <f t="shared" si="83"/>
        <v>61513.36</v>
      </c>
      <c r="W774" s="556">
        <f t="shared" si="84"/>
        <v>61513.36</v>
      </c>
      <c r="X774" s="556">
        <f t="shared" si="85"/>
        <v>0</v>
      </c>
      <c r="Y774" s="556">
        <f t="shared" si="86"/>
        <v>0</v>
      </c>
      <c r="Z774" s="556">
        <f t="shared" si="87"/>
        <v>0</v>
      </c>
      <c r="AA774" s="556">
        <f t="shared" si="88"/>
        <v>0</v>
      </c>
      <c r="AB774" s="556">
        <f t="shared" si="89"/>
        <v>0</v>
      </c>
      <c r="AC774" s="556">
        <f t="shared" si="90"/>
        <v>0</v>
      </c>
      <c r="AD774" s="556">
        <f t="shared" si="79"/>
        <v>0</v>
      </c>
      <c r="AE774" s="556">
        <f t="shared" si="92"/>
        <v>0</v>
      </c>
      <c r="AF774" s="556">
        <f t="shared" si="92"/>
        <v>0</v>
      </c>
      <c r="AG774" s="556">
        <f t="shared" si="92"/>
        <v>0</v>
      </c>
    </row>
    <row r="775" spans="1:34" hidden="1" outlineLevel="1" x14ac:dyDescent="0.35">
      <c r="A775" t="b">
        <f t="shared" si="77"/>
        <v>1</v>
      </c>
      <c r="B775" s="27" t="s">
        <v>1308</v>
      </c>
      <c r="C775" s="27" t="s">
        <v>51</v>
      </c>
      <c r="D775" s="27" t="s">
        <v>1887</v>
      </c>
      <c r="E775" s="27" t="s">
        <v>51</v>
      </c>
      <c r="F775" s="27" t="s">
        <v>385</v>
      </c>
      <c r="G775" s="27" t="s">
        <v>1961</v>
      </c>
      <c r="H775" s="27" t="s">
        <v>54</v>
      </c>
      <c r="I775" s="27" t="s">
        <v>55</v>
      </c>
      <c r="J775" s="27" t="s">
        <v>393</v>
      </c>
      <c r="K775" s="27" t="s">
        <v>371</v>
      </c>
      <c r="L775" s="27" t="s">
        <v>371</v>
      </c>
      <c r="M775" s="27" t="s">
        <v>371</v>
      </c>
      <c r="N775" s="27" t="s">
        <v>371</v>
      </c>
      <c r="O775" s="27" t="s">
        <v>371</v>
      </c>
      <c r="P775" s="27" t="s">
        <v>371</v>
      </c>
      <c r="Q775" s="27" t="s">
        <v>372</v>
      </c>
      <c r="R775" s="556">
        <f t="shared" si="78"/>
        <v>0</v>
      </c>
      <c r="S775" s="556">
        <f t="shared" si="80"/>
        <v>0</v>
      </c>
      <c r="T775" s="556">
        <f t="shared" si="81"/>
        <v>0</v>
      </c>
      <c r="U775" s="556">
        <f t="shared" si="82"/>
        <v>-6619.97</v>
      </c>
      <c r="V775" s="556">
        <f t="shared" si="83"/>
        <v>-21798.74</v>
      </c>
      <c r="W775" s="556">
        <f t="shared" si="84"/>
        <v>-39350.839999999997</v>
      </c>
      <c r="X775" s="556">
        <f t="shared" si="85"/>
        <v>-62526.51</v>
      </c>
      <c r="Y775" s="556">
        <f t="shared" si="86"/>
        <v>-82890.399999999994</v>
      </c>
      <c r="Z775" s="556">
        <f t="shared" si="87"/>
        <v>-103254.29</v>
      </c>
      <c r="AA775" s="556">
        <f t="shared" si="88"/>
        <v>-122855.08</v>
      </c>
      <c r="AB775" s="556">
        <f t="shared" si="89"/>
        <v>-143066.35</v>
      </c>
      <c r="AC775" s="556">
        <f t="shared" si="90"/>
        <v>-163277.62</v>
      </c>
      <c r="AD775" s="556">
        <f t="shared" si="79"/>
        <v>-207533</v>
      </c>
      <c r="AE775" s="556">
        <f t="shared" si="92"/>
        <v>-251788.38</v>
      </c>
      <c r="AF775" s="556">
        <f t="shared" si="92"/>
        <v>-223911.43</v>
      </c>
      <c r="AG775" s="556">
        <f t="shared" si="92"/>
        <v>-244126.43</v>
      </c>
    </row>
    <row r="776" spans="1:34" hidden="1" outlineLevel="1" x14ac:dyDescent="0.35">
      <c r="A776" t="b">
        <f t="shared" si="77"/>
        <v>1</v>
      </c>
      <c r="B776" s="27" t="s">
        <v>1309</v>
      </c>
      <c r="C776" s="27" t="s">
        <v>51</v>
      </c>
      <c r="D776" s="27" t="s">
        <v>1888</v>
      </c>
      <c r="E776" s="27" t="s">
        <v>51</v>
      </c>
      <c r="F776" s="27" t="s">
        <v>90</v>
      </c>
      <c r="G776" s="27" t="s">
        <v>1642</v>
      </c>
      <c r="H776" s="27" t="s">
        <v>54</v>
      </c>
      <c r="I776" s="27" t="s">
        <v>55</v>
      </c>
      <c r="J776" s="27" t="s">
        <v>393</v>
      </c>
      <c r="K776" s="27" t="s">
        <v>371</v>
      </c>
      <c r="L776" s="27" t="s">
        <v>371</v>
      </c>
      <c r="M776" s="27" t="s">
        <v>371</v>
      </c>
      <c r="N776" s="27" t="s">
        <v>371</v>
      </c>
      <c r="O776" s="27" t="s">
        <v>371</v>
      </c>
      <c r="P776" s="27" t="s">
        <v>371</v>
      </c>
      <c r="Q776" s="27" t="s">
        <v>372</v>
      </c>
      <c r="R776" s="556">
        <f t="shared" si="78"/>
        <v>0</v>
      </c>
      <c r="S776" s="556">
        <f t="shared" si="80"/>
        <v>0</v>
      </c>
      <c r="T776" s="556">
        <f t="shared" si="81"/>
        <v>0</v>
      </c>
      <c r="U776" s="556">
        <f t="shared" si="82"/>
        <v>-60694.47</v>
      </c>
      <c r="V776" s="556">
        <f t="shared" si="83"/>
        <v>-121388.94</v>
      </c>
      <c r="W776" s="556">
        <f t="shared" si="84"/>
        <v>-121388.94</v>
      </c>
      <c r="X776" s="556">
        <f t="shared" si="85"/>
        <v>0</v>
      </c>
      <c r="Y776" s="556">
        <f t="shared" si="86"/>
        <v>0</v>
      </c>
      <c r="Z776" s="556">
        <f t="shared" si="87"/>
        <v>-41222.080000000002</v>
      </c>
      <c r="AA776" s="556">
        <f t="shared" si="88"/>
        <v>-82444.160000000003</v>
      </c>
      <c r="AB776" s="556">
        <f t="shared" si="89"/>
        <v>-129698.74</v>
      </c>
      <c r="AC776" s="556">
        <f t="shared" si="90"/>
        <v>-183991.24</v>
      </c>
      <c r="AD776" s="556">
        <f t="shared" si="79"/>
        <v>-240294.58</v>
      </c>
      <c r="AE776" s="556">
        <f t="shared" si="92"/>
        <v>-296597.92</v>
      </c>
      <c r="AF776" s="556">
        <f t="shared" si="92"/>
        <v>-352901.26</v>
      </c>
      <c r="AG776" s="556">
        <f t="shared" si="92"/>
        <v>-409204.26</v>
      </c>
    </row>
    <row r="777" spans="1:34" hidden="1" outlineLevel="1" x14ac:dyDescent="0.35">
      <c r="A777" t="b">
        <f t="shared" si="77"/>
        <v>1</v>
      </c>
      <c r="B777" s="27" t="s">
        <v>726</v>
      </c>
      <c r="C777" s="27" t="s">
        <v>51</v>
      </c>
      <c r="D777" s="27" t="s">
        <v>1643</v>
      </c>
      <c r="E777" s="27" t="s">
        <v>51</v>
      </c>
      <c r="F777" s="27" t="s">
        <v>195</v>
      </c>
      <c r="G777" s="27" t="s">
        <v>727</v>
      </c>
      <c r="H777" s="27" t="s">
        <v>54</v>
      </c>
      <c r="I777" s="27" t="s">
        <v>142</v>
      </c>
      <c r="J777" s="27" t="s">
        <v>197</v>
      </c>
      <c r="K777" s="27" t="s">
        <v>371</v>
      </c>
      <c r="L777" s="27" t="s">
        <v>371</v>
      </c>
      <c r="M777" s="27" t="s">
        <v>371</v>
      </c>
      <c r="N777" s="27" t="s">
        <v>371</v>
      </c>
      <c r="O777" s="27" t="s">
        <v>371</v>
      </c>
      <c r="P777" s="27" t="s">
        <v>371</v>
      </c>
      <c r="Q777" s="27" t="s">
        <v>372</v>
      </c>
      <c r="R777" s="556">
        <f t="shared" si="78"/>
        <v>0</v>
      </c>
      <c r="S777" s="556">
        <f t="shared" si="80"/>
        <v>0</v>
      </c>
      <c r="T777" s="556">
        <f t="shared" si="81"/>
        <v>0</v>
      </c>
      <c r="U777" s="556">
        <f t="shared" si="82"/>
        <v>-0.26999999999679858</v>
      </c>
      <c r="V777" s="556">
        <f t="shared" si="83"/>
        <v>-0.27</v>
      </c>
      <c r="W777" s="556">
        <f t="shared" si="84"/>
        <v>0</v>
      </c>
      <c r="X777" s="556">
        <f t="shared" si="85"/>
        <v>0</v>
      </c>
      <c r="Y777" s="556">
        <f t="shared" si="86"/>
        <v>0</v>
      </c>
      <c r="Z777" s="556">
        <f t="shared" si="87"/>
        <v>0</v>
      </c>
      <c r="AA777" s="556">
        <f t="shared" si="88"/>
        <v>0</v>
      </c>
      <c r="AB777" s="556">
        <f t="shared" si="89"/>
        <v>0</v>
      </c>
      <c r="AC777" s="556">
        <f t="shared" si="90"/>
        <v>0</v>
      </c>
      <c r="AD777" s="556">
        <f t="shared" si="79"/>
        <v>0</v>
      </c>
      <c r="AE777" s="556">
        <f t="shared" si="92"/>
        <v>0</v>
      </c>
      <c r="AF777" s="556">
        <f t="shared" si="92"/>
        <v>0</v>
      </c>
      <c r="AG777" s="556">
        <f t="shared" si="92"/>
        <v>0</v>
      </c>
    </row>
    <row r="778" spans="1:34" hidden="1" outlineLevel="1" x14ac:dyDescent="0.35">
      <c r="A778" t="b">
        <f t="shared" si="77"/>
        <v>1</v>
      </c>
      <c r="B778" s="27" t="s">
        <v>728</v>
      </c>
      <c r="C778" s="27" t="s">
        <v>51</v>
      </c>
      <c r="D778" s="27" t="s">
        <v>1644</v>
      </c>
      <c r="E778" s="27" t="s">
        <v>51</v>
      </c>
      <c r="F778" s="27" t="s">
        <v>587</v>
      </c>
      <c r="G778" s="27" t="s">
        <v>729</v>
      </c>
      <c r="H778" s="27" t="s">
        <v>54</v>
      </c>
      <c r="I778" s="27" t="s">
        <v>142</v>
      </c>
      <c r="J778" s="27" t="s">
        <v>197</v>
      </c>
      <c r="K778" s="27" t="s">
        <v>371</v>
      </c>
      <c r="L778" s="27" t="s">
        <v>371</v>
      </c>
      <c r="M778" s="27" t="s">
        <v>371</v>
      </c>
      <c r="N778" s="27" t="s">
        <v>371</v>
      </c>
      <c r="O778" s="27" t="s">
        <v>371</v>
      </c>
      <c r="P778" s="27" t="s">
        <v>371</v>
      </c>
      <c r="Q778" s="27" t="s">
        <v>372</v>
      </c>
      <c r="R778" s="556">
        <f t="shared" si="78"/>
        <v>0</v>
      </c>
      <c r="S778" s="556">
        <f t="shared" si="80"/>
        <v>0</v>
      </c>
      <c r="T778" s="556">
        <f t="shared" si="81"/>
        <v>0</v>
      </c>
      <c r="U778" s="556">
        <f t="shared" si="82"/>
        <v>-1397992.99</v>
      </c>
      <c r="V778" s="556">
        <f t="shared" si="83"/>
        <v>-1811161.82</v>
      </c>
      <c r="W778" s="556">
        <f t="shared" si="84"/>
        <v>-1053624.6499999999</v>
      </c>
      <c r="X778" s="556">
        <f t="shared" si="85"/>
        <v>0</v>
      </c>
      <c r="Y778" s="556">
        <f t="shared" si="86"/>
        <v>0</v>
      </c>
      <c r="Z778" s="556">
        <f t="shared" si="87"/>
        <v>0</v>
      </c>
      <c r="AA778" s="556">
        <f t="shared" si="88"/>
        <v>0</v>
      </c>
      <c r="AB778" s="556">
        <f t="shared" si="89"/>
        <v>0</v>
      </c>
      <c r="AC778" s="556">
        <f t="shared" si="90"/>
        <v>0</v>
      </c>
      <c r="AD778" s="556">
        <f t="shared" si="79"/>
        <v>0</v>
      </c>
      <c r="AE778" s="556">
        <f t="shared" si="92"/>
        <v>0</v>
      </c>
      <c r="AF778" s="556">
        <f t="shared" si="92"/>
        <v>0</v>
      </c>
      <c r="AG778" s="556">
        <f t="shared" si="92"/>
        <v>0</v>
      </c>
    </row>
    <row r="779" spans="1:34" ht="15" hidden="1" outlineLevel="1" x14ac:dyDescent="0.35">
      <c r="A779" t="b">
        <f t="shared" si="77"/>
        <v>1</v>
      </c>
      <c r="B779" s="27" t="s">
        <v>730</v>
      </c>
      <c r="C779" s="27" t="s">
        <v>51</v>
      </c>
      <c r="D779" s="27" t="s">
        <v>1645</v>
      </c>
      <c r="E779" s="27" t="s">
        <v>51</v>
      </c>
      <c r="F779" s="27" t="s">
        <v>501</v>
      </c>
      <c r="G779" s="27" t="s">
        <v>731</v>
      </c>
      <c r="H779" s="27" t="s">
        <v>447</v>
      </c>
      <c r="I779" s="27" t="s">
        <v>440</v>
      </c>
      <c r="J779" s="27" t="s">
        <v>448</v>
      </c>
      <c r="K779" s="27" t="s">
        <v>476</v>
      </c>
      <c r="L779" s="27" t="s">
        <v>492</v>
      </c>
      <c r="M779" s="102" t="s">
        <v>2057</v>
      </c>
      <c r="N779" s="27" t="s">
        <v>494</v>
      </c>
      <c r="O779" s="27" t="s">
        <v>480</v>
      </c>
      <c r="P779" s="27" t="s">
        <v>480</v>
      </c>
      <c r="Q779" s="27" t="s">
        <v>372</v>
      </c>
      <c r="R779" s="556">
        <f t="shared" si="78"/>
        <v>0</v>
      </c>
      <c r="S779" s="556">
        <f t="shared" si="80"/>
        <v>0</v>
      </c>
      <c r="T779" s="556">
        <f t="shared" si="81"/>
        <v>0</v>
      </c>
      <c r="U779" s="556">
        <f t="shared" si="82"/>
        <v>1997.41</v>
      </c>
      <c r="V779" s="556">
        <f t="shared" si="83"/>
        <v>-1997.41</v>
      </c>
      <c r="W779" s="556">
        <f t="shared" si="84"/>
        <v>0</v>
      </c>
      <c r="X779" s="556">
        <f t="shared" si="85"/>
        <v>0</v>
      </c>
      <c r="Y779" s="556">
        <f t="shared" si="86"/>
        <v>0</v>
      </c>
      <c r="Z779" s="556">
        <f t="shared" si="87"/>
        <v>0</v>
      </c>
      <c r="AA779" s="556">
        <f t="shared" si="88"/>
        <v>0</v>
      </c>
      <c r="AB779" s="556">
        <f t="shared" si="89"/>
        <v>0</v>
      </c>
      <c r="AC779" s="556">
        <f t="shared" si="90"/>
        <v>0</v>
      </c>
      <c r="AD779" s="556">
        <f t="shared" si="79"/>
        <v>0</v>
      </c>
      <c r="AE779" s="556">
        <f t="shared" si="92"/>
        <v>0</v>
      </c>
      <c r="AF779" s="556">
        <f t="shared" si="92"/>
        <v>0</v>
      </c>
      <c r="AG779" s="556">
        <f t="shared" si="92"/>
        <v>0</v>
      </c>
      <c r="AH779" s="44"/>
    </row>
    <row r="780" spans="1:34" hidden="1" outlineLevel="1" x14ac:dyDescent="0.35">
      <c r="A780" t="b">
        <f t="shared" si="77"/>
        <v>1</v>
      </c>
      <c r="B780" s="27" t="s">
        <v>1310</v>
      </c>
      <c r="C780" s="27" t="s">
        <v>51</v>
      </c>
      <c r="D780" s="27" t="s">
        <v>1889</v>
      </c>
      <c r="E780" s="27" t="s">
        <v>51</v>
      </c>
      <c r="F780" s="27" t="s">
        <v>556</v>
      </c>
      <c r="G780" s="27" t="s">
        <v>1641</v>
      </c>
      <c r="H780" s="27" t="s">
        <v>447</v>
      </c>
      <c r="I780" s="27" t="s">
        <v>440</v>
      </c>
      <c r="J780" s="27" t="s">
        <v>448</v>
      </c>
      <c r="K780" s="27" t="s">
        <v>557</v>
      </c>
      <c r="L780" s="27" t="s">
        <v>557</v>
      </c>
      <c r="M780" s="27" t="s">
        <v>558</v>
      </c>
      <c r="N780" s="27" t="s">
        <v>558</v>
      </c>
      <c r="O780" s="27" t="s">
        <v>557</v>
      </c>
      <c r="P780" s="27" t="s">
        <v>557</v>
      </c>
      <c r="Q780" s="27" t="s">
        <v>372</v>
      </c>
      <c r="R780" s="556">
        <f t="shared" si="78"/>
        <v>0</v>
      </c>
      <c r="S780" s="556">
        <f t="shared" si="80"/>
        <v>0</v>
      </c>
      <c r="T780" s="556">
        <f t="shared" si="81"/>
        <v>0</v>
      </c>
      <c r="U780" s="556">
        <f t="shared" si="82"/>
        <v>6619.97</v>
      </c>
      <c r="V780" s="556">
        <f t="shared" si="83"/>
        <v>15178.77</v>
      </c>
      <c r="W780" s="556">
        <f t="shared" si="84"/>
        <v>17552.099999999995</v>
      </c>
      <c r="X780" s="556">
        <f t="shared" si="85"/>
        <v>23175.670000000006</v>
      </c>
      <c r="Y780" s="556">
        <f t="shared" si="86"/>
        <v>20363.889999999992</v>
      </c>
      <c r="Z780" s="556">
        <f t="shared" si="87"/>
        <v>20363.89</v>
      </c>
      <c r="AA780" s="556">
        <f t="shared" si="88"/>
        <v>19600.790000000008</v>
      </c>
      <c r="AB780" s="556">
        <f t="shared" si="89"/>
        <v>20211.270000000004</v>
      </c>
      <c r="AC780" s="556">
        <f t="shared" si="90"/>
        <v>20211.26999999999</v>
      </c>
      <c r="AD780" s="556">
        <f t="shared" si="79"/>
        <v>44255.38</v>
      </c>
      <c r="AE780" s="556">
        <f t="shared" si="92"/>
        <v>44255.38</v>
      </c>
      <c r="AF780" s="556">
        <f t="shared" si="92"/>
        <v>-27876.949999999997</v>
      </c>
      <c r="AG780" s="556">
        <f t="shared" si="92"/>
        <v>20215</v>
      </c>
      <c r="AH780" s="44"/>
    </row>
    <row r="781" spans="1:34" hidden="1" outlineLevel="1" x14ac:dyDescent="0.35">
      <c r="A781" t="b">
        <f t="shared" si="77"/>
        <v>1</v>
      </c>
      <c r="B781" s="27" t="s">
        <v>1311</v>
      </c>
      <c r="C781" s="27" t="s">
        <v>51</v>
      </c>
      <c r="D781" s="27" t="s">
        <v>1890</v>
      </c>
      <c r="E781" s="27" t="s">
        <v>51</v>
      </c>
      <c r="F781" s="27" t="s">
        <v>556</v>
      </c>
      <c r="G781" s="27" t="s">
        <v>1646</v>
      </c>
      <c r="H781" s="27" t="s">
        <v>447</v>
      </c>
      <c r="I781" s="27" t="s">
        <v>440</v>
      </c>
      <c r="J781" s="27" t="s">
        <v>448</v>
      </c>
      <c r="K781" s="27" t="s">
        <v>557</v>
      </c>
      <c r="L781" s="27" t="s">
        <v>557</v>
      </c>
      <c r="M781" s="27" t="s">
        <v>560</v>
      </c>
      <c r="N781" s="27" t="s">
        <v>560</v>
      </c>
      <c r="O781" s="27" t="s">
        <v>557</v>
      </c>
      <c r="P781" s="27" t="s">
        <v>557</v>
      </c>
      <c r="Q781" s="27" t="s">
        <v>372</v>
      </c>
      <c r="R781" s="556">
        <f t="shared" si="78"/>
        <v>0</v>
      </c>
      <c r="S781" s="556">
        <f t="shared" si="80"/>
        <v>0</v>
      </c>
      <c r="T781" s="556">
        <f t="shared" si="81"/>
        <v>0</v>
      </c>
      <c r="U781" s="556">
        <f t="shared" si="82"/>
        <v>60694.47</v>
      </c>
      <c r="V781" s="556">
        <f t="shared" si="83"/>
        <v>60694.47</v>
      </c>
      <c r="W781" s="556">
        <f t="shared" si="84"/>
        <v>0</v>
      </c>
      <c r="X781" s="556">
        <f t="shared" si="85"/>
        <v>-121388.94</v>
      </c>
      <c r="Y781" s="556">
        <f t="shared" si="86"/>
        <v>0</v>
      </c>
      <c r="Z781" s="556">
        <f t="shared" si="87"/>
        <v>41222.080000000002</v>
      </c>
      <c r="AA781" s="556">
        <f t="shared" si="88"/>
        <v>41222.080000000002</v>
      </c>
      <c r="AB781" s="556">
        <f t="shared" si="89"/>
        <v>47254.58</v>
      </c>
      <c r="AC781" s="556">
        <f t="shared" si="90"/>
        <v>54292.499999999985</v>
      </c>
      <c r="AD781" s="556">
        <f t="shared" si="79"/>
        <v>56303.34</v>
      </c>
      <c r="AE781" s="556">
        <f t="shared" si="92"/>
        <v>56303.34</v>
      </c>
      <c r="AF781" s="556">
        <f t="shared" si="92"/>
        <v>56303.34</v>
      </c>
      <c r="AG781" s="556">
        <f t="shared" si="92"/>
        <v>56303</v>
      </c>
      <c r="AH781" s="44"/>
    </row>
    <row r="782" spans="1:34" hidden="1" outlineLevel="1" x14ac:dyDescent="0.35">
      <c r="A782" t="b">
        <f t="shared" si="77"/>
        <v>1</v>
      </c>
      <c r="B782" s="27" t="s">
        <v>341</v>
      </c>
      <c r="C782" s="27" t="s">
        <v>51</v>
      </c>
      <c r="D782" s="27" t="s">
        <v>1647</v>
      </c>
      <c r="E782" s="27" t="s">
        <v>51</v>
      </c>
      <c r="F782" s="27" t="s">
        <v>457</v>
      </c>
      <c r="G782" s="27" t="s">
        <v>470</v>
      </c>
      <c r="H782" s="27" t="s">
        <v>447</v>
      </c>
      <c r="I782" s="27" t="s">
        <v>440</v>
      </c>
      <c r="J782" s="27" t="s">
        <v>448</v>
      </c>
      <c r="K782" s="27" t="s">
        <v>449</v>
      </c>
      <c r="L782" s="27" t="s">
        <v>471</v>
      </c>
      <c r="M782" s="27" t="s">
        <v>734</v>
      </c>
      <c r="N782" s="27" t="s">
        <v>734</v>
      </c>
      <c r="O782" s="27" t="s">
        <v>449</v>
      </c>
      <c r="P782" s="27" t="s">
        <v>449</v>
      </c>
      <c r="Q782" s="27" t="s">
        <v>372</v>
      </c>
      <c r="R782" s="556">
        <f t="shared" si="78"/>
        <v>0</v>
      </c>
      <c r="S782" s="556">
        <f t="shared" si="80"/>
        <v>0</v>
      </c>
      <c r="T782" s="556">
        <f t="shared" si="81"/>
        <v>0</v>
      </c>
      <c r="U782" s="556">
        <f t="shared" si="82"/>
        <v>0</v>
      </c>
      <c r="V782" s="556">
        <f t="shared" si="83"/>
        <v>0</v>
      </c>
      <c r="W782" s="556">
        <f t="shared" si="84"/>
        <v>0</v>
      </c>
      <c r="X782" s="556">
        <f t="shared" si="85"/>
        <v>0</v>
      </c>
      <c r="Y782" s="556">
        <f t="shared" si="86"/>
        <v>0</v>
      </c>
      <c r="Z782" s="556">
        <f t="shared" si="87"/>
        <v>0</v>
      </c>
      <c r="AA782" s="556">
        <f t="shared" si="88"/>
        <v>0</v>
      </c>
      <c r="AB782" s="556">
        <f t="shared" si="89"/>
        <v>0</v>
      </c>
      <c r="AC782" s="556">
        <f t="shared" si="90"/>
        <v>0</v>
      </c>
      <c r="AD782" s="556">
        <f t="shared" si="79"/>
        <v>0</v>
      </c>
      <c r="AE782" s="556">
        <f t="shared" si="92"/>
        <v>0</v>
      </c>
      <c r="AF782" s="556">
        <f t="shared" si="92"/>
        <v>0</v>
      </c>
      <c r="AG782" s="556">
        <f t="shared" si="92"/>
        <v>0</v>
      </c>
      <c r="AH782" s="44"/>
    </row>
    <row r="783" spans="1:34" hidden="1" outlineLevel="1" x14ac:dyDescent="0.35">
      <c r="A783" t="b">
        <f t="shared" si="77"/>
        <v>1</v>
      </c>
      <c r="B783" s="27" t="s">
        <v>735</v>
      </c>
      <c r="C783" s="27" t="s">
        <v>51</v>
      </c>
      <c r="D783" s="27" t="s">
        <v>1648</v>
      </c>
      <c r="E783" s="27" t="s">
        <v>51</v>
      </c>
      <c r="F783" s="27" t="s">
        <v>501</v>
      </c>
      <c r="G783" s="27" t="s">
        <v>736</v>
      </c>
      <c r="H783" s="27" t="s">
        <v>447</v>
      </c>
      <c r="I783" s="27" t="s">
        <v>440</v>
      </c>
      <c r="J783" s="27" t="s">
        <v>448</v>
      </c>
      <c r="K783" s="27" t="s">
        <v>491</v>
      </c>
      <c r="L783" s="27" t="s">
        <v>492</v>
      </c>
      <c r="M783" s="27" t="s">
        <v>516</v>
      </c>
      <c r="N783" s="27" t="s">
        <v>494</v>
      </c>
      <c r="O783" s="27" t="s">
        <v>491</v>
      </c>
      <c r="P783" s="27" t="s">
        <v>480</v>
      </c>
      <c r="Q783" s="27" t="s">
        <v>372</v>
      </c>
      <c r="R783" s="556">
        <f t="shared" si="78"/>
        <v>0</v>
      </c>
      <c r="S783" s="556">
        <f t="shared" si="80"/>
        <v>0</v>
      </c>
      <c r="T783" s="556">
        <f t="shared" si="81"/>
        <v>0</v>
      </c>
      <c r="U783" s="556">
        <f t="shared" si="82"/>
        <v>0</v>
      </c>
      <c r="V783" s="556">
        <f t="shared" si="83"/>
        <v>0</v>
      </c>
      <c r="W783" s="556">
        <f t="shared" si="84"/>
        <v>0</v>
      </c>
      <c r="X783" s="556">
        <f t="shared" si="85"/>
        <v>0</v>
      </c>
      <c r="Y783" s="556">
        <f t="shared" si="86"/>
        <v>0</v>
      </c>
      <c r="Z783" s="556">
        <f t="shared" si="87"/>
        <v>0</v>
      </c>
      <c r="AA783" s="556">
        <f t="shared" si="88"/>
        <v>0</v>
      </c>
      <c r="AB783" s="556">
        <f t="shared" si="89"/>
        <v>0</v>
      </c>
      <c r="AC783" s="556">
        <f t="shared" si="90"/>
        <v>0</v>
      </c>
      <c r="AD783" s="556">
        <f t="shared" si="79"/>
        <v>0</v>
      </c>
      <c r="AE783" s="556">
        <f t="shared" si="92"/>
        <v>0</v>
      </c>
      <c r="AF783" s="556">
        <f t="shared" si="92"/>
        <v>0</v>
      </c>
      <c r="AG783" s="556">
        <f t="shared" si="92"/>
        <v>0</v>
      </c>
      <c r="AH783" s="44"/>
    </row>
    <row r="784" spans="1:34" hidden="1" outlineLevel="1" x14ac:dyDescent="0.35">
      <c r="A784" t="b">
        <f t="shared" si="77"/>
        <v>1</v>
      </c>
      <c r="B784" s="27" t="s">
        <v>737</v>
      </c>
      <c r="C784" s="27" t="s">
        <v>51</v>
      </c>
      <c r="D784" s="27" t="s">
        <v>1649</v>
      </c>
      <c r="E784" s="27" t="s">
        <v>51</v>
      </c>
      <c r="F784" s="27" t="s">
        <v>501</v>
      </c>
      <c r="G784" s="27" t="s">
        <v>523</v>
      </c>
      <c r="H784" s="27" t="s">
        <v>447</v>
      </c>
      <c r="I784" s="27" t="s">
        <v>440</v>
      </c>
      <c r="J784" s="27" t="s">
        <v>448</v>
      </c>
      <c r="K784" s="27" t="s">
        <v>491</v>
      </c>
      <c r="L784" s="27" t="s">
        <v>492</v>
      </c>
      <c r="M784" s="27" t="s">
        <v>545</v>
      </c>
      <c r="N784" s="27" t="s">
        <v>494</v>
      </c>
      <c r="O784" s="27" t="s">
        <v>491</v>
      </c>
      <c r="P784" s="27" t="s">
        <v>480</v>
      </c>
      <c r="Q784" s="27" t="s">
        <v>372</v>
      </c>
      <c r="R784" s="556">
        <f t="shared" si="78"/>
        <v>0</v>
      </c>
      <c r="S784" s="556">
        <f t="shared" si="80"/>
        <v>0</v>
      </c>
      <c r="T784" s="556">
        <f t="shared" si="81"/>
        <v>0</v>
      </c>
      <c r="U784" s="556">
        <f t="shared" si="82"/>
        <v>0</v>
      </c>
      <c r="V784" s="556">
        <f t="shared" si="83"/>
        <v>0</v>
      </c>
      <c r="W784" s="556">
        <f t="shared" si="84"/>
        <v>0</v>
      </c>
      <c r="X784" s="556">
        <f t="shared" si="85"/>
        <v>0</v>
      </c>
      <c r="Y784" s="556">
        <f t="shared" si="86"/>
        <v>0</v>
      </c>
      <c r="Z784" s="556">
        <f t="shared" si="87"/>
        <v>0</v>
      </c>
      <c r="AA784" s="556">
        <f t="shared" si="88"/>
        <v>0</v>
      </c>
      <c r="AB784" s="556">
        <f t="shared" si="89"/>
        <v>0</v>
      </c>
      <c r="AC784" s="556">
        <f t="shared" si="90"/>
        <v>0</v>
      </c>
      <c r="AD784" s="556">
        <f t="shared" si="79"/>
        <v>0</v>
      </c>
      <c r="AE784" s="556">
        <f t="shared" si="92"/>
        <v>0</v>
      </c>
      <c r="AF784" s="556">
        <f t="shared" si="92"/>
        <v>0</v>
      </c>
      <c r="AG784" s="556">
        <f t="shared" si="92"/>
        <v>0</v>
      </c>
      <c r="AH784" s="44"/>
    </row>
    <row r="785" spans="1:36" hidden="1" outlineLevel="1" x14ac:dyDescent="0.35">
      <c r="A785" t="b">
        <f t="shared" si="77"/>
        <v>1</v>
      </c>
      <c r="B785" s="27" t="s">
        <v>738</v>
      </c>
      <c r="C785" s="27" t="s">
        <v>51</v>
      </c>
      <c r="D785" s="27" t="s">
        <v>1650</v>
      </c>
      <c r="E785" s="27" t="s">
        <v>51</v>
      </c>
      <c r="F785" s="27" t="s">
        <v>377</v>
      </c>
      <c r="G785" s="27" t="s">
        <v>739</v>
      </c>
      <c r="H785" s="27" t="s">
        <v>54</v>
      </c>
      <c r="I785" s="27" t="s">
        <v>55</v>
      </c>
      <c r="J785" s="27" t="s">
        <v>56</v>
      </c>
      <c r="K785" s="27" t="s">
        <v>371</v>
      </c>
      <c r="L785" s="27" t="s">
        <v>371</v>
      </c>
      <c r="M785" s="27" t="s">
        <v>371</v>
      </c>
      <c r="N785" s="27" t="s">
        <v>371</v>
      </c>
      <c r="O785" s="27" t="s">
        <v>371</v>
      </c>
      <c r="P785" s="27"/>
      <c r="Q785" s="27" t="s">
        <v>372</v>
      </c>
      <c r="R785" s="556">
        <f t="shared" si="78"/>
        <v>0</v>
      </c>
      <c r="S785" s="556">
        <f t="shared" si="80"/>
        <v>0</v>
      </c>
      <c r="T785" s="556">
        <f t="shared" si="81"/>
        <v>0</v>
      </c>
      <c r="U785" s="556">
        <f t="shared" si="82"/>
        <v>0</v>
      </c>
      <c r="V785" s="556">
        <f t="shared" si="83"/>
        <v>1192.48</v>
      </c>
      <c r="W785" s="556">
        <f t="shared" si="84"/>
        <v>1192.48</v>
      </c>
      <c r="X785" s="556">
        <f t="shared" si="85"/>
        <v>1192.48</v>
      </c>
      <c r="Y785" s="556">
        <f t="shared" si="86"/>
        <v>1192.48</v>
      </c>
      <c r="Z785" s="556">
        <f t="shared" si="87"/>
        <v>0</v>
      </c>
      <c r="AA785" s="556">
        <f t="shared" si="88"/>
        <v>0</v>
      </c>
      <c r="AB785" s="556">
        <f t="shared" si="89"/>
        <v>596.54</v>
      </c>
      <c r="AC785" s="556">
        <f t="shared" si="90"/>
        <v>1261.6400000000001</v>
      </c>
      <c r="AD785" s="556">
        <f t="shared" si="79"/>
        <v>1261.6400000000001</v>
      </c>
      <c r="AE785" s="556">
        <f t="shared" si="92"/>
        <v>456</v>
      </c>
      <c r="AF785" s="556">
        <f t="shared" si="92"/>
        <v>0</v>
      </c>
      <c r="AG785" s="556">
        <f t="shared" si="92"/>
        <v>0</v>
      </c>
    </row>
    <row r="786" spans="1:36" hidden="1" outlineLevel="1" x14ac:dyDescent="0.35">
      <c r="A786" t="b">
        <f t="shared" si="77"/>
        <v>1</v>
      </c>
      <c r="B786" s="27" t="s">
        <v>740</v>
      </c>
      <c r="C786" s="27" t="s">
        <v>51</v>
      </c>
      <c r="D786" s="27" t="s">
        <v>1651</v>
      </c>
      <c r="E786" s="27" t="s">
        <v>51</v>
      </c>
      <c r="F786" s="27" t="s">
        <v>85</v>
      </c>
      <c r="G786" s="27" t="s">
        <v>741</v>
      </c>
      <c r="H786" s="27" t="s">
        <v>54</v>
      </c>
      <c r="I786" s="27" t="s">
        <v>55</v>
      </c>
      <c r="J786" s="27" t="s">
        <v>101</v>
      </c>
      <c r="K786" s="27" t="s">
        <v>371</v>
      </c>
      <c r="L786" s="27" t="s">
        <v>371</v>
      </c>
      <c r="M786" s="27" t="s">
        <v>371</v>
      </c>
      <c r="N786" s="27" t="s">
        <v>371</v>
      </c>
      <c r="O786" s="27" t="s">
        <v>371</v>
      </c>
      <c r="P786" s="27"/>
      <c r="Q786" s="27" t="s">
        <v>372</v>
      </c>
      <c r="R786" s="556">
        <f t="shared" si="78"/>
        <v>0</v>
      </c>
      <c r="S786" s="556">
        <f t="shared" si="80"/>
        <v>0</v>
      </c>
      <c r="T786" s="556">
        <f t="shared" si="81"/>
        <v>0</v>
      </c>
      <c r="U786" s="556">
        <f t="shared" si="82"/>
        <v>0</v>
      </c>
      <c r="V786" s="556">
        <f t="shared" si="83"/>
        <v>400000</v>
      </c>
      <c r="W786" s="556">
        <f t="shared" si="84"/>
        <v>0</v>
      </c>
      <c r="X786" s="556">
        <f t="shared" si="85"/>
        <v>0</v>
      </c>
      <c r="Y786" s="556">
        <f t="shared" si="86"/>
        <v>0</v>
      </c>
      <c r="Z786" s="556">
        <f t="shared" si="87"/>
        <v>0</v>
      </c>
      <c r="AA786" s="556">
        <f t="shared" si="88"/>
        <v>0</v>
      </c>
      <c r="AB786" s="556">
        <f t="shared" si="89"/>
        <v>0</v>
      </c>
      <c r="AC786" s="556">
        <f t="shared" si="90"/>
        <v>0</v>
      </c>
      <c r="AD786" s="556">
        <f t="shared" si="79"/>
        <v>0</v>
      </c>
      <c r="AE786" s="556">
        <f t="shared" si="92"/>
        <v>0</v>
      </c>
      <c r="AF786" s="556">
        <f t="shared" si="92"/>
        <v>0</v>
      </c>
      <c r="AG786" s="556">
        <f t="shared" si="92"/>
        <v>0</v>
      </c>
    </row>
    <row r="787" spans="1:36" hidden="1" outlineLevel="1" x14ac:dyDescent="0.35">
      <c r="A787" t="b">
        <f t="shared" si="77"/>
        <v>1</v>
      </c>
      <c r="B787" s="27" t="s">
        <v>742</v>
      </c>
      <c r="C787" s="27" t="s">
        <v>51</v>
      </c>
      <c r="D787" s="27" t="s">
        <v>1652</v>
      </c>
      <c r="E787" s="27" t="s">
        <v>51</v>
      </c>
      <c r="F787" s="27" t="s">
        <v>109</v>
      </c>
      <c r="G787" s="27" t="s">
        <v>743</v>
      </c>
      <c r="H787" s="27" t="s">
        <v>54</v>
      </c>
      <c r="I787" s="27" t="s">
        <v>55</v>
      </c>
      <c r="J787" s="27" t="s">
        <v>101</v>
      </c>
      <c r="K787" s="27" t="s">
        <v>371</v>
      </c>
      <c r="L787" s="27" t="s">
        <v>371</v>
      </c>
      <c r="M787" s="27" t="s">
        <v>371</v>
      </c>
      <c r="N787" s="27" t="s">
        <v>371</v>
      </c>
      <c r="O787" s="27" t="s">
        <v>371</v>
      </c>
      <c r="P787" s="27"/>
      <c r="Q787" s="27" t="s">
        <v>372</v>
      </c>
      <c r="R787" s="556">
        <f t="shared" si="78"/>
        <v>0</v>
      </c>
      <c r="S787" s="556">
        <f t="shared" si="80"/>
        <v>0</v>
      </c>
      <c r="T787" s="556">
        <f t="shared" si="81"/>
        <v>0</v>
      </c>
      <c r="U787" s="556">
        <f t="shared" si="82"/>
        <v>0</v>
      </c>
      <c r="V787" s="556">
        <f t="shared" si="83"/>
        <v>428750</v>
      </c>
      <c r="W787" s="556">
        <f t="shared" si="84"/>
        <v>428750</v>
      </c>
      <c r="X787" s="556">
        <f t="shared" si="85"/>
        <v>428750</v>
      </c>
      <c r="Y787" s="556">
        <f t="shared" si="86"/>
        <v>428750</v>
      </c>
      <c r="Z787" s="556">
        <f t="shared" si="87"/>
        <v>428750</v>
      </c>
      <c r="AA787" s="556">
        <f t="shared" si="88"/>
        <v>428750</v>
      </c>
      <c r="AB787" s="556">
        <f t="shared" si="89"/>
        <v>428750</v>
      </c>
      <c r="AC787" s="556">
        <f t="shared" si="90"/>
        <v>0</v>
      </c>
      <c r="AD787" s="556">
        <f t="shared" si="79"/>
        <v>707437.5</v>
      </c>
      <c r="AE787" s="556">
        <f t="shared" si="92"/>
        <v>986125</v>
      </c>
      <c r="AF787" s="556">
        <f t="shared" si="92"/>
        <v>0</v>
      </c>
      <c r="AG787" s="556">
        <f t="shared" si="92"/>
        <v>0</v>
      </c>
    </row>
    <row r="788" spans="1:36" hidden="1" outlineLevel="1" x14ac:dyDescent="0.35">
      <c r="A788" t="b">
        <f t="shared" si="77"/>
        <v>1</v>
      </c>
      <c r="B788" s="27" t="s">
        <v>744</v>
      </c>
      <c r="C788" s="27" t="s">
        <v>51</v>
      </c>
      <c r="D788" s="27" t="s">
        <v>1653</v>
      </c>
      <c r="E788" s="27" t="s">
        <v>51</v>
      </c>
      <c r="F788" s="27" t="s">
        <v>109</v>
      </c>
      <c r="G788" s="27" t="s">
        <v>234</v>
      </c>
      <c r="H788" s="27" t="s">
        <v>54</v>
      </c>
      <c r="I788" s="27" t="s">
        <v>55</v>
      </c>
      <c r="J788" s="27" t="s">
        <v>101</v>
      </c>
      <c r="K788" s="27" t="s">
        <v>371</v>
      </c>
      <c r="L788" s="27" t="s">
        <v>371</v>
      </c>
      <c r="M788" s="27" t="s">
        <v>371</v>
      </c>
      <c r="N788" s="27" t="s">
        <v>371</v>
      </c>
      <c r="O788" s="27" t="s">
        <v>371</v>
      </c>
      <c r="P788" s="27"/>
      <c r="Q788" s="27" t="s">
        <v>372</v>
      </c>
      <c r="R788" s="556">
        <f t="shared" si="78"/>
        <v>0</v>
      </c>
      <c r="S788" s="556">
        <f t="shared" si="80"/>
        <v>0</v>
      </c>
      <c r="T788" s="556">
        <f t="shared" si="81"/>
        <v>0</v>
      </c>
      <c r="U788" s="556">
        <f t="shared" si="82"/>
        <v>0</v>
      </c>
      <c r="V788" s="556">
        <f t="shared" si="83"/>
        <v>82360</v>
      </c>
      <c r="W788" s="556">
        <f t="shared" si="84"/>
        <v>0</v>
      </c>
      <c r="X788" s="556">
        <f t="shared" si="85"/>
        <v>17400</v>
      </c>
      <c r="Y788" s="556">
        <f t="shared" si="86"/>
        <v>17400</v>
      </c>
      <c r="Z788" s="556">
        <f t="shared" si="87"/>
        <v>17400</v>
      </c>
      <c r="AA788" s="556">
        <f t="shared" si="88"/>
        <v>0</v>
      </c>
      <c r="AB788" s="556">
        <f t="shared" si="89"/>
        <v>0</v>
      </c>
      <c r="AC788" s="556">
        <f t="shared" si="90"/>
        <v>0</v>
      </c>
      <c r="AD788" s="556">
        <f t="shared" si="79"/>
        <v>0</v>
      </c>
      <c r="AE788" s="556">
        <f t="shared" si="92"/>
        <v>0</v>
      </c>
      <c r="AF788" s="556">
        <f t="shared" si="92"/>
        <v>0</v>
      </c>
      <c r="AG788" s="556">
        <f t="shared" si="92"/>
        <v>0</v>
      </c>
    </row>
    <row r="789" spans="1:36" hidden="1" outlineLevel="1" x14ac:dyDescent="0.35">
      <c r="A789" t="b">
        <f t="shared" si="77"/>
        <v>1</v>
      </c>
      <c r="B789" s="27" t="s">
        <v>745</v>
      </c>
      <c r="C789" s="27" t="s">
        <v>51</v>
      </c>
      <c r="D789" s="27" t="s">
        <v>1654</v>
      </c>
      <c r="E789" s="27" t="s">
        <v>51</v>
      </c>
      <c r="F789" s="27" t="s">
        <v>63</v>
      </c>
      <c r="G789" s="27" t="s">
        <v>746</v>
      </c>
      <c r="H789" s="27" t="s">
        <v>54</v>
      </c>
      <c r="I789" s="27" t="s">
        <v>55</v>
      </c>
      <c r="J789" s="27" t="s">
        <v>89</v>
      </c>
      <c r="K789" s="27" t="s">
        <v>371</v>
      </c>
      <c r="L789" s="27" t="s">
        <v>371</v>
      </c>
      <c r="M789" s="27" t="s">
        <v>371</v>
      </c>
      <c r="N789" s="27" t="s">
        <v>371</v>
      </c>
      <c r="O789" s="27" t="s">
        <v>371</v>
      </c>
      <c r="P789" s="27"/>
      <c r="Q789" s="27" t="s">
        <v>372</v>
      </c>
      <c r="R789" s="556">
        <f t="shared" si="78"/>
        <v>0</v>
      </c>
      <c r="S789" s="556">
        <f t="shared" si="80"/>
        <v>0</v>
      </c>
      <c r="T789" s="556">
        <f t="shared" si="81"/>
        <v>0</v>
      </c>
      <c r="U789" s="556">
        <f t="shared" si="82"/>
        <v>0</v>
      </c>
      <c r="V789" s="556">
        <f t="shared" si="83"/>
        <v>192385.12</v>
      </c>
      <c r="W789" s="556">
        <f t="shared" si="84"/>
        <v>163577.68</v>
      </c>
      <c r="X789" s="556">
        <f t="shared" si="85"/>
        <v>134770.23999999999</v>
      </c>
      <c r="Y789" s="556">
        <f t="shared" si="86"/>
        <v>105962.8</v>
      </c>
      <c r="Z789" s="556">
        <f t="shared" si="87"/>
        <v>77155.360000000001</v>
      </c>
      <c r="AA789" s="556">
        <f t="shared" si="88"/>
        <v>48347.92</v>
      </c>
      <c r="AB789" s="556">
        <f t="shared" si="89"/>
        <v>19540.48</v>
      </c>
      <c r="AC789" s="556">
        <f t="shared" si="90"/>
        <v>0</v>
      </c>
      <c r="AD789" s="556">
        <f t="shared" si="79"/>
        <v>0</v>
      </c>
      <c r="AE789" s="556">
        <f t="shared" si="92"/>
        <v>0</v>
      </c>
      <c r="AF789" s="556">
        <f t="shared" si="92"/>
        <v>0</v>
      </c>
      <c r="AG789" s="556">
        <f t="shared" si="92"/>
        <v>0</v>
      </c>
    </row>
    <row r="790" spans="1:36" hidden="1" outlineLevel="1" x14ac:dyDescent="0.35">
      <c r="A790" t="b">
        <f t="shared" si="77"/>
        <v>1</v>
      </c>
      <c r="B790" s="27" t="s">
        <v>747</v>
      </c>
      <c r="C790" s="27" t="s">
        <v>51</v>
      </c>
      <c r="D790" s="27" t="s">
        <v>1655</v>
      </c>
      <c r="E790" s="27" t="s">
        <v>51</v>
      </c>
      <c r="F790" s="27" t="s">
        <v>748</v>
      </c>
      <c r="G790" s="27" t="s">
        <v>749</v>
      </c>
      <c r="H790" s="27" t="s">
        <v>447</v>
      </c>
      <c r="I790" s="27" t="s">
        <v>440</v>
      </c>
      <c r="J790" s="27" t="s">
        <v>448</v>
      </c>
      <c r="K790" s="27" t="s">
        <v>750</v>
      </c>
      <c r="L790" s="27" t="s">
        <v>750</v>
      </c>
      <c r="M790" s="27" t="s">
        <v>750</v>
      </c>
      <c r="N790" s="27" t="s">
        <v>750</v>
      </c>
      <c r="O790" s="27" t="s">
        <v>480</v>
      </c>
      <c r="P790" s="27" t="s">
        <v>564</v>
      </c>
      <c r="Q790" s="27" t="s">
        <v>372</v>
      </c>
      <c r="R790" s="556">
        <f t="shared" si="78"/>
        <v>0</v>
      </c>
      <c r="S790" s="556">
        <f t="shared" si="80"/>
        <v>0</v>
      </c>
      <c r="T790" s="556">
        <f t="shared" si="81"/>
        <v>0</v>
      </c>
      <c r="U790" s="556">
        <f t="shared" si="82"/>
        <v>0</v>
      </c>
      <c r="V790" s="556">
        <f t="shared" si="83"/>
        <v>1577778</v>
      </c>
      <c r="W790" s="556">
        <f t="shared" si="84"/>
        <v>1333333</v>
      </c>
      <c r="X790" s="556">
        <f t="shared" si="85"/>
        <v>1333333</v>
      </c>
      <c r="Y790" s="556">
        <f t="shared" si="86"/>
        <v>1333333</v>
      </c>
      <c r="Z790" s="556">
        <f t="shared" si="87"/>
        <v>627513</v>
      </c>
      <c r="AA790" s="556">
        <f t="shared" si="88"/>
        <v>1346942</v>
      </c>
      <c r="AB790" s="556">
        <f t="shared" si="89"/>
        <v>1330194</v>
      </c>
      <c r="AC790" s="556">
        <f t="shared" si="90"/>
        <v>-8882426</v>
      </c>
      <c r="AD790" s="556">
        <f t="shared" si="79"/>
        <v>1259244</v>
      </c>
      <c r="AE790" s="556">
        <f t="shared" si="92"/>
        <v>1251128</v>
      </c>
      <c r="AF790" s="556">
        <f t="shared" si="92"/>
        <v>-2510372</v>
      </c>
      <c r="AG790" s="556">
        <f t="shared" si="92"/>
        <v>0</v>
      </c>
      <c r="AH790" s="44"/>
    </row>
    <row r="791" spans="1:36" hidden="1" outlineLevel="1" x14ac:dyDescent="0.35">
      <c r="A791" t="b">
        <f t="shared" si="77"/>
        <v>1</v>
      </c>
      <c r="B791" s="27" t="s">
        <v>751</v>
      </c>
      <c r="C791" s="27" t="s">
        <v>51</v>
      </c>
      <c r="D791" s="27" t="s">
        <v>1656</v>
      </c>
      <c r="E791" s="27" t="s">
        <v>51</v>
      </c>
      <c r="F791" s="27" t="s">
        <v>512</v>
      </c>
      <c r="G791" s="27" t="s">
        <v>752</v>
      </c>
      <c r="H791" s="27" t="s">
        <v>447</v>
      </c>
      <c r="I791" s="27" t="s">
        <v>440</v>
      </c>
      <c r="J791" s="27" t="s">
        <v>448</v>
      </c>
      <c r="K791" s="27" t="s">
        <v>476</v>
      </c>
      <c r="L791" s="27" t="s">
        <v>502</v>
      </c>
      <c r="M791" s="27" t="s">
        <v>502</v>
      </c>
      <c r="N791" s="27" t="s">
        <v>488</v>
      </c>
      <c r="O791" s="27" t="s">
        <v>480</v>
      </c>
      <c r="P791" s="27" t="s">
        <v>491</v>
      </c>
      <c r="Q791" s="27" t="s">
        <v>372</v>
      </c>
      <c r="R791" s="556">
        <f t="shared" si="78"/>
        <v>0</v>
      </c>
      <c r="S791" s="556">
        <f t="shared" si="80"/>
        <v>0</v>
      </c>
      <c r="T791" s="556">
        <f t="shared" si="81"/>
        <v>0</v>
      </c>
      <c r="U791" s="556">
        <f t="shared" si="82"/>
        <v>0</v>
      </c>
      <c r="V791" s="556">
        <f t="shared" si="83"/>
        <v>0</v>
      </c>
      <c r="W791" s="556">
        <f t="shared" si="84"/>
        <v>0</v>
      </c>
      <c r="X791" s="556">
        <f t="shared" si="85"/>
        <v>0</v>
      </c>
      <c r="Y791" s="556">
        <f t="shared" si="86"/>
        <v>0</v>
      </c>
      <c r="Z791" s="556">
        <f t="shared" si="87"/>
        <v>0</v>
      </c>
      <c r="AA791" s="556">
        <f t="shared" si="88"/>
        <v>0</v>
      </c>
      <c r="AB791" s="556">
        <f t="shared" si="89"/>
        <v>0</v>
      </c>
      <c r="AC791" s="556">
        <f t="shared" si="90"/>
        <v>0</v>
      </c>
      <c r="AD791" s="556">
        <f t="shared" si="79"/>
        <v>0</v>
      </c>
      <c r="AE791" s="556">
        <f t="shared" ref="AE791:AG810" si="93">+IF(AE$10="Actuals",IF($O313="Revenue",-IF($H313="BS",AE313,IF($H313="P&amp;L",AE313-AD313,0)),IF($H313="BS",AE313,IF($H313="P&amp;L",AE313-AD313,0))),0)</f>
        <v>0</v>
      </c>
      <c r="AF791" s="556">
        <f t="shared" si="93"/>
        <v>0</v>
      </c>
      <c r="AG791" s="556">
        <f t="shared" si="93"/>
        <v>0</v>
      </c>
      <c r="AH791" s="44"/>
    </row>
    <row r="792" spans="1:36" hidden="1" outlineLevel="1" x14ac:dyDescent="0.35">
      <c r="A792" t="b">
        <f t="shared" si="77"/>
        <v>1</v>
      </c>
      <c r="B792" s="27" t="s">
        <v>753</v>
      </c>
      <c r="C792" s="27" t="s">
        <v>51</v>
      </c>
      <c r="D792" s="27" t="s">
        <v>1657</v>
      </c>
      <c r="E792" s="27" t="s">
        <v>51</v>
      </c>
      <c r="F792" s="27" t="s">
        <v>539</v>
      </c>
      <c r="G792" s="27" t="s">
        <v>754</v>
      </c>
      <c r="H792" s="27" t="s">
        <v>447</v>
      </c>
      <c r="I792" s="27" t="s">
        <v>440</v>
      </c>
      <c r="J792" s="27" t="s">
        <v>448</v>
      </c>
      <c r="K792" s="27" t="s">
        <v>476</v>
      </c>
      <c r="L792" s="27" t="s">
        <v>502</v>
      </c>
      <c r="M792" s="27" t="s">
        <v>502</v>
      </c>
      <c r="N792" s="27" t="s">
        <v>488</v>
      </c>
      <c r="O792" s="27" t="s">
        <v>480</v>
      </c>
      <c r="P792" s="27" t="s">
        <v>480</v>
      </c>
      <c r="Q792" s="27" t="s">
        <v>372</v>
      </c>
      <c r="R792" s="556">
        <f t="shared" si="78"/>
        <v>0</v>
      </c>
      <c r="S792" s="556">
        <f t="shared" si="80"/>
        <v>0</v>
      </c>
      <c r="T792" s="556">
        <f t="shared" si="81"/>
        <v>0</v>
      </c>
      <c r="U792" s="556">
        <f t="shared" si="82"/>
        <v>0</v>
      </c>
      <c r="V792" s="556">
        <f t="shared" si="83"/>
        <v>0</v>
      </c>
      <c r="W792" s="556">
        <f t="shared" si="84"/>
        <v>0</v>
      </c>
      <c r="X792" s="556">
        <f t="shared" si="85"/>
        <v>0</v>
      </c>
      <c r="Y792" s="556">
        <f t="shared" si="86"/>
        <v>0</v>
      </c>
      <c r="Z792" s="556">
        <f t="shared" si="87"/>
        <v>0</v>
      </c>
      <c r="AA792" s="556">
        <f t="shared" si="88"/>
        <v>0</v>
      </c>
      <c r="AB792" s="556">
        <f t="shared" si="89"/>
        <v>0</v>
      </c>
      <c r="AC792" s="556">
        <f t="shared" si="90"/>
        <v>-2972436.59</v>
      </c>
      <c r="AD792" s="556">
        <f t="shared" si="79"/>
        <v>0</v>
      </c>
      <c r="AE792" s="556">
        <f t="shared" si="93"/>
        <v>0</v>
      </c>
      <c r="AF792" s="556">
        <f t="shared" si="93"/>
        <v>0</v>
      </c>
      <c r="AG792" s="556">
        <f t="shared" si="93"/>
        <v>0</v>
      </c>
      <c r="AH792" s="44"/>
    </row>
    <row r="793" spans="1:36" hidden="1" outlineLevel="1" x14ac:dyDescent="0.35">
      <c r="A793" t="b">
        <f t="shared" si="77"/>
        <v>1</v>
      </c>
      <c r="B793" s="27" t="s">
        <v>755</v>
      </c>
      <c r="C793" s="27" t="s">
        <v>51</v>
      </c>
      <c r="D793" s="27" t="s">
        <v>1658</v>
      </c>
      <c r="E793" s="27" t="s">
        <v>51</v>
      </c>
      <c r="F793" s="27" t="s">
        <v>756</v>
      </c>
      <c r="G793" s="27" t="s">
        <v>757</v>
      </c>
      <c r="H793" s="27" t="s">
        <v>447</v>
      </c>
      <c r="I793" s="27" t="s">
        <v>440</v>
      </c>
      <c r="J793" s="27" t="s">
        <v>448</v>
      </c>
      <c r="K793" s="27" t="s">
        <v>476</v>
      </c>
      <c r="L793" s="27" t="s">
        <v>502</v>
      </c>
      <c r="M793" s="27" t="s">
        <v>502</v>
      </c>
      <c r="N793" s="27" t="s">
        <v>488</v>
      </c>
      <c r="O793" s="27" t="s">
        <v>480</v>
      </c>
      <c r="P793" s="27" t="s">
        <v>480</v>
      </c>
      <c r="Q793" s="27" t="s">
        <v>372</v>
      </c>
      <c r="R793" s="556">
        <f t="shared" si="78"/>
        <v>0</v>
      </c>
      <c r="S793" s="556">
        <f t="shared" si="80"/>
        <v>0</v>
      </c>
      <c r="T793" s="556">
        <f t="shared" si="81"/>
        <v>0</v>
      </c>
      <c r="U793" s="556">
        <f t="shared" si="82"/>
        <v>0</v>
      </c>
      <c r="V793" s="556">
        <f t="shared" si="83"/>
        <v>0</v>
      </c>
      <c r="W793" s="556">
        <f t="shared" si="84"/>
        <v>0</v>
      </c>
      <c r="X793" s="556">
        <f t="shared" si="85"/>
        <v>0</v>
      </c>
      <c r="Y793" s="556">
        <f t="shared" si="86"/>
        <v>0</v>
      </c>
      <c r="Z793" s="556">
        <f t="shared" si="87"/>
        <v>0</v>
      </c>
      <c r="AA793" s="556">
        <f t="shared" si="88"/>
        <v>0</v>
      </c>
      <c r="AB793" s="556">
        <f t="shared" si="89"/>
        <v>0</v>
      </c>
      <c r="AC793" s="556">
        <f t="shared" si="90"/>
        <v>-8025579.4000000004</v>
      </c>
      <c r="AD793" s="556">
        <f t="shared" si="79"/>
        <v>0</v>
      </c>
      <c r="AE793" s="556">
        <f t="shared" si="93"/>
        <v>0</v>
      </c>
      <c r="AF793" s="556">
        <f t="shared" si="93"/>
        <v>0</v>
      </c>
      <c r="AG793" s="556">
        <f t="shared" si="93"/>
        <v>0</v>
      </c>
      <c r="AH793" s="44"/>
    </row>
    <row r="794" spans="1:36" hidden="1" outlineLevel="1" x14ac:dyDescent="0.35">
      <c r="A794" t="b">
        <f t="shared" si="77"/>
        <v>1</v>
      </c>
      <c r="B794" s="27" t="s">
        <v>758</v>
      </c>
      <c r="C794" s="27" t="s">
        <v>51</v>
      </c>
      <c r="D794" s="27" t="s">
        <v>1659</v>
      </c>
      <c r="E794" s="27" t="s">
        <v>51</v>
      </c>
      <c r="F794" s="27" t="s">
        <v>377</v>
      </c>
      <c r="G794" s="27" t="s">
        <v>759</v>
      </c>
      <c r="H794" s="27" t="s">
        <v>54</v>
      </c>
      <c r="I794" s="27" t="s">
        <v>55</v>
      </c>
      <c r="J794" s="27" t="s">
        <v>56</v>
      </c>
      <c r="K794" s="27" t="s">
        <v>371</v>
      </c>
      <c r="L794" s="27" t="s">
        <v>371</v>
      </c>
      <c r="M794" s="27" t="s">
        <v>371</v>
      </c>
      <c r="N794" s="27" t="s">
        <v>371</v>
      </c>
      <c r="O794" s="27" t="s">
        <v>371</v>
      </c>
      <c r="P794" s="27"/>
      <c r="Q794" s="27" t="s">
        <v>372</v>
      </c>
      <c r="R794" s="556">
        <f t="shared" si="78"/>
        <v>0</v>
      </c>
      <c r="S794" s="556">
        <f t="shared" si="80"/>
        <v>0</v>
      </c>
      <c r="T794" s="556">
        <f t="shared" si="81"/>
        <v>0</v>
      </c>
      <c r="U794" s="556">
        <f t="shared" si="82"/>
        <v>0</v>
      </c>
      <c r="V794" s="556">
        <f t="shared" si="83"/>
        <v>287144</v>
      </c>
      <c r="W794" s="556">
        <f t="shared" si="84"/>
        <v>365556.60000000003</v>
      </c>
      <c r="X794" s="556">
        <f t="shared" si="85"/>
        <v>433315</v>
      </c>
      <c r="Y794" s="556">
        <f t="shared" si="86"/>
        <v>603315</v>
      </c>
      <c r="Z794" s="556">
        <f t="shared" si="87"/>
        <v>510511.35999999999</v>
      </c>
      <c r="AA794" s="556">
        <f t="shared" si="88"/>
        <v>156875.31</v>
      </c>
      <c r="AB794" s="556">
        <f t="shared" si="89"/>
        <v>333632.21000000002</v>
      </c>
      <c r="AC794" s="556">
        <f t="shared" si="90"/>
        <v>702846</v>
      </c>
      <c r="AD794" s="556">
        <f t="shared" si="79"/>
        <v>702846</v>
      </c>
      <c r="AE794" s="556">
        <f t="shared" si="93"/>
        <v>0</v>
      </c>
      <c r="AF794" s="556">
        <f t="shared" si="93"/>
        <v>0</v>
      </c>
      <c r="AG794" s="556">
        <f t="shared" si="93"/>
        <v>0</v>
      </c>
    </row>
    <row r="795" spans="1:36" hidden="1" outlineLevel="1" x14ac:dyDescent="0.35">
      <c r="A795" t="b">
        <f t="shared" si="77"/>
        <v>1</v>
      </c>
      <c r="B795" s="27" t="s">
        <v>1312</v>
      </c>
      <c r="C795" s="27" t="s">
        <v>51</v>
      </c>
      <c r="D795" s="27" t="s">
        <v>1891</v>
      </c>
      <c r="E795" s="27" t="s">
        <v>51</v>
      </c>
      <c r="F795" s="27" t="s">
        <v>457</v>
      </c>
      <c r="G795" s="27" t="s">
        <v>1660</v>
      </c>
      <c r="H795" s="27" t="s">
        <v>447</v>
      </c>
      <c r="I795" s="27" t="s">
        <v>440</v>
      </c>
      <c r="J795" s="27" t="s">
        <v>448</v>
      </c>
      <c r="K795" s="27" t="s">
        <v>449</v>
      </c>
      <c r="L795" s="27" t="s">
        <v>760</v>
      </c>
      <c r="M795" s="27" t="s">
        <v>760</v>
      </c>
      <c r="N795" s="27" t="s">
        <v>760</v>
      </c>
      <c r="O795" s="27" t="s">
        <v>449</v>
      </c>
      <c r="P795" s="27" t="s">
        <v>449</v>
      </c>
      <c r="Q795" s="27" t="s">
        <v>372</v>
      </c>
      <c r="R795" s="556">
        <f t="shared" si="78"/>
        <v>0</v>
      </c>
      <c r="S795" s="556">
        <f t="shared" si="80"/>
        <v>0</v>
      </c>
      <c r="T795" s="556">
        <f t="shared" si="81"/>
        <v>0</v>
      </c>
      <c r="U795" s="556">
        <f t="shared" si="82"/>
        <v>0</v>
      </c>
      <c r="V795" s="556">
        <f t="shared" si="83"/>
        <v>247537.93</v>
      </c>
      <c r="W795" s="556">
        <f t="shared" si="84"/>
        <v>254438.19</v>
      </c>
      <c r="X795" s="556">
        <f t="shared" si="85"/>
        <v>321866.81999999995</v>
      </c>
      <c r="Y795" s="556">
        <f t="shared" si="86"/>
        <v>277761.81000000006</v>
      </c>
      <c r="Z795" s="556">
        <f t="shared" si="87"/>
        <v>-315713.75</v>
      </c>
      <c r="AA795" s="556">
        <f t="shared" si="88"/>
        <v>156875.31000000006</v>
      </c>
      <c r="AB795" s="556">
        <f t="shared" si="89"/>
        <v>176756.89999999991</v>
      </c>
      <c r="AC795" s="556">
        <f t="shared" si="90"/>
        <v>369213.79000000004</v>
      </c>
      <c r="AD795" s="556">
        <f t="shared" si="79"/>
        <v>271072.40999999997</v>
      </c>
      <c r="AE795" s="556">
        <f t="shared" si="93"/>
        <v>165328.45000000001</v>
      </c>
      <c r="AF795" s="556">
        <f t="shared" si="93"/>
        <v>278042.82000000007</v>
      </c>
      <c r="AG795" s="556">
        <f t="shared" si="93"/>
        <v>388136.71999999986</v>
      </c>
      <c r="AH795" s="44"/>
    </row>
    <row r="796" spans="1:36" hidden="1" outlineLevel="1" x14ac:dyDescent="0.35">
      <c r="A796" t="b">
        <f t="shared" si="77"/>
        <v>1</v>
      </c>
      <c r="B796" s="27" t="s">
        <v>1313</v>
      </c>
      <c r="C796" s="27" t="s">
        <v>51</v>
      </c>
      <c r="D796" s="27" t="s">
        <v>1892</v>
      </c>
      <c r="E796" s="27" t="s">
        <v>51</v>
      </c>
      <c r="F796" s="27" t="s">
        <v>457</v>
      </c>
      <c r="G796" s="27" t="s">
        <v>1661</v>
      </c>
      <c r="H796" s="27" t="s">
        <v>447</v>
      </c>
      <c r="I796" s="27" t="s">
        <v>440</v>
      </c>
      <c r="J796" s="27" t="s">
        <v>448</v>
      </c>
      <c r="K796" s="27" t="s">
        <v>449</v>
      </c>
      <c r="L796" s="27" t="s">
        <v>734</v>
      </c>
      <c r="M796" s="27" t="s">
        <v>734</v>
      </c>
      <c r="N796" s="27" t="s">
        <v>734</v>
      </c>
      <c r="O796" s="27" t="s">
        <v>449</v>
      </c>
      <c r="P796" s="27" t="s">
        <v>449</v>
      </c>
      <c r="Q796" s="27" t="s">
        <v>372</v>
      </c>
      <c r="R796" s="556">
        <f t="shared" si="78"/>
        <v>0</v>
      </c>
      <c r="S796" s="556">
        <f t="shared" si="80"/>
        <v>0</v>
      </c>
      <c r="T796" s="556">
        <f t="shared" si="81"/>
        <v>0</v>
      </c>
      <c r="U796" s="556">
        <f t="shared" si="82"/>
        <v>736413</v>
      </c>
      <c r="V796" s="556">
        <f t="shared" si="83"/>
        <v>1163081.0217583401</v>
      </c>
      <c r="W796" s="556">
        <f t="shared" si="84"/>
        <v>1266692.43168997</v>
      </c>
      <c r="X796" s="556">
        <f t="shared" si="85"/>
        <v>1273177.8437930304</v>
      </c>
      <c r="Y796" s="556">
        <f t="shared" si="86"/>
        <v>1013681.6627586596</v>
      </c>
      <c r="Z796" s="556">
        <f t="shared" si="87"/>
        <v>1835624.5700000003</v>
      </c>
      <c r="AA796" s="556">
        <f t="shared" si="88"/>
        <v>1517006.8899999997</v>
      </c>
      <c r="AB796" s="556">
        <f t="shared" si="89"/>
        <v>1220674.9399999995</v>
      </c>
      <c r="AC796" s="556">
        <f t="shared" si="90"/>
        <v>1559825.8900000006</v>
      </c>
      <c r="AD796" s="556">
        <f t="shared" si="79"/>
        <v>691727.81</v>
      </c>
      <c r="AE796" s="556">
        <f t="shared" si="93"/>
        <v>966353.27</v>
      </c>
      <c r="AF796" s="556">
        <f t="shared" si="93"/>
        <v>2116240.7999999998</v>
      </c>
      <c r="AG796" s="556">
        <f t="shared" si="93"/>
        <v>2005015.54</v>
      </c>
      <c r="AH796" s="44"/>
    </row>
    <row r="797" spans="1:36" hidden="1" outlineLevel="1" x14ac:dyDescent="0.35">
      <c r="A797" t="b">
        <f t="shared" si="77"/>
        <v>1</v>
      </c>
      <c r="B797" s="27" t="s">
        <v>761</v>
      </c>
      <c r="C797" s="27" t="s">
        <v>51</v>
      </c>
      <c r="D797" s="27" t="s">
        <v>1662</v>
      </c>
      <c r="E797" s="27" t="s">
        <v>51</v>
      </c>
      <c r="F797" s="27" t="s">
        <v>501</v>
      </c>
      <c r="G797" s="27" t="s">
        <v>762</v>
      </c>
      <c r="H797" s="27" t="s">
        <v>447</v>
      </c>
      <c r="I797" s="27" t="s">
        <v>440</v>
      </c>
      <c r="J797" s="27" t="s">
        <v>448</v>
      </c>
      <c r="K797" s="27" t="s">
        <v>491</v>
      </c>
      <c r="L797" s="27" t="s">
        <v>594</v>
      </c>
      <c r="M797" s="27" t="s">
        <v>594</v>
      </c>
      <c r="N797" s="27" t="s">
        <v>494</v>
      </c>
      <c r="O797" s="27" t="s">
        <v>491</v>
      </c>
      <c r="P797" s="27" t="s">
        <v>480</v>
      </c>
      <c r="Q797" s="27" t="s">
        <v>372</v>
      </c>
      <c r="R797" s="556">
        <f t="shared" si="78"/>
        <v>0</v>
      </c>
      <c r="S797" s="556">
        <f t="shared" si="80"/>
        <v>0</v>
      </c>
      <c r="T797" s="556">
        <f t="shared" si="81"/>
        <v>0</v>
      </c>
      <c r="U797" s="556">
        <f t="shared" si="82"/>
        <v>0</v>
      </c>
      <c r="V797" s="556">
        <f t="shared" si="83"/>
        <v>0</v>
      </c>
      <c r="W797" s="556">
        <f t="shared" si="84"/>
        <v>0</v>
      </c>
      <c r="X797" s="556">
        <f t="shared" si="85"/>
        <v>0</v>
      </c>
      <c r="Y797" s="556">
        <f t="shared" si="86"/>
        <v>0</v>
      </c>
      <c r="Z797" s="556">
        <f t="shared" si="87"/>
        <v>0</v>
      </c>
      <c r="AA797" s="556">
        <f t="shared" si="88"/>
        <v>0</v>
      </c>
      <c r="AB797" s="556">
        <f t="shared" si="89"/>
        <v>0</v>
      </c>
      <c r="AC797" s="556">
        <f t="shared" si="90"/>
        <v>0</v>
      </c>
      <c r="AD797" s="556">
        <f t="shared" si="79"/>
        <v>0</v>
      </c>
      <c r="AE797" s="556">
        <f t="shared" si="93"/>
        <v>0</v>
      </c>
      <c r="AF797" s="556">
        <f t="shared" si="93"/>
        <v>0</v>
      </c>
      <c r="AG797" s="556">
        <f t="shared" si="93"/>
        <v>0</v>
      </c>
      <c r="AH797" s="44"/>
      <c r="AJ797" s="44"/>
    </row>
    <row r="798" spans="1:36" hidden="1" outlineLevel="1" x14ac:dyDescent="0.35">
      <c r="A798" t="b">
        <f t="shared" si="77"/>
        <v>1</v>
      </c>
      <c r="B798" s="27" t="s">
        <v>763</v>
      </c>
      <c r="C798" s="27" t="s">
        <v>51</v>
      </c>
      <c r="D798" s="27" t="s">
        <v>1663</v>
      </c>
      <c r="E798" s="27" t="s">
        <v>51</v>
      </c>
      <c r="F798" s="27" t="s">
        <v>63</v>
      </c>
      <c r="G798" s="27" t="s">
        <v>764</v>
      </c>
      <c r="H798" s="27" t="s">
        <v>54</v>
      </c>
      <c r="I798" s="27" t="s">
        <v>55</v>
      </c>
      <c r="J798" s="27" t="s">
        <v>89</v>
      </c>
      <c r="K798" s="27" t="s">
        <v>371</v>
      </c>
      <c r="L798" s="27" t="s">
        <v>371</v>
      </c>
      <c r="M798" s="27" t="s">
        <v>371</v>
      </c>
      <c r="N798" s="27" t="s">
        <v>371</v>
      </c>
      <c r="O798" s="27" t="s">
        <v>371</v>
      </c>
      <c r="P798" s="27" t="s">
        <v>371</v>
      </c>
      <c r="Q798" s="27" t="s">
        <v>372</v>
      </c>
      <c r="R798" s="556">
        <f t="shared" si="78"/>
        <v>0</v>
      </c>
      <c r="S798" s="556">
        <f t="shared" si="80"/>
        <v>0</v>
      </c>
      <c r="T798" s="556">
        <f t="shared" si="81"/>
        <v>0</v>
      </c>
      <c r="U798" s="556">
        <f t="shared" si="82"/>
        <v>0</v>
      </c>
      <c r="V798" s="556">
        <f t="shared" si="83"/>
        <v>0</v>
      </c>
      <c r="W798" s="556">
        <f t="shared" si="84"/>
        <v>24168.84</v>
      </c>
      <c r="X798" s="556">
        <f t="shared" si="85"/>
        <v>0</v>
      </c>
      <c r="Y798" s="556">
        <f t="shared" si="86"/>
        <v>0</v>
      </c>
      <c r="Z798" s="556">
        <f t="shared" si="87"/>
        <v>0</v>
      </c>
      <c r="AA798" s="556">
        <f t="shared" si="88"/>
        <v>0</v>
      </c>
      <c r="AB798" s="556">
        <f t="shared" si="89"/>
        <v>0</v>
      </c>
      <c r="AC798" s="556">
        <f t="shared" si="90"/>
        <v>0</v>
      </c>
      <c r="AD798" s="556">
        <f t="shared" si="79"/>
        <v>0</v>
      </c>
      <c r="AE798" s="556">
        <f t="shared" si="93"/>
        <v>0</v>
      </c>
      <c r="AF798" s="556">
        <f t="shared" si="93"/>
        <v>0</v>
      </c>
      <c r="AG798" s="556">
        <f t="shared" si="93"/>
        <v>0</v>
      </c>
    </row>
    <row r="799" spans="1:36" hidden="1" outlineLevel="1" x14ac:dyDescent="0.35">
      <c r="A799" t="b">
        <f t="shared" si="77"/>
        <v>1</v>
      </c>
      <c r="B799" s="27" t="s">
        <v>765</v>
      </c>
      <c r="C799" s="27" t="s">
        <v>51</v>
      </c>
      <c r="D799" s="27" t="s">
        <v>1664</v>
      </c>
      <c r="E799" s="27" t="s">
        <v>51</v>
      </c>
      <c r="F799" s="27" t="s">
        <v>85</v>
      </c>
      <c r="G799" s="27" t="s">
        <v>766</v>
      </c>
      <c r="H799" s="27" t="s">
        <v>54</v>
      </c>
      <c r="I799" s="27" t="s">
        <v>55</v>
      </c>
      <c r="J799" s="27" t="s">
        <v>101</v>
      </c>
      <c r="K799" s="27" t="s">
        <v>371</v>
      </c>
      <c r="L799" s="27" t="s">
        <v>371</v>
      </c>
      <c r="M799" s="27" t="s">
        <v>371</v>
      </c>
      <c r="N799" s="27" t="s">
        <v>371</v>
      </c>
      <c r="O799" s="27" t="s">
        <v>371</v>
      </c>
      <c r="P799" s="27" t="s">
        <v>371</v>
      </c>
      <c r="Q799" s="27" t="s">
        <v>372</v>
      </c>
      <c r="R799" s="556">
        <f t="shared" si="78"/>
        <v>0</v>
      </c>
      <c r="S799" s="556">
        <f t="shared" si="80"/>
        <v>0</v>
      </c>
      <c r="T799" s="556">
        <f t="shared" si="81"/>
        <v>0</v>
      </c>
      <c r="U799" s="556">
        <f t="shared" si="82"/>
        <v>0</v>
      </c>
      <c r="V799" s="556">
        <f t="shared" si="83"/>
        <v>0</v>
      </c>
      <c r="W799" s="556">
        <f t="shared" si="84"/>
        <v>625000</v>
      </c>
      <c r="X799" s="556">
        <f t="shared" si="85"/>
        <v>500000</v>
      </c>
      <c r="Y799" s="556">
        <f t="shared" si="86"/>
        <v>375000</v>
      </c>
      <c r="Z799" s="556">
        <f t="shared" si="87"/>
        <v>250000</v>
      </c>
      <c r="AA799" s="556">
        <f t="shared" si="88"/>
        <v>125000</v>
      </c>
      <c r="AB799" s="556">
        <f t="shared" si="89"/>
        <v>0</v>
      </c>
      <c r="AC799" s="556">
        <f t="shared" si="90"/>
        <v>0</v>
      </c>
      <c r="AD799" s="556">
        <f t="shared" si="79"/>
        <v>0</v>
      </c>
      <c r="AE799" s="556">
        <f t="shared" si="93"/>
        <v>0</v>
      </c>
      <c r="AF799" s="556">
        <f t="shared" si="93"/>
        <v>0</v>
      </c>
      <c r="AG799" s="556">
        <f t="shared" si="93"/>
        <v>0</v>
      </c>
    </row>
    <row r="800" spans="1:36" hidden="1" outlineLevel="1" x14ac:dyDescent="0.35">
      <c r="A800" t="b">
        <f t="shared" si="77"/>
        <v>1</v>
      </c>
      <c r="B800" s="27" t="s">
        <v>767</v>
      </c>
      <c r="C800" s="27" t="s">
        <v>51</v>
      </c>
      <c r="D800" s="27" t="s">
        <v>1665</v>
      </c>
      <c r="E800" s="27" t="s">
        <v>51</v>
      </c>
      <c r="F800" s="27" t="s">
        <v>109</v>
      </c>
      <c r="G800" s="27" t="s">
        <v>768</v>
      </c>
      <c r="H800" s="27" t="s">
        <v>54</v>
      </c>
      <c r="I800" s="27" t="s">
        <v>55</v>
      </c>
      <c r="J800" s="27" t="s">
        <v>101</v>
      </c>
      <c r="K800" s="27" t="s">
        <v>371</v>
      </c>
      <c r="L800" s="27" t="s">
        <v>371</v>
      </c>
      <c r="M800" s="27" t="s">
        <v>371</v>
      </c>
      <c r="N800" s="27" t="s">
        <v>371</v>
      </c>
      <c r="O800" s="27" t="s">
        <v>371</v>
      </c>
      <c r="P800" s="27" t="s">
        <v>371</v>
      </c>
      <c r="Q800" s="27" t="s">
        <v>372</v>
      </c>
      <c r="R800" s="556">
        <f t="shared" si="78"/>
        <v>0</v>
      </c>
      <c r="S800" s="556">
        <f t="shared" si="80"/>
        <v>0</v>
      </c>
      <c r="T800" s="556">
        <f t="shared" si="81"/>
        <v>0</v>
      </c>
      <c r="U800" s="556">
        <f t="shared" si="82"/>
        <v>0</v>
      </c>
      <c r="V800" s="556">
        <f t="shared" si="83"/>
        <v>0</v>
      </c>
      <c r="W800" s="556">
        <f t="shared" si="84"/>
        <v>480000</v>
      </c>
      <c r="X800" s="556">
        <f t="shared" si="85"/>
        <v>480000</v>
      </c>
      <c r="Y800" s="556">
        <f t="shared" si="86"/>
        <v>480000</v>
      </c>
      <c r="Z800" s="556">
        <f t="shared" si="87"/>
        <v>480000</v>
      </c>
      <c r="AA800" s="556">
        <f t="shared" si="88"/>
        <v>480000</v>
      </c>
      <c r="AB800" s="556">
        <f t="shared" si="89"/>
        <v>480000</v>
      </c>
      <c r="AC800" s="556">
        <f t="shared" si="90"/>
        <v>0</v>
      </c>
      <c r="AD800" s="556">
        <f t="shared" si="79"/>
        <v>480000</v>
      </c>
      <c r="AE800" s="556">
        <f t="shared" si="93"/>
        <v>480000</v>
      </c>
      <c r="AF800" s="556">
        <f t="shared" si="93"/>
        <v>0</v>
      </c>
      <c r="AG800" s="556">
        <f t="shared" si="93"/>
        <v>0</v>
      </c>
    </row>
    <row r="801" spans="1:34" hidden="1" outlineLevel="1" x14ac:dyDescent="0.35">
      <c r="A801" t="b">
        <f t="shared" si="77"/>
        <v>1</v>
      </c>
      <c r="B801" s="27" t="s">
        <v>769</v>
      </c>
      <c r="C801" s="27" t="s">
        <v>51</v>
      </c>
      <c r="D801" s="27" t="s">
        <v>1666</v>
      </c>
      <c r="E801" s="27" t="s">
        <v>51</v>
      </c>
      <c r="F801" s="27" t="s">
        <v>109</v>
      </c>
      <c r="G801" s="27" t="s">
        <v>770</v>
      </c>
      <c r="H801" s="27" t="s">
        <v>54</v>
      </c>
      <c r="I801" s="27" t="s">
        <v>55</v>
      </c>
      <c r="J801" s="27" t="s">
        <v>101</v>
      </c>
      <c r="K801" s="27" t="s">
        <v>371</v>
      </c>
      <c r="L801" s="27" t="s">
        <v>371</v>
      </c>
      <c r="M801" s="27" t="s">
        <v>371</v>
      </c>
      <c r="N801" s="27" t="s">
        <v>371</v>
      </c>
      <c r="O801" s="27" t="s">
        <v>371</v>
      </c>
      <c r="P801" s="27" t="s">
        <v>371</v>
      </c>
      <c r="Q801" s="27" t="s">
        <v>372</v>
      </c>
      <c r="R801" s="556">
        <f t="shared" si="78"/>
        <v>0</v>
      </c>
      <c r="S801" s="556">
        <f t="shared" si="80"/>
        <v>0</v>
      </c>
      <c r="T801" s="556">
        <f t="shared" si="81"/>
        <v>0</v>
      </c>
      <c r="U801" s="556">
        <f t="shared" si="82"/>
        <v>0</v>
      </c>
      <c r="V801" s="556">
        <f t="shared" si="83"/>
        <v>0</v>
      </c>
      <c r="W801" s="556">
        <f t="shared" si="84"/>
        <v>619899.16</v>
      </c>
      <c r="X801" s="556">
        <f t="shared" si="85"/>
        <v>619899.16</v>
      </c>
      <c r="Y801" s="556">
        <f t="shared" si="86"/>
        <v>619899.16</v>
      </c>
      <c r="Z801" s="556">
        <f t="shared" si="87"/>
        <v>619899.16</v>
      </c>
      <c r="AA801" s="556">
        <f t="shared" si="88"/>
        <v>619899.16</v>
      </c>
      <c r="AB801" s="556">
        <f t="shared" si="89"/>
        <v>619899.16</v>
      </c>
      <c r="AC801" s="556">
        <f t="shared" si="90"/>
        <v>0</v>
      </c>
      <c r="AD801" s="556">
        <f t="shared" si="79"/>
        <v>619899.16</v>
      </c>
      <c r="AE801" s="556">
        <f t="shared" si="93"/>
        <v>619899.16</v>
      </c>
      <c r="AF801" s="556">
        <f t="shared" si="93"/>
        <v>0</v>
      </c>
      <c r="AG801" s="556">
        <f t="shared" si="93"/>
        <v>0</v>
      </c>
    </row>
    <row r="802" spans="1:34" hidden="1" outlineLevel="1" x14ac:dyDescent="0.35">
      <c r="A802" t="b">
        <f t="shared" si="77"/>
        <v>1</v>
      </c>
      <c r="B802" s="27" t="s">
        <v>771</v>
      </c>
      <c r="C802" s="27" t="s">
        <v>51</v>
      </c>
      <c r="D802" s="27" t="s">
        <v>1667</v>
      </c>
      <c r="E802" s="27" t="s">
        <v>51</v>
      </c>
      <c r="F802" s="27" t="s">
        <v>109</v>
      </c>
      <c r="G802" s="27" t="s">
        <v>772</v>
      </c>
      <c r="H802" s="27" t="s">
        <v>54</v>
      </c>
      <c r="I802" s="27" t="s">
        <v>55</v>
      </c>
      <c r="J802" s="27" t="s">
        <v>101</v>
      </c>
      <c r="K802" s="27" t="s">
        <v>371</v>
      </c>
      <c r="L802" s="27" t="s">
        <v>371</v>
      </c>
      <c r="M802" s="27" t="s">
        <v>371</v>
      </c>
      <c r="N802" s="27" t="s">
        <v>371</v>
      </c>
      <c r="O802" s="27" t="s">
        <v>371</v>
      </c>
      <c r="P802" s="27" t="s">
        <v>371</v>
      </c>
      <c r="Q802" s="27" t="s">
        <v>372</v>
      </c>
      <c r="R802" s="556">
        <f t="shared" si="78"/>
        <v>0</v>
      </c>
      <c r="S802" s="556">
        <f t="shared" si="80"/>
        <v>0</v>
      </c>
      <c r="T802" s="556">
        <f t="shared" si="81"/>
        <v>0</v>
      </c>
      <c r="U802" s="556">
        <f t="shared" si="82"/>
        <v>0</v>
      </c>
      <c r="V802" s="556">
        <f t="shared" si="83"/>
        <v>0</v>
      </c>
      <c r="W802" s="556">
        <f t="shared" si="84"/>
        <v>154974.78</v>
      </c>
      <c r="X802" s="556">
        <f t="shared" si="85"/>
        <v>154974.78</v>
      </c>
      <c r="Y802" s="556">
        <f t="shared" si="86"/>
        <v>154974.78</v>
      </c>
      <c r="Z802" s="556">
        <f t="shared" si="87"/>
        <v>154974.78</v>
      </c>
      <c r="AA802" s="556">
        <f t="shared" si="88"/>
        <v>154974.78</v>
      </c>
      <c r="AB802" s="556">
        <f t="shared" si="89"/>
        <v>154974.78</v>
      </c>
      <c r="AC802" s="556">
        <f t="shared" si="90"/>
        <v>0</v>
      </c>
      <c r="AD802" s="556">
        <f t="shared" si="79"/>
        <v>154974.78</v>
      </c>
      <c r="AE802" s="556">
        <f t="shared" si="93"/>
        <v>154974.78</v>
      </c>
      <c r="AF802" s="556">
        <f t="shared" si="93"/>
        <v>0</v>
      </c>
      <c r="AG802" s="556">
        <f t="shared" si="93"/>
        <v>0</v>
      </c>
    </row>
    <row r="803" spans="1:34" hidden="1" outlineLevel="1" x14ac:dyDescent="0.35">
      <c r="A803" t="b">
        <f t="shared" si="77"/>
        <v>1</v>
      </c>
      <c r="B803" s="27" t="s">
        <v>773</v>
      </c>
      <c r="C803" s="27" t="s">
        <v>51</v>
      </c>
      <c r="D803" s="27" t="s">
        <v>1668</v>
      </c>
      <c r="E803" s="27" t="s">
        <v>51</v>
      </c>
      <c r="F803" s="27" t="s">
        <v>195</v>
      </c>
      <c r="G803" s="27" t="s">
        <v>774</v>
      </c>
      <c r="H803" s="27" t="s">
        <v>54</v>
      </c>
      <c r="I803" s="27" t="s">
        <v>142</v>
      </c>
      <c r="J803" s="27" t="s">
        <v>197</v>
      </c>
      <c r="K803" s="27" t="s">
        <v>371</v>
      </c>
      <c r="L803" s="27" t="s">
        <v>371</v>
      </c>
      <c r="M803" s="27" t="s">
        <v>371</v>
      </c>
      <c r="N803" s="27" t="s">
        <v>371</v>
      </c>
      <c r="O803" s="27" t="s">
        <v>371</v>
      </c>
      <c r="P803" s="27" t="s">
        <v>371</v>
      </c>
      <c r="Q803" s="27" t="s">
        <v>372</v>
      </c>
      <c r="R803" s="556">
        <f t="shared" si="78"/>
        <v>0</v>
      </c>
      <c r="S803" s="556">
        <f t="shared" si="80"/>
        <v>0</v>
      </c>
      <c r="T803" s="556">
        <f t="shared" si="81"/>
        <v>0</v>
      </c>
      <c r="U803" s="556">
        <f t="shared" si="82"/>
        <v>0</v>
      </c>
      <c r="V803" s="556">
        <f t="shared" si="83"/>
        <v>0</v>
      </c>
      <c r="W803" s="556">
        <f t="shared" si="84"/>
        <v>-110797.4</v>
      </c>
      <c r="X803" s="556">
        <f t="shared" si="85"/>
        <v>0</v>
      </c>
      <c r="Y803" s="556">
        <f t="shared" si="86"/>
        <v>0</v>
      </c>
      <c r="Z803" s="556">
        <f t="shared" si="87"/>
        <v>0</v>
      </c>
      <c r="AA803" s="556">
        <f t="shared" si="88"/>
        <v>0</v>
      </c>
      <c r="AB803" s="556">
        <f t="shared" si="89"/>
        <v>0</v>
      </c>
      <c r="AC803" s="556">
        <f t="shared" si="90"/>
        <v>0</v>
      </c>
      <c r="AD803" s="556">
        <f t="shared" si="79"/>
        <v>0</v>
      </c>
      <c r="AE803" s="556">
        <f t="shared" si="93"/>
        <v>0</v>
      </c>
      <c r="AF803" s="556">
        <f t="shared" si="93"/>
        <v>0</v>
      </c>
      <c r="AG803" s="556">
        <f t="shared" si="93"/>
        <v>0</v>
      </c>
    </row>
    <row r="804" spans="1:34" hidden="1" outlineLevel="1" x14ac:dyDescent="0.35">
      <c r="A804" t="b">
        <f t="shared" si="77"/>
        <v>1</v>
      </c>
      <c r="B804" s="27" t="s">
        <v>775</v>
      </c>
      <c r="C804" s="27" t="s">
        <v>51</v>
      </c>
      <c r="D804" s="27" t="s">
        <v>1669</v>
      </c>
      <c r="E804" s="27" t="s">
        <v>51</v>
      </c>
      <c r="F804" s="27" t="s">
        <v>195</v>
      </c>
      <c r="G804" s="27" t="s">
        <v>776</v>
      </c>
      <c r="H804" s="27" t="s">
        <v>54</v>
      </c>
      <c r="I804" s="27" t="s">
        <v>142</v>
      </c>
      <c r="J804" s="27" t="s">
        <v>197</v>
      </c>
      <c r="K804" s="27" t="s">
        <v>371</v>
      </c>
      <c r="L804" s="27" t="s">
        <v>371</v>
      </c>
      <c r="M804" s="27" t="s">
        <v>371</v>
      </c>
      <c r="N804" s="27" t="s">
        <v>371</v>
      </c>
      <c r="O804" s="27" t="s">
        <v>371</v>
      </c>
      <c r="P804" s="27" t="s">
        <v>371</v>
      </c>
      <c r="Q804" s="27" t="s">
        <v>372</v>
      </c>
      <c r="R804" s="556">
        <f t="shared" si="78"/>
        <v>0</v>
      </c>
      <c r="S804" s="556">
        <f t="shared" si="80"/>
        <v>0</v>
      </c>
      <c r="T804" s="556">
        <f t="shared" si="81"/>
        <v>0</v>
      </c>
      <c r="U804" s="556">
        <f t="shared" si="82"/>
        <v>0</v>
      </c>
      <c r="V804" s="556">
        <f t="shared" si="83"/>
        <v>0</v>
      </c>
      <c r="W804" s="556">
        <f t="shared" si="84"/>
        <v>-232000</v>
      </c>
      <c r="X804" s="556">
        <f t="shared" si="85"/>
        <v>0</v>
      </c>
      <c r="Y804" s="556">
        <f t="shared" si="86"/>
        <v>0</v>
      </c>
      <c r="Z804" s="556">
        <f t="shared" si="87"/>
        <v>0</v>
      </c>
      <c r="AA804" s="556">
        <f t="shared" si="88"/>
        <v>0</v>
      </c>
      <c r="AB804" s="556">
        <f t="shared" si="89"/>
        <v>0</v>
      </c>
      <c r="AC804" s="556">
        <f t="shared" si="90"/>
        <v>0</v>
      </c>
      <c r="AD804" s="556">
        <f t="shared" si="79"/>
        <v>0</v>
      </c>
      <c r="AE804" s="556">
        <f t="shared" si="93"/>
        <v>0</v>
      </c>
      <c r="AF804" s="556">
        <f t="shared" si="93"/>
        <v>0</v>
      </c>
      <c r="AG804" s="556">
        <f t="shared" si="93"/>
        <v>0</v>
      </c>
    </row>
    <row r="805" spans="1:34" hidden="1" outlineLevel="1" x14ac:dyDescent="0.35">
      <c r="A805" t="b">
        <f t="shared" si="77"/>
        <v>1</v>
      </c>
      <c r="B805" s="27" t="s">
        <v>777</v>
      </c>
      <c r="C805" s="27" t="s">
        <v>51</v>
      </c>
      <c r="D805" s="27" t="s">
        <v>1670</v>
      </c>
      <c r="E805" s="27" t="s">
        <v>51</v>
      </c>
      <c r="F805" s="27" t="s">
        <v>195</v>
      </c>
      <c r="G805" s="27" t="s">
        <v>778</v>
      </c>
      <c r="H805" s="27" t="s">
        <v>54</v>
      </c>
      <c r="I805" s="27" t="s">
        <v>142</v>
      </c>
      <c r="J805" s="27" t="s">
        <v>197</v>
      </c>
      <c r="K805" s="27" t="s">
        <v>371</v>
      </c>
      <c r="L805" s="27" t="s">
        <v>371</v>
      </c>
      <c r="M805" s="27" t="s">
        <v>371</v>
      </c>
      <c r="N805" s="27" t="s">
        <v>371</v>
      </c>
      <c r="O805" s="27" t="s">
        <v>371</v>
      </c>
      <c r="P805" s="27" t="s">
        <v>371</v>
      </c>
      <c r="Q805" s="27" t="s">
        <v>372</v>
      </c>
      <c r="R805" s="556">
        <f t="shared" si="78"/>
        <v>0</v>
      </c>
      <c r="S805" s="556">
        <f t="shared" si="80"/>
        <v>0</v>
      </c>
      <c r="T805" s="556">
        <f t="shared" si="81"/>
        <v>0</v>
      </c>
      <c r="U805" s="556">
        <f t="shared" si="82"/>
        <v>0</v>
      </c>
      <c r="V805" s="556">
        <f t="shared" si="83"/>
        <v>0</v>
      </c>
      <c r="W805" s="556">
        <f t="shared" si="84"/>
        <v>-742400</v>
      </c>
      <c r="X805" s="556">
        <f t="shared" si="85"/>
        <v>0</v>
      </c>
      <c r="Y805" s="556">
        <f t="shared" si="86"/>
        <v>0</v>
      </c>
      <c r="Z805" s="556">
        <f t="shared" si="87"/>
        <v>0</v>
      </c>
      <c r="AA805" s="556">
        <f t="shared" si="88"/>
        <v>0</v>
      </c>
      <c r="AB805" s="556">
        <f t="shared" si="89"/>
        <v>0</v>
      </c>
      <c r="AC805" s="556">
        <f t="shared" si="90"/>
        <v>0</v>
      </c>
      <c r="AD805" s="556">
        <f t="shared" si="79"/>
        <v>0</v>
      </c>
      <c r="AE805" s="556">
        <f t="shared" si="93"/>
        <v>0</v>
      </c>
      <c r="AF805" s="556">
        <f t="shared" si="93"/>
        <v>0</v>
      </c>
      <c r="AG805" s="556">
        <f t="shared" si="93"/>
        <v>0</v>
      </c>
    </row>
    <row r="806" spans="1:34" hidden="1" outlineLevel="1" x14ac:dyDescent="0.35">
      <c r="A806" t="b">
        <f t="shared" si="77"/>
        <v>1</v>
      </c>
      <c r="B806" s="27" t="s">
        <v>779</v>
      </c>
      <c r="C806" s="27" t="s">
        <v>51</v>
      </c>
      <c r="D806" s="27" t="s">
        <v>1671</v>
      </c>
      <c r="E806" s="27" t="s">
        <v>51</v>
      </c>
      <c r="F806" s="27" t="s">
        <v>587</v>
      </c>
      <c r="G806" s="27" t="s">
        <v>62</v>
      </c>
      <c r="H806" s="27" t="s">
        <v>54</v>
      </c>
      <c r="I806" s="27" t="s">
        <v>142</v>
      </c>
      <c r="J806" s="27" t="s">
        <v>197</v>
      </c>
      <c r="K806" s="27" t="s">
        <v>371</v>
      </c>
      <c r="L806" s="27" t="s">
        <v>371</v>
      </c>
      <c r="M806" s="27" t="s">
        <v>371</v>
      </c>
      <c r="N806" s="27" t="s">
        <v>371</v>
      </c>
      <c r="O806" s="27" t="s">
        <v>371</v>
      </c>
      <c r="P806" s="27" t="s">
        <v>371</v>
      </c>
      <c r="Q806" s="27" t="s">
        <v>372</v>
      </c>
      <c r="R806" s="556">
        <f t="shared" si="78"/>
        <v>0</v>
      </c>
      <c r="S806" s="556">
        <f t="shared" si="80"/>
        <v>0</v>
      </c>
      <c r="T806" s="556">
        <f t="shared" si="81"/>
        <v>0</v>
      </c>
      <c r="U806" s="556">
        <f t="shared" si="82"/>
        <v>0</v>
      </c>
      <c r="V806" s="556">
        <f t="shared" si="83"/>
        <v>0</v>
      </c>
      <c r="W806" s="556">
        <f t="shared" si="84"/>
        <v>0</v>
      </c>
      <c r="X806" s="556">
        <f t="shared" si="85"/>
        <v>0</v>
      </c>
      <c r="Y806" s="556">
        <f t="shared" si="86"/>
        <v>0</v>
      </c>
      <c r="Z806" s="556">
        <f t="shared" si="87"/>
        <v>0</v>
      </c>
      <c r="AA806" s="556">
        <f t="shared" si="88"/>
        <v>0</v>
      </c>
      <c r="AB806" s="556">
        <f t="shared" si="89"/>
        <v>0</v>
      </c>
      <c r="AC806" s="556">
        <f t="shared" si="90"/>
        <v>0</v>
      </c>
      <c r="AD806" s="556">
        <f t="shared" si="79"/>
        <v>0</v>
      </c>
      <c r="AE806" s="556">
        <f t="shared" si="93"/>
        <v>0</v>
      </c>
      <c r="AF806" s="556">
        <f t="shared" si="93"/>
        <v>0</v>
      </c>
      <c r="AG806" s="556">
        <f t="shared" si="93"/>
        <v>0</v>
      </c>
    </row>
    <row r="807" spans="1:34" hidden="1" outlineLevel="1" x14ac:dyDescent="0.35">
      <c r="A807" t="b">
        <f t="shared" si="77"/>
        <v>1</v>
      </c>
      <c r="B807" s="27" t="s">
        <v>1314</v>
      </c>
      <c r="C807" s="27" t="s">
        <v>51</v>
      </c>
      <c r="D807" s="27" t="s">
        <v>1893</v>
      </c>
      <c r="E807" s="27" t="s">
        <v>51</v>
      </c>
      <c r="F807" s="27" t="s">
        <v>780</v>
      </c>
      <c r="G807" s="27" t="s">
        <v>1672</v>
      </c>
      <c r="H807" s="27" t="s">
        <v>54</v>
      </c>
      <c r="I807" s="27" t="s">
        <v>142</v>
      </c>
      <c r="J807" s="27" t="s">
        <v>781</v>
      </c>
      <c r="K807" s="27" t="s">
        <v>371</v>
      </c>
      <c r="L807" s="27" t="s">
        <v>371</v>
      </c>
      <c r="M807" s="27" t="s">
        <v>371</v>
      </c>
      <c r="N807" s="27" t="s">
        <v>371</v>
      </c>
      <c r="O807" s="27" t="s">
        <v>371</v>
      </c>
      <c r="P807" s="27" t="s">
        <v>371</v>
      </c>
      <c r="Q807" s="27" t="s">
        <v>372</v>
      </c>
      <c r="R807" s="556">
        <f t="shared" si="78"/>
        <v>0</v>
      </c>
      <c r="S807" s="556">
        <f t="shared" si="80"/>
        <v>0</v>
      </c>
      <c r="T807" s="556">
        <f t="shared" si="81"/>
        <v>0</v>
      </c>
      <c r="U807" s="556">
        <f t="shared" si="82"/>
        <v>0</v>
      </c>
      <c r="V807" s="556">
        <f t="shared" si="83"/>
        <v>0</v>
      </c>
      <c r="W807" s="556">
        <f t="shared" si="84"/>
        <v>-115000000</v>
      </c>
      <c r="X807" s="556">
        <f t="shared" si="85"/>
        <v>-115000000</v>
      </c>
      <c r="Y807" s="556">
        <f t="shared" si="86"/>
        <v>-115000000</v>
      </c>
      <c r="Z807" s="556">
        <f t="shared" si="87"/>
        <v>-115000000</v>
      </c>
      <c r="AA807" s="556">
        <f t="shared" si="88"/>
        <v>-115000000</v>
      </c>
      <c r="AB807" s="556">
        <f t="shared" si="89"/>
        <v>-115000000</v>
      </c>
      <c r="AC807" s="556">
        <f t="shared" si="90"/>
        <v>-115000000</v>
      </c>
      <c r="AD807" s="556">
        <f t="shared" si="79"/>
        <v>-115000000</v>
      </c>
      <c r="AE807" s="556">
        <f t="shared" si="93"/>
        <v>-115000000</v>
      </c>
      <c r="AF807" s="556">
        <f t="shared" si="93"/>
        <v>-115000000</v>
      </c>
      <c r="AG807" s="556">
        <f t="shared" si="93"/>
        <v>-115000000</v>
      </c>
    </row>
    <row r="808" spans="1:34" hidden="1" outlineLevel="1" x14ac:dyDescent="0.35">
      <c r="A808" t="b">
        <f t="shared" si="77"/>
        <v>1</v>
      </c>
      <c r="B808" s="27" t="s">
        <v>1315</v>
      </c>
      <c r="C808" s="27" t="s">
        <v>51</v>
      </c>
      <c r="D808" s="27" t="s">
        <v>1894</v>
      </c>
      <c r="E808" s="27" t="s">
        <v>51</v>
      </c>
      <c r="F808" s="27" t="s">
        <v>780</v>
      </c>
      <c r="G808" s="27" t="s">
        <v>1673</v>
      </c>
      <c r="H808" s="27" t="s">
        <v>54</v>
      </c>
      <c r="I808" s="27" t="s">
        <v>142</v>
      </c>
      <c r="J808" s="27" t="s">
        <v>781</v>
      </c>
      <c r="K808" s="27" t="s">
        <v>371</v>
      </c>
      <c r="L808" s="27" t="s">
        <v>371</v>
      </c>
      <c r="M808" s="27" t="s">
        <v>371</v>
      </c>
      <c r="N808" s="27" t="s">
        <v>371</v>
      </c>
      <c r="O808" s="27" t="s">
        <v>371</v>
      </c>
      <c r="P808" s="27" t="s">
        <v>371</v>
      </c>
      <c r="Q808" s="27" t="s">
        <v>372</v>
      </c>
      <c r="R808" s="556">
        <f t="shared" si="78"/>
        <v>0</v>
      </c>
      <c r="S808" s="556">
        <f t="shared" si="80"/>
        <v>0</v>
      </c>
      <c r="T808" s="556">
        <f t="shared" si="81"/>
        <v>0</v>
      </c>
      <c r="U808" s="556">
        <f t="shared" si="82"/>
        <v>0</v>
      </c>
      <c r="V808" s="556">
        <f t="shared" si="83"/>
        <v>0</v>
      </c>
      <c r="W808" s="556">
        <f t="shared" si="84"/>
        <v>16976450</v>
      </c>
      <c r="X808" s="556">
        <f t="shared" si="85"/>
        <v>16829530.199999999</v>
      </c>
      <c r="Y808" s="556">
        <f t="shared" si="86"/>
        <v>16627610.4</v>
      </c>
      <c r="Z808" s="556">
        <f t="shared" si="87"/>
        <v>16425690.6</v>
      </c>
      <c r="AA808" s="556">
        <f t="shared" si="88"/>
        <v>16223770.800000001</v>
      </c>
      <c r="AB808" s="556">
        <f t="shared" si="89"/>
        <v>16021851</v>
      </c>
      <c r="AC808" s="556">
        <f t="shared" si="90"/>
        <v>15454906</v>
      </c>
      <c r="AD808" s="556">
        <f t="shared" si="79"/>
        <v>15618011.4</v>
      </c>
      <c r="AE808" s="556">
        <f t="shared" si="93"/>
        <v>15416091.6</v>
      </c>
      <c r="AF808" s="556">
        <f t="shared" si="93"/>
        <v>14849146.6</v>
      </c>
      <c r="AG808" s="556">
        <f t="shared" si="93"/>
        <v>14647226.800000001</v>
      </c>
    </row>
    <row r="809" spans="1:34" hidden="1" outlineLevel="1" x14ac:dyDescent="0.35">
      <c r="A809" t="b">
        <f t="shared" si="77"/>
        <v>1</v>
      </c>
      <c r="B809" s="27" t="s">
        <v>782</v>
      </c>
      <c r="C809" s="27" t="s">
        <v>51</v>
      </c>
      <c r="D809" s="27" t="s">
        <v>1674</v>
      </c>
      <c r="E809" s="27" t="s">
        <v>51</v>
      </c>
      <c r="F809" s="27" t="s">
        <v>501</v>
      </c>
      <c r="G809" s="27" t="s">
        <v>783</v>
      </c>
      <c r="H809" s="27" t="s">
        <v>447</v>
      </c>
      <c r="I809" s="27" t="s">
        <v>440</v>
      </c>
      <c r="J809" s="27" t="s">
        <v>448</v>
      </c>
      <c r="K809" s="27" t="s">
        <v>491</v>
      </c>
      <c r="L809" s="27" t="s">
        <v>492</v>
      </c>
      <c r="M809" s="27" t="s">
        <v>2057</v>
      </c>
      <c r="N809" s="27" t="s">
        <v>494</v>
      </c>
      <c r="O809" s="27" t="s">
        <v>491</v>
      </c>
      <c r="P809" s="27" t="s">
        <v>480</v>
      </c>
      <c r="Q809" s="27" t="s">
        <v>372</v>
      </c>
      <c r="R809" s="556">
        <f t="shared" si="78"/>
        <v>0</v>
      </c>
      <c r="S809" s="556">
        <f t="shared" si="80"/>
        <v>0</v>
      </c>
      <c r="T809" s="556">
        <f t="shared" si="81"/>
        <v>0</v>
      </c>
      <c r="U809" s="556">
        <f t="shared" si="82"/>
        <v>0</v>
      </c>
      <c r="V809" s="556">
        <f t="shared" si="83"/>
        <v>0</v>
      </c>
      <c r="W809" s="556">
        <f t="shared" si="84"/>
        <v>250</v>
      </c>
      <c r="X809" s="556">
        <f t="shared" si="85"/>
        <v>250</v>
      </c>
      <c r="Y809" s="556">
        <f t="shared" si="86"/>
        <v>0</v>
      </c>
      <c r="Z809" s="556">
        <f t="shared" si="87"/>
        <v>0</v>
      </c>
      <c r="AA809" s="556">
        <f t="shared" si="88"/>
        <v>0</v>
      </c>
      <c r="AB809" s="556">
        <f t="shared" si="89"/>
        <v>0</v>
      </c>
      <c r="AC809" s="556">
        <f t="shared" si="90"/>
        <v>0</v>
      </c>
      <c r="AD809" s="556">
        <f t="shared" si="79"/>
        <v>0</v>
      </c>
      <c r="AE809" s="556">
        <f t="shared" si="93"/>
        <v>0</v>
      </c>
      <c r="AF809" s="556">
        <f t="shared" si="93"/>
        <v>0</v>
      </c>
      <c r="AG809" s="556">
        <f t="shared" si="93"/>
        <v>0</v>
      </c>
      <c r="AH809" s="44"/>
    </row>
    <row r="810" spans="1:34" hidden="1" outlineLevel="1" x14ac:dyDescent="0.35">
      <c r="A810" t="b">
        <f t="shared" si="77"/>
        <v>1</v>
      </c>
      <c r="B810" s="27" t="s">
        <v>784</v>
      </c>
      <c r="C810" s="27" t="s">
        <v>51</v>
      </c>
      <c r="D810" s="27" t="s">
        <v>1675</v>
      </c>
      <c r="E810" s="27" t="s">
        <v>51</v>
      </c>
      <c r="F810" s="27" t="s">
        <v>378</v>
      </c>
      <c r="G810" s="27" t="s">
        <v>785</v>
      </c>
      <c r="H810" s="27" t="s">
        <v>54</v>
      </c>
      <c r="I810" s="27" t="s">
        <v>55</v>
      </c>
      <c r="J810" s="27" t="s">
        <v>379</v>
      </c>
      <c r="K810" s="27" t="s">
        <v>371</v>
      </c>
      <c r="L810" s="27" t="s">
        <v>371</v>
      </c>
      <c r="M810" s="27" t="s">
        <v>371</v>
      </c>
      <c r="N810" s="27" t="s">
        <v>371</v>
      </c>
      <c r="O810" s="27" t="s">
        <v>371</v>
      </c>
      <c r="P810" s="27" t="s">
        <v>371</v>
      </c>
      <c r="Q810" s="27" t="s">
        <v>372</v>
      </c>
      <c r="R810" s="556">
        <f t="shared" si="78"/>
        <v>0</v>
      </c>
      <c r="S810" s="556">
        <f t="shared" si="80"/>
        <v>0</v>
      </c>
      <c r="T810" s="556">
        <f t="shared" si="81"/>
        <v>0</v>
      </c>
      <c r="U810" s="556">
        <f t="shared" si="82"/>
        <v>0</v>
      </c>
      <c r="V810" s="556">
        <f t="shared" si="83"/>
        <v>0</v>
      </c>
      <c r="W810" s="556">
        <f t="shared" si="84"/>
        <v>11362.56</v>
      </c>
      <c r="X810" s="556">
        <f t="shared" si="85"/>
        <v>55327.199999999997</v>
      </c>
      <c r="Y810" s="556">
        <f t="shared" si="86"/>
        <v>55327.199999999997</v>
      </c>
      <c r="Z810" s="556">
        <f t="shared" si="87"/>
        <v>55327.199999999997</v>
      </c>
      <c r="AA810" s="556">
        <f t="shared" si="88"/>
        <v>55327.199999999997</v>
      </c>
      <c r="AB810" s="556">
        <f t="shared" si="89"/>
        <v>55327.199999999997</v>
      </c>
      <c r="AC810" s="556">
        <f t="shared" si="90"/>
        <v>55327.199999999997</v>
      </c>
      <c r="AD810" s="556">
        <f t="shared" si="79"/>
        <v>167782.56</v>
      </c>
      <c r="AE810" s="556">
        <f t="shared" si="93"/>
        <v>167782.56</v>
      </c>
      <c r="AF810" s="556">
        <f t="shared" si="93"/>
        <v>0</v>
      </c>
      <c r="AG810" s="556">
        <f t="shared" si="93"/>
        <v>0</v>
      </c>
    </row>
    <row r="811" spans="1:34" hidden="1" outlineLevel="1" x14ac:dyDescent="0.35">
      <c r="A811" t="b">
        <f t="shared" ref="A811:A874" si="94">B333=B811</f>
        <v>1</v>
      </c>
      <c r="B811" s="27" t="s">
        <v>1316</v>
      </c>
      <c r="C811" s="27" t="s">
        <v>51</v>
      </c>
      <c r="D811" s="27" t="s">
        <v>1895</v>
      </c>
      <c r="E811" s="27" t="s">
        <v>51</v>
      </c>
      <c r="F811" s="27" t="s">
        <v>369</v>
      </c>
      <c r="G811" s="27" t="s">
        <v>1676</v>
      </c>
      <c r="H811" s="27" t="s">
        <v>54</v>
      </c>
      <c r="I811" s="27" t="s">
        <v>55</v>
      </c>
      <c r="J811" s="27" t="s">
        <v>370</v>
      </c>
      <c r="K811" s="27" t="s">
        <v>371</v>
      </c>
      <c r="L811" s="27" t="s">
        <v>371</v>
      </c>
      <c r="M811" s="27" t="s">
        <v>371</v>
      </c>
      <c r="N811" s="27" t="s">
        <v>371</v>
      </c>
      <c r="O811" s="27" t="s">
        <v>371</v>
      </c>
      <c r="P811" s="27" t="s">
        <v>371</v>
      </c>
      <c r="Q811" s="27" t="s">
        <v>372</v>
      </c>
      <c r="R811" s="556">
        <f t="shared" ref="R811:R874" si="95">+IF(R$10="Actuals",IF($O333="Revenue",-IF($H333="BS",R333,IF($H333="P&amp;L",R333,0)),IF($H333="BS",R333,IF($H333="P&amp;L",R333,0))),0)</f>
        <v>0</v>
      </c>
      <c r="S811" s="556">
        <f t="shared" si="80"/>
        <v>0</v>
      </c>
      <c r="T811" s="556">
        <f t="shared" si="81"/>
        <v>0</v>
      </c>
      <c r="U811" s="556">
        <f t="shared" si="82"/>
        <v>0</v>
      </c>
      <c r="V811" s="556">
        <f t="shared" si="83"/>
        <v>0</v>
      </c>
      <c r="W811" s="556">
        <f t="shared" si="84"/>
        <v>0</v>
      </c>
      <c r="X811" s="556">
        <f t="shared" si="85"/>
        <v>5638768.5499999998</v>
      </c>
      <c r="Y811" s="556">
        <f t="shared" si="86"/>
        <v>0</v>
      </c>
      <c r="Z811" s="556">
        <f t="shared" si="87"/>
        <v>3.7399999983608723</v>
      </c>
      <c r="AA811" s="556">
        <f t="shared" si="88"/>
        <v>5.28</v>
      </c>
      <c r="AB811" s="556">
        <f t="shared" si="89"/>
        <v>7.04</v>
      </c>
      <c r="AC811" s="556">
        <f t="shared" si="90"/>
        <v>975211.14</v>
      </c>
      <c r="AD811" s="556">
        <f t="shared" ref="AD811:AD874" si="96">+IF(AD$10="Actuals",IF($O333="Revenue",-IF($H333="BS",AD333,IF($H333="P&amp;L",AD333,0)),IF($H333="BS",AD333,IF($H333="P&amp;L",AD333,0))),0)</f>
        <v>252921.99</v>
      </c>
      <c r="AE811" s="556">
        <f t="shared" ref="AE811:AG830" si="97">+IF(AE$10="Actuals",IF($O333="Revenue",-IF($H333="BS",AE333,IF($H333="P&amp;L",AE333-AD333,0)),IF($H333="BS",AE333,IF($H333="P&amp;L",AE333-AD333,0))),0)</f>
        <v>5.65</v>
      </c>
      <c r="AF811" s="556">
        <f t="shared" si="97"/>
        <v>472708.78</v>
      </c>
      <c r="AG811" s="556">
        <f t="shared" si="97"/>
        <v>560581.74</v>
      </c>
    </row>
    <row r="812" spans="1:34" hidden="1" outlineLevel="1" x14ac:dyDescent="0.35">
      <c r="A812" t="b">
        <f t="shared" si="94"/>
        <v>1</v>
      </c>
      <c r="B812" s="27" t="s">
        <v>1317</v>
      </c>
      <c r="C812" s="27" t="s">
        <v>51</v>
      </c>
      <c r="D812" s="27" t="s">
        <v>1896</v>
      </c>
      <c r="E812" s="27" t="s">
        <v>51</v>
      </c>
      <c r="F812" s="27" t="s">
        <v>369</v>
      </c>
      <c r="G812" s="27" t="s">
        <v>1677</v>
      </c>
      <c r="H812" s="27" t="s">
        <v>54</v>
      </c>
      <c r="I812" s="27" t="s">
        <v>55</v>
      </c>
      <c r="J812" s="27" t="s">
        <v>370</v>
      </c>
      <c r="K812" s="27" t="s">
        <v>371</v>
      </c>
      <c r="L812" s="27" t="s">
        <v>371</v>
      </c>
      <c r="M812" s="27" t="s">
        <v>371</v>
      </c>
      <c r="N812" s="27" t="s">
        <v>371</v>
      </c>
      <c r="O812" s="27" t="s">
        <v>371</v>
      </c>
      <c r="P812" s="27" t="s">
        <v>371</v>
      </c>
      <c r="Q812" s="27" t="s">
        <v>372</v>
      </c>
      <c r="R812" s="556">
        <f t="shared" si="95"/>
        <v>0</v>
      </c>
      <c r="S812" s="556">
        <f t="shared" ref="S812:S875" si="98">+IF(S$10="Actuals",IF($O334="Revenue",-IF($H334="BS",S334,IF($H334="P&amp;L",S334-R334,0)),IF($H334="BS",S334,IF($H334="P&amp;L",S334-R334,0))),0)</f>
        <v>0</v>
      </c>
      <c r="T812" s="556">
        <f t="shared" ref="T812:T875" si="99">+IF(T$10="Actuals",IF($O334="Revenue",-IF($H334="BS",T334,IF($H334="P&amp;L",T334-S334,0)),IF($H334="BS",T334,IF($H334="P&amp;L",T334-S334,0))),0)</f>
        <v>0</v>
      </c>
      <c r="U812" s="556">
        <f t="shared" ref="U812:U875" si="100">+IF(U$10="Actuals",IF($O334="Revenue",-IF($H334="BS",U334,IF($H334="P&amp;L",U334-T334,0)),IF($H334="BS",U334,IF($H334="P&amp;L",U334-T334,0))),0)</f>
        <v>0</v>
      </c>
      <c r="V812" s="556">
        <f t="shared" ref="V812:V875" si="101">+IF(V$10="Actuals",IF($O334="Revenue",-IF($H334="BS",V334,IF($H334="P&amp;L",V334-U334,0)),IF($H334="BS",V334,IF($H334="P&amp;L",V334-U334,0))),0)</f>
        <v>0</v>
      </c>
      <c r="W812" s="556">
        <f t="shared" ref="W812:W875" si="102">+IF(W$10="Actuals",IF($O334="Revenue",-IF($H334="BS",W334,IF($H334="P&amp;L",W334-V334,0)),IF($H334="BS",W334,IF($H334="P&amp;L",W334-V334,0))),0)</f>
        <v>0</v>
      </c>
      <c r="X812" s="556">
        <f t="shared" ref="X812:X875" si="103">+IF(X$10="Actuals",IF($O334="Revenue",-IF($H334="BS",X334,IF($H334="P&amp;L",X334-W334,0)),IF($H334="BS",X334,IF($H334="P&amp;L",X334-W334,0))),0)</f>
        <v>4458979.7300000004</v>
      </c>
      <c r="Y812" s="556">
        <f t="shared" ref="Y812:Y875" si="104">+IF(Y$10="Actuals",IF($O334="Revenue",-IF($H334="BS",Y334,IF($H334="P&amp;L",Y334-X334,0)),IF($H334="BS",Y334,IF($H334="P&amp;L",Y334-X334,0))),0)</f>
        <v>14792152.17</v>
      </c>
      <c r="Z812" s="556">
        <f t="shared" ref="Z812:Z875" si="105">+IF(Z$10="Actuals",IF($O334="Revenue",-IF($H334="BS",Z334,IF($H334="P&amp;L",Z334-Y334,0)),IF($H334="BS",Z334,IF($H334="P&amp;L",Z334-Y334,0))),0)</f>
        <v>580740.5</v>
      </c>
      <c r="AA812" s="556">
        <f t="shared" ref="AA812:AA875" si="106">+IF(AA$10="Actuals",IF($O334="Revenue",-IF($H334="BS",AA334,IF($H334="P&amp;L",AA334-Z334,0)),IF($H334="BS",AA334,IF($H334="P&amp;L",AA334-Z334,0))),0)</f>
        <v>2547761</v>
      </c>
      <c r="AB812" s="556">
        <f t="shared" ref="AB812:AB875" si="107">+IF(AB$10="Actuals",IF($O334="Revenue",-IF($H334="BS",AB334,IF($H334="P&amp;L",AB334-AA334,0)),IF($H334="BS",AB334,IF($H334="P&amp;L",AB334-AA334,0))),0)</f>
        <v>3003340.77</v>
      </c>
      <c r="AC812" s="556">
        <f t="shared" ref="AC812:AC875" si="108">+IF(AC$10="Actuals",IF($O334="Revenue",-IF($H334="BS",AC334,IF($H334="P&amp;L",AC334-AB334,0)),IF($H334="BS",AC334,IF($H334="P&amp;L",AC334-AB334,0))),0)</f>
        <v>5205478.2699999996</v>
      </c>
      <c r="AD812" s="556">
        <f t="shared" si="96"/>
        <v>2045109.28</v>
      </c>
      <c r="AE812" s="556">
        <f t="shared" si="97"/>
        <v>1535028.44</v>
      </c>
      <c r="AF812" s="556">
        <f t="shared" si="97"/>
        <v>4047133.39</v>
      </c>
      <c r="AG812" s="556">
        <f t="shared" si="97"/>
        <v>5437212.3200000003</v>
      </c>
    </row>
    <row r="813" spans="1:34" hidden="1" outlineLevel="1" x14ac:dyDescent="0.35">
      <c r="A813" t="b">
        <f t="shared" si="94"/>
        <v>1</v>
      </c>
      <c r="B813" s="27" t="s">
        <v>1318</v>
      </c>
      <c r="C813" s="27" t="s">
        <v>51</v>
      </c>
      <c r="D813" s="27" t="s">
        <v>1897</v>
      </c>
      <c r="E813" s="27" t="s">
        <v>51</v>
      </c>
      <c r="F813" s="27" t="s">
        <v>587</v>
      </c>
      <c r="G813" s="27" t="s">
        <v>1678</v>
      </c>
      <c r="H813" s="27" t="s">
        <v>54</v>
      </c>
      <c r="I813" s="27" t="s">
        <v>142</v>
      </c>
      <c r="J813" s="27" t="s">
        <v>197</v>
      </c>
      <c r="K813" s="27" t="s">
        <v>371</v>
      </c>
      <c r="L813" s="27" t="s">
        <v>371</v>
      </c>
      <c r="M813" s="27" t="s">
        <v>371</v>
      </c>
      <c r="N813" s="27" t="s">
        <v>371</v>
      </c>
      <c r="O813" s="27" t="s">
        <v>371</v>
      </c>
      <c r="P813" s="27" t="s">
        <v>371</v>
      </c>
      <c r="Q813" s="27" t="s">
        <v>372</v>
      </c>
      <c r="R813" s="556">
        <f t="shared" si="95"/>
        <v>0</v>
      </c>
      <c r="S813" s="556">
        <f t="shared" si="98"/>
        <v>0</v>
      </c>
      <c r="T813" s="556">
        <f t="shared" si="99"/>
        <v>0</v>
      </c>
      <c r="U813" s="556">
        <f t="shared" si="100"/>
        <v>0</v>
      </c>
      <c r="V813" s="556">
        <f t="shared" si="101"/>
        <v>0</v>
      </c>
      <c r="W813" s="556">
        <f t="shared" si="102"/>
        <v>0</v>
      </c>
      <c r="X813" s="556">
        <f t="shared" si="103"/>
        <v>-1783113.94</v>
      </c>
      <c r="Y813" s="556">
        <f t="shared" si="104"/>
        <v>-3257710.7</v>
      </c>
      <c r="Z813" s="556">
        <f t="shared" si="105"/>
        <v>-2745227.93</v>
      </c>
      <c r="AA813" s="556">
        <f t="shared" si="106"/>
        <v>-2542259</v>
      </c>
      <c r="AB813" s="556">
        <f t="shared" si="107"/>
        <v>-2300674.34</v>
      </c>
      <c r="AC813" s="556">
        <f t="shared" si="108"/>
        <v>-2618529.12</v>
      </c>
      <c r="AD813" s="556">
        <f t="shared" si="96"/>
        <v>-3288901.92</v>
      </c>
      <c r="AE813" s="556">
        <f t="shared" si="97"/>
        <v>-3969166.6</v>
      </c>
      <c r="AF813" s="556">
        <f t="shared" si="97"/>
        <v>-3020887.22</v>
      </c>
      <c r="AG813" s="556">
        <f t="shared" si="97"/>
        <v>-2904253.42</v>
      </c>
    </row>
    <row r="814" spans="1:34" hidden="1" outlineLevel="1" x14ac:dyDescent="0.35">
      <c r="A814" t="b">
        <f t="shared" si="94"/>
        <v>1</v>
      </c>
      <c r="B814" s="27" t="s">
        <v>786</v>
      </c>
      <c r="C814" s="27" t="s">
        <v>51</v>
      </c>
      <c r="D814" s="27" t="s">
        <v>1679</v>
      </c>
      <c r="E814" s="27" t="s">
        <v>51</v>
      </c>
      <c r="F814" s="27" t="s">
        <v>780</v>
      </c>
      <c r="G814" s="27" t="s">
        <v>787</v>
      </c>
      <c r="H814" s="27" t="s">
        <v>54</v>
      </c>
      <c r="I814" s="27" t="s">
        <v>142</v>
      </c>
      <c r="J814" s="27" t="s">
        <v>781</v>
      </c>
      <c r="K814" s="27" t="s">
        <v>371</v>
      </c>
      <c r="L814" s="27" t="s">
        <v>371</v>
      </c>
      <c r="M814" s="27" t="s">
        <v>371</v>
      </c>
      <c r="N814" s="27" t="s">
        <v>371</v>
      </c>
      <c r="O814" s="27" t="s">
        <v>371</v>
      </c>
      <c r="P814" s="27" t="s">
        <v>371</v>
      </c>
      <c r="Q814" s="27" t="s">
        <v>372</v>
      </c>
      <c r="R814" s="556">
        <f t="shared" si="95"/>
        <v>0</v>
      </c>
      <c r="S814" s="556">
        <f t="shared" si="98"/>
        <v>0</v>
      </c>
      <c r="T814" s="556">
        <f t="shared" si="99"/>
        <v>0</v>
      </c>
      <c r="U814" s="556">
        <f t="shared" si="100"/>
        <v>0</v>
      </c>
      <c r="V814" s="556">
        <f t="shared" si="101"/>
        <v>0</v>
      </c>
      <c r="W814" s="556">
        <f t="shared" si="102"/>
        <v>0</v>
      </c>
      <c r="X814" s="556">
        <f t="shared" si="103"/>
        <v>-1484426.39</v>
      </c>
      <c r="Y814" s="556">
        <f t="shared" si="104"/>
        <v>-2968852.78</v>
      </c>
      <c r="Z814" s="556">
        <f t="shared" si="105"/>
        <v>-4956949.83</v>
      </c>
      <c r="AA814" s="556">
        <f t="shared" si="106"/>
        <v>-1470563</v>
      </c>
      <c r="AB814" s="556">
        <f t="shared" si="107"/>
        <v>-2893688</v>
      </c>
      <c r="AC814" s="556">
        <f t="shared" si="108"/>
        <v>0</v>
      </c>
      <c r="AD814" s="556">
        <f t="shared" si="96"/>
        <v>-1470562.5</v>
      </c>
      <c r="AE814" s="556">
        <f t="shared" si="97"/>
        <v>-2798812.5</v>
      </c>
      <c r="AF814" s="556">
        <f t="shared" si="97"/>
        <v>0</v>
      </c>
      <c r="AG814" s="556">
        <f t="shared" si="97"/>
        <v>0</v>
      </c>
    </row>
    <row r="815" spans="1:34" hidden="1" outlineLevel="1" x14ac:dyDescent="0.35">
      <c r="A815" t="b">
        <f t="shared" si="94"/>
        <v>1</v>
      </c>
      <c r="B815" s="27" t="s">
        <v>788</v>
      </c>
      <c r="C815" s="27" t="s">
        <v>51</v>
      </c>
      <c r="D815" s="27" t="s">
        <v>1680</v>
      </c>
      <c r="E815" s="27" t="s">
        <v>51</v>
      </c>
      <c r="F815" s="27" t="s">
        <v>457</v>
      </c>
      <c r="G815" s="27" t="s">
        <v>789</v>
      </c>
      <c r="H815" s="27" t="s">
        <v>447</v>
      </c>
      <c r="I815" s="27" t="s">
        <v>440</v>
      </c>
      <c r="J815" s="27" t="s">
        <v>448</v>
      </c>
      <c r="K815" s="27" t="s">
        <v>449</v>
      </c>
      <c r="L815" s="27" t="s">
        <v>458</v>
      </c>
      <c r="M815" s="27" t="s">
        <v>807</v>
      </c>
      <c r="N815" s="27" t="s">
        <v>807</v>
      </c>
      <c r="O815" s="27" t="s">
        <v>449</v>
      </c>
      <c r="P815" s="27" t="s">
        <v>449</v>
      </c>
      <c r="Q815" s="27" t="s">
        <v>372</v>
      </c>
      <c r="R815" s="556">
        <f t="shared" si="95"/>
        <v>0</v>
      </c>
      <c r="S815" s="556">
        <f t="shared" si="98"/>
        <v>0</v>
      </c>
      <c r="T815" s="556">
        <f t="shared" si="99"/>
        <v>0</v>
      </c>
      <c r="U815" s="556">
        <f t="shared" si="100"/>
        <v>0</v>
      </c>
      <c r="V815" s="556">
        <f t="shared" si="101"/>
        <v>0</v>
      </c>
      <c r="W815" s="556">
        <f t="shared" si="102"/>
        <v>0</v>
      </c>
      <c r="X815" s="556">
        <f t="shared" si="103"/>
        <v>174583</v>
      </c>
      <c r="Y815" s="556">
        <f t="shared" si="104"/>
        <v>0</v>
      </c>
      <c r="Z815" s="556">
        <f t="shared" si="105"/>
        <v>0</v>
      </c>
      <c r="AA815" s="556">
        <f t="shared" si="106"/>
        <v>-15405</v>
      </c>
      <c r="AB815" s="556">
        <f t="shared" si="107"/>
        <v>0</v>
      </c>
      <c r="AC815" s="556">
        <f t="shared" si="108"/>
        <v>0</v>
      </c>
      <c r="AD815" s="556">
        <f t="shared" si="96"/>
        <v>0</v>
      </c>
      <c r="AE815" s="556">
        <f t="shared" si="97"/>
        <v>0</v>
      </c>
      <c r="AF815" s="556">
        <f t="shared" si="97"/>
        <v>0</v>
      </c>
      <c r="AG815" s="556">
        <f t="shared" si="97"/>
        <v>0</v>
      </c>
      <c r="AH815" s="44"/>
    </row>
    <row r="816" spans="1:34" hidden="1" outlineLevel="1" x14ac:dyDescent="0.35">
      <c r="A816" t="b">
        <f t="shared" si="94"/>
        <v>1</v>
      </c>
      <c r="B816" s="27" t="s">
        <v>790</v>
      </c>
      <c r="C816" s="27" t="s">
        <v>51</v>
      </c>
      <c r="D816" s="27" t="s">
        <v>1681</v>
      </c>
      <c r="E816" s="27" t="s">
        <v>51</v>
      </c>
      <c r="F816" s="27" t="s">
        <v>512</v>
      </c>
      <c r="G816" s="27" t="s">
        <v>791</v>
      </c>
      <c r="H816" s="27" t="s">
        <v>447</v>
      </c>
      <c r="I816" s="27" t="s">
        <v>440</v>
      </c>
      <c r="J816" s="27" t="s">
        <v>448</v>
      </c>
      <c r="K816" s="27" t="s">
        <v>491</v>
      </c>
      <c r="L816" s="27" t="s">
        <v>492</v>
      </c>
      <c r="M816" s="27" t="s">
        <v>807</v>
      </c>
      <c r="N816" s="27" t="s">
        <v>807</v>
      </c>
      <c r="O816" s="27" t="s">
        <v>491</v>
      </c>
      <c r="P816" s="27" t="s">
        <v>491</v>
      </c>
      <c r="Q816" s="27" t="s">
        <v>372</v>
      </c>
      <c r="R816" s="556">
        <f t="shared" si="95"/>
        <v>0</v>
      </c>
      <c r="S816" s="556">
        <f t="shared" si="98"/>
        <v>0</v>
      </c>
      <c r="T816" s="556">
        <f t="shared" si="99"/>
        <v>0</v>
      </c>
      <c r="U816" s="556">
        <f t="shared" si="100"/>
        <v>0</v>
      </c>
      <c r="V816" s="556">
        <f t="shared" si="101"/>
        <v>0</v>
      </c>
      <c r="W816" s="556">
        <f t="shared" si="102"/>
        <v>0</v>
      </c>
      <c r="X816" s="556">
        <f t="shared" si="103"/>
        <v>174583</v>
      </c>
      <c r="Y816" s="556">
        <f t="shared" si="104"/>
        <v>174583</v>
      </c>
      <c r="Z816" s="556">
        <f t="shared" si="105"/>
        <v>-174583</v>
      </c>
      <c r="AA816" s="556">
        <f t="shared" si="106"/>
        <v>-15405</v>
      </c>
      <c r="AB816" s="556">
        <f t="shared" si="107"/>
        <v>0</v>
      </c>
      <c r="AC816" s="556">
        <f t="shared" si="108"/>
        <v>0</v>
      </c>
      <c r="AD816" s="556">
        <f t="shared" si="96"/>
        <v>0</v>
      </c>
      <c r="AE816" s="556">
        <f t="shared" si="97"/>
        <v>0</v>
      </c>
      <c r="AF816" s="556">
        <f t="shared" si="97"/>
        <v>0</v>
      </c>
      <c r="AG816" s="556">
        <f t="shared" si="97"/>
        <v>0</v>
      </c>
      <c r="AH816" s="44"/>
    </row>
    <row r="817" spans="1:36" hidden="1" outlineLevel="1" x14ac:dyDescent="0.35">
      <c r="A817" t="b">
        <f t="shared" si="94"/>
        <v>1</v>
      </c>
      <c r="B817" s="27" t="s">
        <v>1319</v>
      </c>
      <c r="C817" s="27" t="s">
        <v>51</v>
      </c>
      <c r="D817" s="27" t="s">
        <v>1898</v>
      </c>
      <c r="E817" s="27" t="s">
        <v>51</v>
      </c>
      <c r="F817" s="27" t="s">
        <v>748</v>
      </c>
      <c r="G817" s="27" t="s">
        <v>1682</v>
      </c>
      <c r="H817" s="27" t="s">
        <v>447</v>
      </c>
      <c r="I817" s="27" t="s">
        <v>440</v>
      </c>
      <c r="J817" s="27" t="s">
        <v>448</v>
      </c>
      <c r="K817" s="27" t="s">
        <v>750</v>
      </c>
      <c r="L817" s="27" t="s">
        <v>750</v>
      </c>
      <c r="M817" s="27" t="s">
        <v>750</v>
      </c>
      <c r="N817" s="27" t="s">
        <v>750</v>
      </c>
      <c r="O817" s="27" t="s">
        <v>564</v>
      </c>
      <c r="P817" s="27" t="s">
        <v>750</v>
      </c>
      <c r="Q817" s="27" t="s">
        <v>372</v>
      </c>
      <c r="R817" s="556">
        <f t="shared" si="95"/>
        <v>0</v>
      </c>
      <c r="S817" s="556">
        <f t="shared" si="98"/>
        <v>0</v>
      </c>
      <c r="T817" s="556">
        <f t="shared" si="99"/>
        <v>0</v>
      </c>
      <c r="U817" s="556">
        <f t="shared" si="100"/>
        <v>0</v>
      </c>
      <c r="V817" s="556">
        <f t="shared" si="101"/>
        <v>0</v>
      </c>
      <c r="W817" s="556">
        <f t="shared" si="102"/>
        <v>0</v>
      </c>
      <c r="X817" s="556">
        <f t="shared" si="103"/>
        <v>1484426.39</v>
      </c>
      <c r="Y817" s="556">
        <f t="shared" si="104"/>
        <v>1484426.39</v>
      </c>
      <c r="Z817" s="556">
        <f t="shared" si="105"/>
        <v>1436541.6599999997</v>
      </c>
      <c r="AA817" s="556">
        <f t="shared" si="106"/>
        <v>1470563.0000000009</v>
      </c>
      <c r="AB817" s="556">
        <f t="shared" si="107"/>
        <v>1423125</v>
      </c>
      <c r="AC817" s="556">
        <f t="shared" si="108"/>
        <v>1426478.669999999</v>
      </c>
      <c r="AD817" s="556">
        <f t="shared" si="96"/>
        <v>1470562.5</v>
      </c>
      <c r="AE817" s="556">
        <f t="shared" si="97"/>
        <v>1328250</v>
      </c>
      <c r="AF817" s="556">
        <f t="shared" si="97"/>
        <v>1269312.5</v>
      </c>
      <c r="AG817" s="556">
        <f t="shared" si="97"/>
        <v>1423125</v>
      </c>
      <c r="AH817" s="44"/>
    </row>
    <row r="818" spans="1:36" hidden="1" outlineLevel="1" x14ac:dyDescent="0.35">
      <c r="A818" t="b">
        <f t="shared" si="94"/>
        <v>1</v>
      </c>
      <c r="B818" s="27" t="s">
        <v>1320</v>
      </c>
      <c r="C818" s="27" t="s">
        <v>51</v>
      </c>
      <c r="D818" s="27" t="s">
        <v>1899</v>
      </c>
      <c r="E818" s="27" t="s">
        <v>51</v>
      </c>
      <c r="F818" s="27" t="s">
        <v>501</v>
      </c>
      <c r="G818" s="27" t="s">
        <v>793</v>
      </c>
      <c r="H818" s="27" t="s">
        <v>447</v>
      </c>
      <c r="I818" s="27" t="s">
        <v>440</v>
      </c>
      <c r="J818" s="27" t="s">
        <v>448</v>
      </c>
      <c r="K818" s="27" t="s">
        <v>476</v>
      </c>
      <c r="L818" s="27" t="s">
        <v>794</v>
      </c>
      <c r="M818" s="27" t="s">
        <v>794</v>
      </c>
      <c r="N818" s="27" t="s">
        <v>794</v>
      </c>
      <c r="O818" s="27" t="s">
        <v>480</v>
      </c>
      <c r="P818" s="27" t="s">
        <v>480</v>
      </c>
      <c r="Q818" s="27" t="s">
        <v>372</v>
      </c>
      <c r="R818" s="556">
        <f t="shared" si="95"/>
        <v>0</v>
      </c>
      <c r="S818" s="556">
        <f t="shared" si="98"/>
        <v>0</v>
      </c>
      <c r="T818" s="556">
        <f t="shared" si="99"/>
        <v>0</v>
      </c>
      <c r="U818" s="556">
        <f t="shared" si="100"/>
        <v>0</v>
      </c>
      <c r="V818" s="556">
        <f t="shared" si="101"/>
        <v>0</v>
      </c>
      <c r="W818" s="556">
        <f t="shared" si="102"/>
        <v>0</v>
      </c>
      <c r="X818" s="556">
        <f t="shared" si="103"/>
        <v>201919.8</v>
      </c>
      <c r="Y818" s="556">
        <f t="shared" si="104"/>
        <v>201919.8</v>
      </c>
      <c r="Z818" s="556">
        <f t="shared" si="105"/>
        <v>201919.79999999993</v>
      </c>
      <c r="AA818" s="556">
        <f t="shared" si="106"/>
        <v>1431780.9200000002</v>
      </c>
      <c r="AB818" s="556">
        <f t="shared" si="107"/>
        <v>201919.80000000005</v>
      </c>
      <c r="AC818" s="556">
        <f t="shared" si="108"/>
        <v>1796806.12</v>
      </c>
      <c r="AD818" s="556">
        <f t="shared" si="96"/>
        <v>226919.8</v>
      </c>
      <c r="AE818" s="556">
        <f t="shared" si="97"/>
        <v>201919.8</v>
      </c>
      <c r="AF818" s="556">
        <f t="shared" si="97"/>
        <v>1405044.7999999998</v>
      </c>
      <c r="AG818" s="556">
        <f t="shared" si="97"/>
        <v>201919.80000000005</v>
      </c>
      <c r="AH818" s="44"/>
    </row>
    <row r="819" spans="1:36" ht="15" hidden="1" outlineLevel="1" x14ac:dyDescent="0.35">
      <c r="A819" t="b">
        <f t="shared" si="94"/>
        <v>1</v>
      </c>
      <c r="B819" s="27" t="s">
        <v>1321</v>
      </c>
      <c r="C819" s="27" t="s">
        <v>51</v>
      </c>
      <c r="D819" s="27" t="s">
        <v>1900</v>
      </c>
      <c r="E819" s="27" t="s">
        <v>51</v>
      </c>
      <c r="F819" s="27" t="s">
        <v>445</v>
      </c>
      <c r="G819" s="27" t="s">
        <v>1683</v>
      </c>
      <c r="H819" s="27" t="s">
        <v>447</v>
      </c>
      <c r="I819" s="27" t="s">
        <v>440</v>
      </c>
      <c r="J819" s="27" t="s">
        <v>448</v>
      </c>
      <c r="K819" s="27" t="s">
        <v>449</v>
      </c>
      <c r="L819" s="27" t="s">
        <v>458</v>
      </c>
      <c r="M819" s="102" t="s">
        <v>502</v>
      </c>
      <c r="N819" s="102" t="s">
        <v>502</v>
      </c>
      <c r="O819" s="27" t="s">
        <v>449</v>
      </c>
      <c r="P819" s="27" t="s">
        <v>449</v>
      </c>
      <c r="Q819" s="27" t="s">
        <v>372</v>
      </c>
      <c r="R819" s="556">
        <f t="shared" si="95"/>
        <v>0</v>
      </c>
      <c r="S819" s="556">
        <f t="shared" si="98"/>
        <v>0</v>
      </c>
      <c r="T819" s="556">
        <f t="shared" si="99"/>
        <v>0</v>
      </c>
      <c r="U819" s="556">
        <f t="shared" si="100"/>
        <v>0</v>
      </c>
      <c r="V819" s="556">
        <f t="shared" si="101"/>
        <v>0</v>
      </c>
      <c r="W819" s="556">
        <f t="shared" si="102"/>
        <v>0</v>
      </c>
      <c r="X819" s="556">
        <f t="shared" si="103"/>
        <v>52000</v>
      </c>
      <c r="Y819" s="556">
        <f t="shared" si="104"/>
        <v>0</v>
      </c>
      <c r="Z819" s="556">
        <f t="shared" si="105"/>
        <v>229811.20000000001</v>
      </c>
      <c r="AA819" s="556">
        <f t="shared" si="106"/>
        <v>0</v>
      </c>
      <c r="AB819" s="556">
        <f t="shared" si="107"/>
        <v>362475.35000000003</v>
      </c>
      <c r="AC819" s="556">
        <f t="shared" si="108"/>
        <v>860790.7</v>
      </c>
      <c r="AD819" s="556">
        <f t="shared" si="96"/>
        <v>0</v>
      </c>
      <c r="AE819" s="556">
        <f t="shared" si="97"/>
        <v>0</v>
      </c>
      <c r="AF819" s="556">
        <f t="shared" si="97"/>
        <v>440384.36</v>
      </c>
      <c r="AG819" s="556">
        <f t="shared" si="97"/>
        <v>248531.45000000007</v>
      </c>
      <c r="AH819" s="44"/>
    </row>
    <row r="820" spans="1:36" hidden="1" outlineLevel="1" x14ac:dyDescent="0.35">
      <c r="A820" t="b">
        <f t="shared" si="94"/>
        <v>1</v>
      </c>
      <c r="B820" s="27" t="s">
        <v>795</v>
      </c>
      <c r="C820" s="27" t="s">
        <v>51</v>
      </c>
      <c r="D820" s="27" t="s">
        <v>1684</v>
      </c>
      <c r="E820" s="27" t="s">
        <v>51</v>
      </c>
      <c r="F820" s="27" t="s">
        <v>85</v>
      </c>
      <c r="G820" s="27" t="s">
        <v>796</v>
      </c>
      <c r="H820" s="27" t="s">
        <v>54</v>
      </c>
      <c r="I820" s="27" t="s">
        <v>55</v>
      </c>
      <c r="J820" s="27" t="s">
        <v>101</v>
      </c>
      <c r="K820" s="27" t="s">
        <v>371</v>
      </c>
      <c r="L820" s="27" t="s">
        <v>371</v>
      </c>
      <c r="M820" s="27" t="s">
        <v>371</v>
      </c>
      <c r="N820" s="27" t="s">
        <v>371</v>
      </c>
      <c r="O820" s="27" t="s">
        <v>371</v>
      </c>
      <c r="P820" s="27" t="s">
        <v>371</v>
      </c>
      <c r="Q820" s="27" t="s">
        <v>372</v>
      </c>
      <c r="R820" s="556">
        <f t="shared" si="95"/>
        <v>0</v>
      </c>
      <c r="S820" s="556">
        <f t="shared" si="98"/>
        <v>0</v>
      </c>
      <c r="T820" s="556">
        <f t="shared" si="99"/>
        <v>0</v>
      </c>
      <c r="U820" s="556">
        <f t="shared" si="100"/>
        <v>0</v>
      </c>
      <c r="V820" s="556">
        <f t="shared" si="101"/>
        <v>0</v>
      </c>
      <c r="W820" s="556">
        <f t="shared" si="102"/>
        <v>0</v>
      </c>
      <c r="X820" s="556">
        <f t="shared" si="103"/>
        <v>0</v>
      </c>
      <c r="Y820" s="556">
        <f t="shared" si="104"/>
        <v>346787.59</v>
      </c>
      <c r="Z820" s="556">
        <f t="shared" si="105"/>
        <v>346787.59</v>
      </c>
      <c r="AA820" s="556">
        <f t="shared" si="106"/>
        <v>0</v>
      </c>
      <c r="AB820" s="556">
        <f t="shared" si="107"/>
        <v>0</v>
      </c>
      <c r="AC820" s="556">
        <f t="shared" si="108"/>
        <v>0</v>
      </c>
      <c r="AD820" s="556">
        <f t="shared" si="96"/>
        <v>0</v>
      </c>
      <c r="AE820" s="556">
        <f t="shared" si="97"/>
        <v>0</v>
      </c>
      <c r="AF820" s="556">
        <f t="shared" si="97"/>
        <v>0</v>
      </c>
      <c r="AG820" s="556">
        <f t="shared" si="97"/>
        <v>0</v>
      </c>
    </row>
    <row r="821" spans="1:36" hidden="1" outlineLevel="1" x14ac:dyDescent="0.35">
      <c r="A821" t="b">
        <f t="shared" si="94"/>
        <v>1</v>
      </c>
      <c r="B821" s="27" t="s">
        <v>797</v>
      </c>
      <c r="C821" s="27" t="s">
        <v>51</v>
      </c>
      <c r="D821" s="27" t="s">
        <v>1685</v>
      </c>
      <c r="E821" s="27" t="s">
        <v>51</v>
      </c>
      <c r="F821" s="27" t="s">
        <v>85</v>
      </c>
      <c r="G821" s="27" t="s">
        <v>798</v>
      </c>
      <c r="H821" s="27" t="s">
        <v>54</v>
      </c>
      <c r="I821" s="27" t="s">
        <v>55</v>
      </c>
      <c r="J821" s="27" t="s">
        <v>101</v>
      </c>
      <c r="K821" s="27" t="s">
        <v>371</v>
      </c>
      <c r="L821" s="27" t="s">
        <v>371</v>
      </c>
      <c r="M821" s="27" t="s">
        <v>371</v>
      </c>
      <c r="N821" s="27" t="s">
        <v>371</v>
      </c>
      <c r="O821" s="27" t="s">
        <v>371</v>
      </c>
      <c r="P821" s="27" t="s">
        <v>371</v>
      </c>
      <c r="Q821" s="27" t="s">
        <v>372</v>
      </c>
      <c r="R821" s="556">
        <f t="shared" si="95"/>
        <v>0</v>
      </c>
      <c r="S821" s="556">
        <f t="shared" si="98"/>
        <v>0</v>
      </c>
      <c r="T821" s="556">
        <f t="shared" si="99"/>
        <v>0</v>
      </c>
      <c r="U821" s="556">
        <f t="shared" si="100"/>
        <v>0</v>
      </c>
      <c r="V821" s="556">
        <f t="shared" si="101"/>
        <v>0</v>
      </c>
      <c r="W821" s="556">
        <f t="shared" si="102"/>
        <v>0</v>
      </c>
      <c r="X821" s="556">
        <f t="shared" si="103"/>
        <v>0</v>
      </c>
      <c r="Y821" s="556">
        <f t="shared" si="104"/>
        <v>229811.20000000001</v>
      </c>
      <c r="Z821" s="556">
        <f t="shared" si="105"/>
        <v>0</v>
      </c>
      <c r="AA821" s="556">
        <f t="shared" si="106"/>
        <v>0</v>
      </c>
      <c r="AB821" s="556">
        <f t="shared" si="107"/>
        <v>0</v>
      </c>
      <c r="AC821" s="556">
        <f t="shared" si="108"/>
        <v>0</v>
      </c>
      <c r="AD821" s="556">
        <f t="shared" si="96"/>
        <v>0</v>
      </c>
      <c r="AE821" s="556">
        <f t="shared" si="97"/>
        <v>0</v>
      </c>
      <c r="AF821" s="556">
        <f t="shared" si="97"/>
        <v>0</v>
      </c>
      <c r="AG821" s="556">
        <f t="shared" si="97"/>
        <v>0</v>
      </c>
    </row>
    <row r="822" spans="1:36" hidden="1" outlineLevel="1" x14ac:dyDescent="0.35">
      <c r="A822" t="b">
        <f t="shared" si="94"/>
        <v>1</v>
      </c>
      <c r="B822" s="27" t="s">
        <v>1322</v>
      </c>
      <c r="C822" s="27" t="s">
        <v>51</v>
      </c>
      <c r="D822" s="27" t="s">
        <v>1901</v>
      </c>
      <c r="E822" s="27" t="s">
        <v>51</v>
      </c>
      <c r="F822" s="27" t="s">
        <v>378</v>
      </c>
      <c r="G822" s="27" t="s">
        <v>1686</v>
      </c>
      <c r="H822" s="27" t="s">
        <v>54</v>
      </c>
      <c r="I822" s="27" t="s">
        <v>55</v>
      </c>
      <c r="J822" s="27" t="s">
        <v>379</v>
      </c>
      <c r="K822" s="27" t="s">
        <v>371</v>
      </c>
      <c r="L822" s="27" t="s">
        <v>371</v>
      </c>
      <c r="M822" s="27" t="s">
        <v>371</v>
      </c>
      <c r="N822" s="27" t="s">
        <v>371</v>
      </c>
      <c r="O822" s="27" t="s">
        <v>371</v>
      </c>
      <c r="P822" s="27" t="s">
        <v>371</v>
      </c>
      <c r="Q822" s="27" t="s">
        <v>372</v>
      </c>
      <c r="R822" s="556">
        <f t="shared" si="95"/>
        <v>0</v>
      </c>
      <c r="S822" s="556">
        <f t="shared" si="98"/>
        <v>0</v>
      </c>
      <c r="T822" s="556">
        <f t="shared" si="99"/>
        <v>0</v>
      </c>
      <c r="U822" s="556">
        <f t="shared" si="100"/>
        <v>0</v>
      </c>
      <c r="V822" s="556">
        <f t="shared" si="101"/>
        <v>0</v>
      </c>
      <c r="W822" s="556">
        <f t="shared" si="102"/>
        <v>0</v>
      </c>
      <c r="X822" s="556">
        <f t="shared" si="103"/>
        <v>0</v>
      </c>
      <c r="Y822" s="556">
        <f t="shared" si="104"/>
        <v>11362.56</v>
      </c>
      <c r="Z822" s="556">
        <f t="shared" si="105"/>
        <v>11362.56</v>
      </c>
      <c r="AA822" s="556">
        <f t="shared" si="106"/>
        <v>11362.56</v>
      </c>
      <c r="AB822" s="556">
        <f t="shared" si="107"/>
        <v>11362.56</v>
      </c>
      <c r="AC822" s="556">
        <f t="shared" si="108"/>
        <v>11362.56</v>
      </c>
      <c r="AD822" s="556">
        <f t="shared" si="96"/>
        <v>11362.56</v>
      </c>
      <c r="AE822" s="556">
        <f t="shared" si="97"/>
        <v>11362.56</v>
      </c>
      <c r="AF822" s="556">
        <f t="shared" si="97"/>
        <v>11362.56</v>
      </c>
      <c r="AG822" s="556">
        <f t="shared" si="97"/>
        <v>11362.56</v>
      </c>
    </row>
    <row r="823" spans="1:36" hidden="1" outlineLevel="1" x14ac:dyDescent="0.35">
      <c r="A823" t="b">
        <f t="shared" si="94"/>
        <v>1</v>
      </c>
      <c r="B823" s="27" t="s">
        <v>799</v>
      </c>
      <c r="C823" s="27" t="s">
        <v>51</v>
      </c>
      <c r="D823" s="27" t="s">
        <v>1687</v>
      </c>
      <c r="E823" s="27" t="s">
        <v>51</v>
      </c>
      <c r="F823" s="27" t="s">
        <v>385</v>
      </c>
      <c r="G823" s="27" t="s">
        <v>800</v>
      </c>
      <c r="H823" s="27" t="s">
        <v>54</v>
      </c>
      <c r="I823" s="27" t="s">
        <v>55</v>
      </c>
      <c r="J823" s="27" t="s">
        <v>393</v>
      </c>
      <c r="K823" s="27" t="s">
        <v>371</v>
      </c>
      <c r="L823" s="27" t="s">
        <v>371</v>
      </c>
      <c r="M823" s="27" t="s">
        <v>371</v>
      </c>
      <c r="N823" s="27" t="s">
        <v>371</v>
      </c>
      <c r="O823" s="27" t="s">
        <v>371</v>
      </c>
      <c r="P823" s="27" t="s">
        <v>371</v>
      </c>
      <c r="Q823" s="27" t="s">
        <v>372</v>
      </c>
      <c r="R823" s="556">
        <f t="shared" si="95"/>
        <v>0</v>
      </c>
      <c r="S823" s="556">
        <f t="shared" si="98"/>
        <v>0</v>
      </c>
      <c r="T823" s="556">
        <f t="shared" si="99"/>
        <v>0</v>
      </c>
      <c r="U823" s="556">
        <f t="shared" si="100"/>
        <v>0</v>
      </c>
      <c r="V823" s="556">
        <f t="shared" si="101"/>
        <v>0</v>
      </c>
      <c r="W823" s="556">
        <f t="shared" si="102"/>
        <v>0</v>
      </c>
      <c r="X823" s="556">
        <f t="shared" si="103"/>
        <v>0</v>
      </c>
      <c r="Y823" s="556">
        <f t="shared" si="104"/>
        <v>22483</v>
      </c>
      <c r="Z823" s="556">
        <f t="shared" si="105"/>
        <v>22483</v>
      </c>
      <c r="AA823" s="556">
        <f t="shared" si="106"/>
        <v>22483</v>
      </c>
      <c r="AB823" s="556">
        <f t="shared" si="107"/>
        <v>0</v>
      </c>
      <c r="AC823" s="556">
        <f t="shared" si="108"/>
        <v>0</v>
      </c>
      <c r="AD823" s="556">
        <f t="shared" si="96"/>
        <v>0</v>
      </c>
      <c r="AE823" s="556">
        <f t="shared" si="97"/>
        <v>0</v>
      </c>
      <c r="AF823" s="556">
        <f t="shared" si="97"/>
        <v>0</v>
      </c>
      <c r="AG823" s="556">
        <f t="shared" si="97"/>
        <v>0</v>
      </c>
    </row>
    <row r="824" spans="1:36" hidden="1" outlineLevel="1" x14ac:dyDescent="0.35">
      <c r="A824" t="b">
        <f t="shared" si="94"/>
        <v>1</v>
      </c>
      <c r="B824" s="27" t="s">
        <v>801</v>
      </c>
      <c r="C824" s="27" t="s">
        <v>51</v>
      </c>
      <c r="D824" s="27" t="s">
        <v>1688</v>
      </c>
      <c r="E824" s="27" t="s">
        <v>51</v>
      </c>
      <c r="F824" s="27" t="s">
        <v>195</v>
      </c>
      <c r="G824" s="27" t="s">
        <v>802</v>
      </c>
      <c r="H824" s="27" t="s">
        <v>54</v>
      </c>
      <c r="I824" s="27" t="s">
        <v>142</v>
      </c>
      <c r="J824" s="27" t="s">
        <v>197</v>
      </c>
      <c r="K824" s="27" t="s">
        <v>371</v>
      </c>
      <c r="L824" s="27" t="s">
        <v>371</v>
      </c>
      <c r="M824" s="27" t="s">
        <v>371</v>
      </c>
      <c r="N824" s="27" t="s">
        <v>371</v>
      </c>
      <c r="O824" s="27" t="s">
        <v>371</v>
      </c>
      <c r="P824" s="27" t="s">
        <v>371</v>
      </c>
      <c r="Q824" s="27" t="s">
        <v>372</v>
      </c>
      <c r="R824" s="556">
        <f t="shared" si="95"/>
        <v>0</v>
      </c>
      <c r="S824" s="556">
        <f t="shared" si="98"/>
        <v>0</v>
      </c>
      <c r="T824" s="556">
        <f t="shared" si="99"/>
        <v>0</v>
      </c>
      <c r="U824" s="556">
        <f t="shared" si="100"/>
        <v>0</v>
      </c>
      <c r="V824" s="556">
        <f t="shared" si="101"/>
        <v>0</v>
      </c>
      <c r="W824" s="556">
        <f t="shared" si="102"/>
        <v>0</v>
      </c>
      <c r="X824" s="556">
        <f t="shared" si="103"/>
        <v>0</v>
      </c>
      <c r="Y824" s="556">
        <f t="shared" si="104"/>
        <v>-246384</v>
      </c>
      <c r="Z824" s="556">
        <f t="shared" si="105"/>
        <v>-125280</v>
      </c>
      <c r="AA824" s="556">
        <f t="shared" si="106"/>
        <v>-125280</v>
      </c>
      <c r="AB824" s="556">
        <f t="shared" si="107"/>
        <v>-125280</v>
      </c>
      <c r="AC824" s="556">
        <f t="shared" si="108"/>
        <v>0</v>
      </c>
      <c r="AD824" s="556">
        <f t="shared" si="96"/>
        <v>0</v>
      </c>
      <c r="AE824" s="556">
        <f t="shared" si="97"/>
        <v>0</v>
      </c>
      <c r="AF824" s="556">
        <f t="shared" si="97"/>
        <v>0</v>
      </c>
      <c r="AG824" s="556">
        <f t="shared" si="97"/>
        <v>0</v>
      </c>
    </row>
    <row r="825" spans="1:36" hidden="1" outlineLevel="1" x14ac:dyDescent="0.35">
      <c r="A825" t="b">
        <f t="shared" si="94"/>
        <v>1</v>
      </c>
      <c r="B825" s="27" t="s">
        <v>803</v>
      </c>
      <c r="C825" s="27" t="s">
        <v>51</v>
      </c>
      <c r="D825" s="27" t="s">
        <v>1689</v>
      </c>
      <c r="E825" s="27" t="s">
        <v>51</v>
      </c>
      <c r="F825" s="27" t="s">
        <v>587</v>
      </c>
      <c r="G825" s="27" t="s">
        <v>638</v>
      </c>
      <c r="H825" s="27" t="s">
        <v>54</v>
      </c>
      <c r="I825" s="27" t="s">
        <v>142</v>
      </c>
      <c r="J825" s="27" t="s">
        <v>197</v>
      </c>
      <c r="K825" s="27" t="s">
        <v>371</v>
      </c>
      <c r="L825" s="27" t="s">
        <v>371</v>
      </c>
      <c r="M825" s="27" t="s">
        <v>371</v>
      </c>
      <c r="N825" s="27" t="s">
        <v>371</v>
      </c>
      <c r="O825" s="27" t="s">
        <v>371</v>
      </c>
      <c r="P825" s="27" t="s">
        <v>371</v>
      </c>
      <c r="Q825" s="27" t="s">
        <v>372</v>
      </c>
      <c r="R825" s="556">
        <f t="shared" si="95"/>
        <v>0</v>
      </c>
      <c r="S825" s="556">
        <f t="shared" si="98"/>
        <v>0</v>
      </c>
      <c r="T825" s="556">
        <f t="shared" si="99"/>
        <v>0</v>
      </c>
      <c r="U825" s="556">
        <f t="shared" si="100"/>
        <v>0</v>
      </c>
      <c r="V825" s="556">
        <f t="shared" si="101"/>
        <v>0</v>
      </c>
      <c r="W825" s="556">
        <f t="shared" si="102"/>
        <v>0</v>
      </c>
      <c r="X825" s="556">
        <f t="shared" si="103"/>
        <v>0</v>
      </c>
      <c r="Y825" s="556">
        <f t="shared" si="104"/>
        <v>-98436</v>
      </c>
      <c r="Z825" s="556">
        <f t="shared" si="105"/>
        <v>-98436</v>
      </c>
      <c r="AA825" s="556">
        <f t="shared" si="106"/>
        <v>-98436</v>
      </c>
      <c r="AB825" s="556">
        <f t="shared" si="107"/>
        <v>-98436</v>
      </c>
      <c r="AC825" s="556">
        <f t="shared" si="108"/>
        <v>0</v>
      </c>
      <c r="AD825" s="556">
        <f t="shared" si="96"/>
        <v>-98436</v>
      </c>
      <c r="AE825" s="556">
        <f t="shared" si="97"/>
        <v>-98436</v>
      </c>
      <c r="AF825" s="556">
        <f t="shared" si="97"/>
        <v>0</v>
      </c>
      <c r="AG825" s="556">
        <f t="shared" si="97"/>
        <v>0</v>
      </c>
    </row>
    <row r="826" spans="1:36" hidden="1" outlineLevel="1" x14ac:dyDescent="0.35">
      <c r="A826" t="b">
        <f t="shared" si="94"/>
        <v>1</v>
      </c>
      <c r="B826" s="27" t="s">
        <v>1323</v>
      </c>
      <c r="C826" s="27" t="s">
        <v>51</v>
      </c>
      <c r="D826" s="27" t="s">
        <v>1902</v>
      </c>
      <c r="E826" s="27" t="s">
        <v>51</v>
      </c>
      <c r="F826" s="27" t="s">
        <v>432</v>
      </c>
      <c r="G826" s="27" t="s">
        <v>1690</v>
      </c>
      <c r="H826" s="27" t="s">
        <v>54</v>
      </c>
      <c r="I826" s="27" t="s">
        <v>142</v>
      </c>
      <c r="J826" s="27" t="s">
        <v>143</v>
      </c>
      <c r="K826" s="27" t="s">
        <v>371</v>
      </c>
      <c r="L826" s="27" t="s">
        <v>371</v>
      </c>
      <c r="M826" s="27" t="s">
        <v>371</v>
      </c>
      <c r="N826" s="27" t="s">
        <v>371</v>
      </c>
      <c r="O826" s="27" t="s">
        <v>371</v>
      </c>
      <c r="P826" s="27" t="s">
        <v>371</v>
      </c>
      <c r="Q826" s="27" t="s">
        <v>372</v>
      </c>
      <c r="R826" s="556">
        <f t="shared" si="95"/>
        <v>0</v>
      </c>
      <c r="S826" s="556">
        <f t="shared" si="98"/>
        <v>0</v>
      </c>
      <c r="T826" s="556">
        <f t="shared" si="99"/>
        <v>0</v>
      </c>
      <c r="U826" s="556">
        <f t="shared" si="100"/>
        <v>0</v>
      </c>
      <c r="V826" s="556">
        <f t="shared" si="101"/>
        <v>0</v>
      </c>
      <c r="W826" s="556">
        <f t="shared" si="102"/>
        <v>0</v>
      </c>
      <c r="X826" s="556">
        <f t="shared" si="103"/>
        <v>0</v>
      </c>
      <c r="Y826" s="556">
        <f t="shared" si="104"/>
        <v>-1021.52</v>
      </c>
      <c r="Z826" s="556">
        <f t="shared" si="105"/>
        <v>-1021.52</v>
      </c>
      <c r="AA826" s="556">
        <f t="shared" si="106"/>
        <v>-1021.52</v>
      </c>
      <c r="AB826" s="556">
        <f t="shared" si="107"/>
        <v>-1021.52</v>
      </c>
      <c r="AC826" s="556">
        <f t="shared" si="108"/>
        <v>-5386.76</v>
      </c>
      <c r="AD826" s="556">
        <f t="shared" si="96"/>
        <v>-10892</v>
      </c>
      <c r="AE826" s="556">
        <f t="shared" si="97"/>
        <v>-10281.879999999999</v>
      </c>
      <c r="AF826" s="556">
        <f t="shared" si="97"/>
        <v>-13513.93</v>
      </c>
      <c r="AG826" s="556">
        <f t="shared" si="97"/>
        <v>-18319.71</v>
      </c>
    </row>
    <row r="827" spans="1:36" hidden="1" outlineLevel="1" x14ac:dyDescent="0.35">
      <c r="A827" t="b">
        <f t="shared" si="94"/>
        <v>1</v>
      </c>
      <c r="B827" s="27" t="s">
        <v>1324</v>
      </c>
      <c r="C827" s="27" t="s">
        <v>51</v>
      </c>
      <c r="D827" s="27" t="s">
        <v>1903</v>
      </c>
      <c r="E827" s="27" t="s">
        <v>51</v>
      </c>
      <c r="F827" s="27" t="s">
        <v>512</v>
      </c>
      <c r="G827" s="27" t="s">
        <v>1502</v>
      </c>
      <c r="H827" s="27" t="s">
        <v>447</v>
      </c>
      <c r="I827" s="27" t="s">
        <v>440</v>
      </c>
      <c r="J827" s="27" t="s">
        <v>448</v>
      </c>
      <c r="K827" s="27" t="s">
        <v>491</v>
      </c>
      <c r="L827" s="27" t="s">
        <v>540</v>
      </c>
      <c r="M827" s="27" t="s">
        <v>540</v>
      </c>
      <c r="N827" s="27" t="s">
        <v>541</v>
      </c>
      <c r="O827" s="27" t="s">
        <v>491</v>
      </c>
      <c r="P827" s="27" t="s">
        <v>480</v>
      </c>
      <c r="Q827" s="27" t="s">
        <v>372</v>
      </c>
      <c r="R827" s="556">
        <f t="shared" si="95"/>
        <v>0</v>
      </c>
      <c r="S827" s="556">
        <f t="shared" si="98"/>
        <v>0</v>
      </c>
      <c r="T827" s="556">
        <f t="shared" si="99"/>
        <v>0</v>
      </c>
      <c r="U827" s="556">
        <f t="shared" si="100"/>
        <v>0</v>
      </c>
      <c r="V827" s="556">
        <f t="shared" si="101"/>
        <v>0</v>
      </c>
      <c r="W827" s="556">
        <f t="shared" si="102"/>
        <v>0</v>
      </c>
      <c r="X827" s="556">
        <f t="shared" si="103"/>
        <v>0</v>
      </c>
      <c r="Y827" s="556">
        <f t="shared" si="104"/>
        <v>199245.93</v>
      </c>
      <c r="Z827" s="556">
        <f t="shared" si="105"/>
        <v>212553.37</v>
      </c>
      <c r="AA827" s="556">
        <f t="shared" si="106"/>
        <v>209307.74000000005</v>
      </c>
      <c r="AB827" s="556">
        <f t="shared" si="107"/>
        <v>240360.46999999997</v>
      </c>
      <c r="AC827" s="556">
        <f t="shared" si="108"/>
        <v>270990.90999999992</v>
      </c>
      <c r="AD827" s="556">
        <f t="shared" si="96"/>
        <v>294039.09999999998</v>
      </c>
      <c r="AE827" s="556">
        <f t="shared" si="97"/>
        <v>336160.62</v>
      </c>
      <c r="AF827" s="556">
        <f t="shared" si="97"/>
        <v>350179.51</v>
      </c>
      <c r="AG827" s="556">
        <f t="shared" si="97"/>
        <v>402169.07000000007</v>
      </c>
      <c r="AH827" s="44"/>
      <c r="AJ827" s="44"/>
    </row>
    <row r="828" spans="1:36" hidden="1" outlineLevel="1" x14ac:dyDescent="0.35">
      <c r="A828" t="b">
        <f t="shared" si="94"/>
        <v>1</v>
      </c>
      <c r="B828" s="27" t="s">
        <v>1325</v>
      </c>
      <c r="C828" s="27" t="s">
        <v>51</v>
      </c>
      <c r="D828" s="27" t="s">
        <v>1904</v>
      </c>
      <c r="E828" s="27" t="s">
        <v>51</v>
      </c>
      <c r="F828" s="27" t="s">
        <v>512</v>
      </c>
      <c r="G828" s="27" t="s">
        <v>1503</v>
      </c>
      <c r="H828" s="27" t="s">
        <v>447</v>
      </c>
      <c r="I828" s="27" t="s">
        <v>440</v>
      </c>
      <c r="J828" s="27" t="s">
        <v>448</v>
      </c>
      <c r="K828" s="27" t="s">
        <v>491</v>
      </c>
      <c r="L828" s="27" t="s">
        <v>542</v>
      </c>
      <c r="M828" s="27" t="s">
        <v>542</v>
      </c>
      <c r="N828" s="27" t="s">
        <v>541</v>
      </c>
      <c r="O828" s="27" t="s">
        <v>491</v>
      </c>
      <c r="P828" s="27" t="s">
        <v>480</v>
      </c>
      <c r="Q828" s="27" t="s">
        <v>372</v>
      </c>
      <c r="R828" s="556">
        <f t="shared" si="95"/>
        <v>0</v>
      </c>
      <c r="S828" s="556">
        <f t="shared" si="98"/>
        <v>0</v>
      </c>
      <c r="T828" s="556">
        <f t="shared" si="99"/>
        <v>0</v>
      </c>
      <c r="U828" s="556">
        <f t="shared" si="100"/>
        <v>0</v>
      </c>
      <c r="V828" s="556">
        <f t="shared" si="101"/>
        <v>0</v>
      </c>
      <c r="W828" s="556">
        <f t="shared" si="102"/>
        <v>0</v>
      </c>
      <c r="X828" s="556">
        <f t="shared" si="103"/>
        <v>0</v>
      </c>
      <c r="Y828" s="556">
        <f t="shared" si="104"/>
        <v>3446.14</v>
      </c>
      <c r="Z828" s="556">
        <f t="shared" si="105"/>
        <v>3505.4899999999993</v>
      </c>
      <c r="AA828" s="556">
        <f t="shared" si="106"/>
        <v>5566.630000000001</v>
      </c>
      <c r="AB828" s="556">
        <f t="shared" si="107"/>
        <v>833.32999999999993</v>
      </c>
      <c r="AC828" s="556">
        <f t="shared" si="108"/>
        <v>833.32999999999993</v>
      </c>
      <c r="AD828" s="556">
        <f t="shared" si="96"/>
        <v>933</v>
      </c>
      <c r="AE828" s="556">
        <f t="shared" si="97"/>
        <v>0</v>
      </c>
      <c r="AF828" s="556">
        <f t="shared" si="97"/>
        <v>4599.96</v>
      </c>
      <c r="AG828" s="556">
        <f t="shared" si="97"/>
        <v>1192.5299999999997</v>
      </c>
      <c r="AH828" s="44"/>
      <c r="AJ828" s="44"/>
    </row>
    <row r="829" spans="1:36" hidden="1" outlineLevel="1" x14ac:dyDescent="0.35">
      <c r="A829" t="b">
        <f t="shared" si="94"/>
        <v>1</v>
      </c>
      <c r="B829" s="27" t="s">
        <v>1326</v>
      </c>
      <c r="C829" s="27" t="s">
        <v>51</v>
      </c>
      <c r="D829" s="27" t="s">
        <v>1905</v>
      </c>
      <c r="E829" s="27" t="s">
        <v>51</v>
      </c>
      <c r="F829" s="27" t="s">
        <v>512</v>
      </c>
      <c r="G829" s="27" t="s">
        <v>1504</v>
      </c>
      <c r="H829" s="27" t="s">
        <v>447</v>
      </c>
      <c r="I829" s="27" t="s">
        <v>440</v>
      </c>
      <c r="J829" s="27" t="s">
        <v>448</v>
      </c>
      <c r="K829" s="27" t="s">
        <v>491</v>
      </c>
      <c r="L829" s="27" t="s">
        <v>542</v>
      </c>
      <c r="M829" s="27" t="s">
        <v>542</v>
      </c>
      <c r="N829" s="27" t="s">
        <v>541</v>
      </c>
      <c r="O829" s="27" t="s">
        <v>491</v>
      </c>
      <c r="P829" s="27" t="s">
        <v>480</v>
      </c>
      <c r="Q829" s="27" t="s">
        <v>372</v>
      </c>
      <c r="R829" s="556">
        <f t="shared" si="95"/>
        <v>0</v>
      </c>
      <c r="S829" s="556">
        <f t="shared" si="98"/>
        <v>0</v>
      </c>
      <c r="T829" s="556">
        <f t="shared" si="99"/>
        <v>0</v>
      </c>
      <c r="U829" s="556">
        <f t="shared" si="100"/>
        <v>0</v>
      </c>
      <c r="V829" s="556">
        <f t="shared" si="101"/>
        <v>0</v>
      </c>
      <c r="W829" s="556">
        <f t="shared" si="102"/>
        <v>0</v>
      </c>
      <c r="X829" s="556">
        <f t="shared" si="103"/>
        <v>0</v>
      </c>
      <c r="Y829" s="556">
        <f t="shared" si="104"/>
        <v>1765.22</v>
      </c>
      <c r="Z829" s="556">
        <f t="shared" si="105"/>
        <v>6586.7</v>
      </c>
      <c r="AA829" s="556">
        <f t="shared" si="106"/>
        <v>-3001.1000000000004</v>
      </c>
      <c r="AB829" s="556">
        <f t="shared" si="107"/>
        <v>2138.5600000000004</v>
      </c>
      <c r="AC829" s="556">
        <f t="shared" si="108"/>
        <v>2836.2599999999993</v>
      </c>
      <c r="AD829" s="556">
        <f t="shared" si="96"/>
        <v>2721.5</v>
      </c>
      <c r="AE829" s="556">
        <f t="shared" si="97"/>
        <v>4278.12</v>
      </c>
      <c r="AF829" s="556">
        <f t="shared" si="97"/>
        <v>2667.05</v>
      </c>
      <c r="AG829" s="556">
        <f t="shared" si="97"/>
        <v>5616.52</v>
      </c>
      <c r="AH829" s="44"/>
      <c r="AJ829" s="44"/>
    </row>
    <row r="830" spans="1:36" hidden="1" outlineLevel="1" x14ac:dyDescent="0.35">
      <c r="A830" t="b">
        <f t="shared" si="94"/>
        <v>1</v>
      </c>
      <c r="B830" s="27" t="s">
        <v>1327</v>
      </c>
      <c r="C830" s="27" t="s">
        <v>51</v>
      </c>
      <c r="D830" s="27" t="s">
        <v>1906</v>
      </c>
      <c r="E830" s="27" t="s">
        <v>51</v>
      </c>
      <c r="F830" s="27" t="s">
        <v>512</v>
      </c>
      <c r="G830" s="27" t="s">
        <v>1619</v>
      </c>
      <c r="H830" s="27" t="s">
        <v>447</v>
      </c>
      <c r="I830" s="27" t="s">
        <v>440</v>
      </c>
      <c r="J830" s="27" t="s">
        <v>448</v>
      </c>
      <c r="K830" s="27" t="s">
        <v>491</v>
      </c>
      <c r="L830" s="27" t="s">
        <v>542</v>
      </c>
      <c r="M830" s="27" t="s">
        <v>542</v>
      </c>
      <c r="N830" s="27" t="s">
        <v>541</v>
      </c>
      <c r="O830" s="27" t="s">
        <v>491</v>
      </c>
      <c r="P830" s="27" t="s">
        <v>480</v>
      </c>
      <c r="Q830" s="27" t="s">
        <v>372</v>
      </c>
      <c r="R830" s="556">
        <f t="shared" si="95"/>
        <v>0</v>
      </c>
      <c r="S830" s="556">
        <f t="shared" si="98"/>
        <v>0</v>
      </c>
      <c r="T830" s="556">
        <f t="shared" si="99"/>
        <v>0</v>
      </c>
      <c r="U830" s="556">
        <f t="shared" si="100"/>
        <v>0</v>
      </c>
      <c r="V830" s="556">
        <f t="shared" si="101"/>
        <v>0</v>
      </c>
      <c r="W830" s="556">
        <f t="shared" si="102"/>
        <v>0</v>
      </c>
      <c r="X830" s="556">
        <f t="shared" si="103"/>
        <v>0</v>
      </c>
      <c r="Y830" s="556">
        <f t="shared" si="104"/>
        <v>4791.67</v>
      </c>
      <c r="Z830" s="556">
        <f t="shared" si="105"/>
        <v>4600.07</v>
      </c>
      <c r="AA830" s="556">
        <f t="shared" si="106"/>
        <v>4620.26</v>
      </c>
      <c r="AB830" s="556">
        <f t="shared" si="107"/>
        <v>6325.02</v>
      </c>
      <c r="AC830" s="556">
        <f t="shared" si="108"/>
        <v>3757.7000000000007</v>
      </c>
      <c r="AD830" s="556">
        <f t="shared" si="96"/>
        <v>5270.92</v>
      </c>
      <c r="AE830" s="556">
        <f t="shared" si="97"/>
        <v>6900.0399999999991</v>
      </c>
      <c r="AF830" s="556">
        <f t="shared" si="97"/>
        <v>5427.3100000000013</v>
      </c>
      <c r="AG830" s="556">
        <f t="shared" si="97"/>
        <v>7552.9399999999987</v>
      </c>
      <c r="AH830" s="44"/>
      <c r="AJ830" s="44"/>
    </row>
    <row r="831" spans="1:36" hidden="1" outlineLevel="1" x14ac:dyDescent="0.35">
      <c r="A831" t="b">
        <f t="shared" si="94"/>
        <v>1</v>
      </c>
      <c r="B831" s="27" t="s">
        <v>1328</v>
      </c>
      <c r="C831" s="27" t="s">
        <v>51</v>
      </c>
      <c r="D831" s="27" t="s">
        <v>1907</v>
      </c>
      <c r="E831" s="27" t="s">
        <v>51</v>
      </c>
      <c r="F831" s="27" t="s">
        <v>512</v>
      </c>
      <c r="G831" s="27" t="s">
        <v>1559</v>
      </c>
      <c r="H831" s="27" t="s">
        <v>447</v>
      </c>
      <c r="I831" s="27" t="s">
        <v>440</v>
      </c>
      <c r="J831" s="27" t="s">
        <v>448</v>
      </c>
      <c r="K831" s="27" t="s">
        <v>491</v>
      </c>
      <c r="L831" s="27" t="s">
        <v>542</v>
      </c>
      <c r="M831" s="27" t="s">
        <v>542</v>
      </c>
      <c r="N831" s="27" t="s">
        <v>541</v>
      </c>
      <c r="O831" s="27" t="s">
        <v>491</v>
      </c>
      <c r="P831" s="27" t="s">
        <v>480</v>
      </c>
      <c r="Q831" s="27" t="s">
        <v>372</v>
      </c>
      <c r="R831" s="556">
        <f t="shared" si="95"/>
        <v>0</v>
      </c>
      <c r="S831" s="556">
        <f t="shared" si="98"/>
        <v>0</v>
      </c>
      <c r="T831" s="556">
        <f t="shared" si="99"/>
        <v>0</v>
      </c>
      <c r="U831" s="556">
        <f t="shared" si="100"/>
        <v>0</v>
      </c>
      <c r="V831" s="556">
        <f t="shared" si="101"/>
        <v>0</v>
      </c>
      <c r="W831" s="556">
        <f t="shared" si="102"/>
        <v>0</v>
      </c>
      <c r="X831" s="556">
        <f t="shared" si="103"/>
        <v>0</v>
      </c>
      <c r="Y831" s="556">
        <f t="shared" si="104"/>
        <v>10500</v>
      </c>
      <c r="Z831" s="556">
        <f t="shared" si="105"/>
        <v>10500</v>
      </c>
      <c r="AA831" s="556">
        <f t="shared" si="106"/>
        <v>10500</v>
      </c>
      <c r="AB831" s="556">
        <f t="shared" si="107"/>
        <v>6500</v>
      </c>
      <c r="AC831" s="556">
        <f t="shared" si="108"/>
        <v>6500</v>
      </c>
      <c r="AD831" s="556">
        <f t="shared" si="96"/>
        <v>6500</v>
      </c>
      <c r="AE831" s="556">
        <f t="shared" ref="AE831:AG850" si="109">+IF(AE$10="Actuals",IF($O353="Revenue",-IF($H353="BS",AE353,IF($H353="P&amp;L",AE353-AD353,0)),IF($H353="BS",AE353,IF($H353="P&amp;L",AE353-AD353,0))),0)</f>
        <v>4000</v>
      </c>
      <c r="AF831" s="556">
        <f t="shared" si="109"/>
        <v>0</v>
      </c>
      <c r="AG831" s="556">
        <f t="shared" si="109"/>
        <v>2000</v>
      </c>
      <c r="AH831" s="44"/>
      <c r="AJ831" s="44"/>
    </row>
    <row r="832" spans="1:36" hidden="1" outlineLevel="1" x14ac:dyDescent="0.35">
      <c r="A832" t="b">
        <f t="shared" si="94"/>
        <v>1</v>
      </c>
      <c r="B832" s="27" t="s">
        <v>1329</v>
      </c>
      <c r="C832" s="27" t="s">
        <v>51</v>
      </c>
      <c r="D832" s="27" t="s">
        <v>1908</v>
      </c>
      <c r="E832" s="27" t="s">
        <v>51</v>
      </c>
      <c r="F832" s="27" t="s">
        <v>512</v>
      </c>
      <c r="G832" s="27" t="s">
        <v>1506</v>
      </c>
      <c r="H832" s="27" t="s">
        <v>447</v>
      </c>
      <c r="I832" s="27" t="s">
        <v>440</v>
      </c>
      <c r="J832" s="27" t="s">
        <v>448</v>
      </c>
      <c r="K832" s="27" t="s">
        <v>491</v>
      </c>
      <c r="L832" s="27" t="s">
        <v>542</v>
      </c>
      <c r="M832" s="27" t="s">
        <v>542</v>
      </c>
      <c r="N832" s="27" t="s">
        <v>541</v>
      </c>
      <c r="O832" s="27" t="s">
        <v>491</v>
      </c>
      <c r="P832" s="27" t="s">
        <v>480</v>
      </c>
      <c r="Q832" s="27" t="s">
        <v>372</v>
      </c>
      <c r="R832" s="556">
        <f t="shared" si="95"/>
        <v>0</v>
      </c>
      <c r="S832" s="556">
        <f t="shared" si="98"/>
        <v>0</v>
      </c>
      <c r="T832" s="556">
        <f t="shared" si="99"/>
        <v>0</v>
      </c>
      <c r="U832" s="556">
        <f t="shared" si="100"/>
        <v>0</v>
      </c>
      <c r="V832" s="556">
        <f t="shared" si="101"/>
        <v>0</v>
      </c>
      <c r="W832" s="556">
        <f t="shared" si="102"/>
        <v>0</v>
      </c>
      <c r="X832" s="556">
        <f t="shared" si="103"/>
        <v>0</v>
      </c>
      <c r="Y832" s="556">
        <f t="shared" si="104"/>
        <v>8131.85</v>
      </c>
      <c r="Z832" s="556">
        <f t="shared" si="105"/>
        <v>8578.4299999999985</v>
      </c>
      <c r="AA832" s="556">
        <f t="shared" si="106"/>
        <v>8830.48</v>
      </c>
      <c r="AB832" s="556">
        <f t="shared" si="107"/>
        <v>9633.9000000000051</v>
      </c>
      <c r="AC832" s="556">
        <f t="shared" si="108"/>
        <v>66031.91</v>
      </c>
      <c r="AD832" s="556">
        <f t="shared" si="96"/>
        <v>12005.83</v>
      </c>
      <c r="AE832" s="556">
        <f t="shared" si="109"/>
        <v>14006.49</v>
      </c>
      <c r="AF832" s="556">
        <f t="shared" si="109"/>
        <v>7309.5500000000029</v>
      </c>
      <c r="AG832" s="556">
        <f t="shared" si="109"/>
        <v>15585.14</v>
      </c>
      <c r="AH832" s="44"/>
      <c r="AJ832" s="44"/>
    </row>
    <row r="833" spans="1:36" hidden="1" outlineLevel="1" x14ac:dyDescent="0.35">
      <c r="A833" t="b">
        <f t="shared" si="94"/>
        <v>1</v>
      </c>
      <c r="B833" s="27" t="s">
        <v>1330</v>
      </c>
      <c r="C833" s="27" t="s">
        <v>51</v>
      </c>
      <c r="D833" s="27" t="s">
        <v>1909</v>
      </c>
      <c r="E833" s="27" t="s">
        <v>51</v>
      </c>
      <c r="F833" s="27" t="s">
        <v>512</v>
      </c>
      <c r="G833" s="27" t="s">
        <v>1509</v>
      </c>
      <c r="H833" s="27" t="s">
        <v>447</v>
      </c>
      <c r="I833" s="27" t="s">
        <v>440</v>
      </c>
      <c r="J833" s="27" t="s">
        <v>448</v>
      </c>
      <c r="K833" s="27" t="s">
        <v>491</v>
      </c>
      <c r="L833" s="27" t="s">
        <v>542</v>
      </c>
      <c r="M833" s="27" t="s">
        <v>542</v>
      </c>
      <c r="N833" s="27" t="s">
        <v>541</v>
      </c>
      <c r="O833" s="27" t="s">
        <v>491</v>
      </c>
      <c r="P833" s="27" t="s">
        <v>480</v>
      </c>
      <c r="Q833" s="27" t="s">
        <v>372</v>
      </c>
      <c r="R833" s="556">
        <f t="shared" si="95"/>
        <v>0</v>
      </c>
      <c r="S833" s="556">
        <f t="shared" si="98"/>
        <v>0</v>
      </c>
      <c r="T833" s="556">
        <f t="shared" si="99"/>
        <v>0</v>
      </c>
      <c r="U833" s="556">
        <f t="shared" si="100"/>
        <v>0</v>
      </c>
      <c r="V833" s="556">
        <f t="shared" si="101"/>
        <v>0</v>
      </c>
      <c r="W833" s="556">
        <f t="shared" si="102"/>
        <v>0</v>
      </c>
      <c r="X833" s="556">
        <f t="shared" si="103"/>
        <v>0</v>
      </c>
      <c r="Y833" s="556">
        <f t="shared" si="104"/>
        <v>27079.85</v>
      </c>
      <c r="Z833" s="556">
        <f t="shared" si="105"/>
        <v>26680.9</v>
      </c>
      <c r="AA833" s="556">
        <f t="shared" si="106"/>
        <v>28402.869999999995</v>
      </c>
      <c r="AB833" s="556">
        <f t="shared" si="107"/>
        <v>30426.850000000006</v>
      </c>
      <c r="AC833" s="556">
        <f t="shared" si="108"/>
        <v>31924.139999999985</v>
      </c>
      <c r="AD833" s="556">
        <f t="shared" si="96"/>
        <v>37790.230000000003</v>
      </c>
      <c r="AE833" s="556">
        <f t="shared" si="109"/>
        <v>37738.85</v>
      </c>
      <c r="AF833" s="556">
        <f t="shared" si="109"/>
        <v>20211.349999999991</v>
      </c>
      <c r="AG833" s="556">
        <f t="shared" si="109"/>
        <v>45626.97</v>
      </c>
      <c r="AH833" s="44"/>
      <c r="AJ833" s="44"/>
    </row>
    <row r="834" spans="1:36" hidden="1" outlineLevel="1" x14ac:dyDescent="0.35">
      <c r="A834" t="b">
        <f t="shared" si="94"/>
        <v>1</v>
      </c>
      <c r="B834" s="27" t="s">
        <v>1331</v>
      </c>
      <c r="C834" s="27" t="s">
        <v>51</v>
      </c>
      <c r="D834" s="27" t="s">
        <v>1910</v>
      </c>
      <c r="E834" s="27" t="s">
        <v>51</v>
      </c>
      <c r="F834" s="27" t="s">
        <v>512</v>
      </c>
      <c r="G834" s="27" t="s">
        <v>1510</v>
      </c>
      <c r="H834" s="27" t="s">
        <v>447</v>
      </c>
      <c r="I834" s="27" t="s">
        <v>440</v>
      </c>
      <c r="J834" s="27" t="s">
        <v>448</v>
      </c>
      <c r="K834" s="27" t="s">
        <v>491</v>
      </c>
      <c r="L834" s="27" t="s">
        <v>542</v>
      </c>
      <c r="M834" s="27" t="s">
        <v>542</v>
      </c>
      <c r="N834" s="27" t="s">
        <v>541</v>
      </c>
      <c r="O834" s="27" t="s">
        <v>491</v>
      </c>
      <c r="P834" s="27" t="s">
        <v>480</v>
      </c>
      <c r="Q834" s="27" t="s">
        <v>372</v>
      </c>
      <c r="R834" s="556">
        <f t="shared" si="95"/>
        <v>0</v>
      </c>
      <c r="S834" s="556">
        <f t="shared" si="98"/>
        <v>0</v>
      </c>
      <c r="T834" s="556">
        <f t="shared" si="99"/>
        <v>0</v>
      </c>
      <c r="U834" s="556">
        <f t="shared" si="100"/>
        <v>0</v>
      </c>
      <c r="V834" s="556">
        <f t="shared" si="101"/>
        <v>0</v>
      </c>
      <c r="W834" s="556">
        <f t="shared" si="102"/>
        <v>0</v>
      </c>
      <c r="X834" s="556">
        <f t="shared" si="103"/>
        <v>0</v>
      </c>
      <c r="Y834" s="556">
        <f t="shared" si="104"/>
        <v>11782.02</v>
      </c>
      <c r="Z834" s="556">
        <f t="shared" si="105"/>
        <v>11684</v>
      </c>
      <c r="AA834" s="556">
        <f t="shared" si="106"/>
        <v>12417.59</v>
      </c>
      <c r="AB834" s="556">
        <f t="shared" si="107"/>
        <v>13319.349999999999</v>
      </c>
      <c r="AC834" s="556">
        <f t="shared" si="108"/>
        <v>14204.79</v>
      </c>
      <c r="AD834" s="556">
        <f t="shared" si="96"/>
        <v>16741.61</v>
      </c>
      <c r="AE834" s="556">
        <f t="shared" si="109"/>
        <v>17306.550000000003</v>
      </c>
      <c r="AF834" s="556">
        <f t="shared" si="109"/>
        <v>10612.009999999995</v>
      </c>
      <c r="AG834" s="556">
        <f t="shared" si="109"/>
        <v>20972.180000000008</v>
      </c>
      <c r="AH834" s="44"/>
      <c r="AJ834" s="44"/>
    </row>
    <row r="835" spans="1:36" hidden="1" outlineLevel="1" x14ac:dyDescent="0.35">
      <c r="A835" t="b">
        <f t="shared" si="94"/>
        <v>1</v>
      </c>
      <c r="B835" s="27" t="s">
        <v>1332</v>
      </c>
      <c r="C835" s="27" t="s">
        <v>51</v>
      </c>
      <c r="D835" s="27" t="s">
        <v>1911</v>
      </c>
      <c r="E835" s="27" t="s">
        <v>51</v>
      </c>
      <c r="F835" s="27" t="s">
        <v>512</v>
      </c>
      <c r="G835" s="27" t="s">
        <v>1511</v>
      </c>
      <c r="H835" s="27" t="s">
        <v>447</v>
      </c>
      <c r="I835" s="27" t="s">
        <v>440</v>
      </c>
      <c r="J835" s="27" t="s">
        <v>448</v>
      </c>
      <c r="K835" s="27" t="s">
        <v>491</v>
      </c>
      <c r="L835" s="27" t="s">
        <v>542</v>
      </c>
      <c r="M835" s="27" t="s">
        <v>542</v>
      </c>
      <c r="N835" s="27" t="s">
        <v>541</v>
      </c>
      <c r="O835" s="27" t="s">
        <v>491</v>
      </c>
      <c r="P835" s="27" t="s">
        <v>480</v>
      </c>
      <c r="Q835" s="27" t="s">
        <v>372</v>
      </c>
      <c r="R835" s="556">
        <f t="shared" si="95"/>
        <v>0</v>
      </c>
      <c r="S835" s="556">
        <f t="shared" si="98"/>
        <v>0</v>
      </c>
      <c r="T835" s="556">
        <f t="shared" si="99"/>
        <v>0</v>
      </c>
      <c r="U835" s="556">
        <f t="shared" si="100"/>
        <v>0</v>
      </c>
      <c r="V835" s="556">
        <f t="shared" si="101"/>
        <v>0</v>
      </c>
      <c r="W835" s="556">
        <f t="shared" si="102"/>
        <v>0</v>
      </c>
      <c r="X835" s="556">
        <f t="shared" si="103"/>
        <v>0</v>
      </c>
      <c r="Y835" s="556">
        <f t="shared" si="104"/>
        <v>18751.23</v>
      </c>
      <c r="Z835" s="556">
        <f t="shared" si="105"/>
        <v>18616.55</v>
      </c>
      <c r="AA835" s="556">
        <f t="shared" si="106"/>
        <v>19770.300000000003</v>
      </c>
      <c r="AB835" s="556">
        <f t="shared" si="107"/>
        <v>21158.930000000008</v>
      </c>
      <c r="AC835" s="556">
        <f t="shared" si="108"/>
        <v>22701.949999999983</v>
      </c>
      <c r="AD835" s="556">
        <f t="shared" si="96"/>
        <v>29932.989999999998</v>
      </c>
      <c r="AE835" s="556">
        <f t="shared" si="109"/>
        <v>28582.130000000005</v>
      </c>
      <c r="AF835" s="556">
        <f t="shared" si="109"/>
        <v>8474.7300000000032</v>
      </c>
      <c r="AG835" s="556">
        <f t="shared" si="109"/>
        <v>40794.619999999995</v>
      </c>
      <c r="AH835" s="44"/>
      <c r="AJ835" s="44"/>
    </row>
    <row r="836" spans="1:36" hidden="1" outlineLevel="1" x14ac:dyDescent="0.35">
      <c r="A836" t="b">
        <f t="shared" si="94"/>
        <v>1</v>
      </c>
      <c r="B836" s="27" t="s">
        <v>1333</v>
      </c>
      <c r="C836" s="27" t="s">
        <v>51</v>
      </c>
      <c r="D836" s="27" t="s">
        <v>1912</v>
      </c>
      <c r="E836" s="27" t="s">
        <v>51</v>
      </c>
      <c r="F836" s="27" t="s">
        <v>512</v>
      </c>
      <c r="G836" s="27" t="s">
        <v>1512</v>
      </c>
      <c r="H836" s="27" t="s">
        <v>447</v>
      </c>
      <c r="I836" s="27" t="s">
        <v>440</v>
      </c>
      <c r="J836" s="27" t="s">
        <v>448</v>
      </c>
      <c r="K836" s="27" t="s">
        <v>491</v>
      </c>
      <c r="L836" s="27" t="s">
        <v>540</v>
      </c>
      <c r="M836" s="27" t="s">
        <v>540</v>
      </c>
      <c r="N836" s="27" t="s">
        <v>541</v>
      </c>
      <c r="O836" s="27" t="s">
        <v>491</v>
      </c>
      <c r="P836" s="27" t="s">
        <v>480</v>
      </c>
      <c r="Q836" s="27" t="s">
        <v>372</v>
      </c>
      <c r="R836" s="556">
        <f t="shared" si="95"/>
        <v>0</v>
      </c>
      <c r="S836" s="556">
        <f t="shared" si="98"/>
        <v>0</v>
      </c>
      <c r="T836" s="556">
        <f t="shared" si="99"/>
        <v>0</v>
      </c>
      <c r="U836" s="556">
        <f t="shared" si="100"/>
        <v>0</v>
      </c>
      <c r="V836" s="556">
        <f t="shared" si="101"/>
        <v>0</v>
      </c>
      <c r="W836" s="556">
        <f t="shared" si="102"/>
        <v>0</v>
      </c>
      <c r="X836" s="556">
        <f t="shared" si="103"/>
        <v>0</v>
      </c>
      <c r="Y836" s="556">
        <f t="shared" si="104"/>
        <v>8856.52</v>
      </c>
      <c r="Z836" s="556">
        <f t="shared" si="105"/>
        <v>9570.43</v>
      </c>
      <c r="AA836" s="556">
        <f t="shared" si="106"/>
        <v>9199.6899999999987</v>
      </c>
      <c r="AB836" s="556">
        <f t="shared" si="107"/>
        <v>10250.129999999997</v>
      </c>
      <c r="AC836" s="556">
        <f t="shared" si="108"/>
        <v>14358.170000000006</v>
      </c>
      <c r="AD836" s="556">
        <f t="shared" si="96"/>
        <v>12613.54</v>
      </c>
      <c r="AE836" s="556">
        <f t="shared" si="109"/>
        <v>13435.169999999998</v>
      </c>
      <c r="AF836" s="556">
        <f t="shared" si="109"/>
        <v>7486.4500000000044</v>
      </c>
      <c r="AG836" s="556">
        <f t="shared" si="109"/>
        <v>16611.96</v>
      </c>
      <c r="AH836" s="44"/>
      <c r="AJ836" s="44"/>
    </row>
    <row r="837" spans="1:36" hidden="1" outlineLevel="1" x14ac:dyDescent="0.35">
      <c r="A837" t="b">
        <f t="shared" si="94"/>
        <v>1</v>
      </c>
      <c r="B837" s="27" t="s">
        <v>1334</v>
      </c>
      <c r="C837" s="27" t="s">
        <v>51</v>
      </c>
      <c r="D837" s="27" t="s">
        <v>1913</v>
      </c>
      <c r="E837" s="27" t="s">
        <v>51</v>
      </c>
      <c r="F837" s="27" t="s">
        <v>512</v>
      </c>
      <c r="G837" s="27" t="s">
        <v>1547</v>
      </c>
      <c r="H837" s="27" t="s">
        <v>447</v>
      </c>
      <c r="I837" s="27" t="s">
        <v>440</v>
      </c>
      <c r="J837" s="27" t="s">
        <v>448</v>
      </c>
      <c r="K837" s="27" t="s">
        <v>491</v>
      </c>
      <c r="L837" s="27" t="s">
        <v>542</v>
      </c>
      <c r="M837" s="27" t="s">
        <v>542</v>
      </c>
      <c r="N837" s="27" t="s">
        <v>541</v>
      </c>
      <c r="O837" s="27" t="s">
        <v>491</v>
      </c>
      <c r="P837" s="27" t="s">
        <v>480</v>
      </c>
      <c r="Q837" s="27" t="s">
        <v>372</v>
      </c>
      <c r="R837" s="556">
        <f t="shared" si="95"/>
        <v>0</v>
      </c>
      <c r="S837" s="556">
        <f t="shared" si="98"/>
        <v>0</v>
      </c>
      <c r="T837" s="556">
        <f t="shared" si="99"/>
        <v>0</v>
      </c>
      <c r="U837" s="556">
        <f t="shared" si="100"/>
        <v>0</v>
      </c>
      <c r="V837" s="556">
        <f t="shared" si="101"/>
        <v>0</v>
      </c>
      <c r="W837" s="556">
        <f t="shared" si="102"/>
        <v>0</v>
      </c>
      <c r="X837" s="556">
        <f t="shared" si="103"/>
        <v>0</v>
      </c>
      <c r="Y837" s="556">
        <f t="shared" si="104"/>
        <v>17820.53</v>
      </c>
      <c r="Z837" s="556">
        <f t="shared" si="105"/>
        <v>18269.190000000002</v>
      </c>
      <c r="AA837" s="556">
        <f t="shared" si="106"/>
        <v>19338.839999999997</v>
      </c>
      <c r="AB837" s="556">
        <f t="shared" si="107"/>
        <v>20994.660000000003</v>
      </c>
      <c r="AC837" s="556">
        <f t="shared" si="108"/>
        <v>24464.17</v>
      </c>
      <c r="AD837" s="556">
        <f t="shared" si="96"/>
        <v>26396.14</v>
      </c>
      <c r="AE837" s="556">
        <f t="shared" si="109"/>
        <v>30812.090000000004</v>
      </c>
      <c r="AF837" s="556">
        <f t="shared" si="109"/>
        <v>0</v>
      </c>
      <c r="AG837" s="556">
        <f t="shared" si="109"/>
        <v>31603.68</v>
      </c>
      <c r="AH837" s="44"/>
      <c r="AJ837" s="44"/>
    </row>
    <row r="838" spans="1:36" hidden="1" outlineLevel="1" x14ac:dyDescent="0.35">
      <c r="A838" t="b">
        <f t="shared" si="94"/>
        <v>1</v>
      </c>
      <c r="B838" s="27" t="s">
        <v>924</v>
      </c>
      <c r="C838" s="27" t="s">
        <v>51</v>
      </c>
      <c r="D838" s="27" t="s">
        <v>1691</v>
      </c>
      <c r="E838" s="27" t="s">
        <v>51</v>
      </c>
      <c r="F838" s="27" t="s">
        <v>369</v>
      </c>
      <c r="G838" s="27" t="s">
        <v>925</v>
      </c>
      <c r="H838" s="27" t="s">
        <v>54</v>
      </c>
      <c r="I838" s="27" t="s">
        <v>55</v>
      </c>
      <c r="J838" s="27" t="s">
        <v>370</v>
      </c>
      <c r="K838" s="27" t="s">
        <v>371</v>
      </c>
      <c r="L838" s="27" t="s">
        <v>371</v>
      </c>
      <c r="M838" s="27" t="s">
        <v>371</v>
      </c>
      <c r="N838" s="27" t="s">
        <v>371</v>
      </c>
      <c r="O838" s="27" t="s">
        <v>371</v>
      </c>
      <c r="P838" s="27" t="s">
        <v>371</v>
      </c>
      <c r="Q838" s="27" t="s">
        <v>372</v>
      </c>
      <c r="R838" s="556">
        <f t="shared" si="95"/>
        <v>0</v>
      </c>
      <c r="S838" s="556">
        <f t="shared" si="98"/>
        <v>0</v>
      </c>
      <c r="T838" s="556">
        <f t="shared" si="99"/>
        <v>0</v>
      </c>
      <c r="U838" s="556">
        <f t="shared" si="100"/>
        <v>0</v>
      </c>
      <c r="V838" s="556">
        <f t="shared" si="101"/>
        <v>0</v>
      </c>
      <c r="W838" s="556">
        <f t="shared" si="102"/>
        <v>0</v>
      </c>
      <c r="X838" s="556">
        <f t="shared" si="103"/>
        <v>0</v>
      </c>
      <c r="Y838" s="556">
        <f t="shared" si="104"/>
        <v>0</v>
      </c>
      <c r="Z838" s="556">
        <f t="shared" si="105"/>
        <v>0.83000000193715096</v>
      </c>
      <c r="AA838" s="556">
        <f t="shared" si="106"/>
        <v>0.01</v>
      </c>
      <c r="AB838" s="556">
        <f t="shared" si="107"/>
        <v>0</v>
      </c>
      <c r="AC838" s="556">
        <f t="shared" si="108"/>
        <v>4.6900000000000004</v>
      </c>
      <c r="AD838" s="556">
        <f t="shared" si="96"/>
        <v>0</v>
      </c>
      <c r="AE838" s="556">
        <f t="shared" si="109"/>
        <v>7.65</v>
      </c>
      <c r="AF838" s="556">
        <f t="shared" si="109"/>
        <v>0</v>
      </c>
      <c r="AG838" s="556">
        <f t="shared" si="109"/>
        <v>0</v>
      </c>
    </row>
    <row r="839" spans="1:36" hidden="1" outlineLevel="1" x14ac:dyDescent="0.35">
      <c r="A839" t="b">
        <f t="shared" si="94"/>
        <v>1</v>
      </c>
      <c r="B839" s="27" t="s">
        <v>1335</v>
      </c>
      <c r="C839" s="27" t="s">
        <v>51</v>
      </c>
      <c r="D839" s="27" t="s">
        <v>1914</v>
      </c>
      <c r="E839" s="27" t="s">
        <v>51</v>
      </c>
      <c r="F839" s="27" t="s">
        <v>369</v>
      </c>
      <c r="G839" s="27" t="s">
        <v>1692</v>
      </c>
      <c r="H839" s="27" t="s">
        <v>54</v>
      </c>
      <c r="I839" s="27" t="s">
        <v>55</v>
      </c>
      <c r="J839" s="27" t="s">
        <v>370</v>
      </c>
      <c r="K839" s="27" t="s">
        <v>371</v>
      </c>
      <c r="L839" s="27" t="s">
        <v>371</v>
      </c>
      <c r="M839" s="27" t="s">
        <v>371</v>
      </c>
      <c r="N839" s="27" t="s">
        <v>371</v>
      </c>
      <c r="O839" s="27" t="s">
        <v>371</v>
      </c>
      <c r="P839" s="27" t="s">
        <v>371</v>
      </c>
      <c r="Q839" s="27" t="s">
        <v>372</v>
      </c>
      <c r="R839" s="556">
        <f t="shared" si="95"/>
        <v>0</v>
      </c>
      <c r="S839" s="556">
        <f t="shared" si="98"/>
        <v>0</v>
      </c>
      <c r="T839" s="556">
        <f t="shared" si="99"/>
        <v>0</v>
      </c>
      <c r="U839" s="556">
        <f t="shared" si="100"/>
        <v>0</v>
      </c>
      <c r="V839" s="556">
        <f t="shared" si="101"/>
        <v>0</v>
      </c>
      <c r="W839" s="556">
        <f t="shared" si="102"/>
        <v>0</v>
      </c>
      <c r="X839" s="556">
        <f t="shared" si="103"/>
        <v>0</v>
      </c>
      <c r="Y839" s="556">
        <f t="shared" si="104"/>
        <v>0</v>
      </c>
      <c r="Z839" s="556">
        <f t="shared" si="105"/>
        <v>15000</v>
      </c>
      <c r="AA839" s="556">
        <f t="shared" si="106"/>
        <v>15000</v>
      </c>
      <c r="AB839" s="556">
        <f t="shared" si="107"/>
        <v>15000</v>
      </c>
      <c r="AC839" s="556">
        <f t="shared" si="108"/>
        <v>26877.77</v>
      </c>
      <c r="AD839" s="556">
        <f t="shared" si="96"/>
        <v>26900.77</v>
      </c>
      <c r="AE839" s="556">
        <f t="shared" si="109"/>
        <v>33788.269999999997</v>
      </c>
      <c r="AF839" s="556">
        <f t="shared" si="109"/>
        <v>15107.5</v>
      </c>
      <c r="AG839" s="556">
        <f t="shared" si="109"/>
        <v>14568.67</v>
      </c>
    </row>
    <row r="840" spans="1:36" hidden="1" outlineLevel="1" x14ac:dyDescent="0.35">
      <c r="A840" t="b">
        <f t="shared" si="94"/>
        <v>1</v>
      </c>
      <c r="B840" s="27" t="s">
        <v>1336</v>
      </c>
      <c r="C840" s="27" t="s">
        <v>51</v>
      </c>
      <c r="D840" s="27" t="s">
        <v>1915</v>
      </c>
      <c r="E840" s="27" t="s">
        <v>51</v>
      </c>
      <c r="F840" s="27" t="s">
        <v>369</v>
      </c>
      <c r="G840" s="27" t="s">
        <v>1693</v>
      </c>
      <c r="H840" s="27" t="s">
        <v>54</v>
      </c>
      <c r="I840" s="27" t="s">
        <v>55</v>
      </c>
      <c r="J840" s="27" t="s">
        <v>370</v>
      </c>
      <c r="K840" s="27" t="s">
        <v>371</v>
      </c>
      <c r="L840" s="27" t="s">
        <v>371</v>
      </c>
      <c r="M840" s="27" t="s">
        <v>371</v>
      </c>
      <c r="N840" s="27" t="s">
        <v>371</v>
      </c>
      <c r="O840" s="27" t="s">
        <v>371</v>
      </c>
      <c r="P840" s="27" t="s">
        <v>371</v>
      </c>
      <c r="Q840" s="27" t="s">
        <v>372</v>
      </c>
      <c r="R840" s="556">
        <f t="shared" si="95"/>
        <v>0</v>
      </c>
      <c r="S840" s="556">
        <f t="shared" si="98"/>
        <v>0</v>
      </c>
      <c r="T840" s="556">
        <f t="shared" si="99"/>
        <v>0</v>
      </c>
      <c r="U840" s="556">
        <f t="shared" si="100"/>
        <v>0</v>
      </c>
      <c r="V840" s="556">
        <f t="shared" si="101"/>
        <v>0</v>
      </c>
      <c r="W840" s="556">
        <f t="shared" si="102"/>
        <v>0</v>
      </c>
      <c r="X840" s="556">
        <f t="shared" si="103"/>
        <v>0</v>
      </c>
      <c r="Y840" s="556">
        <f t="shared" si="104"/>
        <v>0</v>
      </c>
      <c r="Z840" s="556">
        <f t="shared" si="105"/>
        <v>5.8299999999580905</v>
      </c>
      <c r="AA840" s="556">
        <f t="shared" si="106"/>
        <v>5.83</v>
      </c>
      <c r="AB840" s="556">
        <f t="shared" si="107"/>
        <v>5</v>
      </c>
      <c r="AC840" s="556">
        <f t="shared" si="108"/>
        <v>144609.12</v>
      </c>
      <c r="AD840" s="556">
        <f t="shared" si="96"/>
        <v>7.17</v>
      </c>
      <c r="AE840" s="556">
        <f t="shared" si="109"/>
        <v>7.17</v>
      </c>
      <c r="AF840" s="556">
        <f t="shared" si="109"/>
        <v>22569.87</v>
      </c>
      <c r="AG840" s="556">
        <f t="shared" si="109"/>
        <v>27144.75</v>
      </c>
    </row>
    <row r="841" spans="1:36" hidden="1" outlineLevel="1" x14ac:dyDescent="0.35">
      <c r="A841" t="b">
        <f t="shared" si="94"/>
        <v>1</v>
      </c>
      <c r="B841" s="27" t="s">
        <v>1337</v>
      </c>
      <c r="C841" s="27" t="s">
        <v>51</v>
      </c>
      <c r="D841" s="27" t="s">
        <v>1916</v>
      </c>
      <c r="E841" s="27" t="s">
        <v>51</v>
      </c>
      <c r="F841" s="27" t="s">
        <v>369</v>
      </c>
      <c r="G841" s="27" t="s">
        <v>1694</v>
      </c>
      <c r="H841" s="27" t="s">
        <v>54</v>
      </c>
      <c r="I841" s="27" t="s">
        <v>55</v>
      </c>
      <c r="J841" s="27" t="s">
        <v>370</v>
      </c>
      <c r="K841" s="27" t="s">
        <v>371</v>
      </c>
      <c r="L841" s="27" t="s">
        <v>371</v>
      </c>
      <c r="M841" s="27" t="s">
        <v>371</v>
      </c>
      <c r="N841" s="27" t="s">
        <v>371</v>
      </c>
      <c r="O841" s="27" t="s">
        <v>371</v>
      </c>
      <c r="P841" s="27" t="s">
        <v>371</v>
      </c>
      <c r="Q841" s="27" t="s">
        <v>372</v>
      </c>
      <c r="R841" s="556">
        <f t="shared" si="95"/>
        <v>0</v>
      </c>
      <c r="S841" s="556">
        <f t="shared" si="98"/>
        <v>0</v>
      </c>
      <c r="T841" s="556">
        <f t="shared" si="99"/>
        <v>0</v>
      </c>
      <c r="U841" s="556">
        <f t="shared" si="100"/>
        <v>0</v>
      </c>
      <c r="V841" s="556">
        <f t="shared" si="101"/>
        <v>0</v>
      </c>
      <c r="W841" s="556">
        <f t="shared" si="102"/>
        <v>0</v>
      </c>
      <c r="X841" s="556">
        <f t="shared" si="103"/>
        <v>0</v>
      </c>
      <c r="Y841" s="556">
        <f t="shared" si="104"/>
        <v>0</v>
      </c>
      <c r="Z841" s="556">
        <f t="shared" si="105"/>
        <v>3.9699999997392297</v>
      </c>
      <c r="AA841" s="556">
        <f t="shared" si="106"/>
        <v>5.98</v>
      </c>
      <c r="AB841" s="556">
        <f t="shared" si="107"/>
        <v>7.03</v>
      </c>
      <c r="AC841" s="556">
        <f t="shared" si="108"/>
        <v>48382.92</v>
      </c>
      <c r="AD841" s="556">
        <f t="shared" si="96"/>
        <v>7.21</v>
      </c>
      <c r="AE841" s="556">
        <f t="shared" si="109"/>
        <v>7.69</v>
      </c>
      <c r="AF841" s="556">
        <f t="shared" si="109"/>
        <v>15368.84</v>
      </c>
      <c r="AG841" s="556">
        <f t="shared" si="109"/>
        <v>18173.36</v>
      </c>
    </row>
    <row r="842" spans="1:36" hidden="1" outlineLevel="1" x14ac:dyDescent="0.35">
      <c r="A842" t="b">
        <f t="shared" si="94"/>
        <v>1</v>
      </c>
      <c r="B842" s="27" t="s">
        <v>926</v>
      </c>
      <c r="C842" s="27" t="s">
        <v>51</v>
      </c>
      <c r="D842" s="27" t="s">
        <v>1695</v>
      </c>
      <c r="E842" s="27" t="s">
        <v>51</v>
      </c>
      <c r="F842" s="27" t="s">
        <v>369</v>
      </c>
      <c r="G842" s="27" t="s">
        <v>927</v>
      </c>
      <c r="H842" s="27" t="s">
        <v>54</v>
      </c>
      <c r="I842" s="27" t="s">
        <v>55</v>
      </c>
      <c r="J842" s="27" t="s">
        <v>370</v>
      </c>
      <c r="K842" s="27" t="s">
        <v>371</v>
      </c>
      <c r="L842" s="27" t="s">
        <v>371</v>
      </c>
      <c r="M842" s="27" t="s">
        <v>371</v>
      </c>
      <c r="N842" s="27" t="s">
        <v>371</v>
      </c>
      <c r="O842" s="27" t="s">
        <v>371</v>
      </c>
      <c r="P842" s="27" t="s">
        <v>371</v>
      </c>
      <c r="Q842" s="27" t="s">
        <v>372</v>
      </c>
      <c r="R842" s="556">
        <f t="shared" si="95"/>
        <v>0</v>
      </c>
      <c r="S842" s="556">
        <f t="shared" si="98"/>
        <v>0</v>
      </c>
      <c r="T842" s="556">
        <f t="shared" si="99"/>
        <v>0</v>
      </c>
      <c r="U842" s="556">
        <f t="shared" si="100"/>
        <v>0</v>
      </c>
      <c r="V842" s="556">
        <f t="shared" si="101"/>
        <v>0</v>
      </c>
      <c r="W842" s="556">
        <f t="shared" si="102"/>
        <v>0</v>
      </c>
      <c r="X842" s="556">
        <f t="shared" si="103"/>
        <v>0</v>
      </c>
      <c r="Y842" s="556">
        <f t="shared" si="104"/>
        <v>0</v>
      </c>
      <c r="Z842" s="556">
        <f t="shared" si="105"/>
        <v>3711610.32</v>
      </c>
      <c r="AA842" s="556">
        <f t="shared" si="106"/>
        <v>0</v>
      </c>
      <c r="AB842" s="556">
        <f t="shared" si="107"/>
        <v>0</v>
      </c>
      <c r="AC842" s="556">
        <f t="shared" si="108"/>
        <v>100.22</v>
      </c>
      <c r="AD842" s="556">
        <f t="shared" si="96"/>
        <v>100.22</v>
      </c>
      <c r="AE842" s="556">
        <f t="shared" si="109"/>
        <v>2495261</v>
      </c>
      <c r="AF842" s="556">
        <f t="shared" si="109"/>
        <v>0</v>
      </c>
      <c r="AG842" s="556">
        <f t="shared" si="109"/>
        <v>0</v>
      </c>
    </row>
    <row r="843" spans="1:36" hidden="1" outlineLevel="1" x14ac:dyDescent="0.35">
      <c r="A843" t="b">
        <f t="shared" si="94"/>
        <v>1</v>
      </c>
      <c r="B843" s="27" t="s">
        <v>1338</v>
      </c>
      <c r="C843" s="27" t="s">
        <v>51</v>
      </c>
      <c r="D843" s="27" t="s">
        <v>1917</v>
      </c>
      <c r="E843" s="27" t="s">
        <v>51</v>
      </c>
      <c r="F843" s="27" t="s">
        <v>369</v>
      </c>
      <c r="G843" s="27" t="s">
        <v>1696</v>
      </c>
      <c r="H843" s="27" t="s">
        <v>54</v>
      </c>
      <c r="I843" s="27" t="s">
        <v>55</v>
      </c>
      <c r="J843" s="27" t="s">
        <v>370</v>
      </c>
      <c r="K843" s="27" t="s">
        <v>371</v>
      </c>
      <c r="L843" s="27" t="s">
        <v>371</v>
      </c>
      <c r="M843" s="27" t="s">
        <v>371</v>
      </c>
      <c r="N843" s="27" t="s">
        <v>371</v>
      </c>
      <c r="O843" s="27" t="s">
        <v>371</v>
      </c>
      <c r="P843" s="27" t="s">
        <v>371</v>
      </c>
      <c r="Q843" s="27" t="s">
        <v>372</v>
      </c>
      <c r="R843" s="556">
        <f t="shared" si="95"/>
        <v>0</v>
      </c>
      <c r="S843" s="556">
        <f t="shared" si="98"/>
        <v>0</v>
      </c>
      <c r="T843" s="556">
        <f t="shared" si="99"/>
        <v>0</v>
      </c>
      <c r="U843" s="556">
        <f t="shared" si="100"/>
        <v>0</v>
      </c>
      <c r="V843" s="556">
        <f t="shared" si="101"/>
        <v>0</v>
      </c>
      <c r="W843" s="556">
        <f t="shared" si="102"/>
        <v>0</v>
      </c>
      <c r="X843" s="556">
        <f t="shared" si="103"/>
        <v>0</v>
      </c>
      <c r="Y843" s="556">
        <f t="shared" si="104"/>
        <v>0</v>
      </c>
      <c r="Z843" s="556">
        <f t="shared" si="105"/>
        <v>536544.17000000004</v>
      </c>
      <c r="AA843" s="556">
        <f t="shared" si="106"/>
        <v>536544.17000000004</v>
      </c>
      <c r="AB843" s="556">
        <f t="shared" si="107"/>
        <v>670748.55000000005</v>
      </c>
      <c r="AC843" s="556">
        <f t="shared" si="108"/>
        <v>804888.63</v>
      </c>
      <c r="AD843" s="556">
        <f t="shared" si="96"/>
        <v>939021.38</v>
      </c>
      <c r="AE843" s="556">
        <f t="shared" si="109"/>
        <v>939021.38</v>
      </c>
      <c r="AF843" s="556">
        <f t="shared" si="109"/>
        <v>939021.38</v>
      </c>
      <c r="AG843" s="556">
        <f t="shared" si="109"/>
        <v>939021.38</v>
      </c>
    </row>
    <row r="844" spans="1:36" hidden="1" outlineLevel="1" x14ac:dyDescent="0.35">
      <c r="A844" t="b">
        <f t="shared" si="94"/>
        <v>1</v>
      </c>
      <c r="B844" s="27" t="s">
        <v>1339</v>
      </c>
      <c r="C844" s="27" t="s">
        <v>51</v>
      </c>
      <c r="D844" s="27" t="s">
        <v>1918</v>
      </c>
      <c r="E844" s="27" t="s">
        <v>51</v>
      </c>
      <c r="F844" s="27" t="s">
        <v>369</v>
      </c>
      <c r="G844" s="27" t="s">
        <v>1697</v>
      </c>
      <c r="H844" s="27" t="s">
        <v>54</v>
      </c>
      <c r="I844" s="27" t="s">
        <v>55</v>
      </c>
      <c r="J844" s="27" t="s">
        <v>370</v>
      </c>
      <c r="K844" s="27" t="s">
        <v>371</v>
      </c>
      <c r="L844" s="27" t="s">
        <v>371</v>
      </c>
      <c r="M844" s="27" t="s">
        <v>371</v>
      </c>
      <c r="N844" s="27" t="s">
        <v>371</v>
      </c>
      <c r="O844" s="27" t="s">
        <v>371</v>
      </c>
      <c r="P844" s="27" t="s">
        <v>371</v>
      </c>
      <c r="Q844" s="27" t="s">
        <v>372</v>
      </c>
      <c r="R844" s="556">
        <f t="shared" si="95"/>
        <v>0</v>
      </c>
      <c r="S844" s="556">
        <f t="shared" si="98"/>
        <v>0</v>
      </c>
      <c r="T844" s="556">
        <f t="shared" si="99"/>
        <v>0</v>
      </c>
      <c r="U844" s="556">
        <f t="shared" si="100"/>
        <v>0</v>
      </c>
      <c r="V844" s="556">
        <f t="shared" si="101"/>
        <v>0</v>
      </c>
      <c r="W844" s="556">
        <f t="shared" si="102"/>
        <v>0</v>
      </c>
      <c r="X844" s="556">
        <f t="shared" si="103"/>
        <v>0</v>
      </c>
      <c r="Y844" s="556">
        <f t="shared" si="104"/>
        <v>0</v>
      </c>
      <c r="Z844" s="556">
        <f t="shared" si="105"/>
        <v>3635075.79</v>
      </c>
      <c r="AA844" s="556">
        <f t="shared" si="106"/>
        <v>1833507</v>
      </c>
      <c r="AB844" s="556">
        <f t="shared" si="107"/>
        <v>4125398.42</v>
      </c>
      <c r="AC844" s="556">
        <f t="shared" si="108"/>
        <v>0</v>
      </c>
      <c r="AD844" s="556">
        <f t="shared" si="96"/>
        <v>1875314.02</v>
      </c>
      <c r="AE844" s="556">
        <f t="shared" si="109"/>
        <v>3743429.3</v>
      </c>
      <c r="AF844" s="556">
        <f t="shared" si="109"/>
        <v>357.08</v>
      </c>
      <c r="AG844" s="556">
        <f t="shared" si="109"/>
        <v>1843646.95</v>
      </c>
    </row>
    <row r="845" spans="1:36" hidden="1" outlineLevel="1" x14ac:dyDescent="0.35">
      <c r="A845" t="b">
        <f t="shared" si="94"/>
        <v>1</v>
      </c>
      <c r="B845" s="27" t="s">
        <v>928</v>
      </c>
      <c r="C845" s="27" t="s">
        <v>51</v>
      </c>
      <c r="D845" s="27" t="s">
        <v>1698</v>
      </c>
      <c r="E845" s="27" t="s">
        <v>51</v>
      </c>
      <c r="F845" s="27" t="s">
        <v>119</v>
      </c>
      <c r="G845" s="27" t="s">
        <v>929</v>
      </c>
      <c r="H845" s="27" t="s">
        <v>54</v>
      </c>
      <c r="I845" s="27" t="s">
        <v>55</v>
      </c>
      <c r="J845" s="27" t="s">
        <v>56</v>
      </c>
      <c r="K845" s="27" t="s">
        <v>371</v>
      </c>
      <c r="L845" s="27" t="s">
        <v>371</v>
      </c>
      <c r="M845" s="27" t="s">
        <v>371</v>
      </c>
      <c r="N845" s="27" t="s">
        <v>371</v>
      </c>
      <c r="O845" s="27" t="s">
        <v>371</v>
      </c>
      <c r="Q845" s="27" t="s">
        <v>372</v>
      </c>
      <c r="R845" s="556">
        <f t="shared" si="95"/>
        <v>0</v>
      </c>
      <c r="S845" s="556">
        <f t="shared" si="98"/>
        <v>0</v>
      </c>
      <c r="T845" s="556">
        <f t="shared" si="99"/>
        <v>0</v>
      </c>
      <c r="U845" s="556">
        <f t="shared" si="100"/>
        <v>0</v>
      </c>
      <c r="V845" s="556">
        <f t="shared" si="101"/>
        <v>0</v>
      </c>
      <c r="W845" s="556">
        <f t="shared" si="102"/>
        <v>0</v>
      </c>
      <c r="X845" s="556">
        <f t="shared" si="103"/>
        <v>0</v>
      </c>
      <c r="Y845" s="556">
        <f t="shared" si="104"/>
        <v>0</v>
      </c>
      <c r="Z845" s="556">
        <f t="shared" si="105"/>
        <v>36962.42</v>
      </c>
      <c r="AA845" s="556">
        <f t="shared" si="106"/>
        <v>6119.81</v>
      </c>
      <c r="AB845" s="556">
        <f t="shared" si="107"/>
        <v>6119.81</v>
      </c>
      <c r="AC845" s="556">
        <f t="shared" si="108"/>
        <v>0</v>
      </c>
      <c r="AD845" s="556">
        <f t="shared" si="96"/>
        <v>0</v>
      </c>
      <c r="AE845" s="556">
        <f t="shared" si="109"/>
        <v>0</v>
      </c>
      <c r="AF845" s="556">
        <f t="shared" si="109"/>
        <v>0</v>
      </c>
      <c r="AG845" s="556">
        <f t="shared" si="109"/>
        <v>0</v>
      </c>
    </row>
    <row r="846" spans="1:36" hidden="1" outlineLevel="1" x14ac:dyDescent="0.35">
      <c r="A846" t="b">
        <f t="shared" si="94"/>
        <v>1</v>
      </c>
      <c r="B846" s="27" t="s">
        <v>930</v>
      </c>
      <c r="C846" s="27" t="s">
        <v>51</v>
      </c>
      <c r="D846" s="27" t="s">
        <v>1699</v>
      </c>
      <c r="E846" s="27" t="s">
        <v>51</v>
      </c>
      <c r="F846" s="27" t="s">
        <v>1053</v>
      </c>
      <c r="G846" s="27" t="s">
        <v>1091</v>
      </c>
      <c r="H846" s="27" t="s">
        <v>54</v>
      </c>
      <c r="I846" s="27" t="s">
        <v>55</v>
      </c>
      <c r="J846" s="27" t="s">
        <v>383</v>
      </c>
      <c r="K846" s="27" t="s">
        <v>371</v>
      </c>
      <c r="L846" s="27" t="s">
        <v>371</v>
      </c>
      <c r="M846" s="27" t="s">
        <v>371</v>
      </c>
      <c r="N846" s="27" t="s">
        <v>371</v>
      </c>
      <c r="O846" s="27" t="s">
        <v>371</v>
      </c>
      <c r="P846" s="27" t="s">
        <v>371</v>
      </c>
      <c r="Q846" s="27" t="s">
        <v>372</v>
      </c>
      <c r="R846" s="556">
        <f t="shared" si="95"/>
        <v>0</v>
      </c>
      <c r="S846" s="556">
        <f t="shared" si="98"/>
        <v>0</v>
      </c>
      <c r="T846" s="556">
        <f t="shared" si="99"/>
        <v>0</v>
      </c>
      <c r="U846" s="556">
        <f t="shared" si="100"/>
        <v>0</v>
      </c>
      <c r="V846" s="556">
        <f t="shared" si="101"/>
        <v>0</v>
      </c>
      <c r="W846" s="556">
        <f t="shared" si="102"/>
        <v>0</v>
      </c>
      <c r="X846" s="556">
        <f t="shared" si="103"/>
        <v>0</v>
      </c>
      <c r="Y846" s="556">
        <f t="shared" si="104"/>
        <v>0</v>
      </c>
      <c r="Z846" s="556">
        <f t="shared" si="105"/>
        <v>248531.45</v>
      </c>
      <c r="AA846" s="556">
        <f t="shared" si="106"/>
        <v>248531.45</v>
      </c>
      <c r="AB846" s="556">
        <f t="shared" si="107"/>
        <v>248531.45</v>
      </c>
      <c r="AC846" s="556">
        <f t="shared" si="108"/>
        <v>248531.45</v>
      </c>
      <c r="AD846" s="556">
        <f t="shared" si="96"/>
        <v>248531.45</v>
      </c>
      <c r="AE846" s="556">
        <f t="shared" si="109"/>
        <v>248531.45</v>
      </c>
      <c r="AF846" s="556">
        <f t="shared" si="109"/>
        <v>0</v>
      </c>
      <c r="AG846" s="556">
        <f t="shared" si="109"/>
        <v>0</v>
      </c>
    </row>
    <row r="847" spans="1:36" hidden="1" outlineLevel="1" x14ac:dyDescent="0.35">
      <c r="A847" t="b">
        <f t="shared" si="94"/>
        <v>1</v>
      </c>
      <c r="B847" s="27" t="s">
        <v>1340</v>
      </c>
      <c r="C847" s="27" t="s">
        <v>51</v>
      </c>
      <c r="D847" s="27" t="s">
        <v>1919</v>
      </c>
      <c r="E847" s="27" t="s">
        <v>51</v>
      </c>
      <c r="F847" s="27" t="s">
        <v>457</v>
      </c>
      <c r="G847" s="27" t="s">
        <v>1700</v>
      </c>
      <c r="H847" s="27" t="s">
        <v>447</v>
      </c>
      <c r="I847" s="27" t="s">
        <v>440</v>
      </c>
      <c r="J847" s="27" t="s">
        <v>448</v>
      </c>
      <c r="K847" s="27" t="s">
        <v>449</v>
      </c>
      <c r="L847" s="27" t="s">
        <v>938</v>
      </c>
      <c r="M847" s="27" t="s">
        <v>938</v>
      </c>
      <c r="N847" s="27" t="s">
        <v>938</v>
      </c>
      <c r="O847" s="27" t="s">
        <v>449</v>
      </c>
      <c r="P847" s="27" t="s">
        <v>449</v>
      </c>
      <c r="Q847" s="27" t="s">
        <v>372</v>
      </c>
      <c r="R847" s="556">
        <f t="shared" si="95"/>
        <v>0</v>
      </c>
      <c r="S847" s="556">
        <f t="shared" si="98"/>
        <v>0</v>
      </c>
      <c r="T847" s="556">
        <f t="shared" si="99"/>
        <v>0</v>
      </c>
      <c r="U847" s="556">
        <f t="shared" si="100"/>
        <v>0</v>
      </c>
      <c r="V847" s="556">
        <f t="shared" si="101"/>
        <v>0</v>
      </c>
      <c r="W847" s="556">
        <f t="shared" si="102"/>
        <v>0</v>
      </c>
      <c r="X847" s="556">
        <f t="shared" si="103"/>
        <v>0</v>
      </c>
      <c r="Y847" s="556">
        <f t="shared" si="104"/>
        <v>0</v>
      </c>
      <c r="Z847" s="556">
        <f t="shared" si="105"/>
        <v>759692.65</v>
      </c>
      <c r="AA847" s="556">
        <f t="shared" si="106"/>
        <v>259694.68999999994</v>
      </c>
      <c r="AB847" s="556">
        <f t="shared" si="107"/>
        <v>232556.45000000007</v>
      </c>
      <c r="AC847" s="556">
        <f t="shared" si="108"/>
        <v>222782.28000000003</v>
      </c>
      <c r="AD847" s="556">
        <f t="shared" si="96"/>
        <v>206606.9</v>
      </c>
      <c r="AE847" s="556">
        <f t="shared" si="109"/>
        <v>255783.62000000002</v>
      </c>
      <c r="AF847" s="556">
        <f t="shared" si="109"/>
        <v>376546.54999999993</v>
      </c>
      <c r="AG847" s="556">
        <f t="shared" si="109"/>
        <v>316710.33999999997</v>
      </c>
      <c r="AH847" s="44"/>
    </row>
    <row r="848" spans="1:36" hidden="1" outlineLevel="1" x14ac:dyDescent="0.35">
      <c r="A848" t="b">
        <f t="shared" si="94"/>
        <v>1</v>
      </c>
      <c r="B848" s="27" t="s">
        <v>931</v>
      </c>
      <c r="C848" s="27" t="s">
        <v>51</v>
      </c>
      <c r="D848" s="27" t="s">
        <v>1701</v>
      </c>
      <c r="E848" s="27" t="s">
        <v>51</v>
      </c>
      <c r="F848" s="27" t="s">
        <v>501</v>
      </c>
      <c r="G848" s="27" t="s">
        <v>932</v>
      </c>
      <c r="H848" s="27" t="s">
        <v>447</v>
      </c>
      <c r="I848" s="27" t="s">
        <v>440</v>
      </c>
      <c r="J848" s="27" t="s">
        <v>448</v>
      </c>
      <c r="K848" s="27" t="s">
        <v>476</v>
      </c>
      <c r="L848" s="27" t="s">
        <v>894</v>
      </c>
      <c r="M848" s="27" t="s">
        <v>894</v>
      </c>
      <c r="N848" s="27" t="s">
        <v>894</v>
      </c>
      <c r="O848" s="27" t="s">
        <v>480</v>
      </c>
      <c r="P848" s="27" t="s">
        <v>480</v>
      </c>
      <c r="Q848" s="27" t="s">
        <v>372</v>
      </c>
      <c r="R848" s="556">
        <f t="shared" si="95"/>
        <v>0</v>
      </c>
      <c r="S848" s="556">
        <f t="shared" si="98"/>
        <v>0</v>
      </c>
      <c r="T848" s="556">
        <f t="shared" si="99"/>
        <v>0</v>
      </c>
      <c r="U848" s="556">
        <f t="shared" si="100"/>
        <v>0</v>
      </c>
      <c r="V848" s="556">
        <f t="shared" si="101"/>
        <v>0</v>
      </c>
      <c r="W848" s="556">
        <f t="shared" si="102"/>
        <v>0</v>
      </c>
      <c r="X848" s="556">
        <f t="shared" si="103"/>
        <v>0</v>
      </c>
      <c r="Y848" s="556">
        <f t="shared" si="104"/>
        <v>0</v>
      </c>
      <c r="Z848" s="556">
        <f t="shared" si="105"/>
        <v>43680</v>
      </c>
      <c r="AA848" s="556">
        <f t="shared" si="106"/>
        <v>0</v>
      </c>
      <c r="AB848" s="556">
        <f t="shared" si="107"/>
        <v>34499</v>
      </c>
      <c r="AC848" s="556">
        <f t="shared" si="108"/>
        <v>0</v>
      </c>
      <c r="AD848" s="556">
        <f t="shared" si="96"/>
        <v>0</v>
      </c>
      <c r="AE848" s="556">
        <f t="shared" si="109"/>
        <v>0</v>
      </c>
      <c r="AF848" s="556">
        <f t="shared" si="109"/>
        <v>0</v>
      </c>
      <c r="AG848" s="556">
        <f t="shared" si="109"/>
        <v>0</v>
      </c>
      <c r="AH848" s="44"/>
    </row>
    <row r="849" spans="1:34" hidden="1" outlineLevel="1" x14ac:dyDescent="0.35">
      <c r="A849" t="b">
        <f t="shared" si="94"/>
        <v>1</v>
      </c>
      <c r="B849" s="27" t="s">
        <v>933</v>
      </c>
      <c r="C849" s="27" t="s">
        <v>51</v>
      </c>
      <c r="D849" s="27" t="s">
        <v>1702</v>
      </c>
      <c r="E849" s="27" t="s">
        <v>51</v>
      </c>
      <c r="F849" s="27" t="s">
        <v>501</v>
      </c>
      <c r="G849" s="27" t="s">
        <v>934</v>
      </c>
      <c r="H849" s="27" t="s">
        <v>447</v>
      </c>
      <c r="I849" s="27" t="s">
        <v>440</v>
      </c>
      <c r="J849" s="27" t="s">
        <v>448</v>
      </c>
      <c r="K849" s="27" t="s">
        <v>476</v>
      </c>
      <c r="L849" s="27" t="s">
        <v>937</v>
      </c>
      <c r="M849" s="27" t="s">
        <v>937</v>
      </c>
      <c r="N849" s="27" t="s">
        <v>937</v>
      </c>
      <c r="O849" s="27" t="s">
        <v>480</v>
      </c>
      <c r="P849" s="27" t="s">
        <v>480</v>
      </c>
      <c r="Q849" s="27" t="s">
        <v>372</v>
      </c>
      <c r="R849" s="556">
        <f t="shared" si="95"/>
        <v>0</v>
      </c>
      <c r="S849" s="556">
        <f t="shared" si="98"/>
        <v>0</v>
      </c>
      <c r="T849" s="556">
        <f t="shared" si="99"/>
        <v>0</v>
      </c>
      <c r="U849" s="556">
        <f t="shared" si="100"/>
        <v>0</v>
      </c>
      <c r="V849" s="556">
        <f t="shared" si="101"/>
        <v>0</v>
      </c>
      <c r="W849" s="556">
        <f t="shared" si="102"/>
        <v>0</v>
      </c>
      <c r="X849" s="556">
        <f t="shared" si="103"/>
        <v>0</v>
      </c>
      <c r="Y849" s="556">
        <f t="shared" si="104"/>
        <v>0</v>
      </c>
      <c r="Z849" s="556">
        <f t="shared" si="105"/>
        <v>23232</v>
      </c>
      <c r="AA849" s="556">
        <f t="shared" si="106"/>
        <v>0</v>
      </c>
      <c r="AB849" s="556">
        <f t="shared" si="107"/>
        <v>0</v>
      </c>
      <c r="AC849" s="556">
        <f t="shared" si="108"/>
        <v>0</v>
      </c>
      <c r="AD849" s="556">
        <f t="shared" si="96"/>
        <v>0</v>
      </c>
      <c r="AE849" s="556">
        <f t="shared" si="109"/>
        <v>0</v>
      </c>
      <c r="AF849" s="556">
        <f t="shared" si="109"/>
        <v>0</v>
      </c>
      <c r="AG849" s="556">
        <f t="shared" si="109"/>
        <v>0</v>
      </c>
      <c r="AH849" s="44"/>
    </row>
    <row r="850" spans="1:34" hidden="1" outlineLevel="1" x14ac:dyDescent="0.35">
      <c r="A850" t="b">
        <f t="shared" si="94"/>
        <v>1</v>
      </c>
      <c r="B850" s="27" t="s">
        <v>935</v>
      </c>
      <c r="C850" s="27" t="s">
        <v>51</v>
      </c>
      <c r="D850" s="27" t="s">
        <v>1703</v>
      </c>
      <c r="E850" s="27" t="s">
        <v>51</v>
      </c>
      <c r="F850" s="27" t="s">
        <v>556</v>
      </c>
      <c r="G850" s="27" t="s">
        <v>936</v>
      </c>
      <c r="H850" s="27" t="s">
        <v>447</v>
      </c>
      <c r="I850" s="27" t="s">
        <v>440</v>
      </c>
      <c r="J850" s="27" t="s">
        <v>448</v>
      </c>
      <c r="K850" s="27" t="s">
        <v>557</v>
      </c>
      <c r="L850" s="27" t="s">
        <v>557</v>
      </c>
      <c r="M850" s="27" t="s">
        <v>560</v>
      </c>
      <c r="N850" s="27" t="s">
        <v>371</v>
      </c>
      <c r="O850" s="27" t="s">
        <v>557</v>
      </c>
      <c r="P850" s="27" t="s">
        <v>557</v>
      </c>
      <c r="Q850" s="27" t="s">
        <v>372</v>
      </c>
      <c r="R850" s="556">
        <f t="shared" si="95"/>
        <v>0</v>
      </c>
      <c r="S850" s="556">
        <f t="shared" si="98"/>
        <v>0</v>
      </c>
      <c r="T850" s="556">
        <f t="shared" si="99"/>
        <v>0</v>
      </c>
      <c r="U850" s="556">
        <f t="shared" si="100"/>
        <v>0</v>
      </c>
      <c r="V850" s="556">
        <f t="shared" si="101"/>
        <v>0</v>
      </c>
      <c r="W850" s="556">
        <f t="shared" si="102"/>
        <v>0</v>
      </c>
      <c r="X850" s="556">
        <f t="shared" si="103"/>
        <v>0</v>
      </c>
      <c r="Y850" s="556">
        <f t="shared" si="104"/>
        <v>0</v>
      </c>
      <c r="Z850" s="556">
        <f t="shared" si="105"/>
        <v>146445.06</v>
      </c>
      <c r="AA850" s="556">
        <f t="shared" si="106"/>
        <v>0</v>
      </c>
      <c r="AB850" s="556">
        <f t="shared" si="107"/>
        <v>0</v>
      </c>
      <c r="AC850" s="556">
        <f t="shared" si="108"/>
        <v>0</v>
      </c>
      <c r="AD850" s="556">
        <f t="shared" si="96"/>
        <v>0</v>
      </c>
      <c r="AE850" s="556">
        <f t="shared" si="109"/>
        <v>0</v>
      </c>
      <c r="AF850" s="556">
        <f t="shared" si="109"/>
        <v>0</v>
      </c>
      <c r="AG850" s="556">
        <f t="shared" si="109"/>
        <v>0</v>
      </c>
      <c r="AH850" s="44"/>
    </row>
    <row r="851" spans="1:34" hidden="1" outlineLevel="1" x14ac:dyDescent="0.35">
      <c r="A851" t="b">
        <f t="shared" si="94"/>
        <v>1</v>
      </c>
      <c r="B851" s="27" t="s">
        <v>1341</v>
      </c>
      <c r="C851" s="27" t="s">
        <v>51</v>
      </c>
      <c r="D851" s="27" t="s">
        <v>1920</v>
      </c>
      <c r="E851" s="27" t="s">
        <v>51</v>
      </c>
      <c r="F851" s="27" t="s">
        <v>369</v>
      </c>
      <c r="G851" s="27" t="s">
        <v>1704</v>
      </c>
      <c r="H851" s="27" t="s">
        <v>54</v>
      </c>
      <c r="I851" s="27" t="s">
        <v>55</v>
      </c>
      <c r="J851" s="27" t="s">
        <v>370</v>
      </c>
      <c r="K851" s="27" t="s">
        <v>371</v>
      </c>
      <c r="L851" s="27" t="s">
        <v>371</v>
      </c>
      <c r="M851" s="27" t="s">
        <v>371</v>
      </c>
      <c r="N851" s="27" t="s">
        <v>371</v>
      </c>
      <c r="O851" s="27" t="s">
        <v>371</v>
      </c>
      <c r="P851" s="27" t="s">
        <v>371</v>
      </c>
      <c r="Q851" s="27" t="s">
        <v>372</v>
      </c>
      <c r="R851" s="556">
        <f t="shared" si="95"/>
        <v>0</v>
      </c>
      <c r="S851" s="556">
        <f t="shared" si="98"/>
        <v>0</v>
      </c>
      <c r="T851" s="556">
        <f t="shared" si="99"/>
        <v>0</v>
      </c>
      <c r="U851" s="556">
        <f t="shared" si="100"/>
        <v>0</v>
      </c>
      <c r="V851" s="556">
        <f t="shared" si="101"/>
        <v>0</v>
      </c>
      <c r="W851" s="556">
        <f t="shared" si="102"/>
        <v>0</v>
      </c>
      <c r="X851" s="556">
        <f t="shared" si="103"/>
        <v>0</v>
      </c>
      <c r="Y851" s="556">
        <f t="shared" si="104"/>
        <v>0</v>
      </c>
      <c r="Z851" s="556">
        <f t="shared" si="105"/>
        <v>4000</v>
      </c>
      <c r="AA851" s="556">
        <f t="shared" si="106"/>
        <v>6500</v>
      </c>
      <c r="AB851" s="556">
        <f t="shared" si="107"/>
        <v>6500</v>
      </c>
      <c r="AC851" s="556">
        <f t="shared" si="108"/>
        <v>6500</v>
      </c>
      <c r="AD851" s="556">
        <f t="shared" si="96"/>
        <v>7900</v>
      </c>
      <c r="AE851" s="556">
        <f t="shared" ref="AE851:AG870" si="110">+IF(AE$10="Actuals",IF($O373="Revenue",-IF($H373="BS",AE373,IF($H373="P&amp;L",AE373-AD373,0)),IF($H373="BS",AE373,IF($H373="P&amp;L",AE373-AD373,0))),0)</f>
        <v>1012.5</v>
      </c>
      <c r="AF851" s="556">
        <f t="shared" si="110"/>
        <v>19820.27</v>
      </c>
      <c r="AG851" s="556">
        <f t="shared" si="110"/>
        <v>24649.1</v>
      </c>
    </row>
    <row r="852" spans="1:34" hidden="1" outlineLevel="1" x14ac:dyDescent="0.35">
      <c r="A852" t="b">
        <f t="shared" si="94"/>
        <v>1</v>
      </c>
      <c r="B852" s="27" t="s">
        <v>940</v>
      </c>
      <c r="C852" s="27" t="s">
        <v>51</v>
      </c>
      <c r="D852" s="27" t="s">
        <v>1705</v>
      </c>
      <c r="E852" s="27" t="s">
        <v>51</v>
      </c>
      <c r="F852" s="27" t="s">
        <v>635</v>
      </c>
      <c r="G852" s="27" t="s">
        <v>941</v>
      </c>
      <c r="H852" s="27" t="s">
        <v>447</v>
      </c>
      <c r="I852" s="27" t="s">
        <v>440</v>
      </c>
      <c r="J852" s="27" t="s">
        <v>448</v>
      </c>
      <c r="K852" s="27" t="s">
        <v>449</v>
      </c>
      <c r="L852" s="27" t="s">
        <v>458</v>
      </c>
      <c r="M852" s="27" t="s">
        <v>502</v>
      </c>
      <c r="N852" s="27" t="s">
        <v>458</v>
      </c>
      <c r="O852" s="27" t="s">
        <v>449</v>
      </c>
      <c r="P852" s="27" t="s">
        <v>449</v>
      </c>
      <c r="Q852" s="27" t="s">
        <v>372</v>
      </c>
      <c r="R852" s="556">
        <f t="shared" si="95"/>
        <v>0</v>
      </c>
      <c r="S852" s="556">
        <f t="shared" si="98"/>
        <v>0</v>
      </c>
      <c r="T852" s="556">
        <f t="shared" si="99"/>
        <v>0</v>
      </c>
      <c r="U852" s="556">
        <f t="shared" si="100"/>
        <v>0</v>
      </c>
      <c r="V852" s="556">
        <f t="shared" si="101"/>
        <v>0</v>
      </c>
      <c r="W852" s="556">
        <f t="shared" si="102"/>
        <v>0</v>
      </c>
      <c r="X852" s="556">
        <f t="shared" si="103"/>
        <v>0</v>
      </c>
      <c r="Y852" s="556">
        <f t="shared" si="104"/>
        <v>0</v>
      </c>
      <c r="Z852" s="556">
        <f t="shared" si="105"/>
        <v>1062631.1100000001</v>
      </c>
      <c r="AA852" s="556">
        <f t="shared" si="106"/>
        <v>-461694.1100000001</v>
      </c>
      <c r="AB852" s="556">
        <f t="shared" si="107"/>
        <v>-465719.6</v>
      </c>
      <c r="AC852" s="556">
        <f t="shared" si="108"/>
        <v>-135217.4</v>
      </c>
      <c r="AD852" s="556">
        <f t="shared" si="96"/>
        <v>0</v>
      </c>
      <c r="AE852" s="556">
        <f t="shared" si="110"/>
        <v>0</v>
      </c>
      <c r="AF852" s="556">
        <f t="shared" si="110"/>
        <v>0</v>
      </c>
      <c r="AG852" s="556">
        <f t="shared" si="110"/>
        <v>0</v>
      </c>
      <c r="AH852" s="44"/>
    </row>
    <row r="853" spans="1:34" hidden="1" outlineLevel="1" x14ac:dyDescent="0.35">
      <c r="A853" t="b">
        <f t="shared" si="94"/>
        <v>1</v>
      </c>
      <c r="B853" s="27" t="s">
        <v>1342</v>
      </c>
      <c r="C853" s="27" t="s">
        <v>51</v>
      </c>
      <c r="D853" s="27" t="s">
        <v>1921</v>
      </c>
      <c r="E853" s="27" t="s">
        <v>51</v>
      </c>
      <c r="F853" s="27" t="s">
        <v>377</v>
      </c>
      <c r="G853" s="27" t="s">
        <v>939</v>
      </c>
      <c r="H853" s="27" t="s">
        <v>54</v>
      </c>
      <c r="I853" s="27" t="s">
        <v>55</v>
      </c>
      <c r="J853" s="27" t="s">
        <v>56</v>
      </c>
      <c r="K853" s="27" t="s">
        <v>371</v>
      </c>
      <c r="L853" s="27" t="s">
        <v>371</v>
      </c>
      <c r="M853" s="27" t="s">
        <v>371</v>
      </c>
      <c r="N853" s="27" t="s">
        <v>371</v>
      </c>
      <c r="O853" s="27" t="s">
        <v>371</v>
      </c>
      <c r="Q853" s="27" t="s">
        <v>372</v>
      </c>
      <c r="R853" s="556">
        <f t="shared" si="95"/>
        <v>0</v>
      </c>
      <c r="S853" s="556">
        <f t="shared" si="98"/>
        <v>0</v>
      </c>
      <c r="T853" s="556">
        <f t="shared" si="99"/>
        <v>0</v>
      </c>
      <c r="U853" s="556">
        <f t="shared" si="100"/>
        <v>0</v>
      </c>
      <c r="V853" s="556">
        <f t="shared" si="101"/>
        <v>0</v>
      </c>
      <c r="W853" s="556">
        <f t="shared" si="102"/>
        <v>0</v>
      </c>
      <c r="X853" s="556">
        <f t="shared" si="103"/>
        <v>0</v>
      </c>
      <c r="Y853" s="556">
        <f t="shared" si="104"/>
        <v>0</v>
      </c>
      <c r="Z853" s="556">
        <f t="shared" si="105"/>
        <v>1062631.1100000001</v>
      </c>
      <c r="AA853" s="556">
        <f t="shared" si="106"/>
        <v>600937</v>
      </c>
      <c r="AB853" s="556">
        <f t="shared" si="107"/>
        <v>135217.4</v>
      </c>
      <c r="AC853" s="556">
        <f t="shared" si="108"/>
        <v>0</v>
      </c>
      <c r="AD853" s="556">
        <f t="shared" si="96"/>
        <v>271072.40999999997</v>
      </c>
      <c r="AE853" s="556">
        <f t="shared" si="110"/>
        <v>436400.86</v>
      </c>
      <c r="AF853" s="556">
        <f t="shared" si="110"/>
        <v>714443.68</v>
      </c>
      <c r="AG853" s="556">
        <f t="shared" si="110"/>
        <v>276545.40000000002</v>
      </c>
    </row>
    <row r="854" spans="1:34" hidden="1" outlineLevel="1" x14ac:dyDescent="0.35">
      <c r="A854" t="b">
        <f t="shared" si="94"/>
        <v>1</v>
      </c>
      <c r="B854" s="27" t="s">
        <v>947</v>
      </c>
      <c r="C854" s="27" t="s">
        <v>51</v>
      </c>
      <c r="D854" s="27" t="s">
        <v>1706</v>
      </c>
      <c r="E854" s="27" t="s">
        <v>51</v>
      </c>
      <c r="F854" s="27" t="s">
        <v>385</v>
      </c>
      <c r="G854" s="27" t="s">
        <v>948</v>
      </c>
      <c r="H854" s="27" t="s">
        <v>54</v>
      </c>
      <c r="I854" s="27" t="s">
        <v>55</v>
      </c>
      <c r="J854" s="27" t="s">
        <v>393</v>
      </c>
      <c r="K854" s="27" t="s">
        <v>371</v>
      </c>
      <c r="L854" s="27" t="s">
        <v>371</v>
      </c>
      <c r="M854" s="27" t="s">
        <v>371</v>
      </c>
      <c r="N854" s="27" t="s">
        <v>371</v>
      </c>
      <c r="O854" s="27" t="s">
        <v>371</v>
      </c>
      <c r="P854" s="27" t="s">
        <v>371</v>
      </c>
      <c r="Q854" s="27" t="s">
        <v>372</v>
      </c>
      <c r="R854" s="556">
        <f t="shared" si="95"/>
        <v>0</v>
      </c>
      <c r="S854" s="556">
        <f t="shared" si="98"/>
        <v>0</v>
      </c>
      <c r="T854" s="556">
        <f t="shared" si="99"/>
        <v>0</v>
      </c>
      <c r="U854" s="556">
        <f t="shared" si="100"/>
        <v>0</v>
      </c>
      <c r="V854" s="556">
        <f t="shared" si="101"/>
        <v>0</v>
      </c>
      <c r="W854" s="556">
        <f t="shared" si="102"/>
        <v>0</v>
      </c>
      <c r="X854" s="556">
        <f t="shared" si="103"/>
        <v>0</v>
      </c>
      <c r="Y854" s="556">
        <f t="shared" si="104"/>
        <v>0</v>
      </c>
      <c r="Z854" s="556">
        <f t="shared" si="105"/>
        <v>0</v>
      </c>
      <c r="AA854" s="556">
        <f t="shared" si="106"/>
        <v>342435.48</v>
      </c>
      <c r="AB854" s="556">
        <f t="shared" si="107"/>
        <v>374348.61</v>
      </c>
      <c r="AC854" s="556">
        <f t="shared" si="108"/>
        <v>0</v>
      </c>
      <c r="AD854" s="556">
        <f t="shared" si="96"/>
        <v>0</v>
      </c>
      <c r="AE854" s="556">
        <f t="shared" si="110"/>
        <v>0</v>
      </c>
      <c r="AF854" s="556">
        <f t="shared" si="110"/>
        <v>0</v>
      </c>
      <c r="AG854" s="556">
        <f t="shared" si="110"/>
        <v>0</v>
      </c>
    </row>
    <row r="855" spans="1:34" hidden="1" outlineLevel="1" x14ac:dyDescent="0.35">
      <c r="A855" t="b">
        <f t="shared" si="94"/>
        <v>1</v>
      </c>
      <c r="B855" s="27" t="s">
        <v>949</v>
      </c>
      <c r="C855" s="27" t="s">
        <v>51</v>
      </c>
      <c r="D855" s="27" t="s">
        <v>1707</v>
      </c>
      <c r="E855" s="27" t="s">
        <v>51</v>
      </c>
      <c r="F855" s="27" t="s">
        <v>385</v>
      </c>
      <c r="G855" s="27" t="s">
        <v>950</v>
      </c>
      <c r="H855" s="27" t="s">
        <v>54</v>
      </c>
      <c r="I855" s="27" t="s">
        <v>55</v>
      </c>
      <c r="J855" s="27" t="s">
        <v>393</v>
      </c>
      <c r="K855" s="27" t="s">
        <v>371</v>
      </c>
      <c r="L855" s="27" t="s">
        <v>371</v>
      </c>
      <c r="M855" s="27" t="s">
        <v>371</v>
      </c>
      <c r="N855" s="27" t="s">
        <v>371</v>
      </c>
      <c r="O855" s="27" t="s">
        <v>371</v>
      </c>
      <c r="P855" s="27" t="s">
        <v>371</v>
      </c>
      <c r="Q855" s="27" t="s">
        <v>372</v>
      </c>
      <c r="R855" s="556">
        <f t="shared" si="95"/>
        <v>0</v>
      </c>
      <c r="S855" s="556">
        <f t="shared" si="98"/>
        <v>0</v>
      </c>
      <c r="T855" s="556">
        <f t="shared" si="99"/>
        <v>0</v>
      </c>
      <c r="U855" s="556">
        <f t="shared" si="100"/>
        <v>0</v>
      </c>
      <c r="V855" s="556">
        <f t="shared" si="101"/>
        <v>0</v>
      </c>
      <c r="W855" s="556">
        <f t="shared" si="102"/>
        <v>0</v>
      </c>
      <c r="X855" s="556">
        <f t="shared" si="103"/>
        <v>0</v>
      </c>
      <c r="Y855" s="556">
        <f t="shared" si="104"/>
        <v>0</v>
      </c>
      <c r="Z855" s="556">
        <f t="shared" si="105"/>
        <v>0</v>
      </c>
      <c r="AA855" s="556">
        <f t="shared" si="106"/>
        <v>362475.35</v>
      </c>
      <c r="AB855" s="556">
        <f t="shared" si="107"/>
        <v>408812.06</v>
      </c>
      <c r="AC855" s="556">
        <f t="shared" si="108"/>
        <v>0</v>
      </c>
      <c r="AD855" s="556">
        <f t="shared" si="96"/>
        <v>0</v>
      </c>
      <c r="AE855" s="556">
        <f t="shared" si="110"/>
        <v>0</v>
      </c>
      <c r="AF855" s="556">
        <f t="shared" si="110"/>
        <v>0</v>
      </c>
      <c r="AG855" s="556">
        <f t="shared" si="110"/>
        <v>0</v>
      </c>
    </row>
    <row r="856" spans="1:34" hidden="1" outlineLevel="1" x14ac:dyDescent="0.35">
      <c r="A856" t="b">
        <f t="shared" si="94"/>
        <v>1</v>
      </c>
      <c r="B856" s="27" t="s">
        <v>951</v>
      </c>
      <c r="C856" s="27" t="s">
        <v>51</v>
      </c>
      <c r="D856" s="27" t="s">
        <v>1708</v>
      </c>
      <c r="E856" s="27" t="s">
        <v>51</v>
      </c>
      <c r="F856" s="27" t="s">
        <v>385</v>
      </c>
      <c r="G856" s="27" t="s">
        <v>952</v>
      </c>
      <c r="H856" s="27" t="s">
        <v>54</v>
      </c>
      <c r="I856" s="27" t="s">
        <v>55</v>
      </c>
      <c r="J856" s="27" t="s">
        <v>393</v>
      </c>
      <c r="K856" s="27" t="s">
        <v>371</v>
      </c>
      <c r="L856" s="27" t="s">
        <v>371</v>
      </c>
      <c r="M856" s="27" t="s">
        <v>371</v>
      </c>
      <c r="N856" s="27" t="s">
        <v>371</v>
      </c>
      <c r="O856" s="27" t="s">
        <v>371</v>
      </c>
      <c r="P856" s="27" t="s">
        <v>371</v>
      </c>
      <c r="Q856" s="27" t="s">
        <v>372</v>
      </c>
      <c r="R856" s="556">
        <f t="shared" si="95"/>
        <v>0</v>
      </c>
      <c r="S856" s="556">
        <f t="shared" si="98"/>
        <v>0</v>
      </c>
      <c r="T856" s="556">
        <f t="shared" si="99"/>
        <v>0</v>
      </c>
      <c r="U856" s="556">
        <f t="shared" si="100"/>
        <v>0</v>
      </c>
      <c r="V856" s="556">
        <f t="shared" si="101"/>
        <v>0</v>
      </c>
      <c r="W856" s="556">
        <f t="shared" si="102"/>
        <v>0</v>
      </c>
      <c r="X856" s="556">
        <f t="shared" si="103"/>
        <v>0</v>
      </c>
      <c r="Y856" s="556">
        <f t="shared" si="104"/>
        <v>0</v>
      </c>
      <c r="Z856" s="556">
        <f t="shared" si="105"/>
        <v>0</v>
      </c>
      <c r="AA856" s="556">
        <f t="shared" si="106"/>
        <v>5743.97</v>
      </c>
      <c r="AB856" s="556">
        <f t="shared" si="107"/>
        <v>69481.97</v>
      </c>
      <c r="AC856" s="556">
        <f t="shared" si="108"/>
        <v>0</v>
      </c>
      <c r="AD856" s="556">
        <f t="shared" si="96"/>
        <v>0</v>
      </c>
      <c r="AE856" s="556">
        <f t="shared" si="110"/>
        <v>0</v>
      </c>
      <c r="AF856" s="556">
        <f t="shared" si="110"/>
        <v>0</v>
      </c>
      <c r="AG856" s="556">
        <f t="shared" si="110"/>
        <v>0</v>
      </c>
    </row>
    <row r="857" spans="1:34" hidden="1" outlineLevel="1" x14ac:dyDescent="0.35">
      <c r="A857" t="b">
        <f t="shared" si="94"/>
        <v>1</v>
      </c>
      <c r="B857" s="27" t="s">
        <v>1343</v>
      </c>
      <c r="C857" s="27" t="s">
        <v>51</v>
      </c>
      <c r="D857" s="27" t="s">
        <v>1922</v>
      </c>
      <c r="E857" s="27" t="s">
        <v>51</v>
      </c>
      <c r="F857" s="27" t="s">
        <v>63</v>
      </c>
      <c r="G857" s="27" t="s">
        <v>1709</v>
      </c>
      <c r="H857" s="27" t="s">
        <v>54</v>
      </c>
      <c r="I857" s="27" t="s">
        <v>55</v>
      </c>
      <c r="J857" s="27" t="s">
        <v>89</v>
      </c>
      <c r="K857" s="27" t="s">
        <v>371</v>
      </c>
      <c r="L857" s="27" t="s">
        <v>371</v>
      </c>
      <c r="M857" s="27" t="s">
        <v>371</v>
      </c>
      <c r="N857" s="27" t="s">
        <v>371</v>
      </c>
      <c r="O857" s="27" t="s">
        <v>371</v>
      </c>
      <c r="P857" s="27" t="s">
        <v>371</v>
      </c>
      <c r="Q857" s="27" t="s">
        <v>372</v>
      </c>
      <c r="R857" s="556">
        <f t="shared" si="95"/>
        <v>0</v>
      </c>
      <c r="S857" s="556">
        <f t="shared" si="98"/>
        <v>0</v>
      </c>
      <c r="T857" s="556">
        <f t="shared" si="99"/>
        <v>0</v>
      </c>
      <c r="U857" s="556">
        <f t="shared" si="100"/>
        <v>0</v>
      </c>
      <c r="V857" s="556">
        <f t="shared" si="101"/>
        <v>0</v>
      </c>
      <c r="W857" s="556">
        <f t="shared" si="102"/>
        <v>0</v>
      </c>
      <c r="X857" s="556">
        <f t="shared" si="103"/>
        <v>0</v>
      </c>
      <c r="Y857" s="556">
        <f t="shared" si="104"/>
        <v>0</v>
      </c>
      <c r="Z857" s="556">
        <f t="shared" si="105"/>
        <v>0</v>
      </c>
      <c r="AA857" s="556">
        <f t="shared" si="106"/>
        <v>14757642.93</v>
      </c>
      <c r="AB857" s="556">
        <f t="shared" si="107"/>
        <v>7909324.5999999996</v>
      </c>
      <c r="AC857" s="556">
        <f t="shared" si="108"/>
        <v>0</v>
      </c>
      <c r="AD857" s="556">
        <f t="shared" si="96"/>
        <v>0</v>
      </c>
      <c r="AE857" s="556">
        <f t="shared" si="110"/>
        <v>0</v>
      </c>
      <c r="AF857" s="556">
        <f t="shared" si="110"/>
        <v>2411035.7799999998</v>
      </c>
      <c r="AG857" s="556">
        <f t="shared" si="110"/>
        <v>2411035.7799999998</v>
      </c>
    </row>
    <row r="858" spans="1:34" hidden="1" outlineLevel="1" x14ac:dyDescent="0.35">
      <c r="A858" t="b">
        <f t="shared" si="94"/>
        <v>1</v>
      </c>
      <c r="B858" s="27" t="s">
        <v>953</v>
      </c>
      <c r="C858" s="27" t="s">
        <v>51</v>
      </c>
      <c r="D858" s="27" t="s">
        <v>1710</v>
      </c>
      <c r="E858" s="27" t="s">
        <v>51</v>
      </c>
      <c r="F858" s="27" t="s">
        <v>119</v>
      </c>
      <c r="G858" s="27" t="s">
        <v>231</v>
      </c>
      <c r="H858" s="27" t="s">
        <v>54</v>
      </c>
      <c r="I858" s="27" t="s">
        <v>55</v>
      </c>
      <c r="J858" s="27" t="s">
        <v>56</v>
      </c>
      <c r="K858" s="27" t="s">
        <v>371</v>
      </c>
      <c r="L858" s="27" t="s">
        <v>371</v>
      </c>
      <c r="M858" s="27" t="s">
        <v>371</v>
      </c>
      <c r="N858" s="27" t="s">
        <v>371</v>
      </c>
      <c r="O858" s="27" t="s">
        <v>371</v>
      </c>
      <c r="Q858" s="27" t="s">
        <v>372</v>
      </c>
      <c r="R858" s="556">
        <f t="shared" si="95"/>
        <v>0</v>
      </c>
      <c r="S858" s="556">
        <f t="shared" si="98"/>
        <v>0</v>
      </c>
      <c r="T858" s="556">
        <f t="shared" si="99"/>
        <v>0</v>
      </c>
      <c r="U858" s="556">
        <f t="shared" si="100"/>
        <v>0</v>
      </c>
      <c r="V858" s="556">
        <f t="shared" si="101"/>
        <v>0</v>
      </c>
      <c r="W858" s="556">
        <f t="shared" si="102"/>
        <v>0</v>
      </c>
      <c r="X858" s="556">
        <f t="shared" si="103"/>
        <v>0</v>
      </c>
      <c r="Y858" s="556">
        <f t="shared" si="104"/>
        <v>0</v>
      </c>
      <c r="Z858" s="556">
        <f t="shared" si="105"/>
        <v>0</v>
      </c>
      <c r="AA858" s="556">
        <f t="shared" si="106"/>
        <v>99724.37</v>
      </c>
      <c r="AB858" s="556">
        <f t="shared" si="107"/>
        <v>99724.37</v>
      </c>
      <c r="AC858" s="556">
        <f t="shared" si="108"/>
        <v>0</v>
      </c>
      <c r="AD858" s="556">
        <f t="shared" si="96"/>
        <v>0</v>
      </c>
      <c r="AE858" s="556">
        <f t="shared" si="110"/>
        <v>0</v>
      </c>
      <c r="AF858" s="556">
        <f t="shared" si="110"/>
        <v>0</v>
      </c>
      <c r="AG858" s="556">
        <f t="shared" si="110"/>
        <v>0</v>
      </c>
    </row>
    <row r="859" spans="1:34" hidden="1" outlineLevel="1" x14ac:dyDescent="0.35">
      <c r="A859" t="b">
        <f t="shared" si="94"/>
        <v>1</v>
      </c>
      <c r="B859" s="27" t="s">
        <v>1344</v>
      </c>
      <c r="C859" s="27" t="s">
        <v>51</v>
      </c>
      <c r="D859" s="27" t="s">
        <v>1923</v>
      </c>
      <c r="E859" s="27" t="s">
        <v>51</v>
      </c>
      <c r="F859" s="27" t="s">
        <v>90</v>
      </c>
      <c r="G859" s="27" t="s">
        <v>1711</v>
      </c>
      <c r="H859" s="27" t="s">
        <v>54</v>
      </c>
      <c r="I859" s="27" t="s">
        <v>55</v>
      </c>
      <c r="J859" s="27" t="s">
        <v>393</v>
      </c>
      <c r="K859" s="27" t="s">
        <v>371</v>
      </c>
      <c r="L859" s="27" t="s">
        <v>371</v>
      </c>
      <c r="M859" s="27" t="s">
        <v>371</v>
      </c>
      <c r="N859" s="27" t="s">
        <v>371</v>
      </c>
      <c r="O859" s="27" t="s">
        <v>371</v>
      </c>
      <c r="P859" s="27"/>
      <c r="Q859" s="27" t="s">
        <v>372</v>
      </c>
      <c r="R859" s="556">
        <f t="shared" si="95"/>
        <v>0</v>
      </c>
      <c r="S859" s="556">
        <f t="shared" si="98"/>
        <v>0</v>
      </c>
      <c r="T859" s="556">
        <f t="shared" si="99"/>
        <v>0</v>
      </c>
      <c r="U859" s="556">
        <f t="shared" si="100"/>
        <v>0</v>
      </c>
      <c r="V859" s="556">
        <f t="shared" si="101"/>
        <v>0</v>
      </c>
      <c r="W859" s="556">
        <f t="shared" si="102"/>
        <v>0</v>
      </c>
      <c r="X859" s="556">
        <f t="shared" si="103"/>
        <v>0</v>
      </c>
      <c r="Y859" s="556">
        <f t="shared" si="104"/>
        <v>0</v>
      </c>
      <c r="Z859" s="556">
        <f t="shared" si="105"/>
        <v>0</v>
      </c>
      <c r="AA859" s="556">
        <f t="shared" si="106"/>
        <v>9000</v>
      </c>
      <c r="AB859" s="556">
        <f t="shared" si="107"/>
        <v>9000</v>
      </c>
      <c r="AC859" s="556">
        <f t="shared" si="108"/>
        <v>7232403.0700000003</v>
      </c>
      <c r="AD859" s="556">
        <f t="shared" si="96"/>
        <v>7232403.0700000003</v>
      </c>
      <c r="AE859" s="556">
        <f t="shared" si="110"/>
        <v>7232403.0700000003</v>
      </c>
      <c r="AF859" s="556">
        <f t="shared" si="110"/>
        <v>8297690.5899999999</v>
      </c>
      <c r="AG859" s="556">
        <f t="shared" si="110"/>
        <v>8297690.5899999999</v>
      </c>
    </row>
    <row r="860" spans="1:34" hidden="1" outlineLevel="1" x14ac:dyDescent="0.35">
      <c r="A860" t="b">
        <f t="shared" si="94"/>
        <v>1</v>
      </c>
      <c r="B860" s="27" t="s">
        <v>954</v>
      </c>
      <c r="C860" s="27" t="s">
        <v>51</v>
      </c>
      <c r="D860" s="27" t="s">
        <v>1712</v>
      </c>
      <c r="E860" s="27" t="s">
        <v>51</v>
      </c>
      <c r="F860" s="27" t="s">
        <v>385</v>
      </c>
      <c r="G860" s="27" t="s">
        <v>955</v>
      </c>
      <c r="H860" s="27" t="s">
        <v>54</v>
      </c>
      <c r="I860" s="27" t="s">
        <v>55</v>
      </c>
      <c r="J860" s="27" t="s">
        <v>393</v>
      </c>
      <c r="K860" s="27" t="s">
        <v>371</v>
      </c>
      <c r="L860" s="27" t="s">
        <v>371</v>
      </c>
      <c r="M860" s="27" t="s">
        <v>371</v>
      </c>
      <c r="N860" s="27" t="s">
        <v>371</v>
      </c>
      <c r="O860" s="27" t="s">
        <v>371</v>
      </c>
      <c r="P860" s="27" t="s">
        <v>371</v>
      </c>
      <c r="Q860" s="27" t="s">
        <v>372</v>
      </c>
      <c r="R860" s="556">
        <f t="shared" si="95"/>
        <v>0</v>
      </c>
      <c r="S860" s="556">
        <f t="shared" si="98"/>
        <v>0</v>
      </c>
      <c r="T860" s="556">
        <f t="shared" si="99"/>
        <v>0</v>
      </c>
      <c r="U860" s="556">
        <f t="shared" si="100"/>
        <v>0</v>
      </c>
      <c r="V860" s="556">
        <f t="shared" si="101"/>
        <v>0</v>
      </c>
      <c r="W860" s="556">
        <f t="shared" si="102"/>
        <v>0</v>
      </c>
      <c r="X860" s="556">
        <f t="shared" si="103"/>
        <v>0</v>
      </c>
      <c r="Y860" s="556">
        <f t="shared" si="104"/>
        <v>0</v>
      </c>
      <c r="Z860" s="556">
        <f t="shared" si="105"/>
        <v>0</v>
      </c>
      <c r="AA860" s="556">
        <f t="shared" si="106"/>
        <v>20469738.539999999</v>
      </c>
      <c r="AB860" s="556">
        <f t="shared" si="107"/>
        <v>23452926.82</v>
      </c>
      <c r="AC860" s="556">
        <f t="shared" si="108"/>
        <v>23542494.940000001</v>
      </c>
      <c r="AD860" s="556">
        <f t="shared" si="96"/>
        <v>23558466.170000002</v>
      </c>
      <c r="AE860" s="556">
        <f t="shared" si="110"/>
        <v>23558466.170000002</v>
      </c>
      <c r="AF860" s="556">
        <f t="shared" si="110"/>
        <v>23558466.170000002</v>
      </c>
      <c r="AG860" s="556">
        <f t="shared" si="110"/>
        <v>0</v>
      </c>
    </row>
    <row r="861" spans="1:34" hidden="1" outlineLevel="1" x14ac:dyDescent="0.35">
      <c r="A861" t="b">
        <f t="shared" si="94"/>
        <v>1</v>
      </c>
      <c r="B861" s="27" t="s">
        <v>1345</v>
      </c>
      <c r="C861" s="27" t="s">
        <v>51</v>
      </c>
      <c r="D861" s="27" t="s">
        <v>1924</v>
      </c>
      <c r="E861" s="27" t="s">
        <v>51</v>
      </c>
      <c r="F861" s="27" t="s">
        <v>635</v>
      </c>
      <c r="G861" s="27" t="s">
        <v>1713</v>
      </c>
      <c r="H861" s="27" t="s">
        <v>447</v>
      </c>
      <c r="I861" s="27" t="s">
        <v>440</v>
      </c>
      <c r="J861" s="27" t="s">
        <v>448</v>
      </c>
      <c r="K861" s="27" t="s">
        <v>449</v>
      </c>
      <c r="L861" s="27" t="s">
        <v>1028</v>
      </c>
      <c r="M861" s="27" t="s">
        <v>1028</v>
      </c>
      <c r="N861" s="27" t="s">
        <v>1028</v>
      </c>
      <c r="O861" s="27" t="s">
        <v>449</v>
      </c>
      <c r="P861" s="27" t="s">
        <v>449</v>
      </c>
      <c r="Q861" s="27" t="s">
        <v>372</v>
      </c>
      <c r="R861" s="556">
        <f t="shared" si="95"/>
        <v>0</v>
      </c>
      <c r="S861" s="556">
        <f t="shared" si="98"/>
        <v>0</v>
      </c>
      <c r="T861" s="556">
        <f t="shared" si="99"/>
        <v>0</v>
      </c>
      <c r="U861" s="556">
        <f t="shared" si="100"/>
        <v>0</v>
      </c>
      <c r="V861" s="556">
        <f t="shared" si="101"/>
        <v>0</v>
      </c>
      <c r="W861" s="556">
        <f t="shared" si="102"/>
        <v>0</v>
      </c>
      <c r="X861" s="556">
        <f t="shared" si="103"/>
        <v>0</v>
      </c>
      <c r="Y861" s="556">
        <f t="shared" si="104"/>
        <v>0</v>
      </c>
      <c r="Z861" s="556">
        <f t="shared" si="105"/>
        <v>0</v>
      </c>
      <c r="AA861" s="556">
        <f t="shared" si="106"/>
        <v>19396.11</v>
      </c>
      <c r="AB861" s="556">
        <f t="shared" si="107"/>
        <v>0</v>
      </c>
      <c r="AC861" s="556">
        <f t="shared" si="108"/>
        <v>0</v>
      </c>
      <c r="AD861" s="556">
        <f t="shared" si="96"/>
        <v>10.33</v>
      </c>
      <c r="AE861" s="556">
        <f t="shared" si="110"/>
        <v>1156.67</v>
      </c>
      <c r="AF861" s="556">
        <f t="shared" si="110"/>
        <v>0</v>
      </c>
      <c r="AG861" s="556">
        <f t="shared" si="110"/>
        <v>0</v>
      </c>
      <c r="AH861" s="44"/>
    </row>
    <row r="862" spans="1:34" hidden="1" outlineLevel="1" x14ac:dyDescent="0.35">
      <c r="A862" t="b">
        <f t="shared" si="94"/>
        <v>1</v>
      </c>
      <c r="B862" s="27" t="s">
        <v>945</v>
      </c>
      <c r="C862" s="27" t="s">
        <v>51</v>
      </c>
      <c r="D862" s="27" t="s">
        <v>1714</v>
      </c>
      <c r="E862" s="27" t="s">
        <v>51</v>
      </c>
      <c r="F862" s="27" t="s">
        <v>377</v>
      </c>
      <c r="G862" s="27" t="s">
        <v>946</v>
      </c>
      <c r="H862" s="27" t="s">
        <v>54</v>
      </c>
      <c r="I862" s="27" t="s">
        <v>55</v>
      </c>
      <c r="J862" s="27" t="s">
        <v>56</v>
      </c>
      <c r="K862" s="27" t="s">
        <v>371</v>
      </c>
      <c r="L862" s="27" t="s">
        <v>371</v>
      </c>
      <c r="M862" s="27" t="s">
        <v>371</v>
      </c>
      <c r="N862" s="27" t="s">
        <v>371</v>
      </c>
      <c r="O862" s="27" t="s">
        <v>371</v>
      </c>
      <c r="P862" s="27"/>
      <c r="Q862" s="27" t="s">
        <v>372</v>
      </c>
      <c r="R862" s="556">
        <f t="shared" si="95"/>
        <v>0</v>
      </c>
      <c r="S862" s="556">
        <f t="shared" si="98"/>
        <v>0</v>
      </c>
      <c r="T862" s="556">
        <f t="shared" si="99"/>
        <v>0</v>
      </c>
      <c r="U862" s="556">
        <f t="shared" si="100"/>
        <v>0</v>
      </c>
      <c r="V862" s="556">
        <f t="shared" si="101"/>
        <v>0</v>
      </c>
      <c r="W862" s="556">
        <f t="shared" si="102"/>
        <v>0</v>
      </c>
      <c r="X862" s="556">
        <f t="shared" si="103"/>
        <v>0</v>
      </c>
      <c r="Y862" s="556">
        <f t="shared" si="104"/>
        <v>0</v>
      </c>
      <c r="Z862" s="556">
        <f t="shared" si="105"/>
        <v>0</v>
      </c>
      <c r="AA862" s="556">
        <f t="shared" si="106"/>
        <v>22639.14</v>
      </c>
      <c r="AB862" s="556">
        <f t="shared" si="107"/>
        <v>22639.14</v>
      </c>
      <c r="AC862" s="556">
        <f t="shared" si="108"/>
        <v>0</v>
      </c>
      <c r="AD862" s="556">
        <f t="shared" si="96"/>
        <v>0</v>
      </c>
      <c r="AE862" s="556">
        <f t="shared" si="110"/>
        <v>0</v>
      </c>
      <c r="AF862" s="556">
        <f t="shared" si="110"/>
        <v>0</v>
      </c>
      <c r="AG862" s="556">
        <f t="shared" si="110"/>
        <v>0</v>
      </c>
    </row>
    <row r="863" spans="1:34" hidden="1" outlineLevel="1" x14ac:dyDescent="0.35">
      <c r="A863" t="b">
        <f t="shared" si="94"/>
        <v>1</v>
      </c>
      <c r="B863" s="27" t="s">
        <v>1346</v>
      </c>
      <c r="C863" s="27" t="s">
        <v>51</v>
      </c>
      <c r="D863" s="27" t="s">
        <v>1925</v>
      </c>
      <c r="E863" s="27" t="s">
        <v>51</v>
      </c>
      <c r="F863" s="27" t="s">
        <v>377</v>
      </c>
      <c r="G863" s="27" t="s">
        <v>1715</v>
      </c>
      <c r="H863" s="27" t="s">
        <v>54</v>
      </c>
      <c r="I863" s="27" t="s">
        <v>55</v>
      </c>
      <c r="J863" s="27" t="s">
        <v>56</v>
      </c>
      <c r="K863" s="27" t="s">
        <v>371</v>
      </c>
      <c r="L863" s="27" t="s">
        <v>371</v>
      </c>
      <c r="M863" s="27" t="s">
        <v>371</v>
      </c>
      <c r="N863" s="27" t="s">
        <v>371</v>
      </c>
      <c r="O863" s="27" t="s">
        <v>371</v>
      </c>
      <c r="P863" s="27"/>
      <c r="Q863" s="27" t="s">
        <v>372</v>
      </c>
      <c r="R863" s="556">
        <f t="shared" si="95"/>
        <v>0</v>
      </c>
      <c r="S863" s="556">
        <f t="shared" si="98"/>
        <v>0</v>
      </c>
      <c r="T863" s="556">
        <f t="shared" si="99"/>
        <v>0</v>
      </c>
      <c r="U863" s="556">
        <f t="shared" si="100"/>
        <v>0</v>
      </c>
      <c r="V863" s="556">
        <f t="shared" si="101"/>
        <v>0</v>
      </c>
      <c r="W863" s="556">
        <f t="shared" si="102"/>
        <v>0</v>
      </c>
      <c r="X863" s="556">
        <f t="shared" si="103"/>
        <v>0</v>
      </c>
      <c r="Y863" s="556">
        <f t="shared" si="104"/>
        <v>0</v>
      </c>
      <c r="Z863" s="556">
        <f t="shared" si="105"/>
        <v>0</v>
      </c>
      <c r="AA863" s="556">
        <f t="shared" si="106"/>
        <v>0</v>
      </c>
      <c r="AB863" s="556">
        <f t="shared" si="107"/>
        <v>404902.35</v>
      </c>
      <c r="AC863" s="556">
        <f t="shared" si="108"/>
        <v>157909.34</v>
      </c>
      <c r="AD863" s="556">
        <f t="shared" si="96"/>
        <v>336668.12</v>
      </c>
      <c r="AE863" s="556">
        <f t="shared" si="110"/>
        <v>361545.43</v>
      </c>
      <c r="AF863" s="556">
        <f t="shared" si="110"/>
        <v>183101.11</v>
      </c>
      <c r="AG863" s="556">
        <f t="shared" si="110"/>
        <v>270975.77</v>
      </c>
    </row>
    <row r="864" spans="1:34" hidden="1" outlineLevel="1" x14ac:dyDescent="0.35">
      <c r="A864" t="b">
        <f t="shared" si="94"/>
        <v>1</v>
      </c>
      <c r="B864" s="27" t="s">
        <v>956</v>
      </c>
      <c r="C864" s="27" t="s">
        <v>51</v>
      </c>
      <c r="D864" s="27" t="s">
        <v>1716</v>
      </c>
      <c r="E864" s="27" t="s">
        <v>51</v>
      </c>
      <c r="F864" s="27" t="s">
        <v>377</v>
      </c>
      <c r="G864" s="27" t="s">
        <v>957</v>
      </c>
      <c r="H864" s="27" t="s">
        <v>54</v>
      </c>
      <c r="I864" s="27" t="s">
        <v>55</v>
      </c>
      <c r="J864" s="27" t="s">
        <v>56</v>
      </c>
      <c r="K864" s="27" t="s">
        <v>371</v>
      </c>
      <c r="L864" s="27" t="s">
        <v>371</v>
      </c>
      <c r="M864" s="27" t="s">
        <v>371</v>
      </c>
      <c r="N864" s="27" t="s">
        <v>371</v>
      </c>
      <c r="O864" s="27" t="s">
        <v>371</v>
      </c>
      <c r="P864" s="27"/>
      <c r="Q864" s="27" t="s">
        <v>372</v>
      </c>
      <c r="R864" s="556">
        <f t="shared" si="95"/>
        <v>0</v>
      </c>
      <c r="S864" s="556">
        <f t="shared" si="98"/>
        <v>0</v>
      </c>
      <c r="T864" s="556">
        <f t="shared" si="99"/>
        <v>0</v>
      </c>
      <c r="U864" s="556">
        <f t="shared" si="100"/>
        <v>0</v>
      </c>
      <c r="V864" s="556">
        <f t="shared" si="101"/>
        <v>0</v>
      </c>
      <c r="W864" s="556">
        <f t="shared" si="102"/>
        <v>0</v>
      </c>
      <c r="X864" s="556">
        <f t="shared" si="103"/>
        <v>0</v>
      </c>
      <c r="Y864" s="556">
        <f t="shared" si="104"/>
        <v>0</v>
      </c>
      <c r="Z864" s="556">
        <f t="shared" si="105"/>
        <v>0</v>
      </c>
      <c r="AA864" s="556">
        <f t="shared" si="106"/>
        <v>0</v>
      </c>
      <c r="AB864" s="556">
        <f t="shared" si="107"/>
        <v>2956.11</v>
      </c>
      <c r="AC864" s="556">
        <f t="shared" si="108"/>
        <v>13448.88</v>
      </c>
      <c r="AD864" s="556">
        <f t="shared" si="96"/>
        <v>131.06</v>
      </c>
      <c r="AE864" s="556">
        <f t="shared" si="110"/>
        <v>0</v>
      </c>
      <c r="AF864" s="556">
        <f t="shared" si="110"/>
        <v>0</v>
      </c>
      <c r="AG864" s="556">
        <f t="shared" si="110"/>
        <v>0</v>
      </c>
    </row>
    <row r="865" spans="1:36" hidden="1" outlineLevel="1" x14ac:dyDescent="0.35">
      <c r="A865" t="b">
        <f t="shared" si="94"/>
        <v>1</v>
      </c>
      <c r="B865" s="27" t="s">
        <v>958</v>
      </c>
      <c r="C865" s="27" t="s">
        <v>51</v>
      </c>
      <c r="D865" s="27" t="s">
        <v>1717</v>
      </c>
      <c r="E865" s="27" t="s">
        <v>51</v>
      </c>
      <c r="F865" s="27" t="s">
        <v>385</v>
      </c>
      <c r="G865" s="27" t="s">
        <v>959</v>
      </c>
      <c r="H865" s="27" t="s">
        <v>54</v>
      </c>
      <c r="I865" s="27" t="s">
        <v>55</v>
      </c>
      <c r="J865" s="27" t="s">
        <v>393</v>
      </c>
      <c r="K865" s="27" t="s">
        <v>371</v>
      </c>
      <c r="L865" s="27" t="s">
        <v>371</v>
      </c>
      <c r="M865" s="27" t="s">
        <v>371</v>
      </c>
      <c r="N865" s="27" t="s">
        <v>371</v>
      </c>
      <c r="O865" s="27" t="s">
        <v>371</v>
      </c>
      <c r="P865" s="27" t="s">
        <v>371</v>
      </c>
      <c r="Q865" s="27" t="s">
        <v>372</v>
      </c>
      <c r="R865" s="556">
        <f t="shared" si="95"/>
        <v>0</v>
      </c>
      <c r="S865" s="556">
        <f t="shared" si="98"/>
        <v>0</v>
      </c>
      <c r="T865" s="556">
        <f t="shared" si="99"/>
        <v>0</v>
      </c>
      <c r="U865" s="556">
        <f t="shared" si="100"/>
        <v>0</v>
      </c>
      <c r="V865" s="556">
        <f t="shared" si="101"/>
        <v>0</v>
      </c>
      <c r="W865" s="556">
        <f t="shared" si="102"/>
        <v>0</v>
      </c>
      <c r="X865" s="556">
        <f t="shared" si="103"/>
        <v>0</v>
      </c>
      <c r="Y865" s="556">
        <f t="shared" si="104"/>
        <v>0</v>
      </c>
      <c r="Z865" s="556">
        <f t="shared" si="105"/>
        <v>0</v>
      </c>
      <c r="AA865" s="556">
        <f t="shared" si="106"/>
        <v>0</v>
      </c>
      <c r="AB865" s="556">
        <f t="shared" si="107"/>
        <v>66013.100000000006</v>
      </c>
      <c r="AC865" s="556">
        <f t="shared" si="108"/>
        <v>0</v>
      </c>
      <c r="AD865" s="556">
        <f t="shared" si="96"/>
        <v>0</v>
      </c>
      <c r="AE865" s="556">
        <f t="shared" si="110"/>
        <v>0</v>
      </c>
      <c r="AF865" s="556">
        <f t="shared" si="110"/>
        <v>0</v>
      </c>
      <c r="AG865" s="556">
        <f t="shared" si="110"/>
        <v>0</v>
      </c>
    </row>
    <row r="866" spans="1:36" hidden="1" outlineLevel="1" x14ac:dyDescent="0.35">
      <c r="A866" t="b">
        <f t="shared" si="94"/>
        <v>1</v>
      </c>
      <c r="B866" s="27" t="s">
        <v>960</v>
      </c>
      <c r="C866" s="27" t="s">
        <v>51</v>
      </c>
      <c r="D866" s="27" t="s">
        <v>1718</v>
      </c>
      <c r="E866" s="27" t="s">
        <v>51</v>
      </c>
      <c r="F866" s="27" t="s">
        <v>385</v>
      </c>
      <c r="G866" s="27" t="s">
        <v>961</v>
      </c>
      <c r="H866" s="27" t="s">
        <v>54</v>
      </c>
      <c r="I866" s="27" t="s">
        <v>55</v>
      </c>
      <c r="J866" s="27" t="s">
        <v>393</v>
      </c>
      <c r="K866" s="27" t="s">
        <v>371</v>
      </c>
      <c r="L866" s="27" t="s">
        <v>371</v>
      </c>
      <c r="M866" s="27" t="s">
        <v>371</v>
      </c>
      <c r="N866" s="27" t="s">
        <v>371</v>
      </c>
      <c r="O866" s="27" t="s">
        <v>371</v>
      </c>
      <c r="P866" s="27" t="s">
        <v>371</v>
      </c>
      <c r="Q866" s="27" t="s">
        <v>372</v>
      </c>
      <c r="R866" s="556">
        <f t="shared" si="95"/>
        <v>0</v>
      </c>
      <c r="S866" s="556">
        <f t="shared" si="98"/>
        <v>0</v>
      </c>
      <c r="T866" s="556">
        <f t="shared" si="99"/>
        <v>0</v>
      </c>
      <c r="U866" s="556">
        <f t="shared" si="100"/>
        <v>0</v>
      </c>
      <c r="V866" s="556">
        <f t="shared" si="101"/>
        <v>0</v>
      </c>
      <c r="W866" s="556">
        <f t="shared" si="102"/>
        <v>0</v>
      </c>
      <c r="X866" s="556">
        <f t="shared" si="103"/>
        <v>0</v>
      </c>
      <c r="Y866" s="556">
        <f t="shared" si="104"/>
        <v>0</v>
      </c>
      <c r="Z866" s="556">
        <f t="shared" si="105"/>
        <v>0</v>
      </c>
      <c r="AA866" s="556">
        <f t="shared" si="106"/>
        <v>0</v>
      </c>
      <c r="AB866" s="556">
        <f t="shared" si="107"/>
        <v>77630.03</v>
      </c>
      <c r="AC866" s="556">
        <f t="shared" si="108"/>
        <v>0</v>
      </c>
      <c r="AD866" s="556">
        <f t="shared" si="96"/>
        <v>0</v>
      </c>
      <c r="AE866" s="556">
        <f t="shared" si="110"/>
        <v>0</v>
      </c>
      <c r="AF866" s="556">
        <f t="shared" si="110"/>
        <v>0</v>
      </c>
      <c r="AG866" s="556">
        <f t="shared" si="110"/>
        <v>0</v>
      </c>
    </row>
    <row r="867" spans="1:36" hidden="1" outlineLevel="1" x14ac:dyDescent="0.35">
      <c r="A867" t="b">
        <f t="shared" si="94"/>
        <v>1</v>
      </c>
      <c r="B867" s="27" t="s">
        <v>962</v>
      </c>
      <c r="C867" s="27" t="s">
        <v>51</v>
      </c>
      <c r="D867" s="27" t="s">
        <v>1719</v>
      </c>
      <c r="E867" s="27" t="s">
        <v>51</v>
      </c>
      <c r="F867" s="27" t="s">
        <v>385</v>
      </c>
      <c r="G867" s="27" t="s">
        <v>963</v>
      </c>
      <c r="H867" s="27" t="s">
        <v>54</v>
      </c>
      <c r="I867" s="27" t="s">
        <v>55</v>
      </c>
      <c r="J867" s="27" t="s">
        <v>393</v>
      </c>
      <c r="K867" s="27" t="s">
        <v>371</v>
      </c>
      <c r="L867" s="27" t="s">
        <v>371</v>
      </c>
      <c r="M867" s="27" t="s">
        <v>371</v>
      </c>
      <c r="N867" s="27" t="s">
        <v>371</v>
      </c>
      <c r="O867" s="27" t="s">
        <v>371</v>
      </c>
      <c r="P867" s="27" t="s">
        <v>371</v>
      </c>
      <c r="Q867" s="27" t="s">
        <v>372</v>
      </c>
      <c r="R867" s="556">
        <f t="shared" si="95"/>
        <v>0</v>
      </c>
      <c r="S867" s="556">
        <f t="shared" si="98"/>
        <v>0</v>
      </c>
      <c r="T867" s="556">
        <f t="shared" si="99"/>
        <v>0</v>
      </c>
      <c r="U867" s="556">
        <f t="shared" si="100"/>
        <v>0</v>
      </c>
      <c r="V867" s="556">
        <f t="shared" si="101"/>
        <v>0</v>
      </c>
      <c r="W867" s="556">
        <f t="shared" si="102"/>
        <v>0</v>
      </c>
      <c r="X867" s="556">
        <f t="shared" si="103"/>
        <v>0</v>
      </c>
      <c r="Y867" s="556">
        <f t="shared" si="104"/>
        <v>0</v>
      </c>
      <c r="Z867" s="556">
        <f t="shared" si="105"/>
        <v>0</v>
      </c>
      <c r="AA867" s="556">
        <f t="shared" si="106"/>
        <v>0</v>
      </c>
      <c r="AB867" s="556">
        <f t="shared" si="107"/>
        <v>559875.74</v>
      </c>
      <c r="AC867" s="556">
        <f t="shared" si="108"/>
        <v>0</v>
      </c>
      <c r="AD867" s="556">
        <f t="shared" si="96"/>
        <v>0</v>
      </c>
      <c r="AE867" s="556">
        <f t="shared" si="110"/>
        <v>0</v>
      </c>
      <c r="AF867" s="556">
        <f t="shared" si="110"/>
        <v>0</v>
      </c>
      <c r="AG867" s="556">
        <f t="shared" si="110"/>
        <v>0</v>
      </c>
    </row>
    <row r="868" spans="1:36" hidden="1" outlineLevel="1" x14ac:dyDescent="0.35">
      <c r="A868" t="b">
        <f t="shared" si="94"/>
        <v>1</v>
      </c>
      <c r="B868" s="27" t="s">
        <v>964</v>
      </c>
      <c r="C868" s="27" t="s">
        <v>51</v>
      </c>
      <c r="D868" s="27" t="s">
        <v>1720</v>
      </c>
      <c r="E868" s="27" t="s">
        <v>51</v>
      </c>
      <c r="F868" s="27" t="s">
        <v>109</v>
      </c>
      <c r="G868" s="27" t="s">
        <v>965</v>
      </c>
      <c r="H868" s="27" t="s">
        <v>54</v>
      </c>
      <c r="I868" s="27" t="s">
        <v>55</v>
      </c>
      <c r="J868" s="27" t="s">
        <v>101</v>
      </c>
      <c r="K868" s="27" t="s">
        <v>371</v>
      </c>
      <c r="L868" s="27" t="s">
        <v>371</v>
      </c>
      <c r="M868" s="27" t="s">
        <v>371</v>
      </c>
      <c r="N868" s="27" t="s">
        <v>371</v>
      </c>
      <c r="O868" s="27" t="s">
        <v>371</v>
      </c>
      <c r="P868" s="27"/>
      <c r="Q868" s="27" t="s">
        <v>372</v>
      </c>
      <c r="R868" s="556">
        <f t="shared" si="95"/>
        <v>0</v>
      </c>
      <c r="S868" s="556">
        <f t="shared" si="98"/>
        <v>0</v>
      </c>
      <c r="T868" s="556">
        <f t="shared" si="99"/>
        <v>0</v>
      </c>
      <c r="U868" s="556">
        <f t="shared" si="100"/>
        <v>0</v>
      </c>
      <c r="V868" s="556">
        <f t="shared" si="101"/>
        <v>0</v>
      </c>
      <c r="W868" s="556">
        <f t="shared" si="102"/>
        <v>0</v>
      </c>
      <c r="X868" s="556">
        <f t="shared" si="103"/>
        <v>0</v>
      </c>
      <c r="Y868" s="556">
        <f t="shared" si="104"/>
        <v>0</v>
      </c>
      <c r="Z868" s="556">
        <f t="shared" si="105"/>
        <v>0</v>
      </c>
      <c r="AA868" s="556">
        <f t="shared" si="106"/>
        <v>0</v>
      </c>
      <c r="AB868" s="556">
        <f t="shared" si="107"/>
        <v>287584</v>
      </c>
      <c r="AC868" s="556">
        <f t="shared" si="108"/>
        <v>0</v>
      </c>
      <c r="AD868" s="556">
        <f t="shared" si="96"/>
        <v>287584</v>
      </c>
      <c r="AE868" s="556">
        <f t="shared" si="110"/>
        <v>287584</v>
      </c>
      <c r="AF868" s="556">
        <f t="shared" si="110"/>
        <v>0</v>
      </c>
      <c r="AG868" s="556">
        <f t="shared" si="110"/>
        <v>0</v>
      </c>
    </row>
    <row r="869" spans="1:36" hidden="1" outlineLevel="1" x14ac:dyDescent="0.35">
      <c r="A869" t="b">
        <f t="shared" si="94"/>
        <v>1</v>
      </c>
      <c r="B869" s="27" t="s">
        <v>966</v>
      </c>
      <c r="C869" s="27" t="s">
        <v>51</v>
      </c>
      <c r="D869" s="27" t="s">
        <v>1721</v>
      </c>
      <c r="E869" s="27" t="s">
        <v>51</v>
      </c>
      <c r="F869" s="27" t="s">
        <v>195</v>
      </c>
      <c r="G869" s="27" t="s">
        <v>967</v>
      </c>
      <c r="H869" s="27" t="s">
        <v>54</v>
      </c>
      <c r="I869" s="27" t="s">
        <v>142</v>
      </c>
      <c r="J869" s="27" t="s">
        <v>197</v>
      </c>
      <c r="K869" s="27" t="s">
        <v>371</v>
      </c>
      <c r="L869" s="27" t="s">
        <v>371</v>
      </c>
      <c r="M869" s="27" t="s">
        <v>371</v>
      </c>
      <c r="N869" s="27" t="s">
        <v>371</v>
      </c>
      <c r="O869" s="27" t="s">
        <v>371</v>
      </c>
      <c r="P869" s="27" t="s">
        <v>371</v>
      </c>
      <c r="Q869" s="27" t="s">
        <v>372</v>
      </c>
      <c r="R869" s="556">
        <f t="shared" si="95"/>
        <v>0</v>
      </c>
      <c r="S869" s="556">
        <f t="shared" si="98"/>
        <v>0</v>
      </c>
      <c r="T869" s="556">
        <f t="shared" si="99"/>
        <v>0</v>
      </c>
      <c r="U869" s="556">
        <f t="shared" si="100"/>
        <v>0</v>
      </c>
      <c r="V869" s="556">
        <f t="shared" si="101"/>
        <v>0</v>
      </c>
      <c r="W869" s="556">
        <f t="shared" si="102"/>
        <v>0</v>
      </c>
      <c r="X869" s="556">
        <f t="shared" si="103"/>
        <v>0</v>
      </c>
      <c r="Y869" s="556">
        <f t="shared" si="104"/>
        <v>0</v>
      </c>
      <c r="Z869" s="556">
        <f t="shared" si="105"/>
        <v>0</v>
      </c>
      <c r="AA869" s="556">
        <f t="shared" si="106"/>
        <v>0</v>
      </c>
      <c r="AB869" s="556">
        <f t="shared" si="107"/>
        <v>-258321.77</v>
      </c>
      <c r="AC869" s="556">
        <f t="shared" si="108"/>
        <v>0</v>
      </c>
      <c r="AD869" s="556">
        <f t="shared" si="96"/>
        <v>0</v>
      </c>
      <c r="AE869" s="556">
        <f t="shared" si="110"/>
        <v>0</v>
      </c>
      <c r="AF869" s="556">
        <f t="shared" si="110"/>
        <v>0</v>
      </c>
      <c r="AG869" s="556">
        <f t="shared" si="110"/>
        <v>0</v>
      </c>
    </row>
    <row r="870" spans="1:36" hidden="1" outlineLevel="1" x14ac:dyDescent="0.35">
      <c r="A870" t="b">
        <f t="shared" si="94"/>
        <v>1</v>
      </c>
      <c r="B870" s="27" t="s">
        <v>968</v>
      </c>
      <c r="C870" s="27" t="s">
        <v>51</v>
      </c>
      <c r="D870" s="27" t="s">
        <v>1722</v>
      </c>
      <c r="E870" s="27" t="s">
        <v>51</v>
      </c>
      <c r="F870" s="27" t="s">
        <v>587</v>
      </c>
      <c r="G870" s="27" t="s">
        <v>739</v>
      </c>
      <c r="H870" s="27" t="s">
        <v>54</v>
      </c>
      <c r="I870" s="27" t="s">
        <v>142</v>
      </c>
      <c r="J870" s="27" t="s">
        <v>197</v>
      </c>
      <c r="K870" s="27" t="s">
        <v>371</v>
      </c>
      <c r="L870" s="27" t="s">
        <v>371</v>
      </c>
      <c r="M870" s="27" t="s">
        <v>371</v>
      </c>
      <c r="N870" s="27" t="s">
        <v>371</v>
      </c>
      <c r="O870" s="27" t="s">
        <v>371</v>
      </c>
      <c r="P870" s="27" t="s">
        <v>371</v>
      </c>
      <c r="Q870" s="27" t="s">
        <v>372</v>
      </c>
      <c r="R870" s="556">
        <f t="shared" si="95"/>
        <v>0</v>
      </c>
      <c r="S870" s="556">
        <f t="shared" si="98"/>
        <v>0</v>
      </c>
      <c r="T870" s="556">
        <f t="shared" si="99"/>
        <v>0</v>
      </c>
      <c r="U870" s="556">
        <f t="shared" si="100"/>
        <v>0</v>
      </c>
      <c r="V870" s="556">
        <f t="shared" si="101"/>
        <v>0</v>
      </c>
      <c r="W870" s="556">
        <f t="shared" si="102"/>
        <v>0</v>
      </c>
      <c r="X870" s="556">
        <f t="shared" si="103"/>
        <v>0</v>
      </c>
      <c r="Y870" s="556">
        <f t="shared" si="104"/>
        <v>0</v>
      </c>
      <c r="Z870" s="556">
        <f t="shared" si="105"/>
        <v>0</v>
      </c>
      <c r="AA870" s="556">
        <f t="shared" si="106"/>
        <v>0</v>
      </c>
      <c r="AB870" s="556">
        <f t="shared" si="107"/>
        <v>-1261.6400000000001</v>
      </c>
      <c r="AC870" s="556">
        <f t="shared" si="108"/>
        <v>-1261.6400000000001</v>
      </c>
      <c r="AD870" s="556">
        <f t="shared" si="96"/>
        <v>-1261.6400000000001</v>
      </c>
      <c r="AE870" s="556">
        <f t="shared" si="110"/>
        <v>0</v>
      </c>
      <c r="AF870" s="556">
        <f t="shared" si="110"/>
        <v>0</v>
      </c>
      <c r="AG870" s="556">
        <f t="shared" si="110"/>
        <v>0</v>
      </c>
    </row>
    <row r="871" spans="1:36" hidden="1" outlineLevel="1" x14ac:dyDescent="0.35">
      <c r="A871" t="b">
        <f t="shared" si="94"/>
        <v>1</v>
      </c>
      <c r="B871" s="27" t="s">
        <v>969</v>
      </c>
      <c r="C871" s="27" t="s">
        <v>51</v>
      </c>
      <c r="D871" s="27" t="s">
        <v>1723</v>
      </c>
      <c r="E871" s="27" t="s">
        <v>51</v>
      </c>
      <c r="F871" t="e">
        <v>#N/A</v>
      </c>
      <c r="G871" s="27" t="s">
        <v>547</v>
      </c>
      <c r="H871" s="27" t="s">
        <v>447</v>
      </c>
      <c r="I871" s="27" t="s">
        <v>440</v>
      </c>
      <c r="J871" s="27" t="s">
        <v>448</v>
      </c>
      <c r="K871" s="27" t="s">
        <v>476</v>
      </c>
      <c r="L871" s="27" t="s">
        <v>503</v>
      </c>
      <c r="M871" s="27" t="s">
        <v>503</v>
      </c>
      <c r="N871" s="27" t="s">
        <v>505</v>
      </c>
      <c r="O871" s="27" t="s">
        <v>480</v>
      </c>
      <c r="P871" s="27" t="s">
        <v>480</v>
      </c>
      <c r="Q871" s="27" t="s">
        <v>372</v>
      </c>
      <c r="R871" s="556">
        <f t="shared" si="95"/>
        <v>0</v>
      </c>
      <c r="S871" s="556">
        <f t="shared" si="98"/>
        <v>0</v>
      </c>
      <c r="T871" s="556">
        <f t="shared" si="99"/>
        <v>0</v>
      </c>
      <c r="U871" s="556">
        <f t="shared" si="100"/>
        <v>0</v>
      </c>
      <c r="V871" s="556">
        <f t="shared" si="101"/>
        <v>0</v>
      </c>
      <c r="W871" s="556">
        <f t="shared" si="102"/>
        <v>0</v>
      </c>
      <c r="X871" s="556">
        <f t="shared" si="103"/>
        <v>0</v>
      </c>
      <c r="Y871" s="556">
        <f t="shared" si="104"/>
        <v>0</v>
      </c>
      <c r="Z871" s="556">
        <f t="shared" si="105"/>
        <v>0</v>
      </c>
      <c r="AA871" s="556">
        <f t="shared" si="106"/>
        <v>0</v>
      </c>
      <c r="AB871" s="556">
        <f t="shared" si="107"/>
        <v>29000</v>
      </c>
      <c r="AC871" s="556">
        <f t="shared" si="108"/>
        <v>0</v>
      </c>
      <c r="AD871" s="556">
        <f t="shared" si="96"/>
        <v>0</v>
      </c>
      <c r="AE871" s="556">
        <f t="shared" ref="AE871:AG890" si="111">+IF(AE$10="Actuals",IF($O393="Revenue",-IF($H393="BS",AE393,IF($H393="P&amp;L",AE393-AD393,0)),IF($H393="BS",AE393,IF($H393="P&amp;L",AE393-AD393,0))),0)</f>
        <v>0</v>
      </c>
      <c r="AF871" s="556">
        <f t="shared" si="111"/>
        <v>0</v>
      </c>
      <c r="AG871" s="556">
        <f t="shared" si="111"/>
        <v>0</v>
      </c>
      <c r="AH871" s="44"/>
    </row>
    <row r="872" spans="1:36" hidden="1" outlineLevel="1" x14ac:dyDescent="0.35">
      <c r="A872" t="b">
        <f t="shared" si="94"/>
        <v>1</v>
      </c>
      <c r="B872" s="27" t="s">
        <v>1347</v>
      </c>
      <c r="C872" s="27" t="s">
        <v>51</v>
      </c>
      <c r="D872" s="27" t="s">
        <v>1926</v>
      </c>
      <c r="E872" s="27" t="s">
        <v>51</v>
      </c>
      <c r="F872" t="s">
        <v>501</v>
      </c>
      <c r="G872" s="27" t="s">
        <v>1724</v>
      </c>
      <c r="H872" s="27" t="s">
        <v>447</v>
      </c>
      <c r="I872" s="27" t="s">
        <v>440</v>
      </c>
      <c r="J872" s="27" t="s">
        <v>448</v>
      </c>
      <c r="K872" s="27" t="s">
        <v>476</v>
      </c>
      <c r="L872" s="27" t="s">
        <v>2033</v>
      </c>
      <c r="M872" s="27" t="s">
        <v>2033</v>
      </c>
      <c r="N872" s="27" t="s">
        <v>2033</v>
      </c>
      <c r="O872" s="27" t="s">
        <v>480</v>
      </c>
      <c r="P872" s="27" t="s">
        <v>480</v>
      </c>
      <c r="Q872" s="27" t="s">
        <v>372</v>
      </c>
      <c r="R872" s="556">
        <f t="shared" si="95"/>
        <v>0</v>
      </c>
      <c r="S872" s="556">
        <f t="shared" si="98"/>
        <v>0</v>
      </c>
      <c r="T872" s="556">
        <f t="shared" si="99"/>
        <v>0</v>
      </c>
      <c r="U872" s="556">
        <f t="shared" si="100"/>
        <v>0</v>
      </c>
      <c r="V872" s="556">
        <f t="shared" si="101"/>
        <v>0</v>
      </c>
      <c r="W872" s="556">
        <f t="shared" si="102"/>
        <v>0</v>
      </c>
      <c r="X872" s="556">
        <f t="shared" si="103"/>
        <v>0</v>
      </c>
      <c r="Y872" s="556">
        <f t="shared" si="104"/>
        <v>0</v>
      </c>
      <c r="Z872" s="556">
        <f t="shared" si="105"/>
        <v>0</v>
      </c>
      <c r="AA872" s="556">
        <f t="shared" si="106"/>
        <v>0</v>
      </c>
      <c r="AB872" s="556">
        <f t="shared" si="107"/>
        <v>7092.45</v>
      </c>
      <c r="AC872" s="556">
        <f t="shared" si="108"/>
        <v>5590.0000000000009</v>
      </c>
      <c r="AD872" s="556">
        <f t="shared" si="96"/>
        <v>2795</v>
      </c>
      <c r="AE872" s="556">
        <f t="shared" si="111"/>
        <v>2795</v>
      </c>
      <c r="AF872" s="556">
        <f t="shared" si="111"/>
        <v>4493</v>
      </c>
      <c r="AG872" s="556">
        <f t="shared" si="111"/>
        <v>4542.43</v>
      </c>
      <c r="AH872" s="44"/>
    </row>
    <row r="873" spans="1:36" hidden="1" outlineLevel="1" x14ac:dyDescent="0.35">
      <c r="A873" t="b">
        <f t="shared" si="94"/>
        <v>1</v>
      </c>
      <c r="B873" s="27" t="s">
        <v>1348</v>
      </c>
      <c r="C873" s="27" t="s">
        <v>51</v>
      </c>
      <c r="D873" s="27" t="s">
        <v>1927</v>
      </c>
      <c r="E873" s="27" t="s">
        <v>51</v>
      </c>
      <c r="F873" t="s">
        <v>512</v>
      </c>
      <c r="G873" s="27" t="s">
        <v>1725</v>
      </c>
      <c r="H873" s="27" t="s">
        <v>447</v>
      </c>
      <c r="I873" s="27" t="s">
        <v>440</v>
      </c>
      <c r="J873" s="27" t="s">
        <v>448</v>
      </c>
      <c r="K873" s="27" t="s">
        <v>491</v>
      </c>
      <c r="L873" s="27" t="s">
        <v>1033</v>
      </c>
      <c r="M873" s="27" t="s">
        <v>1033</v>
      </c>
      <c r="N873" s="27" t="s">
        <v>1033</v>
      </c>
      <c r="O873" s="27" t="s">
        <v>491</v>
      </c>
      <c r="P873" s="27" t="s">
        <v>491</v>
      </c>
      <c r="Q873" s="27" t="s">
        <v>372</v>
      </c>
      <c r="R873" s="556">
        <f t="shared" si="95"/>
        <v>0</v>
      </c>
      <c r="S873" s="556">
        <f t="shared" si="98"/>
        <v>0</v>
      </c>
      <c r="T873" s="556">
        <f t="shared" si="99"/>
        <v>0</v>
      </c>
      <c r="U873" s="556">
        <f t="shared" si="100"/>
        <v>0</v>
      </c>
      <c r="V873" s="556">
        <f t="shared" si="101"/>
        <v>0</v>
      </c>
      <c r="W873" s="556">
        <f t="shared" si="102"/>
        <v>0</v>
      </c>
      <c r="X873" s="556">
        <f t="shared" si="103"/>
        <v>0</v>
      </c>
      <c r="Y873" s="556">
        <f t="shared" si="104"/>
        <v>0</v>
      </c>
      <c r="Z873" s="556">
        <f t="shared" si="105"/>
        <v>0</v>
      </c>
      <c r="AA873" s="556">
        <f t="shared" si="106"/>
        <v>0</v>
      </c>
      <c r="AB873" s="556">
        <f t="shared" si="107"/>
        <v>25476.35</v>
      </c>
      <c r="AC873" s="556">
        <f t="shared" si="108"/>
        <v>279344.77</v>
      </c>
      <c r="AD873" s="556">
        <f t="shared" si="96"/>
        <v>16722.439999999999</v>
      </c>
      <c r="AE873" s="556">
        <f t="shared" si="111"/>
        <v>43746.17</v>
      </c>
      <c r="AF873" s="556">
        <f t="shared" si="111"/>
        <v>32234.729999999996</v>
      </c>
      <c r="AG873" s="556">
        <f t="shared" si="111"/>
        <v>86762.93</v>
      </c>
      <c r="AH873" s="44"/>
      <c r="AJ873" s="44"/>
    </row>
    <row r="874" spans="1:36" hidden="1" outlineLevel="1" x14ac:dyDescent="0.35">
      <c r="A874" t="b">
        <f t="shared" si="94"/>
        <v>1</v>
      </c>
      <c r="B874" s="27" t="s">
        <v>970</v>
      </c>
      <c r="C874" s="27" t="s">
        <v>51</v>
      </c>
      <c r="D874" s="27" t="s">
        <v>1726</v>
      </c>
      <c r="E874" s="27" t="s">
        <v>51</v>
      </c>
      <c r="F874" s="27" t="s">
        <v>385</v>
      </c>
      <c r="G874" t="s">
        <v>971</v>
      </c>
      <c r="H874" s="27" t="s">
        <v>54</v>
      </c>
      <c r="I874" s="27" t="s">
        <v>55</v>
      </c>
      <c r="J874" s="27" t="s">
        <v>393</v>
      </c>
      <c r="K874" s="27" t="s">
        <v>371</v>
      </c>
      <c r="L874" s="27" t="s">
        <v>371</v>
      </c>
      <c r="M874" s="27" t="s">
        <v>371</v>
      </c>
      <c r="N874" s="27" t="s">
        <v>371</v>
      </c>
      <c r="O874" s="27" t="s">
        <v>371</v>
      </c>
      <c r="P874" s="27" t="s">
        <v>371</v>
      </c>
      <c r="Q874" s="27" t="s">
        <v>372</v>
      </c>
      <c r="R874" s="556">
        <f t="shared" si="95"/>
        <v>0</v>
      </c>
      <c r="S874" s="556">
        <f t="shared" si="98"/>
        <v>0</v>
      </c>
      <c r="T874" s="556">
        <f t="shared" si="99"/>
        <v>0</v>
      </c>
      <c r="U874" s="556">
        <f t="shared" si="100"/>
        <v>0</v>
      </c>
      <c r="V874" s="556">
        <f t="shared" si="101"/>
        <v>0</v>
      </c>
      <c r="W874" s="556">
        <f t="shared" si="102"/>
        <v>0</v>
      </c>
      <c r="X874" s="556">
        <f t="shared" si="103"/>
        <v>0</v>
      </c>
      <c r="Y874" s="556">
        <f t="shared" si="104"/>
        <v>0</v>
      </c>
      <c r="Z874" s="556">
        <f t="shared" si="105"/>
        <v>0</v>
      </c>
      <c r="AA874" s="556">
        <f t="shared" si="106"/>
        <v>0</v>
      </c>
      <c r="AB874" s="556">
        <f t="shared" si="107"/>
        <v>289173.71000000002</v>
      </c>
      <c r="AC874" s="556">
        <f t="shared" si="108"/>
        <v>292027.25</v>
      </c>
      <c r="AD874" s="556">
        <f t="shared" si="96"/>
        <v>292027.25</v>
      </c>
      <c r="AE874" s="556">
        <f t="shared" si="111"/>
        <v>292027.25</v>
      </c>
      <c r="AF874" s="556">
        <f t="shared" si="111"/>
        <v>292027.25</v>
      </c>
      <c r="AG874" s="556">
        <f t="shared" si="111"/>
        <v>0</v>
      </c>
    </row>
    <row r="875" spans="1:36" hidden="1" outlineLevel="1" x14ac:dyDescent="0.35">
      <c r="A875" t="b">
        <f t="shared" ref="A875:A920" si="112">B397=B875</f>
        <v>1</v>
      </c>
      <c r="B875" s="27" t="s">
        <v>972</v>
      </c>
      <c r="C875" s="27" t="s">
        <v>51</v>
      </c>
      <c r="D875" s="27" t="s">
        <v>1727</v>
      </c>
      <c r="E875" s="27" t="s">
        <v>51</v>
      </c>
      <c r="F875" s="27" t="s">
        <v>385</v>
      </c>
      <c r="G875" t="s">
        <v>703</v>
      </c>
      <c r="H875" s="27" t="s">
        <v>54</v>
      </c>
      <c r="I875" s="27" t="s">
        <v>55</v>
      </c>
      <c r="J875" s="27" t="s">
        <v>393</v>
      </c>
      <c r="K875" s="27" t="s">
        <v>371</v>
      </c>
      <c r="L875" s="27" t="s">
        <v>371</v>
      </c>
      <c r="M875" s="27" t="s">
        <v>371</v>
      </c>
      <c r="N875" s="27" t="s">
        <v>371</v>
      </c>
      <c r="O875" s="27" t="s">
        <v>371</v>
      </c>
      <c r="P875" s="27" t="s">
        <v>371</v>
      </c>
      <c r="Q875" s="27" t="s">
        <v>372</v>
      </c>
      <c r="R875" s="556">
        <f t="shared" ref="R875:R938" si="113">+IF(R$10="Actuals",IF($O397="Revenue",-IF($H397="BS",R397,IF($H397="P&amp;L",R397,0)),IF($H397="BS",R397,IF($H397="P&amp;L",R397,0))),0)</f>
        <v>0</v>
      </c>
      <c r="S875" s="556">
        <f t="shared" si="98"/>
        <v>0</v>
      </c>
      <c r="T875" s="556">
        <f t="shared" si="99"/>
        <v>0</v>
      </c>
      <c r="U875" s="556">
        <f t="shared" si="100"/>
        <v>0</v>
      </c>
      <c r="V875" s="556">
        <f t="shared" si="101"/>
        <v>0</v>
      </c>
      <c r="W875" s="556">
        <f t="shared" si="102"/>
        <v>0</v>
      </c>
      <c r="X875" s="556">
        <f t="shared" si="103"/>
        <v>0</v>
      </c>
      <c r="Y875" s="556">
        <f t="shared" si="104"/>
        <v>0</v>
      </c>
      <c r="Z875" s="556">
        <f t="shared" si="105"/>
        <v>0</v>
      </c>
      <c r="AA875" s="556">
        <f t="shared" si="106"/>
        <v>0</v>
      </c>
      <c r="AB875" s="556">
        <f t="shared" si="107"/>
        <v>2376761.11</v>
      </c>
      <c r="AC875" s="556">
        <f t="shared" si="108"/>
        <v>2378139.63</v>
      </c>
      <c r="AD875" s="556">
        <f t="shared" ref="AD875:AD921" si="114">+IF(AD$10="Actuals",IF($O397="Revenue",-IF($H397="BS",AD397,IF($H397="P&amp;L",AD397,0)),IF($H397="BS",AD397,IF($H397="P&amp;L",AD397,0))),0)</f>
        <v>2378139.63</v>
      </c>
      <c r="AE875" s="556">
        <f t="shared" si="111"/>
        <v>2378139.63</v>
      </c>
      <c r="AF875" s="556">
        <f t="shared" si="111"/>
        <v>2378139.63</v>
      </c>
      <c r="AG875" s="556">
        <f t="shared" si="111"/>
        <v>0</v>
      </c>
    </row>
    <row r="876" spans="1:36" hidden="1" outlineLevel="1" x14ac:dyDescent="0.35">
      <c r="A876" t="b">
        <f t="shared" si="112"/>
        <v>1</v>
      </c>
      <c r="B876" s="27" t="s">
        <v>973</v>
      </c>
      <c r="C876" s="27" t="s">
        <v>51</v>
      </c>
      <c r="D876" s="27" t="s">
        <v>1728</v>
      </c>
      <c r="E876" s="27" t="s">
        <v>51</v>
      </c>
      <c r="F876" s="27" t="s">
        <v>385</v>
      </c>
      <c r="G876" t="s">
        <v>800</v>
      </c>
      <c r="H876" s="27" t="s">
        <v>54</v>
      </c>
      <c r="I876" s="27" t="s">
        <v>55</v>
      </c>
      <c r="J876" s="27" t="s">
        <v>393</v>
      </c>
      <c r="K876" s="27" t="s">
        <v>371</v>
      </c>
      <c r="L876" s="27" t="s">
        <v>371</v>
      </c>
      <c r="M876" s="27" t="s">
        <v>371</v>
      </c>
      <c r="N876" s="27" t="s">
        <v>371</v>
      </c>
      <c r="O876" s="27" t="s">
        <v>371</v>
      </c>
      <c r="P876" s="27" t="s">
        <v>371</v>
      </c>
      <c r="Q876" s="27" t="s">
        <v>372</v>
      </c>
      <c r="R876" s="556">
        <f t="shared" si="113"/>
        <v>0</v>
      </c>
      <c r="S876" s="556">
        <f t="shared" ref="S876:S939" si="115">+IF(S$10="Actuals",IF($O398="Revenue",-IF($H398="BS",S398,IF($H398="P&amp;L",S398-R398,0)),IF($H398="BS",S398,IF($H398="P&amp;L",S398-R398,0))),0)</f>
        <v>0</v>
      </c>
      <c r="T876" s="556">
        <f t="shared" ref="T876:T939" si="116">+IF(T$10="Actuals",IF($O398="Revenue",-IF($H398="BS",T398,IF($H398="P&amp;L",T398-S398,0)),IF($H398="BS",T398,IF($H398="P&amp;L",T398-S398,0))),0)</f>
        <v>0</v>
      </c>
      <c r="U876" s="556">
        <f t="shared" ref="U876:U939" si="117">+IF(U$10="Actuals",IF($O398="Revenue",-IF($H398="BS",U398,IF($H398="P&amp;L",U398-T398,0)),IF($H398="BS",U398,IF($H398="P&amp;L",U398-T398,0))),0)</f>
        <v>0</v>
      </c>
      <c r="V876" s="556">
        <f t="shared" ref="V876:V939" si="118">+IF(V$10="Actuals",IF($O398="Revenue",-IF($H398="BS",V398,IF($H398="P&amp;L",V398-U398,0)),IF($H398="BS",V398,IF($H398="P&amp;L",V398-U398,0))),0)</f>
        <v>0</v>
      </c>
      <c r="W876" s="556">
        <f t="shared" ref="W876:W939" si="119">+IF(W$10="Actuals",IF($O398="Revenue",-IF($H398="BS",W398,IF($H398="P&amp;L",W398-V398,0)),IF($H398="BS",W398,IF($H398="P&amp;L",W398-V398,0))),0)</f>
        <v>0</v>
      </c>
      <c r="X876" s="556">
        <f t="shared" ref="X876:X939" si="120">+IF(X$10="Actuals",IF($O398="Revenue",-IF($H398="BS",X398,IF($H398="P&amp;L",X398-W398,0)),IF($H398="BS",X398,IF($H398="P&amp;L",X398-W398,0))),0)</f>
        <v>0</v>
      </c>
      <c r="Y876" s="556">
        <f t="shared" ref="Y876:Y939" si="121">+IF(Y$10="Actuals",IF($O398="Revenue",-IF($H398="BS",Y398,IF($H398="P&amp;L",Y398-X398,0)),IF($H398="BS",Y398,IF($H398="P&amp;L",Y398-X398,0))),0)</f>
        <v>0</v>
      </c>
      <c r="Z876" s="556">
        <f t="shared" ref="Z876:Z939" si="122">+IF(Z$10="Actuals",IF($O398="Revenue",-IF($H398="BS",Z398,IF($H398="P&amp;L",Z398-Y398,0)),IF($H398="BS",Z398,IF($H398="P&amp;L",Z398-Y398,0))),0)</f>
        <v>0</v>
      </c>
      <c r="AA876" s="556">
        <f t="shared" ref="AA876:AA939" si="123">+IF(AA$10="Actuals",IF($O398="Revenue",-IF($H398="BS",AA398,IF($H398="P&amp;L",AA398-Z398,0)),IF($H398="BS",AA398,IF($H398="P&amp;L",AA398-Z398,0))),0)</f>
        <v>0</v>
      </c>
      <c r="AB876" s="556">
        <f t="shared" ref="AB876:AB939" si="124">+IF(AB$10="Actuals",IF($O398="Revenue",-IF($H398="BS",AB398,IF($H398="P&amp;L",AB398-AA398,0)),IF($H398="BS",AB398,IF($H398="P&amp;L",AB398-AA398,0))),0)</f>
        <v>384503</v>
      </c>
      <c r="AC876" s="556">
        <f t="shared" ref="AC876:AC939" si="125">+IF(AC$10="Actuals",IF($O398="Revenue",-IF($H398="BS",AC398,IF($H398="P&amp;L",AC398-AB398,0)),IF($H398="BS",AC398,IF($H398="P&amp;L",AC398-AB398,0))),0)</f>
        <v>407583.23</v>
      </c>
      <c r="AD876" s="556">
        <f t="shared" si="114"/>
        <v>407583.23</v>
      </c>
      <c r="AE876" s="556">
        <f t="shared" si="111"/>
        <v>407583.23</v>
      </c>
      <c r="AF876" s="556">
        <f t="shared" si="111"/>
        <v>407583.23</v>
      </c>
      <c r="AG876" s="556">
        <f t="shared" si="111"/>
        <v>0</v>
      </c>
    </row>
    <row r="877" spans="1:36" hidden="1" outlineLevel="1" x14ac:dyDescent="0.35">
      <c r="A877" t="b">
        <f t="shared" si="112"/>
        <v>1</v>
      </c>
      <c r="B877" s="27" t="s">
        <v>975</v>
      </c>
      <c r="C877" s="27" t="s">
        <v>51</v>
      </c>
      <c r="D877" s="27" t="s">
        <v>992</v>
      </c>
      <c r="E877" s="27" t="s">
        <v>51</v>
      </c>
      <c r="F877" s="27" t="s">
        <v>377</v>
      </c>
      <c r="G877" t="s">
        <v>976</v>
      </c>
      <c r="H877" s="27" t="s">
        <v>54</v>
      </c>
      <c r="I877" s="27" t="s">
        <v>55</v>
      </c>
      <c r="J877" s="27" t="s">
        <v>56</v>
      </c>
      <c r="K877" s="27" t="s">
        <v>371</v>
      </c>
      <c r="L877" s="27" t="s">
        <v>371</v>
      </c>
      <c r="M877" s="27" t="s">
        <v>371</v>
      </c>
      <c r="N877" s="27" t="s">
        <v>371</v>
      </c>
      <c r="O877" s="27" t="s">
        <v>371</v>
      </c>
      <c r="P877" s="27"/>
      <c r="Q877" s="27" t="s">
        <v>372</v>
      </c>
      <c r="R877" s="556">
        <f t="shared" si="113"/>
        <v>0</v>
      </c>
      <c r="S877" s="556">
        <f t="shared" si="115"/>
        <v>0</v>
      </c>
      <c r="T877" s="556">
        <f t="shared" si="116"/>
        <v>0</v>
      </c>
      <c r="U877" s="556">
        <f t="shared" si="117"/>
        <v>0</v>
      </c>
      <c r="V877" s="556">
        <f t="shared" si="118"/>
        <v>0</v>
      </c>
      <c r="W877" s="556">
        <f t="shared" si="119"/>
        <v>0</v>
      </c>
      <c r="X877" s="556">
        <f t="shared" si="120"/>
        <v>0</v>
      </c>
      <c r="Y877" s="556">
        <f t="shared" si="121"/>
        <v>0</v>
      </c>
      <c r="Z877" s="556">
        <f t="shared" si="122"/>
        <v>0</v>
      </c>
      <c r="AA877" s="556">
        <f t="shared" si="123"/>
        <v>0</v>
      </c>
      <c r="AB877" s="556">
        <f t="shared" si="124"/>
        <v>0</v>
      </c>
      <c r="AC877" s="556">
        <f t="shared" si="125"/>
        <v>2330.96</v>
      </c>
      <c r="AD877" s="556">
        <f t="shared" si="114"/>
        <v>2330.96</v>
      </c>
      <c r="AE877" s="556">
        <f t="shared" si="111"/>
        <v>2330.96</v>
      </c>
      <c r="AF877" s="556">
        <f t="shared" si="111"/>
        <v>0</v>
      </c>
      <c r="AG877" s="556">
        <f t="shared" si="111"/>
        <v>0</v>
      </c>
    </row>
    <row r="878" spans="1:36" hidden="1" outlineLevel="1" x14ac:dyDescent="0.35">
      <c r="A878" t="b">
        <f t="shared" si="112"/>
        <v>1</v>
      </c>
      <c r="B878" s="27" t="s">
        <v>977</v>
      </c>
      <c r="C878" s="27" t="s">
        <v>51</v>
      </c>
      <c r="D878" s="27" t="s">
        <v>993</v>
      </c>
      <c r="E878" s="27" t="s">
        <v>51</v>
      </c>
      <c r="F878" s="27" t="s">
        <v>377</v>
      </c>
      <c r="G878" t="s">
        <v>978</v>
      </c>
      <c r="H878" s="27" t="s">
        <v>54</v>
      </c>
      <c r="I878" s="27" t="s">
        <v>55</v>
      </c>
      <c r="J878" s="27" t="s">
        <v>56</v>
      </c>
      <c r="K878" s="27" t="s">
        <v>371</v>
      </c>
      <c r="L878" s="27" t="s">
        <v>371</v>
      </c>
      <c r="M878" s="27" t="s">
        <v>371</v>
      </c>
      <c r="N878" s="27" t="s">
        <v>371</v>
      </c>
      <c r="O878" s="27" t="s">
        <v>371</v>
      </c>
      <c r="P878" s="27"/>
      <c r="Q878" s="27" t="s">
        <v>372</v>
      </c>
      <c r="R878" s="556">
        <f t="shared" si="113"/>
        <v>0</v>
      </c>
      <c r="S878" s="556">
        <f t="shared" si="115"/>
        <v>0</v>
      </c>
      <c r="T878" s="556">
        <f t="shared" si="116"/>
        <v>0</v>
      </c>
      <c r="U878" s="556">
        <f t="shared" si="117"/>
        <v>0</v>
      </c>
      <c r="V878" s="556">
        <f t="shared" si="118"/>
        <v>0</v>
      </c>
      <c r="W878" s="556">
        <f t="shared" si="119"/>
        <v>0</v>
      </c>
      <c r="X878" s="556">
        <f t="shared" si="120"/>
        <v>0</v>
      </c>
      <c r="Y878" s="556">
        <f t="shared" si="121"/>
        <v>0</v>
      </c>
      <c r="Z878" s="556">
        <f t="shared" si="122"/>
        <v>0</v>
      </c>
      <c r="AA878" s="556">
        <f t="shared" si="123"/>
        <v>0</v>
      </c>
      <c r="AB878" s="556">
        <f t="shared" si="124"/>
        <v>0</v>
      </c>
      <c r="AC878" s="556">
        <f t="shared" si="125"/>
        <v>1199.3599999999999</v>
      </c>
      <c r="AD878" s="556">
        <f t="shared" si="114"/>
        <v>1199.3599999999999</v>
      </c>
      <c r="AE878" s="556">
        <f t="shared" si="111"/>
        <v>1199.3599999999999</v>
      </c>
      <c r="AF878" s="556">
        <f t="shared" si="111"/>
        <v>0</v>
      </c>
      <c r="AG878" s="556">
        <f t="shared" si="111"/>
        <v>0</v>
      </c>
    </row>
    <row r="879" spans="1:36" hidden="1" outlineLevel="1" x14ac:dyDescent="0.35">
      <c r="A879" t="b">
        <f t="shared" si="112"/>
        <v>1</v>
      </c>
      <c r="B879" s="27" t="s">
        <v>979</v>
      </c>
      <c r="C879" s="27" t="s">
        <v>51</v>
      </c>
      <c r="D879" s="27" t="s">
        <v>994</v>
      </c>
      <c r="E879" s="27" t="s">
        <v>51</v>
      </c>
      <c r="F879" s="27" t="s">
        <v>109</v>
      </c>
      <c r="G879" t="s">
        <v>980</v>
      </c>
      <c r="H879" s="27" t="s">
        <v>54</v>
      </c>
      <c r="I879" s="27" t="s">
        <v>55</v>
      </c>
      <c r="J879" s="27" t="s">
        <v>101</v>
      </c>
      <c r="K879" s="27" t="s">
        <v>371</v>
      </c>
      <c r="L879" s="27" t="s">
        <v>371</v>
      </c>
      <c r="M879" s="27" t="s">
        <v>371</v>
      </c>
      <c r="N879" s="27" t="s">
        <v>371</v>
      </c>
      <c r="O879" s="27" t="s">
        <v>371</v>
      </c>
      <c r="P879" s="27"/>
      <c r="Q879" s="27" t="s">
        <v>372</v>
      </c>
      <c r="R879" s="556">
        <f t="shared" si="113"/>
        <v>0</v>
      </c>
      <c r="S879" s="556">
        <f t="shared" si="115"/>
        <v>0</v>
      </c>
      <c r="T879" s="556">
        <f t="shared" si="116"/>
        <v>0</v>
      </c>
      <c r="U879" s="556">
        <f t="shared" si="117"/>
        <v>0</v>
      </c>
      <c r="V879" s="556">
        <f t="shared" si="118"/>
        <v>0</v>
      </c>
      <c r="W879" s="556">
        <f t="shared" si="119"/>
        <v>0</v>
      </c>
      <c r="X879" s="556">
        <f t="shared" si="120"/>
        <v>0</v>
      </c>
      <c r="Y879" s="556">
        <f t="shared" si="121"/>
        <v>0</v>
      </c>
      <c r="Z879" s="556">
        <f t="shared" si="122"/>
        <v>0</v>
      </c>
      <c r="AA879" s="556">
        <f t="shared" si="123"/>
        <v>0</v>
      </c>
      <c r="AB879" s="556">
        <f t="shared" si="124"/>
        <v>0</v>
      </c>
      <c r="AC879" s="556">
        <f t="shared" si="125"/>
        <v>1029980</v>
      </c>
      <c r="AD879" s="556">
        <f t="shared" si="114"/>
        <v>1029980</v>
      </c>
      <c r="AE879" s="556">
        <f t="shared" si="111"/>
        <v>1029980</v>
      </c>
      <c r="AF879" s="556">
        <f t="shared" si="111"/>
        <v>0</v>
      </c>
      <c r="AG879" s="556">
        <f t="shared" si="111"/>
        <v>0</v>
      </c>
    </row>
    <row r="880" spans="1:36" hidden="1" outlineLevel="1" x14ac:dyDescent="0.35">
      <c r="A880" t="b">
        <f t="shared" si="112"/>
        <v>1</v>
      </c>
      <c r="B880" s="27" t="s">
        <v>981</v>
      </c>
      <c r="C880" s="27" t="s">
        <v>51</v>
      </c>
      <c r="D880" s="27" t="s">
        <v>995</v>
      </c>
      <c r="E880" s="27" t="s">
        <v>51</v>
      </c>
      <c r="F880" s="27" t="s">
        <v>109</v>
      </c>
      <c r="G880" t="s">
        <v>982</v>
      </c>
      <c r="H880" s="27" t="s">
        <v>54</v>
      </c>
      <c r="I880" s="27" t="s">
        <v>55</v>
      </c>
      <c r="J880" s="27" t="s">
        <v>101</v>
      </c>
      <c r="K880" s="27" t="s">
        <v>371</v>
      </c>
      <c r="L880" s="27" t="s">
        <v>371</v>
      </c>
      <c r="M880" s="27" t="s">
        <v>371</v>
      </c>
      <c r="N880" s="27" t="s">
        <v>371</v>
      </c>
      <c r="O880" s="27" t="s">
        <v>371</v>
      </c>
      <c r="P880" s="27"/>
      <c r="Q880" s="27" t="s">
        <v>372</v>
      </c>
      <c r="R880" s="556">
        <f t="shared" si="113"/>
        <v>0</v>
      </c>
      <c r="S880" s="556">
        <f t="shared" si="115"/>
        <v>0</v>
      </c>
      <c r="T880" s="556">
        <f t="shared" si="116"/>
        <v>0</v>
      </c>
      <c r="U880" s="556">
        <f t="shared" si="117"/>
        <v>0</v>
      </c>
      <c r="V880" s="556">
        <f t="shared" si="118"/>
        <v>0</v>
      </c>
      <c r="W880" s="556">
        <f t="shared" si="119"/>
        <v>0</v>
      </c>
      <c r="X880" s="556">
        <f t="shared" si="120"/>
        <v>0</v>
      </c>
      <c r="Y880" s="556">
        <f t="shared" si="121"/>
        <v>0</v>
      </c>
      <c r="Z880" s="556">
        <f t="shared" si="122"/>
        <v>0</v>
      </c>
      <c r="AA880" s="556">
        <f t="shared" si="123"/>
        <v>0</v>
      </c>
      <c r="AB880" s="556">
        <f t="shared" si="124"/>
        <v>0</v>
      </c>
      <c r="AC880" s="556">
        <f t="shared" si="125"/>
        <v>57500</v>
      </c>
      <c r="AD880" s="556">
        <f t="shared" si="114"/>
        <v>57500</v>
      </c>
      <c r="AE880" s="556">
        <f t="shared" si="111"/>
        <v>57500</v>
      </c>
      <c r="AF880" s="556">
        <f t="shared" si="111"/>
        <v>0</v>
      </c>
      <c r="AG880" s="556">
        <f t="shared" si="111"/>
        <v>0</v>
      </c>
    </row>
    <row r="881" spans="1:36" hidden="1" outlineLevel="1" x14ac:dyDescent="0.35">
      <c r="A881" t="b">
        <f t="shared" si="112"/>
        <v>1</v>
      </c>
      <c r="B881" s="27" t="s">
        <v>983</v>
      </c>
      <c r="C881" s="27" t="s">
        <v>51</v>
      </c>
      <c r="D881" s="27" t="s">
        <v>996</v>
      </c>
      <c r="E881" s="27" t="s">
        <v>51</v>
      </c>
      <c r="F881" s="27" t="s">
        <v>109</v>
      </c>
      <c r="G881" t="s">
        <v>984</v>
      </c>
      <c r="H881" s="27" t="s">
        <v>54</v>
      </c>
      <c r="I881" s="27" t="s">
        <v>55</v>
      </c>
      <c r="J881" s="27" t="s">
        <v>101</v>
      </c>
      <c r="K881" s="27" t="s">
        <v>371</v>
      </c>
      <c r="L881" s="27" t="s">
        <v>371</v>
      </c>
      <c r="M881" s="27" t="s">
        <v>371</v>
      </c>
      <c r="N881" s="27" t="s">
        <v>371</v>
      </c>
      <c r="O881" s="27" t="s">
        <v>371</v>
      </c>
      <c r="P881" s="27"/>
      <c r="Q881" s="27" t="s">
        <v>372</v>
      </c>
      <c r="R881" s="556">
        <f t="shared" si="113"/>
        <v>0</v>
      </c>
      <c r="S881" s="556">
        <f t="shared" si="115"/>
        <v>0</v>
      </c>
      <c r="T881" s="556">
        <f t="shared" si="116"/>
        <v>0</v>
      </c>
      <c r="U881" s="556">
        <f t="shared" si="117"/>
        <v>0</v>
      </c>
      <c r="V881" s="556">
        <f t="shared" si="118"/>
        <v>0</v>
      </c>
      <c r="W881" s="556">
        <f t="shared" si="119"/>
        <v>0</v>
      </c>
      <c r="X881" s="556">
        <f t="shared" si="120"/>
        <v>0</v>
      </c>
      <c r="Y881" s="556">
        <f t="shared" si="121"/>
        <v>0</v>
      </c>
      <c r="Z881" s="556">
        <f t="shared" si="122"/>
        <v>0</v>
      </c>
      <c r="AA881" s="556">
        <f t="shared" si="123"/>
        <v>0</v>
      </c>
      <c r="AB881" s="556">
        <f t="shared" si="124"/>
        <v>0</v>
      </c>
      <c r="AC881" s="556">
        <f t="shared" si="125"/>
        <v>407.51</v>
      </c>
      <c r="AD881" s="556">
        <f t="shared" si="114"/>
        <v>407.51</v>
      </c>
      <c r="AE881" s="556">
        <f t="shared" si="111"/>
        <v>407.51</v>
      </c>
      <c r="AF881" s="556">
        <f t="shared" si="111"/>
        <v>0</v>
      </c>
      <c r="AG881" s="556">
        <f t="shared" si="111"/>
        <v>0</v>
      </c>
    </row>
    <row r="882" spans="1:36" hidden="1" outlineLevel="1" x14ac:dyDescent="0.35">
      <c r="A882" t="b">
        <f t="shared" si="112"/>
        <v>1</v>
      </c>
      <c r="B882" s="27" t="s">
        <v>985</v>
      </c>
      <c r="C882" s="27" t="s">
        <v>51</v>
      </c>
      <c r="D882" s="27" t="s">
        <v>997</v>
      </c>
      <c r="E882" s="27" t="s">
        <v>51</v>
      </c>
      <c r="F882" s="27" t="s">
        <v>109</v>
      </c>
      <c r="G882" t="s">
        <v>986</v>
      </c>
      <c r="H882" s="27" t="s">
        <v>54</v>
      </c>
      <c r="I882" s="27" t="s">
        <v>55</v>
      </c>
      <c r="J882" s="27" t="s">
        <v>101</v>
      </c>
      <c r="K882" s="27" t="s">
        <v>371</v>
      </c>
      <c r="L882" s="27" t="s">
        <v>371</v>
      </c>
      <c r="M882" s="27" t="s">
        <v>371</v>
      </c>
      <c r="N882" s="27" t="s">
        <v>371</v>
      </c>
      <c r="O882" s="27" t="s">
        <v>371</v>
      </c>
      <c r="P882" s="27"/>
      <c r="Q882" s="27" t="s">
        <v>372</v>
      </c>
      <c r="R882" s="556">
        <f t="shared" si="113"/>
        <v>0</v>
      </c>
      <c r="S882" s="556">
        <f t="shared" si="115"/>
        <v>0</v>
      </c>
      <c r="T882" s="556">
        <f t="shared" si="116"/>
        <v>0</v>
      </c>
      <c r="U882" s="556">
        <f t="shared" si="117"/>
        <v>0</v>
      </c>
      <c r="V882" s="556">
        <f t="shared" si="118"/>
        <v>0</v>
      </c>
      <c r="W882" s="556">
        <f t="shared" si="119"/>
        <v>0</v>
      </c>
      <c r="X882" s="556">
        <f t="shared" si="120"/>
        <v>0</v>
      </c>
      <c r="Y882" s="556">
        <f t="shared" si="121"/>
        <v>0</v>
      </c>
      <c r="Z882" s="556">
        <f t="shared" si="122"/>
        <v>0</v>
      </c>
      <c r="AA882" s="556">
        <f t="shared" si="123"/>
        <v>0</v>
      </c>
      <c r="AB882" s="556">
        <f t="shared" si="124"/>
        <v>0</v>
      </c>
      <c r="AC882" s="556">
        <f t="shared" si="125"/>
        <v>6057.18</v>
      </c>
      <c r="AD882" s="556">
        <f t="shared" si="114"/>
        <v>6057.18</v>
      </c>
      <c r="AE882" s="556">
        <f t="shared" si="111"/>
        <v>6057.18</v>
      </c>
      <c r="AF882" s="556">
        <f t="shared" si="111"/>
        <v>0</v>
      </c>
      <c r="AG882" s="556">
        <f t="shared" si="111"/>
        <v>0</v>
      </c>
    </row>
    <row r="883" spans="1:36" hidden="1" outlineLevel="1" x14ac:dyDescent="0.35">
      <c r="A883" t="b">
        <f t="shared" si="112"/>
        <v>1</v>
      </c>
      <c r="B883" s="27" t="s">
        <v>987</v>
      </c>
      <c r="C883" s="27" t="s">
        <v>51</v>
      </c>
      <c r="D883" s="27" t="s">
        <v>998</v>
      </c>
      <c r="E883" s="27" t="s">
        <v>51</v>
      </c>
      <c r="F883" s="27" t="s">
        <v>385</v>
      </c>
      <c r="G883" t="s">
        <v>988</v>
      </c>
      <c r="H883" s="27" t="s">
        <v>54</v>
      </c>
      <c r="I883" s="27" t="s">
        <v>55</v>
      </c>
      <c r="J883" s="27" t="s">
        <v>393</v>
      </c>
      <c r="K883" s="27" t="s">
        <v>371</v>
      </c>
      <c r="L883" s="27" t="s">
        <v>371</v>
      </c>
      <c r="M883" s="27" t="s">
        <v>371</v>
      </c>
      <c r="N883" s="27" t="s">
        <v>371</v>
      </c>
      <c r="O883" s="27" t="s">
        <v>371</v>
      </c>
      <c r="P883" s="27" t="s">
        <v>371</v>
      </c>
      <c r="Q883" s="27" t="s">
        <v>372</v>
      </c>
      <c r="R883" s="556">
        <f t="shared" si="113"/>
        <v>0</v>
      </c>
      <c r="S883" s="556">
        <f t="shared" si="115"/>
        <v>0</v>
      </c>
      <c r="T883" s="556">
        <f t="shared" si="116"/>
        <v>0</v>
      </c>
      <c r="U883" s="556">
        <f t="shared" si="117"/>
        <v>0</v>
      </c>
      <c r="V883" s="556">
        <f t="shared" si="118"/>
        <v>0</v>
      </c>
      <c r="W883" s="556">
        <f t="shared" si="119"/>
        <v>0</v>
      </c>
      <c r="X883" s="556">
        <f t="shared" si="120"/>
        <v>0</v>
      </c>
      <c r="Y883" s="556">
        <f t="shared" si="121"/>
        <v>0</v>
      </c>
      <c r="Z883" s="556">
        <f t="shared" si="122"/>
        <v>0</v>
      </c>
      <c r="AA883" s="556">
        <f t="shared" si="123"/>
        <v>0</v>
      </c>
      <c r="AB883" s="556">
        <f t="shared" si="124"/>
        <v>0</v>
      </c>
      <c r="AC883" s="556">
        <f t="shared" si="125"/>
        <v>70138713.810000002</v>
      </c>
      <c r="AD883" s="556">
        <f t="shared" si="114"/>
        <v>71704522.930000007</v>
      </c>
      <c r="AE883" s="556">
        <f t="shared" si="111"/>
        <v>71781019.590000004</v>
      </c>
      <c r="AF883" s="556">
        <f t="shared" si="111"/>
        <v>71781019.590000004</v>
      </c>
      <c r="AG883" s="556">
        <f t="shared" si="111"/>
        <v>0</v>
      </c>
    </row>
    <row r="884" spans="1:36" hidden="1" outlineLevel="1" x14ac:dyDescent="0.35">
      <c r="A884" t="b">
        <f t="shared" si="112"/>
        <v>1</v>
      </c>
      <c r="B884" s="27" t="s">
        <v>989</v>
      </c>
      <c r="C884" s="27" t="s">
        <v>51</v>
      </c>
      <c r="D884" s="27" t="s">
        <v>999</v>
      </c>
      <c r="E884" s="27" t="s">
        <v>51</v>
      </c>
      <c r="F884" s="27" t="s">
        <v>385</v>
      </c>
      <c r="G884" t="s">
        <v>952</v>
      </c>
      <c r="H884" s="27" t="s">
        <v>54</v>
      </c>
      <c r="I884" s="27" t="s">
        <v>55</v>
      </c>
      <c r="J884" s="27" t="s">
        <v>393</v>
      </c>
      <c r="K884" s="27" t="s">
        <v>371</v>
      </c>
      <c r="L884" s="27" t="s">
        <v>371</v>
      </c>
      <c r="M884" s="27" t="s">
        <v>371</v>
      </c>
      <c r="N884" s="27" t="s">
        <v>371</v>
      </c>
      <c r="O884" s="27" t="s">
        <v>371</v>
      </c>
      <c r="P884" s="27" t="s">
        <v>371</v>
      </c>
      <c r="Q884" s="27" t="s">
        <v>372</v>
      </c>
      <c r="R884" s="556">
        <f t="shared" si="113"/>
        <v>0</v>
      </c>
      <c r="S884" s="556">
        <f t="shared" si="115"/>
        <v>0</v>
      </c>
      <c r="T884" s="556">
        <f t="shared" si="116"/>
        <v>0</v>
      </c>
      <c r="U884" s="556">
        <f t="shared" si="117"/>
        <v>0</v>
      </c>
      <c r="V884" s="556">
        <f t="shared" si="118"/>
        <v>0</v>
      </c>
      <c r="W884" s="556">
        <f t="shared" si="119"/>
        <v>0</v>
      </c>
      <c r="X884" s="556">
        <f t="shared" si="120"/>
        <v>0</v>
      </c>
      <c r="Y884" s="556">
        <f t="shared" si="121"/>
        <v>0</v>
      </c>
      <c r="Z884" s="556">
        <f t="shared" si="122"/>
        <v>0</v>
      </c>
      <c r="AA884" s="556">
        <f t="shared" si="123"/>
        <v>0</v>
      </c>
      <c r="AB884" s="556">
        <f t="shared" si="124"/>
        <v>0</v>
      </c>
      <c r="AC884" s="556">
        <f t="shared" si="125"/>
        <v>774109.2</v>
      </c>
      <c r="AD884" s="556">
        <f t="shared" si="114"/>
        <v>774109.2</v>
      </c>
      <c r="AE884" s="556">
        <f t="shared" si="111"/>
        <v>710371.2</v>
      </c>
      <c r="AF884" s="556">
        <f t="shared" si="111"/>
        <v>710371.2</v>
      </c>
      <c r="AG884" s="556">
        <f t="shared" si="111"/>
        <v>0</v>
      </c>
    </row>
    <row r="885" spans="1:36" hidden="1" outlineLevel="1" x14ac:dyDescent="0.35">
      <c r="A885" t="b">
        <f t="shared" si="112"/>
        <v>1</v>
      </c>
      <c r="B885" s="27" t="s">
        <v>990</v>
      </c>
      <c r="C885" s="27" t="s">
        <v>51</v>
      </c>
      <c r="D885" s="27" t="s">
        <v>1000</v>
      </c>
      <c r="E885" s="27" t="s">
        <v>51</v>
      </c>
      <c r="F885" s="27" t="s">
        <v>385</v>
      </c>
      <c r="G885" t="s">
        <v>959</v>
      </c>
      <c r="H885" s="27" t="s">
        <v>54</v>
      </c>
      <c r="I885" s="27" t="s">
        <v>55</v>
      </c>
      <c r="J885" s="27" t="s">
        <v>393</v>
      </c>
      <c r="K885" s="27" t="s">
        <v>371</v>
      </c>
      <c r="L885" s="27" t="s">
        <v>371</v>
      </c>
      <c r="M885" s="27" t="s">
        <v>371</v>
      </c>
      <c r="N885" s="27" t="s">
        <v>371</v>
      </c>
      <c r="O885" s="27" t="s">
        <v>371</v>
      </c>
      <c r="P885" s="27" t="s">
        <v>371</v>
      </c>
      <c r="Q885" s="27" t="s">
        <v>372</v>
      </c>
      <c r="R885" s="556">
        <f t="shared" si="113"/>
        <v>0</v>
      </c>
      <c r="S885" s="556">
        <f t="shared" si="115"/>
        <v>0</v>
      </c>
      <c r="T885" s="556">
        <f t="shared" si="116"/>
        <v>0</v>
      </c>
      <c r="U885" s="556">
        <f t="shared" si="117"/>
        <v>0</v>
      </c>
      <c r="V885" s="556">
        <f t="shared" si="118"/>
        <v>0</v>
      </c>
      <c r="W885" s="556">
        <f t="shared" si="119"/>
        <v>0</v>
      </c>
      <c r="X885" s="556">
        <f t="shared" si="120"/>
        <v>0</v>
      </c>
      <c r="Y885" s="556">
        <f t="shared" si="121"/>
        <v>0</v>
      </c>
      <c r="Z885" s="556">
        <f t="shared" si="122"/>
        <v>0</v>
      </c>
      <c r="AA885" s="556">
        <f t="shared" si="123"/>
        <v>0</v>
      </c>
      <c r="AB885" s="556">
        <f t="shared" si="124"/>
        <v>0</v>
      </c>
      <c r="AC885" s="556">
        <f t="shared" si="125"/>
        <v>783331.88</v>
      </c>
      <c r="AD885" s="556">
        <f t="shared" si="114"/>
        <v>719593.88</v>
      </c>
      <c r="AE885" s="556">
        <f t="shared" si="111"/>
        <v>783331.88</v>
      </c>
      <c r="AF885" s="556">
        <f t="shared" si="111"/>
        <v>783331.88</v>
      </c>
      <c r="AG885" s="556">
        <f t="shared" si="111"/>
        <v>0</v>
      </c>
    </row>
    <row r="886" spans="1:36" hidden="1" outlineLevel="1" x14ac:dyDescent="0.35">
      <c r="A886" t="b">
        <f t="shared" si="112"/>
        <v>1</v>
      </c>
      <c r="B886" s="27" t="s">
        <v>991</v>
      </c>
      <c r="C886" s="27" t="s">
        <v>51</v>
      </c>
      <c r="D886" s="27" t="s">
        <v>1001</v>
      </c>
      <c r="E886" s="27" t="s">
        <v>51</v>
      </c>
      <c r="F886" s="27" t="s">
        <v>385</v>
      </c>
      <c r="G886" t="s">
        <v>963</v>
      </c>
      <c r="H886" s="27" t="s">
        <v>54</v>
      </c>
      <c r="I886" s="27" t="s">
        <v>55</v>
      </c>
      <c r="J886" s="27" t="s">
        <v>393</v>
      </c>
      <c r="K886" s="27" t="s">
        <v>371</v>
      </c>
      <c r="L886" s="27" t="s">
        <v>371</v>
      </c>
      <c r="M886" s="27" t="s">
        <v>371</v>
      </c>
      <c r="N886" s="27" t="s">
        <v>371</v>
      </c>
      <c r="O886" s="27" t="s">
        <v>371</v>
      </c>
      <c r="P886" s="27" t="s">
        <v>371</v>
      </c>
      <c r="Q886" s="27" t="s">
        <v>372</v>
      </c>
      <c r="R886" s="556">
        <f t="shared" si="113"/>
        <v>0</v>
      </c>
      <c r="S886" s="556">
        <f t="shared" si="115"/>
        <v>0</v>
      </c>
      <c r="T886" s="556">
        <f t="shared" si="116"/>
        <v>0</v>
      </c>
      <c r="U886" s="556">
        <f t="shared" si="117"/>
        <v>0</v>
      </c>
      <c r="V886" s="556">
        <f t="shared" si="118"/>
        <v>0</v>
      </c>
      <c r="W886" s="556">
        <f t="shared" si="119"/>
        <v>0</v>
      </c>
      <c r="X886" s="556">
        <f t="shared" si="120"/>
        <v>0</v>
      </c>
      <c r="Y886" s="556">
        <f t="shared" si="121"/>
        <v>0</v>
      </c>
      <c r="Z886" s="556">
        <f t="shared" si="122"/>
        <v>0</v>
      </c>
      <c r="AA886" s="556">
        <f t="shared" si="123"/>
        <v>0</v>
      </c>
      <c r="AB886" s="556">
        <f t="shared" si="124"/>
        <v>0</v>
      </c>
      <c r="AC886" s="556">
        <f t="shared" si="125"/>
        <v>454455.91</v>
      </c>
      <c r="AD886" s="556">
        <f t="shared" si="114"/>
        <v>454455.91</v>
      </c>
      <c r="AE886" s="556">
        <f t="shared" si="111"/>
        <v>454455.91</v>
      </c>
      <c r="AF886" s="556">
        <f t="shared" si="111"/>
        <v>454455.91</v>
      </c>
      <c r="AG886" s="556">
        <f t="shared" si="111"/>
        <v>0</v>
      </c>
    </row>
    <row r="887" spans="1:36" hidden="1" outlineLevel="1" x14ac:dyDescent="0.35">
      <c r="A887" t="b">
        <f t="shared" si="112"/>
        <v>1</v>
      </c>
      <c r="B887" s="27" t="s">
        <v>1349</v>
      </c>
      <c r="C887" s="27" t="s">
        <v>51</v>
      </c>
      <c r="D887" s="27" t="s">
        <v>1928</v>
      </c>
      <c r="E887" s="27" t="s">
        <v>51</v>
      </c>
      <c r="F887" s="27" t="s">
        <v>457</v>
      </c>
      <c r="G887" t="s">
        <v>1729</v>
      </c>
      <c r="H887" s="27" t="s">
        <v>447</v>
      </c>
      <c r="I887" s="27" t="s">
        <v>440</v>
      </c>
      <c r="J887" s="27" t="s">
        <v>448</v>
      </c>
      <c r="K887" s="27" t="s">
        <v>449</v>
      </c>
      <c r="L887" s="27" t="s">
        <v>1028</v>
      </c>
      <c r="M887" s="27" t="s">
        <v>1028</v>
      </c>
      <c r="N887" s="27" t="s">
        <v>1028</v>
      </c>
      <c r="O887" s="27" t="s">
        <v>449</v>
      </c>
      <c r="P887" s="27" t="s">
        <v>449</v>
      </c>
      <c r="Q887" s="27" t="s">
        <v>372</v>
      </c>
      <c r="R887" s="556">
        <f t="shared" si="113"/>
        <v>0</v>
      </c>
      <c r="S887" s="556">
        <f t="shared" si="115"/>
        <v>0</v>
      </c>
      <c r="T887" s="556">
        <f t="shared" si="116"/>
        <v>0</v>
      </c>
      <c r="U887" s="556">
        <f t="shared" si="117"/>
        <v>0</v>
      </c>
      <c r="V887" s="556">
        <f t="shared" si="118"/>
        <v>0</v>
      </c>
      <c r="W887" s="556">
        <f t="shared" si="119"/>
        <v>0</v>
      </c>
      <c r="X887" s="556">
        <f t="shared" si="120"/>
        <v>0</v>
      </c>
      <c r="Y887" s="556">
        <f t="shared" si="121"/>
        <v>0</v>
      </c>
      <c r="Z887" s="556">
        <f t="shared" si="122"/>
        <v>0</v>
      </c>
      <c r="AA887" s="556">
        <f t="shared" si="123"/>
        <v>0</v>
      </c>
      <c r="AB887" s="556">
        <f t="shared" si="124"/>
        <v>0</v>
      </c>
      <c r="AC887" s="556">
        <f t="shared" si="125"/>
        <v>1346.09</v>
      </c>
      <c r="AD887" s="556">
        <f t="shared" si="114"/>
        <v>0</v>
      </c>
      <c r="AE887" s="556">
        <f t="shared" si="111"/>
        <v>0</v>
      </c>
      <c r="AF887" s="556">
        <f t="shared" si="111"/>
        <v>4339</v>
      </c>
      <c r="AG887" s="556">
        <f t="shared" si="111"/>
        <v>623.5</v>
      </c>
      <c r="AH887" s="44"/>
    </row>
    <row r="888" spans="1:36" hidden="1" outlineLevel="1" x14ac:dyDescent="0.35">
      <c r="A888" t="b">
        <f t="shared" si="112"/>
        <v>1</v>
      </c>
      <c r="B888" t="s">
        <v>1350</v>
      </c>
      <c r="C888" s="27" t="s">
        <v>51</v>
      </c>
      <c r="D888" s="27" t="s">
        <v>1929</v>
      </c>
      <c r="E888" s="27" t="s">
        <v>51</v>
      </c>
      <c r="F888" s="27" t="s">
        <v>377</v>
      </c>
      <c r="G888" t="s">
        <v>1730</v>
      </c>
      <c r="H888" s="27" t="s">
        <v>54</v>
      </c>
      <c r="I888" s="27" t="s">
        <v>55</v>
      </c>
      <c r="J888" s="27" t="s">
        <v>56</v>
      </c>
      <c r="K888" s="27" t="s">
        <v>371</v>
      </c>
      <c r="L888" s="27" t="s">
        <v>371</v>
      </c>
      <c r="M888" s="27" t="s">
        <v>371</v>
      </c>
      <c r="N888" s="27" t="s">
        <v>371</v>
      </c>
      <c r="O888" s="27" t="s">
        <v>371</v>
      </c>
      <c r="P888" s="27"/>
      <c r="Q888" s="27" t="s">
        <v>372</v>
      </c>
      <c r="R888" s="556">
        <f t="shared" si="113"/>
        <v>0</v>
      </c>
      <c r="S888" s="556">
        <f t="shared" si="115"/>
        <v>0</v>
      </c>
      <c r="T888" s="556">
        <f t="shared" si="116"/>
        <v>0</v>
      </c>
      <c r="U888" s="556">
        <f t="shared" si="117"/>
        <v>0</v>
      </c>
      <c r="V888" s="556">
        <f t="shared" si="118"/>
        <v>0</v>
      </c>
      <c r="W888" s="556">
        <f t="shared" si="119"/>
        <v>0</v>
      </c>
      <c r="X888" s="556">
        <f t="shared" si="120"/>
        <v>0</v>
      </c>
      <c r="Y888" s="556">
        <f t="shared" si="121"/>
        <v>0</v>
      </c>
      <c r="Z888" s="556">
        <f t="shared" si="122"/>
        <v>0</v>
      </c>
      <c r="AA888" s="556">
        <f t="shared" si="123"/>
        <v>0</v>
      </c>
      <c r="AB888" s="556">
        <f t="shared" si="124"/>
        <v>0</v>
      </c>
      <c r="AC888" s="556">
        <f t="shared" si="125"/>
        <v>-1756623.08</v>
      </c>
      <c r="AD888" s="556">
        <f t="shared" si="114"/>
        <v>-1850769.54</v>
      </c>
      <c r="AE888" s="556">
        <f t="shared" si="111"/>
        <v>-1953908.93</v>
      </c>
      <c r="AF888" s="556">
        <f t="shared" si="111"/>
        <v>-2083206.91</v>
      </c>
      <c r="AG888" s="556">
        <f t="shared" si="111"/>
        <v>-2083206.91</v>
      </c>
    </row>
    <row r="889" spans="1:36" hidden="1" outlineLevel="1" x14ac:dyDescent="0.35">
      <c r="A889" t="b">
        <f t="shared" si="112"/>
        <v>1</v>
      </c>
      <c r="B889" t="s">
        <v>1002</v>
      </c>
      <c r="C889" s="27" t="s">
        <v>51</v>
      </c>
      <c r="D889" s="27" t="s">
        <v>1731</v>
      </c>
      <c r="E889" s="27" t="s">
        <v>51</v>
      </c>
      <c r="F889" s="27" t="s">
        <v>109</v>
      </c>
      <c r="G889" t="s">
        <v>1003</v>
      </c>
      <c r="H889" s="27" t="s">
        <v>54</v>
      </c>
      <c r="I889" s="27" t="s">
        <v>55</v>
      </c>
      <c r="J889" s="27" t="s">
        <v>101</v>
      </c>
      <c r="K889" s="27" t="s">
        <v>371</v>
      </c>
      <c r="L889" s="27" t="s">
        <v>371</v>
      </c>
      <c r="M889" s="27" t="s">
        <v>371</v>
      </c>
      <c r="N889" s="27" t="s">
        <v>371</v>
      </c>
      <c r="O889" s="27" t="s">
        <v>371</v>
      </c>
      <c r="P889" s="27"/>
      <c r="Q889" s="27" t="s">
        <v>372</v>
      </c>
      <c r="R889" s="556">
        <f t="shared" si="113"/>
        <v>0</v>
      </c>
      <c r="S889" s="556">
        <f t="shared" si="115"/>
        <v>0</v>
      </c>
      <c r="T889" s="556">
        <f t="shared" si="116"/>
        <v>0</v>
      </c>
      <c r="U889" s="556">
        <f t="shared" si="117"/>
        <v>0</v>
      </c>
      <c r="V889" s="556">
        <f t="shared" si="118"/>
        <v>0</v>
      </c>
      <c r="W889" s="556">
        <f t="shared" si="119"/>
        <v>0</v>
      </c>
      <c r="X889" s="556">
        <f t="shared" si="120"/>
        <v>0</v>
      </c>
      <c r="Y889" s="556">
        <f t="shared" si="121"/>
        <v>0</v>
      </c>
      <c r="Z889" s="556">
        <f t="shared" si="122"/>
        <v>0</v>
      </c>
      <c r="AA889" s="556">
        <f t="shared" si="123"/>
        <v>0</v>
      </c>
      <c r="AB889" s="556">
        <f t="shared" si="124"/>
        <v>0</v>
      </c>
      <c r="AC889" s="556">
        <f t="shared" si="125"/>
        <v>0</v>
      </c>
      <c r="AD889" s="556">
        <f t="shared" si="114"/>
        <v>334950</v>
      </c>
      <c r="AE889" s="556">
        <f t="shared" si="111"/>
        <v>334950</v>
      </c>
      <c r="AF889" s="556">
        <f t="shared" si="111"/>
        <v>0</v>
      </c>
      <c r="AG889" s="556">
        <f t="shared" si="111"/>
        <v>0</v>
      </c>
    </row>
    <row r="890" spans="1:36" hidden="1" outlineLevel="1" x14ac:dyDescent="0.35">
      <c r="A890" t="b">
        <f t="shared" si="112"/>
        <v>1</v>
      </c>
      <c r="B890" t="s">
        <v>1004</v>
      </c>
      <c r="C890" s="27" t="s">
        <v>51</v>
      </c>
      <c r="D890" s="27" t="s">
        <v>1732</v>
      </c>
      <c r="E890" s="27" t="s">
        <v>51</v>
      </c>
      <c r="F890" t="s">
        <v>195</v>
      </c>
      <c r="G890" t="s">
        <v>1005</v>
      </c>
      <c r="H890" s="27" t="s">
        <v>54</v>
      </c>
      <c r="I890" s="27" t="s">
        <v>142</v>
      </c>
      <c r="J890" s="27" t="s">
        <v>197</v>
      </c>
      <c r="K890" s="27" t="s">
        <v>371</v>
      </c>
      <c r="L890" s="27" t="s">
        <v>371</v>
      </c>
      <c r="M890" s="27" t="s">
        <v>371</v>
      </c>
      <c r="N890" s="27" t="s">
        <v>371</v>
      </c>
      <c r="O890" s="27" t="s">
        <v>371</v>
      </c>
      <c r="P890" s="27" t="s">
        <v>371</v>
      </c>
      <c r="Q890" s="27" t="s">
        <v>372</v>
      </c>
      <c r="R890" s="556">
        <f t="shared" si="113"/>
        <v>0</v>
      </c>
      <c r="S890" s="556">
        <f t="shared" si="115"/>
        <v>0</v>
      </c>
      <c r="T890" s="556">
        <f t="shared" si="116"/>
        <v>0</v>
      </c>
      <c r="U890" s="556">
        <f t="shared" si="117"/>
        <v>0</v>
      </c>
      <c r="V890" s="556">
        <f t="shared" si="118"/>
        <v>0</v>
      </c>
      <c r="W890" s="556">
        <f t="shared" si="119"/>
        <v>0</v>
      </c>
      <c r="X890" s="556">
        <f t="shared" si="120"/>
        <v>0</v>
      </c>
      <c r="Y890" s="556">
        <f t="shared" si="121"/>
        <v>0</v>
      </c>
      <c r="Z890" s="556">
        <f t="shared" si="122"/>
        <v>0</v>
      </c>
      <c r="AA890" s="556">
        <f t="shared" si="123"/>
        <v>0</v>
      </c>
      <c r="AB890" s="556">
        <f t="shared" si="124"/>
        <v>0</v>
      </c>
      <c r="AC890" s="556">
        <f t="shared" si="125"/>
        <v>-3651.68</v>
      </c>
      <c r="AD890" s="556">
        <f t="shared" si="114"/>
        <v>0</v>
      </c>
      <c r="AE890" s="556">
        <f t="shared" si="111"/>
        <v>0</v>
      </c>
      <c r="AF890" s="556">
        <f t="shared" si="111"/>
        <v>0</v>
      </c>
      <c r="AG890" s="556">
        <f t="shared" si="111"/>
        <v>0</v>
      </c>
    </row>
    <row r="891" spans="1:36" hidden="1" outlineLevel="1" x14ac:dyDescent="0.35">
      <c r="A891" t="b">
        <f t="shared" si="112"/>
        <v>1</v>
      </c>
      <c r="B891" t="s">
        <v>1006</v>
      </c>
      <c r="C891" s="27" t="s">
        <v>51</v>
      </c>
      <c r="D891" s="27" t="s">
        <v>1733</v>
      </c>
      <c r="E891" s="27" t="s">
        <v>51</v>
      </c>
      <c r="F891" t="s">
        <v>195</v>
      </c>
      <c r="G891" t="s">
        <v>1007</v>
      </c>
      <c r="H891" s="27" t="s">
        <v>54</v>
      </c>
      <c r="I891" s="27" t="s">
        <v>142</v>
      </c>
      <c r="J891" s="27" t="s">
        <v>197</v>
      </c>
      <c r="K891" s="27" t="s">
        <v>371</v>
      </c>
      <c r="L891" s="27" t="s">
        <v>371</v>
      </c>
      <c r="M891" s="27" t="s">
        <v>371</v>
      </c>
      <c r="N891" s="27" t="s">
        <v>371</v>
      </c>
      <c r="O891" s="27" t="s">
        <v>371</v>
      </c>
      <c r="P891" s="27" t="s">
        <v>371</v>
      </c>
      <c r="Q891" s="27" t="s">
        <v>372</v>
      </c>
      <c r="R891" s="556">
        <f t="shared" si="113"/>
        <v>0</v>
      </c>
      <c r="S891" s="556">
        <f t="shared" si="115"/>
        <v>0</v>
      </c>
      <c r="T891" s="556">
        <f t="shared" si="116"/>
        <v>0</v>
      </c>
      <c r="U891" s="556">
        <f t="shared" si="117"/>
        <v>0</v>
      </c>
      <c r="V891" s="556">
        <f t="shared" si="118"/>
        <v>0</v>
      </c>
      <c r="W891" s="556">
        <f t="shared" si="119"/>
        <v>0</v>
      </c>
      <c r="X891" s="556">
        <f t="shared" si="120"/>
        <v>0</v>
      </c>
      <c r="Y891" s="556">
        <f t="shared" si="121"/>
        <v>0</v>
      </c>
      <c r="Z891" s="556">
        <f t="shared" si="122"/>
        <v>0</v>
      </c>
      <c r="AA891" s="556">
        <f t="shared" si="123"/>
        <v>0</v>
      </c>
      <c r="AB891" s="556">
        <f t="shared" si="124"/>
        <v>0</v>
      </c>
      <c r="AC891" s="556">
        <f t="shared" si="125"/>
        <v>-170134.39999999999</v>
      </c>
      <c r="AD891" s="556">
        <f t="shared" si="114"/>
        <v>-163258.20000000001</v>
      </c>
      <c r="AE891" s="556">
        <f t="shared" ref="AE891:AG910" si="126">+IF(AE$10="Actuals",IF($O413="Revenue",-IF($H413="BS",AE413,IF($H413="P&amp;L",AE413-AD413,0)),IF($H413="BS",AE413,IF($H413="P&amp;L",AE413-AD413,0))),0)</f>
        <v>-163258.20000000001</v>
      </c>
      <c r="AF891" s="556">
        <f t="shared" si="126"/>
        <v>0</v>
      </c>
      <c r="AG891" s="556">
        <f t="shared" si="126"/>
        <v>0</v>
      </c>
    </row>
    <row r="892" spans="1:36" hidden="1" outlineLevel="1" x14ac:dyDescent="0.35">
      <c r="A892" t="b">
        <f t="shared" si="112"/>
        <v>1</v>
      </c>
      <c r="B892" t="s">
        <v>1008</v>
      </c>
      <c r="C892" s="27" t="s">
        <v>51</v>
      </c>
      <c r="D892" s="27" t="s">
        <v>1734</v>
      </c>
      <c r="E892" s="27" t="s">
        <v>51</v>
      </c>
      <c r="F892" t="s">
        <v>195</v>
      </c>
      <c r="G892" t="s">
        <v>1009</v>
      </c>
      <c r="H892" s="27" t="s">
        <v>54</v>
      </c>
      <c r="I892" s="27" t="s">
        <v>142</v>
      </c>
      <c r="J892" s="27" t="s">
        <v>197</v>
      </c>
      <c r="K892" s="27" t="s">
        <v>371</v>
      </c>
      <c r="L892" s="27" t="s">
        <v>371</v>
      </c>
      <c r="M892" s="27" t="s">
        <v>371</v>
      </c>
      <c r="N892" s="27" t="s">
        <v>371</v>
      </c>
      <c r="O892" s="27" t="s">
        <v>371</v>
      </c>
      <c r="P892" s="27" t="s">
        <v>371</v>
      </c>
      <c r="Q892" s="27" t="s">
        <v>372</v>
      </c>
      <c r="R892" s="556">
        <f t="shared" si="113"/>
        <v>0</v>
      </c>
      <c r="S892" s="556">
        <f t="shared" si="115"/>
        <v>0</v>
      </c>
      <c r="T892" s="556">
        <f t="shared" si="116"/>
        <v>0</v>
      </c>
      <c r="U892" s="556">
        <f t="shared" si="117"/>
        <v>0</v>
      </c>
      <c r="V892" s="556">
        <f t="shared" si="118"/>
        <v>0</v>
      </c>
      <c r="W892" s="556">
        <f t="shared" si="119"/>
        <v>0</v>
      </c>
      <c r="X892" s="556">
        <f t="shared" si="120"/>
        <v>0</v>
      </c>
      <c r="Y892" s="556">
        <f t="shared" si="121"/>
        <v>0</v>
      </c>
      <c r="Z892" s="556">
        <f t="shared" si="122"/>
        <v>0</v>
      </c>
      <c r="AA892" s="556">
        <f t="shared" si="123"/>
        <v>0</v>
      </c>
      <c r="AB892" s="556">
        <f t="shared" si="124"/>
        <v>0</v>
      </c>
      <c r="AC892" s="556">
        <f t="shared" si="125"/>
        <v>-72834.399999999994</v>
      </c>
      <c r="AD892" s="556">
        <f t="shared" si="114"/>
        <v>-71741.149999999994</v>
      </c>
      <c r="AE892" s="556">
        <f t="shared" si="126"/>
        <v>-71741.149999999994</v>
      </c>
      <c r="AF892" s="556">
        <f t="shared" si="126"/>
        <v>0</v>
      </c>
      <c r="AG892" s="556">
        <f t="shared" si="126"/>
        <v>0</v>
      </c>
    </row>
    <row r="893" spans="1:36" hidden="1" outlineLevel="1" x14ac:dyDescent="0.35">
      <c r="A893" t="b">
        <f t="shared" si="112"/>
        <v>1</v>
      </c>
      <c r="B893" t="s">
        <v>1010</v>
      </c>
      <c r="C893" s="27" t="s">
        <v>51</v>
      </c>
      <c r="D893" s="27" t="s">
        <v>1735</v>
      </c>
      <c r="E893" s="27" t="s">
        <v>51</v>
      </c>
      <c r="F893" t="s">
        <v>195</v>
      </c>
      <c r="G893" t="s">
        <v>1011</v>
      </c>
      <c r="H893" s="27" t="s">
        <v>54</v>
      </c>
      <c r="I893" s="27" t="s">
        <v>142</v>
      </c>
      <c r="J893" s="27" t="s">
        <v>197</v>
      </c>
      <c r="K893" s="27" t="s">
        <v>371</v>
      </c>
      <c r="L893" s="27" t="s">
        <v>371</v>
      </c>
      <c r="M893" s="27" t="s">
        <v>371</v>
      </c>
      <c r="N893" s="27" t="s">
        <v>371</v>
      </c>
      <c r="O893" s="27" t="s">
        <v>371</v>
      </c>
      <c r="P893" s="27" t="s">
        <v>371</v>
      </c>
      <c r="Q893" s="27" t="s">
        <v>372</v>
      </c>
      <c r="R893" s="556">
        <f t="shared" si="113"/>
        <v>0</v>
      </c>
      <c r="S893" s="556">
        <f t="shared" si="115"/>
        <v>0</v>
      </c>
      <c r="T893" s="556">
        <f t="shared" si="116"/>
        <v>0</v>
      </c>
      <c r="U893" s="556">
        <f t="shared" si="117"/>
        <v>0</v>
      </c>
      <c r="V893" s="556">
        <f t="shared" si="118"/>
        <v>0</v>
      </c>
      <c r="W893" s="556">
        <f t="shared" si="119"/>
        <v>0</v>
      </c>
      <c r="X893" s="556">
        <f t="shared" si="120"/>
        <v>0</v>
      </c>
      <c r="Y893" s="556">
        <f t="shared" si="121"/>
        <v>0</v>
      </c>
      <c r="Z893" s="556">
        <f t="shared" si="122"/>
        <v>0</v>
      </c>
      <c r="AA893" s="556">
        <f t="shared" si="123"/>
        <v>0</v>
      </c>
      <c r="AB893" s="556">
        <f t="shared" si="124"/>
        <v>0</v>
      </c>
      <c r="AC893" s="556">
        <f t="shared" si="125"/>
        <v>-35844</v>
      </c>
      <c r="AD893" s="556">
        <f t="shared" si="114"/>
        <v>0</v>
      </c>
      <c r="AE893" s="556">
        <f t="shared" si="126"/>
        <v>0</v>
      </c>
      <c r="AF893" s="556">
        <f t="shared" si="126"/>
        <v>0</v>
      </c>
      <c r="AG893" s="556">
        <f t="shared" si="126"/>
        <v>0</v>
      </c>
    </row>
    <row r="894" spans="1:36" hidden="1" outlineLevel="1" x14ac:dyDescent="0.35">
      <c r="A894" t="b">
        <f t="shared" si="112"/>
        <v>1</v>
      </c>
      <c r="B894" t="s">
        <v>1012</v>
      </c>
      <c r="C894" s="27" t="s">
        <v>51</v>
      </c>
      <c r="D894" s="27" t="s">
        <v>1736</v>
      </c>
      <c r="E894" s="27" t="s">
        <v>51</v>
      </c>
      <c r="F894" t="s">
        <v>195</v>
      </c>
      <c r="G894" t="s">
        <v>1013</v>
      </c>
      <c r="H894" s="27" t="s">
        <v>54</v>
      </c>
      <c r="I894" s="27" t="s">
        <v>142</v>
      </c>
      <c r="J894" s="27" t="s">
        <v>197</v>
      </c>
      <c r="K894" s="27" t="s">
        <v>371</v>
      </c>
      <c r="L894" s="27" t="s">
        <v>371</v>
      </c>
      <c r="M894" s="27" t="s">
        <v>371</v>
      </c>
      <c r="N894" s="27" t="s">
        <v>371</v>
      </c>
      <c r="O894" s="27" t="s">
        <v>371</v>
      </c>
      <c r="P894" s="27" t="s">
        <v>371</v>
      </c>
      <c r="Q894" s="27" t="s">
        <v>372</v>
      </c>
      <c r="R894" s="556">
        <f t="shared" si="113"/>
        <v>0</v>
      </c>
      <c r="S894" s="556">
        <f t="shared" si="115"/>
        <v>0</v>
      </c>
      <c r="T894" s="556">
        <f t="shared" si="116"/>
        <v>0</v>
      </c>
      <c r="U894" s="556">
        <f t="shared" si="117"/>
        <v>0</v>
      </c>
      <c r="V894" s="556">
        <f t="shared" si="118"/>
        <v>0</v>
      </c>
      <c r="W894" s="556">
        <f t="shared" si="119"/>
        <v>0</v>
      </c>
      <c r="X894" s="556">
        <f t="shared" si="120"/>
        <v>0</v>
      </c>
      <c r="Y894" s="556">
        <f t="shared" si="121"/>
        <v>0</v>
      </c>
      <c r="Z894" s="556">
        <f t="shared" si="122"/>
        <v>0</v>
      </c>
      <c r="AA894" s="556">
        <f t="shared" si="123"/>
        <v>0</v>
      </c>
      <c r="AB894" s="556">
        <f t="shared" si="124"/>
        <v>0</v>
      </c>
      <c r="AC894" s="556">
        <f t="shared" si="125"/>
        <v>-4932706.17</v>
      </c>
      <c r="AD894" s="556">
        <f t="shared" si="114"/>
        <v>0</v>
      </c>
      <c r="AE894" s="556">
        <f t="shared" si="126"/>
        <v>0</v>
      </c>
      <c r="AF894" s="556">
        <f t="shared" si="126"/>
        <v>0</v>
      </c>
      <c r="AG894" s="556">
        <f t="shared" si="126"/>
        <v>0</v>
      </c>
    </row>
    <row r="895" spans="1:36" hidden="1" outlineLevel="1" x14ac:dyDescent="0.35">
      <c r="A895" t="b">
        <f t="shared" si="112"/>
        <v>1</v>
      </c>
      <c r="B895" t="s">
        <v>1014</v>
      </c>
      <c r="C895" s="27" t="s">
        <v>51</v>
      </c>
      <c r="D895" s="27" t="s">
        <v>1737</v>
      </c>
      <c r="E895" s="27" t="s">
        <v>51</v>
      </c>
      <c r="F895" t="s">
        <v>195</v>
      </c>
      <c r="G895" t="s">
        <v>1015</v>
      </c>
      <c r="H895" s="27" t="s">
        <v>54</v>
      </c>
      <c r="I895" s="27" t="s">
        <v>142</v>
      </c>
      <c r="J895" s="27" t="s">
        <v>197</v>
      </c>
      <c r="K895" s="27" t="s">
        <v>371</v>
      </c>
      <c r="L895" s="27" t="s">
        <v>371</v>
      </c>
      <c r="M895" s="27" t="s">
        <v>371</v>
      </c>
      <c r="N895" s="27" t="s">
        <v>371</v>
      </c>
      <c r="O895" s="27" t="s">
        <v>371</v>
      </c>
      <c r="P895" s="27" t="s">
        <v>371</v>
      </c>
      <c r="Q895" s="27" t="s">
        <v>372</v>
      </c>
      <c r="R895" s="556">
        <f t="shared" si="113"/>
        <v>0</v>
      </c>
      <c r="S895" s="556">
        <f t="shared" si="115"/>
        <v>0</v>
      </c>
      <c r="T895" s="556">
        <f t="shared" si="116"/>
        <v>0</v>
      </c>
      <c r="U895" s="556">
        <f t="shared" si="117"/>
        <v>0</v>
      </c>
      <c r="V895" s="556">
        <f t="shared" si="118"/>
        <v>0</v>
      </c>
      <c r="W895" s="556">
        <f t="shared" si="119"/>
        <v>0</v>
      </c>
      <c r="X895" s="556">
        <f t="shared" si="120"/>
        <v>0</v>
      </c>
      <c r="Y895" s="556">
        <f t="shared" si="121"/>
        <v>0</v>
      </c>
      <c r="Z895" s="556">
        <f t="shared" si="122"/>
        <v>0</v>
      </c>
      <c r="AA895" s="556">
        <f t="shared" si="123"/>
        <v>0</v>
      </c>
      <c r="AB895" s="556">
        <f t="shared" si="124"/>
        <v>0</v>
      </c>
      <c r="AC895" s="556">
        <f t="shared" si="125"/>
        <v>-45000.01</v>
      </c>
      <c r="AD895" s="556">
        <f t="shared" si="114"/>
        <v>0</v>
      </c>
      <c r="AE895" s="556">
        <f t="shared" si="126"/>
        <v>0</v>
      </c>
      <c r="AF895" s="556">
        <f t="shared" si="126"/>
        <v>0</v>
      </c>
      <c r="AG895" s="556">
        <f t="shared" si="126"/>
        <v>0</v>
      </c>
    </row>
    <row r="896" spans="1:36" ht="15" hidden="1" outlineLevel="1" x14ac:dyDescent="0.35">
      <c r="A896" t="b">
        <f t="shared" si="112"/>
        <v>1</v>
      </c>
      <c r="B896" t="s">
        <v>1351</v>
      </c>
      <c r="C896" s="27" t="s">
        <v>51</v>
      </c>
      <c r="D896" s="27" t="s">
        <v>1930</v>
      </c>
      <c r="E896" s="27" t="s">
        <v>51</v>
      </c>
      <c r="F896" t="s">
        <v>501</v>
      </c>
      <c r="G896" t="s">
        <v>1738</v>
      </c>
      <c r="H896" s="27" t="s">
        <v>447</v>
      </c>
      <c r="I896" s="27" t="s">
        <v>440</v>
      </c>
      <c r="J896" s="27" t="s">
        <v>448</v>
      </c>
      <c r="K896" s="27" t="s">
        <v>491</v>
      </c>
      <c r="L896" s="27" t="s">
        <v>822</v>
      </c>
      <c r="M896" s="102" t="s">
        <v>822</v>
      </c>
      <c r="N896" s="102" t="s">
        <v>822</v>
      </c>
      <c r="O896" s="27" t="s">
        <v>491</v>
      </c>
      <c r="P896" s="27" t="s">
        <v>491</v>
      </c>
      <c r="Q896" s="27" t="s">
        <v>372</v>
      </c>
      <c r="R896" s="556">
        <f t="shared" si="113"/>
        <v>0</v>
      </c>
      <c r="S896" s="556">
        <f t="shared" si="115"/>
        <v>0</v>
      </c>
      <c r="T896" s="556">
        <f t="shared" si="116"/>
        <v>0</v>
      </c>
      <c r="U896" s="556">
        <f t="shared" si="117"/>
        <v>0</v>
      </c>
      <c r="V896" s="556">
        <f t="shared" si="118"/>
        <v>0</v>
      </c>
      <c r="W896" s="556">
        <f t="shared" si="119"/>
        <v>0</v>
      </c>
      <c r="X896" s="556">
        <f t="shared" si="120"/>
        <v>0</v>
      </c>
      <c r="Y896" s="556">
        <f t="shared" si="121"/>
        <v>0</v>
      </c>
      <c r="Z896" s="556">
        <f t="shared" si="122"/>
        <v>0</v>
      </c>
      <c r="AA896" s="556">
        <f t="shared" si="123"/>
        <v>0</v>
      </c>
      <c r="AB896" s="556">
        <f t="shared" si="124"/>
        <v>0</v>
      </c>
      <c r="AC896" s="556">
        <f t="shared" si="125"/>
        <v>1756623.08</v>
      </c>
      <c r="AD896" s="556">
        <f t="shared" si="114"/>
        <v>94146.46</v>
      </c>
      <c r="AE896" s="556">
        <f t="shared" si="126"/>
        <v>103139.39</v>
      </c>
      <c r="AF896" s="556">
        <f t="shared" si="126"/>
        <v>129297.98000000001</v>
      </c>
      <c r="AG896" s="556">
        <f t="shared" si="126"/>
        <v>0</v>
      </c>
      <c r="AH896" s="44"/>
      <c r="AJ896" s="44"/>
    </row>
    <row r="897" spans="1:36" hidden="1" outlineLevel="1" x14ac:dyDescent="0.35">
      <c r="A897" t="b">
        <f t="shared" si="112"/>
        <v>1</v>
      </c>
      <c r="B897" s="267" t="s">
        <v>1017</v>
      </c>
      <c r="C897" s="27" t="s">
        <v>51</v>
      </c>
      <c r="D897" s="27" t="s">
        <v>1739</v>
      </c>
      <c r="E897" s="27" t="s">
        <v>51</v>
      </c>
      <c r="F897" s="27" t="e">
        <v>#N/A</v>
      </c>
      <c r="G897" s="267" t="s">
        <v>1018</v>
      </c>
      <c r="H897" s="27" t="s">
        <v>447</v>
      </c>
      <c r="I897" s="27" t="s">
        <v>440</v>
      </c>
      <c r="J897" s="27" t="s">
        <v>448</v>
      </c>
      <c r="K897" s="27" t="s">
        <v>491</v>
      </c>
      <c r="L897" s="27" t="s">
        <v>792</v>
      </c>
      <c r="M897" s="27" t="s">
        <v>462</v>
      </c>
      <c r="N897" s="27" t="s">
        <v>488</v>
      </c>
      <c r="O897" s="27" t="s">
        <v>491</v>
      </c>
      <c r="P897" s="27" t="s">
        <v>564</v>
      </c>
      <c r="Q897" s="27" t="s">
        <v>372</v>
      </c>
      <c r="R897" s="556">
        <f t="shared" si="113"/>
        <v>0</v>
      </c>
      <c r="S897" s="556">
        <f t="shared" si="115"/>
        <v>0</v>
      </c>
      <c r="T897" s="556">
        <f t="shared" si="116"/>
        <v>0</v>
      </c>
      <c r="U897" s="556">
        <f t="shared" si="117"/>
        <v>0</v>
      </c>
      <c r="V897" s="556">
        <f t="shared" si="118"/>
        <v>0</v>
      </c>
      <c r="W897" s="556">
        <f t="shared" si="119"/>
        <v>0</v>
      </c>
      <c r="X897" s="556">
        <f t="shared" si="120"/>
        <v>0</v>
      </c>
      <c r="Y897" s="556">
        <f t="shared" si="121"/>
        <v>0</v>
      </c>
      <c r="Z897" s="556">
        <f t="shared" si="122"/>
        <v>0</v>
      </c>
      <c r="AA897" s="556">
        <f t="shared" si="123"/>
        <v>0</v>
      </c>
      <c r="AB897" s="556">
        <f t="shared" si="124"/>
        <v>0</v>
      </c>
      <c r="AC897" s="556">
        <f t="shared" si="125"/>
        <v>1245840</v>
      </c>
      <c r="AD897" s="556">
        <f t="shared" si="114"/>
        <v>0</v>
      </c>
      <c r="AE897" s="556">
        <f t="shared" si="126"/>
        <v>0</v>
      </c>
      <c r="AF897" s="556">
        <f t="shared" si="126"/>
        <v>0</v>
      </c>
      <c r="AG897" s="556">
        <f t="shared" si="126"/>
        <v>0</v>
      </c>
      <c r="AH897" s="44"/>
      <c r="AJ897" s="44"/>
    </row>
    <row r="898" spans="1:36" hidden="1" outlineLevel="1" x14ac:dyDescent="0.35">
      <c r="A898" t="b">
        <f t="shared" si="112"/>
        <v>1</v>
      </c>
      <c r="B898" s="267" t="s">
        <v>322</v>
      </c>
      <c r="C898" s="27" t="s">
        <v>51</v>
      </c>
      <c r="D898" s="27" t="s">
        <v>1740</v>
      </c>
      <c r="E898" s="27" t="s">
        <v>51</v>
      </c>
      <c r="F898" s="27" t="s">
        <v>195</v>
      </c>
      <c r="G898" s="267" t="s">
        <v>324</v>
      </c>
      <c r="H898" s="27" t="s">
        <v>54</v>
      </c>
      <c r="I898" s="27" t="s">
        <v>142</v>
      </c>
      <c r="J898" s="27" t="s">
        <v>197</v>
      </c>
      <c r="K898" s="27" t="s">
        <v>371</v>
      </c>
      <c r="L898" s="27" t="s">
        <v>371</v>
      </c>
      <c r="M898" s="27" t="s">
        <v>371</v>
      </c>
      <c r="N898" s="27" t="s">
        <v>371</v>
      </c>
      <c r="O898" s="27" t="s">
        <v>371</v>
      </c>
      <c r="P898" s="27" t="s">
        <v>371</v>
      </c>
      <c r="Q898" s="27" t="s">
        <v>372</v>
      </c>
      <c r="R898" s="556">
        <f t="shared" si="113"/>
        <v>0</v>
      </c>
      <c r="S898" s="556">
        <f t="shared" si="115"/>
        <v>0</v>
      </c>
      <c r="T898" s="556">
        <f t="shared" si="116"/>
        <v>0</v>
      </c>
      <c r="U898" s="556">
        <f t="shared" si="117"/>
        <v>0</v>
      </c>
      <c r="V898" s="556">
        <f t="shared" si="118"/>
        <v>0</v>
      </c>
      <c r="W898" s="556">
        <f t="shared" si="119"/>
        <v>0</v>
      </c>
      <c r="X898" s="556">
        <f t="shared" si="120"/>
        <v>0</v>
      </c>
      <c r="Y898" s="556">
        <f t="shared" si="121"/>
        <v>0</v>
      </c>
      <c r="Z898" s="556">
        <f t="shared" si="122"/>
        <v>0</v>
      </c>
      <c r="AA898" s="556">
        <f t="shared" si="123"/>
        <v>0</v>
      </c>
      <c r="AB898" s="556">
        <f t="shared" si="124"/>
        <v>0</v>
      </c>
      <c r="AC898" s="556">
        <f t="shared" si="125"/>
        <v>0</v>
      </c>
      <c r="AD898" s="556">
        <f t="shared" si="114"/>
        <v>0.7</v>
      </c>
      <c r="AE898" s="556">
        <f t="shared" si="126"/>
        <v>0.7</v>
      </c>
      <c r="AF898" s="556">
        <f t="shared" si="126"/>
        <v>0</v>
      </c>
      <c r="AG898" s="556">
        <f t="shared" si="126"/>
        <v>0</v>
      </c>
    </row>
    <row r="899" spans="1:36" hidden="1" outlineLevel="1" x14ac:dyDescent="0.35">
      <c r="A899" t="b">
        <f t="shared" si="112"/>
        <v>1</v>
      </c>
      <c r="B899" s="267" t="s">
        <v>1024</v>
      </c>
      <c r="C899" s="27" t="s">
        <v>51</v>
      </c>
      <c r="D899" s="27" t="s">
        <v>1741</v>
      </c>
      <c r="E899" s="27" t="s">
        <v>51</v>
      </c>
      <c r="F899" s="27" t="s">
        <v>195</v>
      </c>
      <c r="G899" s="267" t="s">
        <v>1025</v>
      </c>
      <c r="H899" s="27" t="s">
        <v>54</v>
      </c>
      <c r="I899" s="27" t="s">
        <v>142</v>
      </c>
      <c r="J899" s="27" t="s">
        <v>197</v>
      </c>
      <c r="K899" s="27" t="s">
        <v>371</v>
      </c>
      <c r="L899" s="27" t="s">
        <v>371</v>
      </c>
      <c r="M899" s="27" t="s">
        <v>371</v>
      </c>
      <c r="N899" s="27" t="s">
        <v>371</v>
      </c>
      <c r="O899" s="27" t="s">
        <v>371</v>
      </c>
      <c r="P899" s="27" t="s">
        <v>371</v>
      </c>
      <c r="Q899" s="27" t="s">
        <v>372</v>
      </c>
      <c r="R899" s="556">
        <f t="shared" si="113"/>
        <v>0</v>
      </c>
      <c r="S899" s="556">
        <f t="shared" si="115"/>
        <v>0</v>
      </c>
      <c r="T899" s="556">
        <f t="shared" si="116"/>
        <v>0</v>
      </c>
      <c r="U899" s="556">
        <f t="shared" si="117"/>
        <v>0</v>
      </c>
      <c r="V899" s="556">
        <f t="shared" si="118"/>
        <v>0</v>
      </c>
      <c r="W899" s="556">
        <f t="shared" si="119"/>
        <v>0</v>
      </c>
      <c r="X899" s="556">
        <f t="shared" si="120"/>
        <v>0</v>
      </c>
      <c r="Y899" s="556">
        <f t="shared" si="121"/>
        <v>0</v>
      </c>
      <c r="Z899" s="556">
        <f t="shared" si="122"/>
        <v>0</v>
      </c>
      <c r="AA899" s="556">
        <f t="shared" si="123"/>
        <v>0</v>
      </c>
      <c r="AB899" s="556">
        <f t="shared" si="124"/>
        <v>0</v>
      </c>
      <c r="AC899" s="556">
        <f t="shared" si="125"/>
        <v>0</v>
      </c>
      <c r="AD899" s="556">
        <f t="shared" si="114"/>
        <v>5873.23</v>
      </c>
      <c r="AE899" s="556">
        <f t="shared" si="126"/>
        <v>5873.23</v>
      </c>
      <c r="AF899" s="556">
        <f t="shared" si="126"/>
        <v>0</v>
      </c>
      <c r="AG899" s="556">
        <f t="shared" si="126"/>
        <v>0</v>
      </c>
    </row>
    <row r="900" spans="1:36" hidden="1" outlineLevel="1" x14ac:dyDescent="0.35">
      <c r="A900" t="b">
        <f t="shared" si="112"/>
        <v>1</v>
      </c>
      <c r="B900" s="267" t="s">
        <v>1026</v>
      </c>
      <c r="C900" s="27" t="s">
        <v>51</v>
      </c>
      <c r="D900" s="27" t="s">
        <v>1742</v>
      </c>
      <c r="E900" s="27" t="s">
        <v>51</v>
      </c>
      <c r="F900" s="27" t="s">
        <v>195</v>
      </c>
      <c r="G900" s="267" t="s">
        <v>1027</v>
      </c>
      <c r="H900" s="27" t="s">
        <v>54</v>
      </c>
      <c r="I900" s="27" t="s">
        <v>142</v>
      </c>
      <c r="J900" s="27" t="s">
        <v>197</v>
      </c>
      <c r="K900" s="27" t="s">
        <v>371</v>
      </c>
      <c r="L900" s="27" t="s">
        <v>371</v>
      </c>
      <c r="M900" s="27" t="s">
        <v>371</v>
      </c>
      <c r="N900" s="27" t="s">
        <v>371</v>
      </c>
      <c r="O900" s="27" t="s">
        <v>371</v>
      </c>
      <c r="P900" s="27" t="s">
        <v>371</v>
      </c>
      <c r="Q900" s="27" t="s">
        <v>372</v>
      </c>
      <c r="R900" s="556">
        <f t="shared" si="113"/>
        <v>0</v>
      </c>
      <c r="S900" s="556">
        <f t="shared" si="115"/>
        <v>0</v>
      </c>
      <c r="T900" s="556">
        <f t="shared" si="116"/>
        <v>0</v>
      </c>
      <c r="U900" s="556">
        <f t="shared" si="117"/>
        <v>0</v>
      </c>
      <c r="V900" s="556">
        <f t="shared" si="118"/>
        <v>0</v>
      </c>
      <c r="W900" s="556">
        <f t="shared" si="119"/>
        <v>0</v>
      </c>
      <c r="X900" s="556">
        <f t="shared" si="120"/>
        <v>0</v>
      </c>
      <c r="Y900" s="556">
        <f t="shared" si="121"/>
        <v>0</v>
      </c>
      <c r="Z900" s="556">
        <f t="shared" si="122"/>
        <v>0</v>
      </c>
      <c r="AA900" s="556">
        <f t="shared" si="123"/>
        <v>0</v>
      </c>
      <c r="AB900" s="556">
        <f t="shared" si="124"/>
        <v>0</v>
      </c>
      <c r="AC900" s="556">
        <f t="shared" si="125"/>
        <v>-398750</v>
      </c>
      <c r="AD900" s="556">
        <f t="shared" si="114"/>
        <v>398750</v>
      </c>
      <c r="AE900" s="556">
        <f t="shared" si="126"/>
        <v>398750</v>
      </c>
      <c r="AF900" s="556">
        <f t="shared" si="126"/>
        <v>0</v>
      </c>
      <c r="AG900" s="556">
        <f t="shared" si="126"/>
        <v>0</v>
      </c>
    </row>
    <row r="901" spans="1:36" hidden="1" outlineLevel="1" x14ac:dyDescent="0.35">
      <c r="A901" t="b">
        <f t="shared" si="112"/>
        <v>1</v>
      </c>
      <c r="B901" s="267" t="s">
        <v>1352</v>
      </c>
      <c r="C901" s="27" t="s">
        <v>51</v>
      </c>
      <c r="D901" s="27" t="s">
        <v>1931</v>
      </c>
      <c r="E901" s="27" t="s">
        <v>51</v>
      </c>
      <c r="F901" s="27" t="s">
        <v>102</v>
      </c>
      <c r="G901" s="267" t="s">
        <v>1743</v>
      </c>
      <c r="H901" s="27" t="s">
        <v>54</v>
      </c>
      <c r="I901" s="27" t="s">
        <v>142</v>
      </c>
      <c r="J901" s="27" t="s">
        <v>156</v>
      </c>
      <c r="K901" s="27" t="s">
        <v>371</v>
      </c>
      <c r="L901" s="27" t="s">
        <v>371</v>
      </c>
      <c r="M901" s="27" t="s">
        <v>371</v>
      </c>
      <c r="N901" s="27" t="s">
        <v>371</v>
      </c>
      <c r="O901" s="27" t="s">
        <v>371</v>
      </c>
      <c r="P901" s="27" t="s">
        <v>371</v>
      </c>
      <c r="Q901" s="27" t="s">
        <v>372</v>
      </c>
      <c r="R901" s="556">
        <f t="shared" si="113"/>
        <v>0</v>
      </c>
      <c r="S901" s="556">
        <f t="shared" si="115"/>
        <v>0</v>
      </c>
      <c r="T901" s="556">
        <f t="shared" si="116"/>
        <v>0</v>
      </c>
      <c r="U901" s="556">
        <f t="shared" si="117"/>
        <v>0</v>
      </c>
      <c r="V901" s="556">
        <f t="shared" si="118"/>
        <v>0</v>
      </c>
      <c r="W901" s="556">
        <f t="shared" si="119"/>
        <v>0</v>
      </c>
      <c r="X901" s="556">
        <f t="shared" si="120"/>
        <v>0</v>
      </c>
      <c r="Y901" s="556">
        <f t="shared" si="121"/>
        <v>0</v>
      </c>
      <c r="Z901" s="556">
        <f t="shared" si="122"/>
        <v>0</v>
      </c>
      <c r="AA901" s="556">
        <f t="shared" si="123"/>
        <v>0</v>
      </c>
      <c r="AB901" s="556">
        <f t="shared" si="124"/>
        <v>0</v>
      </c>
      <c r="AC901" s="556">
        <f t="shared" si="125"/>
        <v>0</v>
      </c>
      <c r="AD901" s="556">
        <f t="shared" si="114"/>
        <v>-6672329.4000000004</v>
      </c>
      <c r="AE901" s="556">
        <f t="shared" si="126"/>
        <v>-5949180.9900000002</v>
      </c>
      <c r="AF901" s="556">
        <f t="shared" si="126"/>
        <v>-6395821.2699999996</v>
      </c>
      <c r="AG901" s="556">
        <f t="shared" si="126"/>
        <v>-5762811.8700000001</v>
      </c>
    </row>
    <row r="902" spans="1:36" hidden="1" outlineLevel="1" x14ac:dyDescent="0.35">
      <c r="A902" t="b">
        <f t="shared" si="112"/>
        <v>1</v>
      </c>
      <c r="B902" s="267" t="s">
        <v>1353</v>
      </c>
      <c r="C902" s="27" t="s">
        <v>51</v>
      </c>
      <c r="D902" s="27" t="s">
        <v>1932</v>
      </c>
      <c r="E902" s="27" t="s">
        <v>51</v>
      </c>
      <c r="F902" s="27" t="s">
        <v>442</v>
      </c>
      <c r="G902" s="335" t="s">
        <v>1744</v>
      </c>
      <c r="H902" s="27" t="s">
        <v>54</v>
      </c>
      <c r="I902" s="27" t="s">
        <v>440</v>
      </c>
      <c r="J902" s="27" t="s">
        <v>443</v>
      </c>
      <c r="K902" s="27" t="s">
        <v>371</v>
      </c>
      <c r="L902" s="27" t="s">
        <v>371</v>
      </c>
      <c r="M902" s="27" t="s">
        <v>371</v>
      </c>
      <c r="N902" s="27" t="s">
        <v>371</v>
      </c>
      <c r="O902" s="27" t="s">
        <v>371</v>
      </c>
      <c r="P902" s="27" t="s">
        <v>371</v>
      </c>
      <c r="Q902" s="27" t="s">
        <v>372</v>
      </c>
      <c r="R902" s="556">
        <f t="shared" si="113"/>
        <v>0</v>
      </c>
      <c r="S902" s="556">
        <f t="shared" si="115"/>
        <v>0</v>
      </c>
      <c r="T902" s="556">
        <f t="shared" si="116"/>
        <v>0</v>
      </c>
      <c r="U902" s="556">
        <f t="shared" si="117"/>
        <v>0</v>
      </c>
      <c r="V902" s="556">
        <f t="shared" si="118"/>
        <v>0</v>
      </c>
      <c r="W902" s="556">
        <f t="shared" si="119"/>
        <v>0</v>
      </c>
      <c r="X902" s="556">
        <f t="shared" si="120"/>
        <v>0</v>
      </c>
      <c r="Y902" s="556">
        <f t="shared" si="121"/>
        <v>0</v>
      </c>
      <c r="Z902" s="556">
        <f t="shared" si="122"/>
        <v>0</v>
      </c>
      <c r="AA902" s="556">
        <f t="shared" si="123"/>
        <v>0</v>
      </c>
      <c r="AB902" s="556">
        <f t="shared" si="124"/>
        <v>0</v>
      </c>
      <c r="AC902" s="556">
        <f t="shared" si="125"/>
        <v>0</v>
      </c>
      <c r="AD902" s="556">
        <f t="shared" si="114"/>
        <v>98610155.530000001</v>
      </c>
      <c r="AE902" s="556">
        <f t="shared" si="126"/>
        <v>98610155.530000001</v>
      </c>
      <c r="AF902" s="556">
        <f t="shared" si="126"/>
        <v>76118495.180000007</v>
      </c>
      <c r="AG902" s="556">
        <f t="shared" si="126"/>
        <v>76118495.180000007</v>
      </c>
    </row>
    <row r="903" spans="1:36" hidden="1" outlineLevel="1" x14ac:dyDescent="0.35">
      <c r="A903" t="b">
        <f t="shared" si="112"/>
        <v>1</v>
      </c>
      <c r="B903" s="267" t="s">
        <v>1354</v>
      </c>
      <c r="C903" s="27" t="s">
        <v>51</v>
      </c>
      <c r="D903" s="27" t="s">
        <v>1933</v>
      </c>
      <c r="E903" s="27" t="s">
        <v>51</v>
      </c>
      <c r="F903" s="27" t="s">
        <v>457</v>
      </c>
      <c r="G903" s="267" t="s">
        <v>1745</v>
      </c>
      <c r="H903" s="27" t="s">
        <v>447</v>
      </c>
      <c r="I903" s="27" t="s">
        <v>440</v>
      </c>
      <c r="J903" s="27" t="s">
        <v>448</v>
      </c>
      <c r="K903" s="27" t="s">
        <v>449</v>
      </c>
      <c r="L903" s="27" t="s">
        <v>1028</v>
      </c>
      <c r="M903" s="27" t="s">
        <v>1028</v>
      </c>
      <c r="N903" s="27" t="s">
        <v>1028</v>
      </c>
      <c r="O903" s="27" t="s">
        <v>449</v>
      </c>
      <c r="P903" s="27" t="s">
        <v>449</v>
      </c>
      <c r="Q903" s="27" t="s">
        <v>372</v>
      </c>
      <c r="R903" s="556">
        <f t="shared" si="113"/>
        <v>0</v>
      </c>
      <c r="S903" s="556">
        <f t="shared" si="115"/>
        <v>0</v>
      </c>
      <c r="T903" s="556">
        <f t="shared" si="116"/>
        <v>0</v>
      </c>
      <c r="U903" s="556">
        <f t="shared" si="117"/>
        <v>0</v>
      </c>
      <c r="V903" s="556">
        <f t="shared" si="118"/>
        <v>0</v>
      </c>
      <c r="W903" s="556">
        <f t="shared" si="119"/>
        <v>0</v>
      </c>
      <c r="X903" s="556">
        <f t="shared" si="120"/>
        <v>0</v>
      </c>
      <c r="Y903" s="556">
        <f t="shared" si="121"/>
        <v>0</v>
      </c>
      <c r="Z903" s="556">
        <f t="shared" si="122"/>
        <v>0</v>
      </c>
      <c r="AA903" s="556">
        <f t="shared" si="123"/>
        <v>0</v>
      </c>
      <c r="AB903" s="556">
        <f t="shared" si="124"/>
        <v>0</v>
      </c>
      <c r="AC903" s="556">
        <f t="shared" si="125"/>
        <v>0</v>
      </c>
      <c r="AD903" s="556">
        <f t="shared" si="114"/>
        <v>361728</v>
      </c>
      <c r="AE903" s="556">
        <f t="shared" si="126"/>
        <v>361728</v>
      </c>
      <c r="AF903" s="556">
        <f t="shared" si="126"/>
        <v>361728</v>
      </c>
      <c r="AG903" s="556">
        <f t="shared" si="126"/>
        <v>361728</v>
      </c>
      <c r="AH903" s="44"/>
    </row>
    <row r="904" spans="1:36" hidden="1" outlineLevel="1" x14ac:dyDescent="0.35">
      <c r="A904" t="b">
        <f t="shared" si="112"/>
        <v>1</v>
      </c>
      <c r="B904" s="267" t="s">
        <v>1355</v>
      </c>
      <c r="C904" s="27" t="s">
        <v>51</v>
      </c>
      <c r="D904" s="27" t="s">
        <v>1934</v>
      </c>
      <c r="E904" s="27" t="s">
        <v>51</v>
      </c>
      <c r="F904" s="27" t="s">
        <v>501</v>
      </c>
      <c r="G904" s="267" t="s">
        <v>1746</v>
      </c>
      <c r="H904" s="27" t="s">
        <v>447</v>
      </c>
      <c r="I904" s="27" t="s">
        <v>440</v>
      </c>
      <c r="J904" s="27" t="s">
        <v>448</v>
      </c>
      <c r="K904" s="27" t="s">
        <v>476</v>
      </c>
      <c r="L904" s="27" t="s">
        <v>2034</v>
      </c>
      <c r="M904" s="27" t="s">
        <v>2034</v>
      </c>
      <c r="N904" s="27" t="s">
        <v>2034</v>
      </c>
      <c r="O904" s="27" t="s">
        <v>480</v>
      </c>
      <c r="P904" s="27" t="s">
        <v>480</v>
      </c>
      <c r="Q904" s="27" t="s">
        <v>372</v>
      </c>
      <c r="R904" s="556">
        <f t="shared" si="113"/>
        <v>0</v>
      </c>
      <c r="S904" s="556">
        <f t="shared" si="115"/>
        <v>0</v>
      </c>
      <c r="T904" s="556">
        <f t="shared" si="116"/>
        <v>0</v>
      </c>
      <c r="U904" s="556">
        <f t="shared" si="117"/>
        <v>0</v>
      </c>
      <c r="V904" s="556">
        <f t="shared" si="118"/>
        <v>0</v>
      </c>
      <c r="W904" s="556">
        <f t="shared" si="119"/>
        <v>0</v>
      </c>
      <c r="X904" s="556">
        <f t="shared" si="120"/>
        <v>0</v>
      </c>
      <c r="Y904" s="556">
        <f t="shared" si="121"/>
        <v>0</v>
      </c>
      <c r="Z904" s="556">
        <f t="shared" si="122"/>
        <v>0</v>
      </c>
      <c r="AA904" s="556">
        <f t="shared" si="123"/>
        <v>0</v>
      </c>
      <c r="AB904" s="556">
        <f t="shared" si="124"/>
        <v>0</v>
      </c>
      <c r="AC904" s="556">
        <f t="shared" si="125"/>
        <v>0</v>
      </c>
      <c r="AD904" s="556">
        <f t="shared" si="114"/>
        <v>47687</v>
      </c>
      <c r="AE904" s="556">
        <f t="shared" si="126"/>
        <v>0</v>
      </c>
      <c r="AF904" s="556">
        <f t="shared" si="126"/>
        <v>170783.32</v>
      </c>
      <c r="AG904" s="556">
        <f t="shared" si="126"/>
        <v>0</v>
      </c>
      <c r="AH904" s="44"/>
    </row>
    <row r="905" spans="1:36" hidden="1" outlineLevel="1" x14ac:dyDescent="0.35">
      <c r="A905" t="b">
        <f t="shared" si="112"/>
        <v>1</v>
      </c>
      <c r="B905" s="267" t="s">
        <v>1081</v>
      </c>
      <c r="C905" s="27" t="s">
        <v>51</v>
      </c>
      <c r="D905" s="27" t="s">
        <v>1747</v>
      </c>
      <c r="E905" s="27" t="s">
        <v>51</v>
      </c>
      <c r="F905" s="27" t="s">
        <v>109</v>
      </c>
      <c r="G905" s="267" t="s">
        <v>1082</v>
      </c>
      <c r="H905" s="27" t="s">
        <v>54</v>
      </c>
      <c r="I905" s="27" t="s">
        <v>55</v>
      </c>
      <c r="J905" s="27" t="s">
        <v>101</v>
      </c>
      <c r="K905" s="27" t="s">
        <v>371</v>
      </c>
      <c r="L905" s="27" t="s">
        <v>371</v>
      </c>
      <c r="M905" s="27" t="s">
        <v>371</v>
      </c>
      <c r="N905" s="27" t="s">
        <v>371</v>
      </c>
      <c r="O905" s="27" t="s">
        <v>371</v>
      </c>
      <c r="P905" s="27"/>
      <c r="Q905" s="27" t="s">
        <v>372</v>
      </c>
      <c r="R905" s="556">
        <f t="shared" si="113"/>
        <v>0</v>
      </c>
      <c r="S905" s="556">
        <f t="shared" si="115"/>
        <v>0</v>
      </c>
      <c r="T905" s="556">
        <f t="shared" si="116"/>
        <v>0</v>
      </c>
      <c r="U905" s="556">
        <f t="shared" si="117"/>
        <v>0</v>
      </c>
      <c r="V905" s="556">
        <f t="shared" si="118"/>
        <v>0</v>
      </c>
      <c r="W905" s="556">
        <f t="shared" si="119"/>
        <v>0</v>
      </c>
      <c r="X905" s="556">
        <f t="shared" si="120"/>
        <v>0</v>
      </c>
      <c r="Y905" s="556">
        <f t="shared" si="121"/>
        <v>0</v>
      </c>
      <c r="Z905" s="556">
        <f t="shared" si="122"/>
        <v>0</v>
      </c>
      <c r="AA905" s="556">
        <f t="shared" si="123"/>
        <v>0</v>
      </c>
      <c r="AB905" s="556">
        <f t="shared" si="124"/>
        <v>0</v>
      </c>
      <c r="AC905" s="556">
        <f t="shared" si="125"/>
        <v>0</v>
      </c>
      <c r="AD905" s="556">
        <f t="shared" si="114"/>
        <v>0</v>
      </c>
      <c r="AE905" s="556">
        <f t="shared" si="126"/>
        <v>85003.43</v>
      </c>
      <c r="AF905" s="556">
        <f t="shared" si="126"/>
        <v>0</v>
      </c>
      <c r="AG905" s="556">
        <f t="shared" si="126"/>
        <v>0</v>
      </c>
    </row>
    <row r="906" spans="1:36" hidden="1" outlineLevel="1" x14ac:dyDescent="0.35">
      <c r="A906" t="b">
        <f t="shared" si="112"/>
        <v>1</v>
      </c>
      <c r="B906" s="267" t="s">
        <v>1083</v>
      </c>
      <c r="C906" s="27" t="s">
        <v>51</v>
      </c>
      <c r="D906" s="27" t="s">
        <v>1748</v>
      </c>
      <c r="E906" s="27" t="s">
        <v>51</v>
      </c>
      <c r="F906" s="27" t="s">
        <v>195</v>
      </c>
      <c r="G906" s="267" t="s">
        <v>654</v>
      </c>
      <c r="H906" s="27" t="s">
        <v>54</v>
      </c>
      <c r="I906" s="27" t="s">
        <v>142</v>
      </c>
      <c r="J906" s="27" t="s">
        <v>197</v>
      </c>
      <c r="K906" s="27" t="s">
        <v>371</v>
      </c>
      <c r="L906" s="27" t="s">
        <v>371</v>
      </c>
      <c r="M906" s="27" t="s">
        <v>371</v>
      </c>
      <c r="N906" s="27" t="s">
        <v>371</v>
      </c>
      <c r="O906" s="27" t="s">
        <v>371</v>
      </c>
      <c r="P906" s="27" t="s">
        <v>371</v>
      </c>
      <c r="Q906" s="27" t="s">
        <v>372</v>
      </c>
      <c r="R906" s="556">
        <f t="shared" si="113"/>
        <v>0</v>
      </c>
      <c r="S906" s="556">
        <f t="shared" si="115"/>
        <v>0</v>
      </c>
      <c r="T906" s="556">
        <f t="shared" si="116"/>
        <v>0</v>
      </c>
      <c r="U906" s="556">
        <f t="shared" si="117"/>
        <v>0</v>
      </c>
      <c r="V906" s="556">
        <f t="shared" si="118"/>
        <v>0</v>
      </c>
      <c r="W906" s="556">
        <f t="shared" si="119"/>
        <v>0</v>
      </c>
      <c r="X906" s="556">
        <f t="shared" si="120"/>
        <v>0</v>
      </c>
      <c r="Y906" s="556">
        <f t="shared" si="121"/>
        <v>0</v>
      </c>
      <c r="Z906" s="556">
        <f t="shared" si="122"/>
        <v>0</v>
      </c>
      <c r="AA906" s="556">
        <f t="shared" si="123"/>
        <v>0</v>
      </c>
      <c r="AB906" s="556">
        <f t="shared" si="124"/>
        <v>0</v>
      </c>
      <c r="AC906" s="556">
        <f t="shared" si="125"/>
        <v>-197950.06</v>
      </c>
      <c r="AD906" s="556">
        <f t="shared" si="114"/>
        <v>0</v>
      </c>
      <c r="AE906" s="556">
        <f t="shared" si="126"/>
        <v>197950.06</v>
      </c>
      <c r="AF906" s="556">
        <f t="shared" si="126"/>
        <v>0</v>
      </c>
      <c r="AG906" s="556">
        <f t="shared" si="126"/>
        <v>0</v>
      </c>
    </row>
    <row r="907" spans="1:36" hidden="1" outlineLevel="1" x14ac:dyDescent="0.35">
      <c r="A907" t="b">
        <f t="shared" si="112"/>
        <v>1</v>
      </c>
      <c r="B907" s="267" t="s">
        <v>1084</v>
      </c>
      <c r="C907" s="27" t="s">
        <v>51</v>
      </c>
      <c r="D907" s="27" t="s">
        <v>1749</v>
      </c>
      <c r="E907" s="27" t="s">
        <v>51</v>
      </c>
      <c r="F907" s="27" t="s">
        <v>195</v>
      </c>
      <c r="G907" s="267" t="s">
        <v>1085</v>
      </c>
      <c r="H907" s="27" t="s">
        <v>54</v>
      </c>
      <c r="I907" s="27" t="s">
        <v>142</v>
      </c>
      <c r="J907" s="27" t="s">
        <v>197</v>
      </c>
      <c r="K907" s="27" t="s">
        <v>371</v>
      </c>
      <c r="L907" s="27" t="s">
        <v>371</v>
      </c>
      <c r="M907" s="27" t="s">
        <v>371</v>
      </c>
      <c r="N907" s="27" t="s">
        <v>371</v>
      </c>
      <c r="O907" s="27" t="s">
        <v>371</v>
      </c>
      <c r="P907" s="27" t="s">
        <v>371</v>
      </c>
      <c r="Q907" s="27" t="s">
        <v>372</v>
      </c>
      <c r="R907" s="556">
        <f t="shared" si="113"/>
        <v>0</v>
      </c>
      <c r="S907" s="556">
        <f t="shared" si="115"/>
        <v>0</v>
      </c>
      <c r="T907" s="556">
        <f t="shared" si="116"/>
        <v>0</v>
      </c>
      <c r="U907" s="556">
        <f t="shared" si="117"/>
        <v>0</v>
      </c>
      <c r="V907" s="556">
        <f t="shared" si="118"/>
        <v>0</v>
      </c>
      <c r="W907" s="556">
        <f t="shared" si="119"/>
        <v>0</v>
      </c>
      <c r="X907" s="556">
        <f t="shared" si="120"/>
        <v>0</v>
      </c>
      <c r="Y907" s="556">
        <f t="shared" si="121"/>
        <v>0</v>
      </c>
      <c r="Z907" s="556">
        <f t="shared" si="122"/>
        <v>0</v>
      </c>
      <c r="AA907" s="556">
        <f t="shared" si="123"/>
        <v>0</v>
      </c>
      <c r="AB907" s="556">
        <f t="shared" si="124"/>
        <v>0</v>
      </c>
      <c r="AC907" s="556">
        <f t="shared" si="125"/>
        <v>0</v>
      </c>
      <c r="AD907" s="556">
        <f t="shared" si="114"/>
        <v>0</v>
      </c>
      <c r="AE907" s="556">
        <f t="shared" si="126"/>
        <v>-51156</v>
      </c>
      <c r="AF907" s="556">
        <f t="shared" si="126"/>
        <v>0</v>
      </c>
      <c r="AG907" s="556">
        <f t="shared" si="126"/>
        <v>0</v>
      </c>
    </row>
    <row r="908" spans="1:36" hidden="1" x14ac:dyDescent="0.35">
      <c r="A908" t="b">
        <f t="shared" si="112"/>
        <v>1</v>
      </c>
      <c r="B908" s="267" t="s">
        <v>1086</v>
      </c>
      <c r="C908" s="27" t="s">
        <v>51</v>
      </c>
      <c r="D908" s="27" t="s">
        <v>1750</v>
      </c>
      <c r="E908" s="27" t="s">
        <v>51</v>
      </c>
      <c r="F908" s="27" t="s">
        <v>195</v>
      </c>
      <c r="G908" s="267" t="s">
        <v>1087</v>
      </c>
      <c r="H908" s="27" t="s">
        <v>54</v>
      </c>
      <c r="I908" s="27" t="s">
        <v>142</v>
      </c>
      <c r="J908" s="27" t="s">
        <v>197</v>
      </c>
      <c r="K908" s="27" t="s">
        <v>371</v>
      </c>
      <c r="L908" s="27" t="s">
        <v>371</v>
      </c>
      <c r="M908" s="27" t="s">
        <v>371</v>
      </c>
      <c r="N908" s="27" t="s">
        <v>371</v>
      </c>
      <c r="O908" s="27" t="s">
        <v>371</v>
      </c>
      <c r="P908" s="27" t="s">
        <v>371</v>
      </c>
      <c r="Q908" s="27" t="s">
        <v>372</v>
      </c>
      <c r="R908" s="556">
        <f t="shared" si="113"/>
        <v>0</v>
      </c>
      <c r="S908" s="556">
        <f t="shared" si="115"/>
        <v>0</v>
      </c>
      <c r="T908" s="556">
        <f t="shared" si="116"/>
        <v>0</v>
      </c>
      <c r="U908" s="556">
        <f t="shared" si="117"/>
        <v>0</v>
      </c>
      <c r="V908" s="556">
        <f t="shared" si="118"/>
        <v>0</v>
      </c>
      <c r="W908" s="556">
        <f t="shared" si="119"/>
        <v>0</v>
      </c>
      <c r="X908" s="556">
        <f t="shared" si="120"/>
        <v>0</v>
      </c>
      <c r="Y908" s="556">
        <f t="shared" si="121"/>
        <v>0</v>
      </c>
      <c r="Z908" s="556">
        <f t="shared" si="122"/>
        <v>0</v>
      </c>
      <c r="AA908" s="556">
        <f t="shared" si="123"/>
        <v>0</v>
      </c>
      <c r="AB908" s="556">
        <f t="shared" si="124"/>
        <v>0</v>
      </c>
      <c r="AC908" s="556">
        <f t="shared" si="125"/>
        <v>0</v>
      </c>
      <c r="AD908" s="556">
        <f t="shared" si="114"/>
        <v>0</v>
      </c>
      <c r="AE908" s="556">
        <f t="shared" si="126"/>
        <v>-60320</v>
      </c>
      <c r="AF908" s="556">
        <f t="shared" si="126"/>
        <v>0</v>
      </c>
      <c r="AG908" s="556">
        <f t="shared" si="126"/>
        <v>0</v>
      </c>
    </row>
    <row r="909" spans="1:36" hidden="1" x14ac:dyDescent="0.35">
      <c r="A909" t="b">
        <f t="shared" si="112"/>
        <v>1</v>
      </c>
      <c r="B909" s="267" t="s">
        <v>1088</v>
      </c>
      <c r="C909" s="27" t="s">
        <v>51</v>
      </c>
      <c r="D909" s="27" t="s">
        <v>1751</v>
      </c>
      <c r="E909" s="27" t="s">
        <v>51</v>
      </c>
      <c r="F909" s="27" t="s">
        <v>195</v>
      </c>
      <c r="G909" s="267" t="s">
        <v>1082</v>
      </c>
      <c r="H909" s="27" t="s">
        <v>54</v>
      </c>
      <c r="I909" s="27" t="s">
        <v>142</v>
      </c>
      <c r="J909" s="27" t="s">
        <v>197</v>
      </c>
      <c r="K909" s="27" t="s">
        <v>371</v>
      </c>
      <c r="L909" s="27" t="s">
        <v>371</v>
      </c>
      <c r="M909" s="27" t="s">
        <v>371</v>
      </c>
      <c r="N909" s="27" t="s">
        <v>371</v>
      </c>
      <c r="O909" s="27" t="s">
        <v>371</v>
      </c>
      <c r="P909" s="27" t="s">
        <v>371</v>
      </c>
      <c r="Q909" s="27" t="s">
        <v>372</v>
      </c>
      <c r="R909" s="556">
        <f t="shared" si="113"/>
        <v>0</v>
      </c>
      <c r="S909" s="556">
        <f t="shared" si="115"/>
        <v>0</v>
      </c>
      <c r="T909" s="556">
        <f t="shared" si="116"/>
        <v>0</v>
      </c>
      <c r="U909" s="556">
        <f t="shared" si="117"/>
        <v>0</v>
      </c>
      <c r="V909" s="556">
        <f t="shared" si="118"/>
        <v>0</v>
      </c>
      <c r="W909" s="556">
        <f t="shared" si="119"/>
        <v>0</v>
      </c>
      <c r="X909" s="556">
        <f t="shared" si="120"/>
        <v>0</v>
      </c>
      <c r="Y909" s="556">
        <f t="shared" si="121"/>
        <v>0</v>
      </c>
      <c r="Z909" s="556">
        <f t="shared" si="122"/>
        <v>0</v>
      </c>
      <c r="AA909" s="556">
        <f t="shared" si="123"/>
        <v>0</v>
      </c>
      <c r="AB909" s="556">
        <f t="shared" si="124"/>
        <v>0</v>
      </c>
      <c r="AC909" s="556">
        <f t="shared" si="125"/>
        <v>0</v>
      </c>
      <c r="AD909" s="556">
        <f t="shared" si="114"/>
        <v>0</v>
      </c>
      <c r="AE909" s="556">
        <f t="shared" si="126"/>
        <v>-0.3</v>
      </c>
      <c r="AF909" s="556">
        <f t="shared" si="126"/>
        <v>0</v>
      </c>
      <c r="AG909" s="556">
        <f t="shared" si="126"/>
        <v>0</v>
      </c>
    </row>
    <row r="910" spans="1:36" hidden="1" x14ac:dyDescent="0.35">
      <c r="A910" t="b">
        <f t="shared" si="112"/>
        <v>1</v>
      </c>
      <c r="B910" s="267" t="s">
        <v>1356</v>
      </c>
      <c r="C910" s="27" t="s">
        <v>51</v>
      </c>
      <c r="D910" s="27" t="s">
        <v>1935</v>
      </c>
      <c r="E910" s="27" t="s">
        <v>51</v>
      </c>
      <c r="F910" s="27" t="s">
        <v>501</v>
      </c>
      <c r="G910" s="267" t="s">
        <v>1752</v>
      </c>
      <c r="H910" s="27" t="s">
        <v>447</v>
      </c>
      <c r="I910" s="27" t="s">
        <v>440</v>
      </c>
      <c r="J910" s="27" t="s">
        <v>448</v>
      </c>
      <c r="K910" s="27" t="s">
        <v>476</v>
      </c>
      <c r="L910" s="27" t="s">
        <v>503</v>
      </c>
      <c r="M910" s="27" t="s">
        <v>503</v>
      </c>
      <c r="N910" s="27" t="s">
        <v>503</v>
      </c>
      <c r="O910" s="27" t="s">
        <v>480</v>
      </c>
      <c r="P910" s="27" t="s">
        <v>480</v>
      </c>
      <c r="Q910" s="27" t="s">
        <v>372</v>
      </c>
      <c r="R910" s="556">
        <f t="shared" si="113"/>
        <v>0</v>
      </c>
      <c r="S910" s="556">
        <f t="shared" si="115"/>
        <v>0</v>
      </c>
      <c r="T910" s="556">
        <f t="shared" si="116"/>
        <v>0</v>
      </c>
      <c r="U910" s="556">
        <f t="shared" si="117"/>
        <v>0</v>
      </c>
      <c r="V910" s="556">
        <f t="shared" si="118"/>
        <v>0</v>
      </c>
      <c r="W910" s="556">
        <f t="shared" si="119"/>
        <v>0</v>
      </c>
      <c r="X910" s="556">
        <f t="shared" si="120"/>
        <v>0</v>
      </c>
      <c r="Y910" s="556">
        <f t="shared" si="121"/>
        <v>0</v>
      </c>
      <c r="Z910" s="556">
        <f t="shared" si="122"/>
        <v>0</v>
      </c>
      <c r="AA910" s="556">
        <f t="shared" si="123"/>
        <v>0</v>
      </c>
      <c r="AB910" s="556">
        <f t="shared" si="124"/>
        <v>0</v>
      </c>
      <c r="AC910" s="556">
        <f t="shared" si="125"/>
        <v>0</v>
      </c>
      <c r="AD910" s="556">
        <f t="shared" si="114"/>
        <v>0</v>
      </c>
      <c r="AE910" s="556">
        <f t="shared" si="126"/>
        <v>8391.6</v>
      </c>
      <c r="AF910" s="556">
        <f t="shared" si="126"/>
        <v>0</v>
      </c>
      <c r="AG910" s="556">
        <f t="shared" si="126"/>
        <v>146798.24</v>
      </c>
      <c r="AH910" s="44"/>
    </row>
    <row r="911" spans="1:36" hidden="1" x14ac:dyDescent="0.35">
      <c r="A911" t="b">
        <f t="shared" si="112"/>
        <v>1</v>
      </c>
      <c r="B911" s="267" t="s">
        <v>1357</v>
      </c>
      <c r="C911" s="27" t="s">
        <v>51</v>
      </c>
      <c r="D911" s="27" t="s">
        <v>1936</v>
      </c>
      <c r="E911" s="27" t="s">
        <v>51</v>
      </c>
      <c r="F911" s="27" t="s">
        <v>501</v>
      </c>
      <c r="G911" s="267" t="s">
        <v>1753</v>
      </c>
      <c r="H911" s="27" t="s">
        <v>447</v>
      </c>
      <c r="I911" s="27" t="s">
        <v>440</v>
      </c>
      <c r="J911" s="27" t="s">
        <v>448</v>
      </c>
      <c r="K911" s="27" t="s">
        <v>476</v>
      </c>
      <c r="L911" s="27" t="s">
        <v>937</v>
      </c>
      <c r="M911" s="27" t="s">
        <v>937</v>
      </c>
      <c r="N911" s="27" t="s">
        <v>937</v>
      </c>
      <c r="O911" s="27" t="s">
        <v>480</v>
      </c>
      <c r="P911" s="27" t="s">
        <v>480</v>
      </c>
      <c r="Q911" s="27" t="s">
        <v>372</v>
      </c>
      <c r="R911" s="556">
        <f t="shared" si="113"/>
        <v>0</v>
      </c>
      <c r="S911" s="556">
        <f t="shared" si="115"/>
        <v>0</v>
      </c>
      <c r="T911" s="556">
        <f t="shared" si="116"/>
        <v>0</v>
      </c>
      <c r="U911" s="556">
        <f t="shared" si="117"/>
        <v>0</v>
      </c>
      <c r="V911" s="556">
        <f t="shared" si="118"/>
        <v>0</v>
      </c>
      <c r="W911" s="556">
        <f t="shared" si="119"/>
        <v>0</v>
      </c>
      <c r="X911" s="556">
        <f t="shared" si="120"/>
        <v>0</v>
      </c>
      <c r="Y911" s="556">
        <f t="shared" si="121"/>
        <v>0</v>
      </c>
      <c r="Z911" s="556">
        <f t="shared" si="122"/>
        <v>0</v>
      </c>
      <c r="AA911" s="556">
        <f t="shared" si="123"/>
        <v>0</v>
      </c>
      <c r="AB911" s="556">
        <f t="shared" si="124"/>
        <v>0</v>
      </c>
      <c r="AC911" s="556">
        <f t="shared" si="125"/>
        <v>0</v>
      </c>
      <c r="AD911" s="556">
        <f t="shared" si="114"/>
        <v>0</v>
      </c>
      <c r="AE911" s="556">
        <f t="shared" ref="AE911:AG921" si="127">+IF(AE$10="Actuals",IF($O433="Revenue",-IF($H433="BS",AE433,IF($H433="P&amp;L",AE433-AD433,0)),IF($H433="BS",AE433,IF($H433="P&amp;L",AE433-AD433,0))),0)</f>
        <v>66751.02</v>
      </c>
      <c r="AF911" s="556">
        <f t="shared" si="127"/>
        <v>12510</v>
      </c>
      <c r="AG911" s="556">
        <f t="shared" si="127"/>
        <v>0</v>
      </c>
      <c r="AH911" s="44"/>
    </row>
    <row r="912" spans="1:36" hidden="1" x14ac:dyDescent="0.35">
      <c r="A912" t="b">
        <f t="shared" si="112"/>
        <v>1</v>
      </c>
      <c r="B912" s="267" t="s">
        <v>1089</v>
      </c>
      <c r="C912" s="27" t="s">
        <v>51</v>
      </c>
      <c r="D912" s="27" t="s">
        <v>1754</v>
      </c>
      <c r="E912" s="27" t="s">
        <v>51</v>
      </c>
      <c r="F912" s="27" t="s">
        <v>195</v>
      </c>
      <c r="G912" s="267" t="s">
        <v>1090</v>
      </c>
      <c r="H912" s="27" t="s">
        <v>54</v>
      </c>
      <c r="I912" s="27" t="s">
        <v>142</v>
      </c>
      <c r="J912" s="27" t="s">
        <v>197</v>
      </c>
      <c r="K912" s="27" t="s">
        <v>371</v>
      </c>
      <c r="L912" s="27" t="s">
        <v>371</v>
      </c>
      <c r="M912" s="27" t="s">
        <v>371</v>
      </c>
      <c r="N912" s="27" t="s">
        <v>371</v>
      </c>
      <c r="O912" s="27" t="s">
        <v>371</v>
      </c>
      <c r="P912" s="27" t="s">
        <v>371</v>
      </c>
      <c r="Q912" s="27" t="s">
        <v>372</v>
      </c>
      <c r="R912" s="556">
        <f t="shared" si="113"/>
        <v>0</v>
      </c>
      <c r="S912" s="556">
        <f t="shared" si="115"/>
        <v>0</v>
      </c>
      <c r="T912" s="556">
        <f t="shared" si="116"/>
        <v>0</v>
      </c>
      <c r="U912" s="556">
        <f t="shared" si="117"/>
        <v>0</v>
      </c>
      <c r="V912" s="556">
        <f t="shared" si="118"/>
        <v>0</v>
      </c>
      <c r="W912" s="556">
        <f t="shared" si="119"/>
        <v>0</v>
      </c>
      <c r="X912" s="556">
        <f t="shared" si="120"/>
        <v>0</v>
      </c>
      <c r="Y912" s="556">
        <f t="shared" si="121"/>
        <v>0</v>
      </c>
      <c r="Z912" s="556">
        <f t="shared" si="122"/>
        <v>0</v>
      </c>
      <c r="AA912" s="556">
        <f t="shared" si="123"/>
        <v>0</v>
      </c>
      <c r="AB912" s="556">
        <f t="shared" si="124"/>
        <v>0</v>
      </c>
      <c r="AC912" s="556">
        <f t="shared" si="125"/>
        <v>0</v>
      </c>
      <c r="AD912" s="556">
        <f t="shared" si="114"/>
        <v>0</v>
      </c>
      <c r="AE912" s="556">
        <f t="shared" si="127"/>
        <v>-0.01</v>
      </c>
      <c r="AF912" s="556">
        <f t="shared" si="127"/>
        <v>0</v>
      </c>
      <c r="AG912" s="556">
        <f t="shared" si="127"/>
        <v>0</v>
      </c>
    </row>
    <row r="913" spans="1:33" hidden="1" x14ac:dyDescent="0.35">
      <c r="A913" t="b">
        <f t="shared" si="112"/>
        <v>1</v>
      </c>
      <c r="B913" s="267" t="s">
        <v>1358</v>
      </c>
      <c r="C913" s="27" t="s">
        <v>51</v>
      </c>
      <c r="D913" s="27" t="s">
        <v>1937</v>
      </c>
      <c r="E913" s="27" t="s">
        <v>51</v>
      </c>
      <c r="F913" s="27" t="s">
        <v>434</v>
      </c>
      <c r="G913" s="267" t="s">
        <v>1755</v>
      </c>
      <c r="H913" s="27" t="s">
        <v>54</v>
      </c>
      <c r="I913" s="27" t="s">
        <v>142</v>
      </c>
      <c r="J913" s="27" t="s">
        <v>436</v>
      </c>
      <c r="K913" s="27" t="s">
        <v>371</v>
      </c>
      <c r="L913" s="27" t="s">
        <v>371</v>
      </c>
      <c r="M913" s="27" t="s">
        <v>371</v>
      </c>
      <c r="N913" s="27" t="s">
        <v>371</v>
      </c>
      <c r="O913" s="27" t="s">
        <v>371</v>
      </c>
      <c r="P913" s="27" t="s">
        <v>371</v>
      </c>
      <c r="Q913" s="27" t="s">
        <v>372</v>
      </c>
      <c r="R913" s="556">
        <f t="shared" si="113"/>
        <v>0</v>
      </c>
      <c r="S913" s="556">
        <f t="shared" si="115"/>
        <v>0</v>
      </c>
      <c r="T913" s="556">
        <f t="shared" si="116"/>
        <v>0</v>
      </c>
      <c r="U913" s="556">
        <f t="shared" si="117"/>
        <v>0</v>
      </c>
      <c r="V913" s="556">
        <f t="shared" si="118"/>
        <v>0</v>
      </c>
      <c r="W913" s="556">
        <f t="shared" si="119"/>
        <v>0</v>
      </c>
      <c r="X913" s="556">
        <f t="shared" si="120"/>
        <v>0</v>
      </c>
      <c r="Y913" s="556">
        <f t="shared" si="121"/>
        <v>0</v>
      </c>
      <c r="Z913" s="556">
        <f t="shared" si="122"/>
        <v>0</v>
      </c>
      <c r="AA913" s="556">
        <f t="shared" si="123"/>
        <v>0</v>
      </c>
      <c r="AB913" s="556">
        <f t="shared" si="124"/>
        <v>0</v>
      </c>
      <c r="AC913" s="556">
        <f t="shared" si="125"/>
        <v>0</v>
      </c>
      <c r="AD913" s="556">
        <f t="shared" si="114"/>
        <v>0</v>
      </c>
      <c r="AE913" s="556">
        <f t="shared" si="127"/>
        <v>-128.72999999999999</v>
      </c>
      <c r="AF913" s="556">
        <f t="shared" si="127"/>
        <v>-2718.48</v>
      </c>
      <c r="AG913" s="556">
        <f t="shared" si="127"/>
        <v>12674.02</v>
      </c>
    </row>
    <row r="914" spans="1:33" hidden="1" x14ac:dyDescent="0.35">
      <c r="A914" t="b">
        <f t="shared" si="112"/>
        <v>1</v>
      </c>
      <c r="B914" s="533" t="s">
        <v>1359</v>
      </c>
      <c r="C914" s="27" t="s">
        <v>51</v>
      </c>
      <c r="D914" s="27" t="s">
        <v>1938</v>
      </c>
      <c r="E914" s="27" t="s">
        <v>51</v>
      </c>
      <c r="F914" s="27" t="s">
        <v>85</v>
      </c>
      <c r="G914" s="533" t="s">
        <v>1756</v>
      </c>
      <c r="H914" s="27" t="s">
        <v>54</v>
      </c>
      <c r="I914" s="27" t="s">
        <v>55</v>
      </c>
      <c r="J914" s="27" t="s">
        <v>101</v>
      </c>
      <c r="K914" s="27" t="s">
        <v>371</v>
      </c>
      <c r="L914" s="27" t="s">
        <v>371</v>
      </c>
      <c r="M914" s="27" t="s">
        <v>371</v>
      </c>
      <c r="N914" s="27" t="s">
        <v>371</v>
      </c>
      <c r="O914" s="27" t="s">
        <v>371</v>
      </c>
      <c r="P914" s="27" t="s">
        <v>371</v>
      </c>
      <c r="Q914" s="27" t="s">
        <v>372</v>
      </c>
      <c r="R914" s="556">
        <f t="shared" si="113"/>
        <v>0</v>
      </c>
      <c r="S914" s="556">
        <f t="shared" si="115"/>
        <v>0</v>
      </c>
      <c r="T914" s="556">
        <f t="shared" si="116"/>
        <v>0</v>
      </c>
      <c r="U914" s="556">
        <f t="shared" si="117"/>
        <v>0</v>
      </c>
      <c r="V914" s="556">
        <f t="shared" si="118"/>
        <v>0</v>
      </c>
      <c r="W914" s="556">
        <f t="shared" si="119"/>
        <v>0</v>
      </c>
      <c r="X914" s="556">
        <f t="shared" si="120"/>
        <v>0</v>
      </c>
      <c r="Y914" s="556">
        <f t="shared" si="121"/>
        <v>0</v>
      </c>
      <c r="Z914" s="556">
        <f t="shared" si="122"/>
        <v>0</v>
      </c>
      <c r="AA914" s="556">
        <f t="shared" si="123"/>
        <v>0</v>
      </c>
      <c r="AB914" s="556">
        <f t="shared" si="124"/>
        <v>0</v>
      </c>
      <c r="AC914" s="556">
        <f t="shared" si="125"/>
        <v>0</v>
      </c>
      <c r="AD914" s="556">
        <f t="shared" si="114"/>
        <v>0</v>
      </c>
      <c r="AE914" s="556">
        <f t="shared" si="127"/>
        <v>556987.85</v>
      </c>
      <c r="AF914" s="556">
        <f t="shared" si="127"/>
        <v>287090.84999999998</v>
      </c>
      <c r="AG914" s="556">
        <f t="shared" si="127"/>
        <v>-0.01</v>
      </c>
    </row>
    <row r="915" spans="1:33" hidden="1" x14ac:dyDescent="0.35">
      <c r="A915" t="b">
        <f t="shared" si="112"/>
        <v>1</v>
      </c>
      <c r="B915" s="448" t="s">
        <v>1360</v>
      </c>
      <c r="C915" s="27" t="s">
        <v>51</v>
      </c>
      <c r="D915" s="27" t="s">
        <v>1939</v>
      </c>
      <c r="E915" s="27" t="s">
        <v>51</v>
      </c>
      <c r="F915" s="27" t="s">
        <v>85</v>
      </c>
      <c r="G915" s="448" t="s">
        <v>1757</v>
      </c>
      <c r="H915" s="27" t="s">
        <v>54</v>
      </c>
      <c r="I915" s="27" t="s">
        <v>55</v>
      </c>
      <c r="J915" s="27" t="s">
        <v>101</v>
      </c>
      <c r="K915" s="27" t="s">
        <v>371</v>
      </c>
      <c r="L915" s="27" t="s">
        <v>371</v>
      </c>
      <c r="M915" s="27" t="s">
        <v>371</v>
      </c>
      <c r="N915" s="27" t="s">
        <v>371</v>
      </c>
      <c r="O915" s="27" t="s">
        <v>371</v>
      </c>
      <c r="P915" s="27" t="s">
        <v>371</v>
      </c>
      <c r="Q915" s="27" t="s">
        <v>372</v>
      </c>
      <c r="R915" s="556">
        <f t="shared" si="113"/>
        <v>0</v>
      </c>
      <c r="S915" s="556">
        <f t="shared" si="115"/>
        <v>0</v>
      </c>
      <c r="T915" s="556">
        <f t="shared" si="116"/>
        <v>0</v>
      </c>
      <c r="U915" s="556">
        <f t="shared" si="117"/>
        <v>0</v>
      </c>
      <c r="V915" s="556">
        <f t="shared" si="118"/>
        <v>0</v>
      </c>
      <c r="W915" s="556">
        <f t="shared" si="119"/>
        <v>0</v>
      </c>
      <c r="X915" s="556">
        <f t="shared" si="120"/>
        <v>0</v>
      </c>
      <c r="Y915" s="556">
        <f t="shared" si="121"/>
        <v>0</v>
      </c>
      <c r="Z915" s="556">
        <f t="shared" si="122"/>
        <v>0</v>
      </c>
      <c r="AA915" s="556">
        <f t="shared" si="123"/>
        <v>0</v>
      </c>
      <c r="AB915" s="556">
        <f t="shared" si="124"/>
        <v>0</v>
      </c>
      <c r="AC915" s="556">
        <f t="shared" si="125"/>
        <v>0</v>
      </c>
      <c r="AD915" s="556">
        <f t="shared" si="114"/>
        <v>0</v>
      </c>
      <c r="AE915" s="556">
        <f t="shared" si="127"/>
        <v>0</v>
      </c>
      <c r="AF915" s="556">
        <f t="shared" si="127"/>
        <v>403471.76</v>
      </c>
      <c r="AG915" s="556">
        <f t="shared" si="127"/>
        <v>385929.51</v>
      </c>
    </row>
    <row r="916" spans="1:33" hidden="1" x14ac:dyDescent="0.35">
      <c r="A916" t="b">
        <f t="shared" si="112"/>
        <v>1</v>
      </c>
      <c r="B916" s="448" t="s">
        <v>1361</v>
      </c>
      <c r="C916" s="27" t="s">
        <v>51</v>
      </c>
      <c r="D916" s="27" t="s">
        <v>1940</v>
      </c>
      <c r="E916" s="27" t="s">
        <v>51</v>
      </c>
      <c r="F916" s="27" t="s">
        <v>109</v>
      </c>
      <c r="G916" s="448" t="s">
        <v>1758</v>
      </c>
      <c r="H916" s="27" t="s">
        <v>54</v>
      </c>
      <c r="I916" s="27" t="s">
        <v>55</v>
      </c>
      <c r="J916" s="27" t="s">
        <v>101</v>
      </c>
      <c r="K916" s="27" t="s">
        <v>371</v>
      </c>
      <c r="L916" s="27" t="s">
        <v>371</v>
      </c>
      <c r="M916" s="27" t="s">
        <v>371</v>
      </c>
      <c r="N916" s="27" t="s">
        <v>371</v>
      </c>
      <c r="O916" s="27" t="s">
        <v>371</v>
      </c>
      <c r="P916" t="s">
        <v>371</v>
      </c>
      <c r="Q916" s="27" t="s">
        <v>372</v>
      </c>
      <c r="R916" s="556">
        <f t="shared" si="113"/>
        <v>0</v>
      </c>
      <c r="S916" s="556">
        <f t="shared" si="115"/>
        <v>0</v>
      </c>
      <c r="T916" s="556">
        <f t="shared" si="116"/>
        <v>0</v>
      </c>
      <c r="U916" s="556">
        <f t="shared" si="117"/>
        <v>0</v>
      </c>
      <c r="V916" s="556">
        <f t="shared" si="118"/>
        <v>0</v>
      </c>
      <c r="W916" s="556">
        <f t="shared" si="119"/>
        <v>0</v>
      </c>
      <c r="X916" s="556">
        <f t="shared" si="120"/>
        <v>0</v>
      </c>
      <c r="Y916" s="556">
        <f t="shared" si="121"/>
        <v>0</v>
      </c>
      <c r="Z916" s="556">
        <f t="shared" si="122"/>
        <v>0</v>
      </c>
      <c r="AA916" s="556">
        <f t="shared" si="123"/>
        <v>0</v>
      </c>
      <c r="AB916" s="556">
        <f t="shared" si="124"/>
        <v>0</v>
      </c>
      <c r="AC916" s="556">
        <f t="shared" si="125"/>
        <v>0</v>
      </c>
      <c r="AD916" s="556">
        <f t="shared" si="114"/>
        <v>0</v>
      </c>
      <c r="AE916" s="556">
        <f t="shared" si="127"/>
        <v>0</v>
      </c>
      <c r="AF916" s="556">
        <f t="shared" si="127"/>
        <v>248531.45</v>
      </c>
      <c r="AG916" s="556">
        <f t="shared" si="127"/>
        <v>307139.90000000002</v>
      </c>
    </row>
    <row r="917" spans="1:33" hidden="1" x14ac:dyDescent="0.35">
      <c r="A917" t="b">
        <f t="shared" si="112"/>
        <v>1</v>
      </c>
      <c r="B917" s="448" t="s">
        <v>1096</v>
      </c>
      <c r="C917" s="27" t="s">
        <v>51</v>
      </c>
      <c r="D917" s="27" t="s">
        <v>1759</v>
      </c>
      <c r="E917" s="27" t="s">
        <v>51</v>
      </c>
      <c r="F917" s="27" t="s">
        <v>385</v>
      </c>
      <c r="G917" s="448" t="s">
        <v>1097</v>
      </c>
      <c r="H917" s="27" t="s">
        <v>54</v>
      </c>
      <c r="I917" s="27" t="s">
        <v>55</v>
      </c>
      <c r="J917" s="27" t="s">
        <v>393</v>
      </c>
      <c r="K917" s="27" t="s">
        <v>371</v>
      </c>
      <c r="L917" s="27" t="s">
        <v>371</v>
      </c>
      <c r="M917" s="27" t="s">
        <v>371</v>
      </c>
      <c r="N917" s="27" t="s">
        <v>371</v>
      </c>
      <c r="O917" s="27" t="s">
        <v>371</v>
      </c>
      <c r="P917" s="27" t="s">
        <v>371</v>
      </c>
      <c r="Q917" s="27" t="s">
        <v>372</v>
      </c>
      <c r="R917" s="556">
        <f t="shared" si="113"/>
        <v>0</v>
      </c>
      <c r="S917" s="556">
        <f t="shared" si="115"/>
        <v>0</v>
      </c>
      <c r="T917" s="556">
        <f t="shared" si="116"/>
        <v>0</v>
      </c>
      <c r="U917" s="556">
        <f t="shared" si="117"/>
        <v>0</v>
      </c>
      <c r="V917" s="556">
        <f t="shared" si="118"/>
        <v>0</v>
      </c>
      <c r="W917" s="556">
        <f t="shared" si="119"/>
        <v>0</v>
      </c>
      <c r="X917" s="556">
        <f t="shared" si="120"/>
        <v>0</v>
      </c>
      <c r="Y917" s="556">
        <f t="shared" si="121"/>
        <v>0</v>
      </c>
      <c r="Z917" s="556">
        <f t="shared" si="122"/>
        <v>0</v>
      </c>
      <c r="AA917" s="556">
        <f t="shared" si="123"/>
        <v>0</v>
      </c>
      <c r="AB917" s="556">
        <f t="shared" si="124"/>
        <v>0</v>
      </c>
      <c r="AC917" s="556">
        <f t="shared" si="125"/>
        <v>0</v>
      </c>
      <c r="AD917" s="556">
        <f t="shared" si="114"/>
        <v>0</v>
      </c>
      <c r="AE917" s="556">
        <f t="shared" si="127"/>
        <v>0</v>
      </c>
      <c r="AF917" s="556">
        <f t="shared" si="127"/>
        <v>34673132.829999998</v>
      </c>
      <c r="AG917" s="556">
        <f t="shared" si="127"/>
        <v>0</v>
      </c>
    </row>
    <row r="918" spans="1:33" hidden="1" x14ac:dyDescent="0.35">
      <c r="A918" t="b">
        <f t="shared" si="112"/>
        <v>1</v>
      </c>
      <c r="B918" s="448" t="s">
        <v>1362</v>
      </c>
      <c r="C918" s="27" t="s">
        <v>51</v>
      </c>
      <c r="D918" s="27" t="s">
        <v>1941</v>
      </c>
      <c r="E918" s="27" t="s">
        <v>51</v>
      </c>
      <c r="F918" s="27" t="s">
        <v>713</v>
      </c>
      <c r="G918" s="448" t="s">
        <v>1098</v>
      </c>
      <c r="H918" s="27" t="s">
        <v>54</v>
      </c>
      <c r="I918" s="27" t="s">
        <v>440</v>
      </c>
      <c r="J918" s="27" t="s">
        <v>441</v>
      </c>
      <c r="K918" s="27" t="s">
        <v>371</v>
      </c>
      <c r="L918" s="27" t="s">
        <v>371</v>
      </c>
      <c r="M918" s="27" t="s">
        <v>371</v>
      </c>
      <c r="N918" s="27" t="s">
        <v>371</v>
      </c>
      <c r="O918" s="27" t="s">
        <v>371</v>
      </c>
      <c r="P918" s="27" t="s">
        <v>371</v>
      </c>
      <c r="Q918" s="27" t="s">
        <v>372</v>
      </c>
      <c r="R918" s="556">
        <f t="shared" si="113"/>
        <v>0</v>
      </c>
      <c r="S918" s="556">
        <f t="shared" si="115"/>
        <v>0</v>
      </c>
      <c r="T918" s="556">
        <f t="shared" si="116"/>
        <v>0</v>
      </c>
      <c r="U918" s="556">
        <f t="shared" si="117"/>
        <v>0</v>
      </c>
      <c r="V918" s="556">
        <f t="shared" si="118"/>
        <v>0</v>
      </c>
      <c r="W918" s="556">
        <f t="shared" si="119"/>
        <v>0</v>
      </c>
      <c r="X918" s="556">
        <f t="shared" si="120"/>
        <v>0</v>
      </c>
      <c r="Y918" s="556">
        <f t="shared" si="121"/>
        <v>0</v>
      </c>
      <c r="Z918" s="556">
        <f t="shared" si="122"/>
        <v>0</v>
      </c>
      <c r="AA918" s="556">
        <f t="shared" si="123"/>
        <v>0</v>
      </c>
      <c r="AB918" s="556">
        <f t="shared" si="124"/>
        <v>0</v>
      </c>
      <c r="AC918" s="556">
        <f t="shared" si="125"/>
        <v>-6205290</v>
      </c>
      <c r="AD918" s="556">
        <f t="shared" si="114"/>
        <v>0</v>
      </c>
      <c r="AE918" s="556">
        <f t="shared" si="127"/>
        <v>0</v>
      </c>
      <c r="AF918" s="556">
        <f t="shared" si="127"/>
        <v>-14053842</v>
      </c>
      <c r="AG918" s="556">
        <f t="shared" si="127"/>
        <v>-14053842</v>
      </c>
    </row>
    <row r="919" spans="1:33" hidden="1" x14ac:dyDescent="0.35">
      <c r="A919" t="b">
        <f t="shared" si="112"/>
        <v>1</v>
      </c>
      <c r="B919" s="448" t="s">
        <v>1363</v>
      </c>
      <c r="C919" s="27" t="s">
        <v>51</v>
      </c>
      <c r="D919" s="27" t="s">
        <v>1942</v>
      </c>
      <c r="E919" s="27" t="s">
        <v>51</v>
      </c>
      <c r="F919" s="27" t="s">
        <v>713</v>
      </c>
      <c r="G919" s="448" t="s">
        <v>1760</v>
      </c>
      <c r="H919" s="27" t="s">
        <v>54</v>
      </c>
      <c r="I919" s="27" t="s">
        <v>440</v>
      </c>
      <c r="J919" s="27" t="s">
        <v>441</v>
      </c>
      <c r="K919" s="27" t="s">
        <v>371</v>
      </c>
      <c r="L919" s="27" t="s">
        <v>371</v>
      </c>
      <c r="M919" s="27" t="s">
        <v>371</v>
      </c>
      <c r="N919" s="27" t="s">
        <v>371</v>
      </c>
      <c r="O919" s="27" t="s">
        <v>371</v>
      </c>
      <c r="P919" s="27" t="s">
        <v>371</v>
      </c>
      <c r="Q919" s="27" t="s">
        <v>372</v>
      </c>
      <c r="R919" s="556">
        <f t="shared" si="113"/>
        <v>0</v>
      </c>
      <c r="S919" s="556">
        <f t="shared" si="115"/>
        <v>0</v>
      </c>
      <c r="T919" s="556">
        <f t="shared" si="116"/>
        <v>0</v>
      </c>
      <c r="U919" s="556">
        <f t="shared" si="117"/>
        <v>0</v>
      </c>
      <c r="V919" s="556">
        <f t="shared" si="118"/>
        <v>0</v>
      </c>
      <c r="W919" s="556">
        <f t="shared" si="119"/>
        <v>0</v>
      </c>
      <c r="X919" s="556">
        <f t="shared" si="120"/>
        <v>0</v>
      </c>
      <c r="Y919" s="556">
        <f t="shared" si="121"/>
        <v>0</v>
      </c>
      <c r="Z919" s="556">
        <f t="shared" si="122"/>
        <v>0</v>
      </c>
      <c r="AA919" s="556">
        <f t="shared" si="123"/>
        <v>0</v>
      </c>
      <c r="AB919" s="556">
        <f t="shared" si="124"/>
        <v>0</v>
      </c>
      <c r="AC919" s="556">
        <f t="shared" si="125"/>
        <v>42685487.219999999</v>
      </c>
      <c r="AD919" s="556">
        <f t="shared" si="114"/>
        <v>0</v>
      </c>
      <c r="AE919" s="556">
        <f t="shared" si="127"/>
        <v>0</v>
      </c>
      <c r="AF919" s="556">
        <f t="shared" si="127"/>
        <v>36880588.539999999</v>
      </c>
      <c r="AG919" s="556">
        <f t="shared" si="127"/>
        <v>36880588.539999999</v>
      </c>
    </row>
    <row r="920" spans="1:33" hidden="1" x14ac:dyDescent="0.35">
      <c r="A920" t="b">
        <f t="shared" si="112"/>
        <v>1</v>
      </c>
      <c r="B920" s="448" t="s">
        <v>1364</v>
      </c>
      <c r="C920" s="27" t="s">
        <v>51</v>
      </c>
      <c r="D920" s="27" t="s">
        <v>1943</v>
      </c>
      <c r="E920" s="27" t="s">
        <v>51</v>
      </c>
      <c r="F920" s="27" t="s">
        <v>713</v>
      </c>
      <c r="G920" s="448" t="s">
        <v>1099</v>
      </c>
      <c r="H920" s="27" t="s">
        <v>54</v>
      </c>
      <c r="I920" s="27" t="s">
        <v>440</v>
      </c>
      <c r="J920" s="27" t="s">
        <v>441</v>
      </c>
      <c r="K920" s="27" t="s">
        <v>371</v>
      </c>
      <c r="L920" s="27" t="s">
        <v>371</v>
      </c>
      <c r="M920" s="27" t="s">
        <v>371</v>
      </c>
      <c r="N920" s="27" t="s">
        <v>371</v>
      </c>
      <c r="O920" s="27" t="s">
        <v>371</v>
      </c>
      <c r="P920" s="27" t="s">
        <v>371</v>
      </c>
      <c r="Q920" s="27" t="s">
        <v>372</v>
      </c>
      <c r="R920" s="556">
        <f t="shared" si="113"/>
        <v>0</v>
      </c>
      <c r="S920" s="556">
        <f t="shared" si="115"/>
        <v>0</v>
      </c>
      <c r="T920" s="556">
        <f t="shared" si="116"/>
        <v>0</v>
      </c>
      <c r="U920" s="556">
        <f t="shared" si="117"/>
        <v>0</v>
      </c>
      <c r="V920" s="556">
        <f t="shared" si="118"/>
        <v>0</v>
      </c>
      <c r="W920" s="556">
        <f t="shared" si="119"/>
        <v>0</v>
      </c>
      <c r="X920" s="556">
        <f t="shared" si="120"/>
        <v>0</v>
      </c>
      <c r="Y920" s="556">
        <f t="shared" si="121"/>
        <v>0</v>
      </c>
      <c r="Z920" s="556">
        <f t="shared" si="122"/>
        <v>0</v>
      </c>
      <c r="AA920" s="556">
        <f t="shared" si="123"/>
        <v>0</v>
      </c>
      <c r="AB920" s="556">
        <f t="shared" si="124"/>
        <v>0</v>
      </c>
      <c r="AC920" s="556">
        <f t="shared" si="125"/>
        <v>-42685487.219999999</v>
      </c>
      <c r="AD920" s="556">
        <f t="shared" si="114"/>
        <v>0</v>
      </c>
      <c r="AE920" s="556">
        <f t="shared" si="127"/>
        <v>0</v>
      </c>
      <c r="AF920" s="556">
        <f t="shared" si="127"/>
        <v>-36880588.539999999</v>
      </c>
      <c r="AG920" s="556">
        <f t="shared" si="127"/>
        <v>-36880588.539999999</v>
      </c>
    </row>
    <row r="921" spans="1:33" hidden="1" x14ac:dyDescent="0.35">
      <c r="A921" t="b">
        <f t="shared" ref="A921:A962" si="128">B443=B921</f>
        <v>1</v>
      </c>
      <c r="B921" s="448" t="s">
        <v>1365</v>
      </c>
      <c r="C921" s="27" t="s">
        <v>51</v>
      </c>
      <c r="D921" s="27" t="s">
        <v>1944</v>
      </c>
      <c r="E921" s="27" t="s">
        <v>51</v>
      </c>
      <c r="F921" s="27" t="s">
        <v>713</v>
      </c>
      <c r="G921" s="448" t="s">
        <v>1760</v>
      </c>
      <c r="H921" s="27" t="s">
        <v>54</v>
      </c>
      <c r="I921" s="27" t="s">
        <v>440</v>
      </c>
      <c r="J921" s="27" t="s">
        <v>441</v>
      </c>
      <c r="K921" s="27" t="s">
        <v>371</v>
      </c>
      <c r="L921" s="27" t="s">
        <v>371</v>
      </c>
      <c r="M921" s="27" t="s">
        <v>371</v>
      </c>
      <c r="N921" s="27" t="s">
        <v>371</v>
      </c>
      <c r="O921" s="27" t="s">
        <v>371</v>
      </c>
      <c r="P921" s="27" t="s">
        <v>371</v>
      </c>
      <c r="Q921" s="27" t="s">
        <v>372</v>
      </c>
      <c r="R921" s="556">
        <f t="shared" si="113"/>
        <v>0</v>
      </c>
      <c r="S921" s="556">
        <f t="shared" si="115"/>
        <v>0</v>
      </c>
      <c r="T921" s="556">
        <f t="shared" si="116"/>
        <v>0</v>
      </c>
      <c r="U921" s="556">
        <f t="shared" si="117"/>
        <v>0</v>
      </c>
      <c r="V921" s="556">
        <f t="shared" si="118"/>
        <v>0</v>
      </c>
      <c r="W921" s="556">
        <f t="shared" si="119"/>
        <v>0</v>
      </c>
      <c r="X921" s="556">
        <f t="shared" si="120"/>
        <v>0</v>
      </c>
      <c r="Y921" s="556">
        <f t="shared" si="121"/>
        <v>0</v>
      </c>
      <c r="Z921" s="556">
        <f t="shared" si="122"/>
        <v>0</v>
      </c>
      <c r="AA921" s="556">
        <f t="shared" si="123"/>
        <v>0</v>
      </c>
      <c r="AB921" s="556">
        <f t="shared" si="124"/>
        <v>0</v>
      </c>
      <c r="AC921" s="556">
        <f t="shared" si="125"/>
        <v>6205290</v>
      </c>
      <c r="AD921" s="556">
        <f t="shared" si="114"/>
        <v>0</v>
      </c>
      <c r="AE921" s="556">
        <f t="shared" si="127"/>
        <v>0</v>
      </c>
      <c r="AF921" s="556">
        <f t="shared" si="127"/>
        <v>14053842</v>
      </c>
      <c r="AG921" s="556">
        <f t="shared" si="127"/>
        <v>14053842</v>
      </c>
    </row>
    <row r="922" spans="1:33" hidden="1" x14ac:dyDescent="0.35">
      <c r="A922" t="b">
        <f t="shared" si="128"/>
        <v>1</v>
      </c>
      <c r="B922" t="s">
        <v>1945</v>
      </c>
      <c r="C922" s="27" t="s">
        <v>51</v>
      </c>
      <c r="D922" s="27" t="str">
        <f t="shared" ref="D922:D958" si="129">C922&amp;B922</f>
        <v>[VCN]100-100-100-2174</v>
      </c>
      <c r="E922" s="27" t="s">
        <v>51</v>
      </c>
      <c r="F922" s="27" t="s">
        <v>369</v>
      </c>
      <c r="G922" s="27" t="s">
        <v>1946</v>
      </c>
      <c r="H922" s="27" t="s">
        <v>54</v>
      </c>
      <c r="I922" t="s">
        <v>55</v>
      </c>
      <c r="J922" t="s">
        <v>370</v>
      </c>
      <c r="R922" s="556">
        <f t="shared" si="113"/>
        <v>0</v>
      </c>
      <c r="S922" s="556">
        <f t="shared" si="115"/>
        <v>0</v>
      </c>
      <c r="T922" s="556">
        <f t="shared" si="116"/>
        <v>0</v>
      </c>
      <c r="U922" s="556">
        <f t="shared" si="117"/>
        <v>0</v>
      </c>
      <c r="V922" s="556">
        <f t="shared" si="118"/>
        <v>0</v>
      </c>
      <c r="W922" s="556">
        <f t="shared" si="119"/>
        <v>0</v>
      </c>
      <c r="X922" s="556">
        <f t="shared" si="120"/>
        <v>0</v>
      </c>
      <c r="Y922" s="556">
        <f t="shared" si="121"/>
        <v>0</v>
      </c>
      <c r="Z922" s="556">
        <f t="shared" si="122"/>
        <v>0</v>
      </c>
      <c r="AA922" s="556">
        <f t="shared" si="123"/>
        <v>0</v>
      </c>
      <c r="AB922" s="556">
        <f t="shared" si="124"/>
        <v>0</v>
      </c>
      <c r="AC922" s="556">
        <f t="shared" si="125"/>
        <v>0</v>
      </c>
      <c r="AF922" s="556"/>
      <c r="AG922" s="556">
        <f t="shared" ref="AG922:AG960" si="130">+IF(AG$10="Actuals",IF($O444="Revenue",-IF($H444="BS",AG444,IF($H444="P&amp;L",AG444-AF444,0)),IF($H444="BS",AG444,IF($H444="P&amp;L",AG444-AF444,0))),0)</f>
        <v>20000</v>
      </c>
    </row>
    <row r="923" spans="1:33" hidden="1" x14ac:dyDescent="0.35">
      <c r="A923" t="b">
        <f t="shared" si="128"/>
        <v>1</v>
      </c>
      <c r="B923" t="s">
        <v>1947</v>
      </c>
      <c r="C923" s="27" t="s">
        <v>51</v>
      </c>
      <c r="D923" s="27" t="str">
        <f t="shared" si="129"/>
        <v>[VCN]100-100-100-2175</v>
      </c>
      <c r="E923" s="27" t="s">
        <v>51</v>
      </c>
      <c r="F923" s="27" t="s">
        <v>369</v>
      </c>
      <c r="G923" s="27" t="s">
        <v>1948</v>
      </c>
      <c r="H923" s="27" t="s">
        <v>54</v>
      </c>
      <c r="I923" t="s">
        <v>55</v>
      </c>
      <c r="J923" t="s">
        <v>370</v>
      </c>
      <c r="R923" s="556">
        <f t="shared" si="113"/>
        <v>0</v>
      </c>
      <c r="S923" s="556">
        <f t="shared" si="115"/>
        <v>0</v>
      </c>
      <c r="T923" s="556">
        <f t="shared" si="116"/>
        <v>0</v>
      </c>
      <c r="U923" s="556">
        <f t="shared" si="117"/>
        <v>0</v>
      </c>
      <c r="V923" s="556">
        <f t="shared" si="118"/>
        <v>0</v>
      </c>
      <c r="W923" s="556">
        <f t="shared" si="119"/>
        <v>0</v>
      </c>
      <c r="X923" s="556">
        <f t="shared" si="120"/>
        <v>0</v>
      </c>
      <c r="Y923" s="556">
        <f t="shared" si="121"/>
        <v>0</v>
      </c>
      <c r="Z923" s="556">
        <f t="shared" si="122"/>
        <v>0</v>
      </c>
      <c r="AA923" s="556">
        <f t="shared" si="123"/>
        <v>0</v>
      </c>
      <c r="AB923" s="556">
        <f t="shared" si="124"/>
        <v>0</v>
      </c>
      <c r="AC923" s="556">
        <f t="shared" si="125"/>
        <v>0</v>
      </c>
      <c r="AF923" s="556"/>
      <c r="AG923" s="556">
        <f t="shared" si="130"/>
        <v>20000</v>
      </c>
    </row>
    <row r="924" spans="1:33" hidden="1" x14ac:dyDescent="0.35">
      <c r="A924" t="b">
        <f t="shared" si="128"/>
        <v>1</v>
      </c>
      <c r="B924" t="s">
        <v>1949</v>
      </c>
      <c r="C924" s="27" t="s">
        <v>51</v>
      </c>
      <c r="D924" s="27" t="str">
        <f t="shared" si="129"/>
        <v>[VCN]100-100-100-2332</v>
      </c>
      <c r="E924" s="27" t="s">
        <v>51</v>
      </c>
      <c r="F924" s="27" t="s">
        <v>369</v>
      </c>
      <c r="G924" s="27" t="s">
        <v>1950</v>
      </c>
      <c r="H924" s="27" t="s">
        <v>54</v>
      </c>
      <c r="I924" t="s">
        <v>55</v>
      </c>
      <c r="J924" t="s">
        <v>370</v>
      </c>
      <c r="R924" s="556">
        <f t="shared" si="113"/>
        <v>0</v>
      </c>
      <c r="S924" s="556">
        <f t="shared" si="115"/>
        <v>0</v>
      </c>
      <c r="T924" s="556">
        <f t="shared" si="116"/>
        <v>0</v>
      </c>
      <c r="U924" s="556">
        <f t="shared" si="117"/>
        <v>0</v>
      </c>
      <c r="V924" s="556">
        <f t="shared" si="118"/>
        <v>0</v>
      </c>
      <c r="W924" s="556">
        <f t="shared" si="119"/>
        <v>0</v>
      </c>
      <c r="X924" s="556">
        <f t="shared" si="120"/>
        <v>0</v>
      </c>
      <c r="Y924" s="556">
        <f t="shared" si="121"/>
        <v>0</v>
      </c>
      <c r="Z924" s="556">
        <f t="shared" si="122"/>
        <v>0</v>
      </c>
      <c r="AA924" s="556">
        <f t="shared" si="123"/>
        <v>0</v>
      </c>
      <c r="AB924" s="556">
        <f t="shared" si="124"/>
        <v>0</v>
      </c>
      <c r="AC924" s="556">
        <f t="shared" si="125"/>
        <v>0</v>
      </c>
      <c r="AF924" s="556"/>
      <c r="AG924" s="556">
        <f t="shared" si="130"/>
        <v>0.01</v>
      </c>
    </row>
    <row r="925" spans="1:33" hidden="1" x14ac:dyDescent="0.35">
      <c r="A925" t="b">
        <f t="shared" si="128"/>
        <v>1</v>
      </c>
      <c r="B925" t="s">
        <v>1951</v>
      </c>
      <c r="C925" s="27" t="s">
        <v>51</v>
      </c>
      <c r="D925" s="27" t="str">
        <f t="shared" si="129"/>
        <v>[VCN]100-100-100-3137</v>
      </c>
      <c r="E925" s="27" t="s">
        <v>51</v>
      </c>
      <c r="F925" s="27" t="s">
        <v>369</v>
      </c>
      <c r="G925" s="27" t="s">
        <v>1952</v>
      </c>
      <c r="H925" s="27" t="s">
        <v>54</v>
      </c>
      <c r="I925" t="s">
        <v>55</v>
      </c>
      <c r="J925" t="s">
        <v>370</v>
      </c>
      <c r="R925" s="556">
        <f t="shared" si="113"/>
        <v>0</v>
      </c>
      <c r="S925" s="556">
        <f t="shared" si="115"/>
        <v>0</v>
      </c>
      <c r="T925" s="556">
        <f t="shared" si="116"/>
        <v>0</v>
      </c>
      <c r="U925" s="556">
        <f t="shared" si="117"/>
        <v>0</v>
      </c>
      <c r="V925" s="556">
        <f t="shared" si="118"/>
        <v>0</v>
      </c>
      <c r="W925" s="556">
        <f t="shared" si="119"/>
        <v>0</v>
      </c>
      <c r="X925" s="556">
        <f t="shared" si="120"/>
        <v>0</v>
      </c>
      <c r="Y925" s="556">
        <f t="shared" si="121"/>
        <v>0</v>
      </c>
      <c r="Z925" s="556">
        <f t="shared" si="122"/>
        <v>0</v>
      </c>
      <c r="AA925" s="556">
        <f t="shared" si="123"/>
        <v>0</v>
      </c>
      <c r="AB925" s="556">
        <f t="shared" si="124"/>
        <v>0</v>
      </c>
      <c r="AC925" s="556">
        <f t="shared" si="125"/>
        <v>0</v>
      </c>
      <c r="AF925" s="556"/>
      <c r="AG925" s="556">
        <f t="shared" si="130"/>
        <v>1973000</v>
      </c>
    </row>
    <row r="926" spans="1:33" hidden="1" x14ac:dyDescent="0.35">
      <c r="A926" t="b">
        <f t="shared" si="128"/>
        <v>1</v>
      </c>
      <c r="B926" t="s">
        <v>1953</v>
      </c>
      <c r="C926" s="27" t="s">
        <v>51</v>
      </c>
      <c r="D926" s="27" t="str">
        <f t="shared" si="129"/>
        <v>[VCN]100-100-100-4005</v>
      </c>
      <c r="E926" s="27" t="s">
        <v>51</v>
      </c>
      <c r="F926" s="27" t="s">
        <v>377</v>
      </c>
      <c r="G926" s="27" t="s">
        <v>1954</v>
      </c>
      <c r="H926" s="27" t="s">
        <v>54</v>
      </c>
      <c r="I926" t="s">
        <v>55</v>
      </c>
      <c r="J926" t="s">
        <v>56</v>
      </c>
      <c r="R926" s="556">
        <f t="shared" si="113"/>
        <v>0</v>
      </c>
      <c r="S926" s="556">
        <f t="shared" si="115"/>
        <v>0</v>
      </c>
      <c r="T926" s="556">
        <f t="shared" si="116"/>
        <v>0</v>
      </c>
      <c r="U926" s="556">
        <f t="shared" si="117"/>
        <v>0</v>
      </c>
      <c r="V926" s="556">
        <f t="shared" si="118"/>
        <v>0</v>
      </c>
      <c r="W926" s="556">
        <f t="shared" si="119"/>
        <v>0</v>
      </c>
      <c r="X926" s="556">
        <f t="shared" si="120"/>
        <v>0</v>
      </c>
      <c r="Y926" s="556">
        <f t="shared" si="121"/>
        <v>0</v>
      </c>
      <c r="Z926" s="556">
        <f t="shared" si="122"/>
        <v>0</v>
      </c>
      <c r="AA926" s="556">
        <f t="shared" si="123"/>
        <v>0</v>
      </c>
      <c r="AB926" s="556">
        <f t="shared" si="124"/>
        <v>0</v>
      </c>
      <c r="AC926" s="556">
        <f t="shared" si="125"/>
        <v>0</v>
      </c>
      <c r="AF926" s="556"/>
      <c r="AG926" s="556">
        <f t="shared" si="130"/>
        <v>-1303.51</v>
      </c>
    </row>
    <row r="927" spans="1:33" hidden="1" x14ac:dyDescent="0.35">
      <c r="A927" t="b">
        <f t="shared" si="128"/>
        <v>1</v>
      </c>
      <c r="B927" t="s">
        <v>1955</v>
      </c>
      <c r="C927" s="27" t="s">
        <v>51</v>
      </c>
      <c r="D927" s="27" t="str">
        <f t="shared" si="129"/>
        <v>[VCN]100-100-520-0001</v>
      </c>
      <c r="E927" s="27" t="s">
        <v>51</v>
      </c>
      <c r="F927" s="27" t="s">
        <v>119</v>
      </c>
      <c r="G927" s="27" t="s">
        <v>1956</v>
      </c>
      <c r="H927" s="27" t="s">
        <v>54</v>
      </c>
      <c r="I927" t="s">
        <v>55</v>
      </c>
      <c r="J927" t="s">
        <v>56</v>
      </c>
      <c r="R927" s="556">
        <f t="shared" si="113"/>
        <v>0</v>
      </c>
      <c r="S927" s="556">
        <f t="shared" si="115"/>
        <v>0</v>
      </c>
      <c r="T927" s="556">
        <f t="shared" si="116"/>
        <v>0</v>
      </c>
      <c r="U927" s="556">
        <f t="shared" si="117"/>
        <v>0</v>
      </c>
      <c r="V927" s="556">
        <f t="shared" si="118"/>
        <v>0</v>
      </c>
      <c r="W927" s="556">
        <f t="shared" si="119"/>
        <v>0</v>
      </c>
      <c r="X927" s="556">
        <f t="shared" si="120"/>
        <v>0</v>
      </c>
      <c r="Y927" s="556">
        <f t="shared" si="121"/>
        <v>0</v>
      </c>
      <c r="Z927" s="556">
        <f t="shared" si="122"/>
        <v>0</v>
      </c>
      <c r="AA927" s="556">
        <f t="shared" si="123"/>
        <v>0</v>
      </c>
      <c r="AB927" s="556">
        <f t="shared" si="124"/>
        <v>0</v>
      </c>
      <c r="AC927" s="556">
        <f t="shared" si="125"/>
        <v>0</v>
      </c>
      <c r="AF927" s="556"/>
      <c r="AG927" s="556">
        <f t="shared" si="130"/>
        <v>-3694.11</v>
      </c>
    </row>
    <row r="928" spans="1:33" hidden="1" x14ac:dyDescent="0.35">
      <c r="A928" t="b">
        <f t="shared" si="128"/>
        <v>1</v>
      </c>
      <c r="B928" t="s">
        <v>1957</v>
      </c>
      <c r="C928" s="27" t="s">
        <v>51</v>
      </c>
      <c r="D928" s="27" t="str">
        <f t="shared" si="129"/>
        <v>[VCN]100-100-550-0002</v>
      </c>
      <c r="E928" s="27" t="s">
        <v>51</v>
      </c>
      <c r="F928" s="27" t="s">
        <v>974</v>
      </c>
      <c r="G928" s="27" t="s">
        <v>1958</v>
      </c>
      <c r="H928" s="27" t="s">
        <v>54</v>
      </c>
      <c r="I928" t="s">
        <v>55</v>
      </c>
      <c r="J928" t="s">
        <v>56</v>
      </c>
      <c r="R928" s="556">
        <f t="shared" si="113"/>
        <v>0</v>
      </c>
      <c r="S928" s="556">
        <f t="shared" si="115"/>
        <v>0</v>
      </c>
      <c r="T928" s="556">
        <f t="shared" si="116"/>
        <v>0</v>
      </c>
      <c r="U928" s="556">
        <f t="shared" si="117"/>
        <v>0</v>
      </c>
      <c r="V928" s="556">
        <f t="shared" si="118"/>
        <v>0</v>
      </c>
      <c r="W928" s="556">
        <f t="shared" si="119"/>
        <v>0</v>
      </c>
      <c r="X928" s="556">
        <f t="shared" si="120"/>
        <v>0</v>
      </c>
      <c r="Y928" s="556">
        <f t="shared" si="121"/>
        <v>0</v>
      </c>
      <c r="Z928" s="556">
        <f t="shared" si="122"/>
        <v>0</v>
      </c>
      <c r="AA928" s="556">
        <f t="shared" si="123"/>
        <v>0</v>
      </c>
      <c r="AB928" s="556">
        <f t="shared" si="124"/>
        <v>0</v>
      </c>
      <c r="AC928" s="556">
        <f t="shared" si="125"/>
        <v>0</v>
      </c>
      <c r="AF928" s="556"/>
      <c r="AG928" s="556">
        <f t="shared" si="130"/>
        <v>585118.05000000005</v>
      </c>
    </row>
    <row r="929" spans="1:33" hidden="1" x14ac:dyDescent="0.35">
      <c r="A929" t="b">
        <f t="shared" si="128"/>
        <v>1</v>
      </c>
      <c r="B929" t="s">
        <v>1959</v>
      </c>
      <c r="C929" s="27" t="s">
        <v>51</v>
      </c>
      <c r="D929" s="27" t="str">
        <f t="shared" si="129"/>
        <v>[VCN]100-100-800-0004</v>
      </c>
      <c r="E929" s="27" t="s">
        <v>51</v>
      </c>
      <c r="F929" s="27" t="s">
        <v>378</v>
      </c>
      <c r="G929" s="27" t="s">
        <v>1960</v>
      </c>
      <c r="H929" s="27" t="s">
        <v>54</v>
      </c>
      <c r="I929" t="s">
        <v>55</v>
      </c>
      <c r="J929" t="s">
        <v>379</v>
      </c>
      <c r="R929" s="556">
        <f t="shared" si="113"/>
        <v>0</v>
      </c>
      <c r="S929" s="556">
        <f t="shared" si="115"/>
        <v>0</v>
      </c>
      <c r="T929" s="556">
        <f t="shared" si="116"/>
        <v>0</v>
      </c>
      <c r="U929" s="556">
        <f t="shared" si="117"/>
        <v>0</v>
      </c>
      <c r="V929" s="556">
        <f t="shared" si="118"/>
        <v>0</v>
      </c>
      <c r="W929" s="556">
        <f t="shared" si="119"/>
        <v>0</v>
      </c>
      <c r="X929" s="556">
        <f t="shared" si="120"/>
        <v>0</v>
      </c>
      <c r="Y929" s="556">
        <f t="shared" si="121"/>
        <v>0</v>
      </c>
      <c r="Z929" s="556">
        <f t="shared" si="122"/>
        <v>0</v>
      </c>
      <c r="AA929" s="556">
        <f t="shared" si="123"/>
        <v>0</v>
      </c>
      <c r="AB929" s="556">
        <f t="shared" si="124"/>
        <v>0</v>
      </c>
      <c r="AC929" s="556">
        <f t="shared" si="125"/>
        <v>0</v>
      </c>
      <c r="AF929" s="556"/>
      <c r="AG929" s="556">
        <f t="shared" si="130"/>
        <v>132165.6</v>
      </c>
    </row>
    <row r="930" spans="1:33" hidden="1" x14ac:dyDescent="0.35">
      <c r="A930" t="b">
        <f t="shared" si="128"/>
        <v>1</v>
      </c>
      <c r="B930" t="s">
        <v>1964</v>
      </c>
      <c r="C930" s="27" t="s">
        <v>51</v>
      </c>
      <c r="D930" s="27" t="str">
        <f t="shared" si="129"/>
        <v>[VCN]100-200-100-8001</v>
      </c>
      <c r="E930" s="27" t="s">
        <v>51</v>
      </c>
      <c r="F930" s="27" t="s">
        <v>90</v>
      </c>
      <c r="G930" s="27" t="s">
        <v>1965</v>
      </c>
      <c r="H930" s="27" t="s">
        <v>54</v>
      </c>
      <c r="I930" t="s">
        <v>55</v>
      </c>
      <c r="J930" t="s">
        <v>393</v>
      </c>
      <c r="R930" s="556">
        <f t="shared" si="113"/>
        <v>0</v>
      </c>
      <c r="S930" s="556">
        <f t="shared" si="115"/>
        <v>0</v>
      </c>
      <c r="T930" s="556">
        <f t="shared" si="116"/>
        <v>0</v>
      </c>
      <c r="U930" s="556">
        <f t="shared" si="117"/>
        <v>0</v>
      </c>
      <c r="V930" s="556">
        <f t="shared" si="118"/>
        <v>0</v>
      </c>
      <c r="W930" s="556">
        <f t="shared" si="119"/>
        <v>0</v>
      </c>
      <c r="X930" s="556">
        <f t="shared" si="120"/>
        <v>0</v>
      </c>
      <c r="Y930" s="556">
        <f t="shared" si="121"/>
        <v>0</v>
      </c>
      <c r="Z930" s="556">
        <f t="shared" si="122"/>
        <v>0</v>
      </c>
      <c r="AA930" s="556">
        <f t="shared" si="123"/>
        <v>0</v>
      </c>
      <c r="AB930" s="556">
        <f t="shared" si="124"/>
        <v>0</v>
      </c>
      <c r="AC930" s="556">
        <f t="shared" si="125"/>
        <v>0</v>
      </c>
      <c r="AF930" s="556"/>
      <c r="AG930" s="556">
        <f t="shared" si="130"/>
        <v>7907751.0800000001</v>
      </c>
    </row>
    <row r="931" spans="1:33" hidden="1" x14ac:dyDescent="0.35">
      <c r="A931" t="b">
        <f t="shared" si="128"/>
        <v>1</v>
      </c>
      <c r="B931" t="s">
        <v>1966</v>
      </c>
      <c r="C931" s="27" t="s">
        <v>51</v>
      </c>
      <c r="D931" s="27" t="str">
        <f t="shared" si="129"/>
        <v>[VCN]100-200-100-8003</v>
      </c>
      <c r="E931" s="27" t="s">
        <v>51</v>
      </c>
      <c r="F931" s="27" t="s">
        <v>90</v>
      </c>
      <c r="G931" s="27" t="s">
        <v>1967</v>
      </c>
      <c r="H931" s="27" t="s">
        <v>54</v>
      </c>
      <c r="I931" t="s">
        <v>55</v>
      </c>
      <c r="J931" t="s">
        <v>393</v>
      </c>
      <c r="R931" s="556">
        <f t="shared" si="113"/>
        <v>0</v>
      </c>
      <c r="S931" s="556">
        <f t="shared" si="115"/>
        <v>0</v>
      </c>
      <c r="T931" s="556">
        <f t="shared" si="116"/>
        <v>0</v>
      </c>
      <c r="U931" s="556">
        <f t="shared" si="117"/>
        <v>0</v>
      </c>
      <c r="V931" s="556">
        <f t="shared" si="118"/>
        <v>0</v>
      </c>
      <c r="W931" s="556">
        <f t="shared" si="119"/>
        <v>0</v>
      </c>
      <c r="X931" s="556">
        <f t="shared" si="120"/>
        <v>0</v>
      </c>
      <c r="Y931" s="556">
        <f t="shared" si="121"/>
        <v>0</v>
      </c>
      <c r="Z931" s="556">
        <f t="shared" si="122"/>
        <v>0</v>
      </c>
      <c r="AA931" s="556">
        <f t="shared" si="123"/>
        <v>0</v>
      </c>
      <c r="AB931" s="556">
        <f t="shared" si="124"/>
        <v>0</v>
      </c>
      <c r="AC931" s="556">
        <f t="shared" si="125"/>
        <v>0</v>
      </c>
      <c r="AF931" s="556"/>
      <c r="AG931" s="556">
        <f t="shared" si="130"/>
        <v>-1506238.33</v>
      </c>
    </row>
    <row r="932" spans="1:33" hidden="1" x14ac:dyDescent="0.35">
      <c r="A932" t="b">
        <f t="shared" si="128"/>
        <v>1</v>
      </c>
      <c r="B932" t="s">
        <v>1972</v>
      </c>
      <c r="C932" s="27" t="s">
        <v>51</v>
      </c>
      <c r="D932" s="27" t="str">
        <f t="shared" si="129"/>
        <v>[VCN]100-200-100-9005</v>
      </c>
      <c r="E932" s="27" t="s">
        <v>51</v>
      </c>
      <c r="F932" s="27" t="s">
        <v>90</v>
      </c>
      <c r="G932" s="27" t="s">
        <v>1973</v>
      </c>
      <c r="H932" s="27" t="s">
        <v>54</v>
      </c>
      <c r="I932" t="s">
        <v>55</v>
      </c>
      <c r="J932" t="s">
        <v>393</v>
      </c>
      <c r="R932" s="556">
        <f t="shared" si="113"/>
        <v>0</v>
      </c>
      <c r="S932" s="556">
        <f t="shared" si="115"/>
        <v>0</v>
      </c>
      <c r="T932" s="556">
        <f t="shared" si="116"/>
        <v>0</v>
      </c>
      <c r="U932" s="556">
        <f t="shared" si="117"/>
        <v>0</v>
      </c>
      <c r="V932" s="556">
        <f t="shared" si="118"/>
        <v>0</v>
      </c>
      <c r="W932" s="556">
        <f t="shared" si="119"/>
        <v>0</v>
      </c>
      <c r="X932" s="556">
        <f t="shared" si="120"/>
        <v>0</v>
      </c>
      <c r="Y932" s="556">
        <f t="shared" si="121"/>
        <v>0</v>
      </c>
      <c r="Z932" s="556">
        <f t="shared" si="122"/>
        <v>0</v>
      </c>
      <c r="AA932" s="556">
        <f t="shared" si="123"/>
        <v>0</v>
      </c>
      <c r="AB932" s="556">
        <f t="shared" si="124"/>
        <v>0</v>
      </c>
      <c r="AC932" s="556">
        <f t="shared" si="125"/>
        <v>0</v>
      </c>
      <c r="AF932" s="556"/>
      <c r="AG932" s="556">
        <f t="shared" si="130"/>
        <v>4233399.3</v>
      </c>
    </row>
    <row r="933" spans="1:33" hidden="1" x14ac:dyDescent="0.35">
      <c r="A933" t="b">
        <f t="shared" si="128"/>
        <v>1</v>
      </c>
      <c r="B933" t="s">
        <v>1974</v>
      </c>
      <c r="C933" s="27" t="s">
        <v>51</v>
      </c>
      <c r="D933" s="27" t="str">
        <f t="shared" si="129"/>
        <v>[VCN]100-200-100-9006</v>
      </c>
      <c r="E933" s="27" t="s">
        <v>51</v>
      </c>
      <c r="F933" s="27" t="s">
        <v>90</v>
      </c>
      <c r="G933" s="27" t="s">
        <v>1975</v>
      </c>
      <c r="H933" s="27" t="s">
        <v>54</v>
      </c>
      <c r="I933" t="s">
        <v>55</v>
      </c>
      <c r="J933" t="s">
        <v>393</v>
      </c>
      <c r="R933" s="556">
        <f t="shared" si="113"/>
        <v>0</v>
      </c>
      <c r="S933" s="556">
        <f t="shared" si="115"/>
        <v>0</v>
      </c>
      <c r="T933" s="556">
        <f t="shared" si="116"/>
        <v>0</v>
      </c>
      <c r="U933" s="556">
        <f t="shared" si="117"/>
        <v>0</v>
      </c>
      <c r="V933" s="556">
        <f t="shared" si="118"/>
        <v>0</v>
      </c>
      <c r="W933" s="556">
        <f t="shared" si="119"/>
        <v>0</v>
      </c>
      <c r="X933" s="556">
        <f t="shared" si="120"/>
        <v>0</v>
      </c>
      <c r="Y933" s="556">
        <f t="shared" si="121"/>
        <v>0</v>
      </c>
      <c r="Z933" s="556">
        <f t="shared" si="122"/>
        <v>0</v>
      </c>
      <c r="AA933" s="556">
        <f t="shared" si="123"/>
        <v>0</v>
      </c>
      <c r="AB933" s="556">
        <f t="shared" si="124"/>
        <v>0</v>
      </c>
      <c r="AC933" s="556">
        <f t="shared" si="125"/>
        <v>0</v>
      </c>
      <c r="AF933" s="556"/>
      <c r="AG933" s="556">
        <f t="shared" si="130"/>
        <v>-1786908.23</v>
      </c>
    </row>
    <row r="934" spans="1:33" hidden="1" x14ac:dyDescent="0.35">
      <c r="A934" t="b">
        <f t="shared" si="128"/>
        <v>1</v>
      </c>
      <c r="B934" t="s">
        <v>1976</v>
      </c>
      <c r="C934" s="27" t="s">
        <v>51</v>
      </c>
      <c r="D934" s="27" t="str">
        <f t="shared" si="129"/>
        <v>[VCN]100-200-100-9008</v>
      </c>
      <c r="E934" s="27" t="s">
        <v>51</v>
      </c>
      <c r="F934" s="27" t="s">
        <v>90</v>
      </c>
      <c r="G934" s="27" t="s">
        <v>1977</v>
      </c>
      <c r="H934" s="27" t="s">
        <v>54</v>
      </c>
      <c r="I934" t="s">
        <v>55</v>
      </c>
      <c r="J934" t="s">
        <v>393</v>
      </c>
      <c r="R934" s="556">
        <f t="shared" si="113"/>
        <v>0</v>
      </c>
      <c r="S934" s="556">
        <f t="shared" si="115"/>
        <v>0</v>
      </c>
      <c r="T934" s="556">
        <f t="shared" si="116"/>
        <v>0</v>
      </c>
      <c r="U934" s="556">
        <f t="shared" si="117"/>
        <v>0</v>
      </c>
      <c r="V934" s="556">
        <f t="shared" si="118"/>
        <v>0</v>
      </c>
      <c r="W934" s="556">
        <f t="shared" si="119"/>
        <v>0</v>
      </c>
      <c r="X934" s="556">
        <f t="shared" si="120"/>
        <v>0</v>
      </c>
      <c r="Y934" s="556">
        <f t="shared" si="121"/>
        <v>0</v>
      </c>
      <c r="Z934" s="556">
        <f t="shared" si="122"/>
        <v>0</v>
      </c>
      <c r="AA934" s="556">
        <f t="shared" si="123"/>
        <v>0</v>
      </c>
      <c r="AB934" s="556">
        <f t="shared" si="124"/>
        <v>0</v>
      </c>
      <c r="AC934" s="556">
        <f t="shared" si="125"/>
        <v>0</v>
      </c>
      <c r="AF934" s="556"/>
      <c r="AG934" s="556">
        <f t="shared" si="130"/>
        <v>-3703805.72</v>
      </c>
    </row>
    <row r="935" spans="1:33" hidden="1" x14ac:dyDescent="0.35">
      <c r="A935" t="b">
        <f t="shared" si="128"/>
        <v>1</v>
      </c>
      <c r="B935" t="s">
        <v>1978</v>
      </c>
      <c r="C935" s="27" t="s">
        <v>51</v>
      </c>
      <c r="D935" s="27" t="str">
        <f t="shared" si="129"/>
        <v>[VCN]100-200-100-9009</v>
      </c>
      <c r="E935" s="27" t="s">
        <v>51</v>
      </c>
      <c r="F935" s="27" t="s">
        <v>90</v>
      </c>
      <c r="G935" s="27" t="s">
        <v>1979</v>
      </c>
      <c r="H935" s="27" t="s">
        <v>54</v>
      </c>
      <c r="I935" t="s">
        <v>55</v>
      </c>
      <c r="J935" t="s">
        <v>393</v>
      </c>
      <c r="R935" s="556">
        <f t="shared" si="113"/>
        <v>0</v>
      </c>
      <c r="S935" s="556">
        <f t="shared" si="115"/>
        <v>0</v>
      </c>
      <c r="T935" s="556">
        <f t="shared" si="116"/>
        <v>0</v>
      </c>
      <c r="U935" s="556">
        <f t="shared" si="117"/>
        <v>0</v>
      </c>
      <c r="V935" s="556">
        <f t="shared" si="118"/>
        <v>0</v>
      </c>
      <c r="W935" s="556">
        <f t="shared" si="119"/>
        <v>0</v>
      </c>
      <c r="X935" s="556">
        <f t="shared" si="120"/>
        <v>0</v>
      </c>
      <c r="Y935" s="556">
        <f t="shared" si="121"/>
        <v>0</v>
      </c>
      <c r="Z935" s="556">
        <f t="shared" si="122"/>
        <v>0</v>
      </c>
      <c r="AA935" s="556">
        <f t="shared" si="123"/>
        <v>0</v>
      </c>
      <c r="AB935" s="556">
        <f t="shared" si="124"/>
        <v>0</v>
      </c>
      <c r="AC935" s="556">
        <f t="shared" si="125"/>
        <v>0</v>
      </c>
      <c r="AF935" s="556"/>
      <c r="AG935" s="556">
        <f t="shared" si="130"/>
        <v>14916623.93</v>
      </c>
    </row>
    <row r="936" spans="1:33" hidden="1" x14ac:dyDescent="0.35">
      <c r="A936" t="b">
        <f t="shared" si="128"/>
        <v>1</v>
      </c>
      <c r="B936" t="s">
        <v>1980</v>
      </c>
      <c r="C936" s="27" t="s">
        <v>51</v>
      </c>
      <c r="D936" s="27" t="str">
        <f t="shared" si="129"/>
        <v>[VCN]100-200-100-9010</v>
      </c>
      <c r="E936" s="27" t="s">
        <v>51</v>
      </c>
      <c r="F936" s="27" t="s">
        <v>90</v>
      </c>
      <c r="G936" s="27" t="s">
        <v>1981</v>
      </c>
      <c r="H936" s="27" t="s">
        <v>54</v>
      </c>
      <c r="I936" t="s">
        <v>55</v>
      </c>
      <c r="J936" t="s">
        <v>393</v>
      </c>
      <c r="R936" s="556">
        <f t="shared" si="113"/>
        <v>0</v>
      </c>
      <c r="S936" s="556">
        <f t="shared" si="115"/>
        <v>0</v>
      </c>
      <c r="T936" s="556">
        <f t="shared" si="116"/>
        <v>0</v>
      </c>
      <c r="U936" s="556">
        <f t="shared" si="117"/>
        <v>0</v>
      </c>
      <c r="V936" s="556">
        <f t="shared" si="118"/>
        <v>0</v>
      </c>
      <c r="W936" s="556">
        <f t="shared" si="119"/>
        <v>0</v>
      </c>
      <c r="X936" s="556">
        <f t="shared" si="120"/>
        <v>0</v>
      </c>
      <c r="Y936" s="556">
        <f t="shared" si="121"/>
        <v>0</v>
      </c>
      <c r="Z936" s="556">
        <f t="shared" si="122"/>
        <v>0</v>
      </c>
      <c r="AA936" s="556">
        <f t="shared" si="123"/>
        <v>0</v>
      </c>
      <c r="AB936" s="556">
        <f t="shared" si="124"/>
        <v>0</v>
      </c>
      <c r="AC936" s="556">
        <f t="shared" si="125"/>
        <v>0</v>
      </c>
      <c r="AF936" s="556"/>
      <c r="AG936" s="556">
        <f t="shared" si="130"/>
        <v>-3726846.66</v>
      </c>
    </row>
    <row r="937" spans="1:33" hidden="1" x14ac:dyDescent="0.35">
      <c r="A937" t="b">
        <f t="shared" si="128"/>
        <v>1</v>
      </c>
      <c r="B937" t="s">
        <v>1982</v>
      </c>
      <c r="C937" s="27" t="s">
        <v>51</v>
      </c>
      <c r="D937" s="27" t="str">
        <f t="shared" si="129"/>
        <v>[VCN]100-200-100-9012</v>
      </c>
      <c r="E937" s="27" t="s">
        <v>51</v>
      </c>
      <c r="F937" s="27" t="s">
        <v>90</v>
      </c>
      <c r="G937" s="27" t="s">
        <v>1983</v>
      </c>
      <c r="H937" s="27" t="s">
        <v>54</v>
      </c>
      <c r="I937" t="s">
        <v>55</v>
      </c>
      <c r="J937" t="s">
        <v>393</v>
      </c>
      <c r="R937" s="556">
        <f t="shared" si="113"/>
        <v>0</v>
      </c>
      <c r="S937" s="556">
        <f t="shared" si="115"/>
        <v>0</v>
      </c>
      <c r="T937" s="556">
        <f t="shared" si="116"/>
        <v>0</v>
      </c>
      <c r="U937" s="556">
        <f t="shared" si="117"/>
        <v>0</v>
      </c>
      <c r="V937" s="556">
        <f t="shared" si="118"/>
        <v>0</v>
      </c>
      <c r="W937" s="556">
        <f t="shared" si="119"/>
        <v>0</v>
      </c>
      <c r="X937" s="556">
        <f t="shared" si="120"/>
        <v>0</v>
      </c>
      <c r="Y937" s="556">
        <f t="shared" si="121"/>
        <v>0</v>
      </c>
      <c r="Z937" s="556">
        <f t="shared" si="122"/>
        <v>0</v>
      </c>
      <c r="AA937" s="556">
        <f t="shared" si="123"/>
        <v>0</v>
      </c>
      <c r="AB937" s="556">
        <f t="shared" si="124"/>
        <v>0</v>
      </c>
      <c r="AC937" s="556">
        <f t="shared" si="125"/>
        <v>0</v>
      </c>
      <c r="AF937" s="556"/>
      <c r="AG937" s="556">
        <f t="shared" si="130"/>
        <v>-4716638.8499999996</v>
      </c>
    </row>
    <row r="938" spans="1:33" hidden="1" x14ac:dyDescent="0.35">
      <c r="A938" t="b">
        <f t="shared" si="128"/>
        <v>1</v>
      </c>
      <c r="B938" t="s">
        <v>1984</v>
      </c>
      <c r="C938" s="27" t="s">
        <v>51</v>
      </c>
      <c r="D938" s="27" t="str">
        <f t="shared" si="129"/>
        <v>[VCN]100-200-700-0008</v>
      </c>
      <c r="E938" s="27" t="s">
        <v>51</v>
      </c>
      <c r="F938" s="27" t="s">
        <v>85</v>
      </c>
      <c r="G938" s="27" t="s">
        <v>1985</v>
      </c>
      <c r="H938" s="27" t="s">
        <v>54</v>
      </c>
      <c r="I938" t="s">
        <v>55</v>
      </c>
      <c r="J938" t="s">
        <v>101</v>
      </c>
      <c r="R938" s="556">
        <f t="shared" si="113"/>
        <v>0</v>
      </c>
      <c r="S938" s="556">
        <f t="shared" si="115"/>
        <v>0</v>
      </c>
      <c r="T938" s="556">
        <f t="shared" si="116"/>
        <v>0</v>
      </c>
      <c r="U938" s="556">
        <f t="shared" si="117"/>
        <v>0</v>
      </c>
      <c r="V938" s="556">
        <f t="shared" si="118"/>
        <v>0</v>
      </c>
      <c r="W938" s="556">
        <f t="shared" si="119"/>
        <v>0</v>
      </c>
      <c r="X938" s="556">
        <f t="shared" si="120"/>
        <v>0</v>
      </c>
      <c r="Y938" s="556">
        <f t="shared" si="121"/>
        <v>0</v>
      </c>
      <c r="Z938" s="556">
        <f t="shared" si="122"/>
        <v>0</v>
      </c>
      <c r="AA938" s="556">
        <f t="shared" si="123"/>
        <v>0</v>
      </c>
      <c r="AB938" s="556">
        <f t="shared" si="124"/>
        <v>0</v>
      </c>
      <c r="AC938" s="556">
        <f t="shared" si="125"/>
        <v>0</v>
      </c>
      <c r="AF938" s="556"/>
      <c r="AG938" s="556">
        <f t="shared" si="130"/>
        <v>2500720.13</v>
      </c>
    </row>
    <row r="939" spans="1:33" hidden="1" x14ac:dyDescent="0.35">
      <c r="A939" t="b">
        <f t="shared" si="128"/>
        <v>1</v>
      </c>
      <c r="B939" t="s">
        <v>1986</v>
      </c>
      <c r="C939" s="27" t="s">
        <v>51</v>
      </c>
      <c r="D939" s="27" t="str">
        <f t="shared" si="129"/>
        <v>[VCN]200-100-700-5009</v>
      </c>
      <c r="E939" s="27" t="s">
        <v>51</v>
      </c>
      <c r="F939" s="27" t="s">
        <v>434</v>
      </c>
      <c r="G939" s="27" t="s">
        <v>1987</v>
      </c>
      <c r="H939" s="27" t="s">
        <v>54</v>
      </c>
      <c r="I939" t="s">
        <v>142</v>
      </c>
      <c r="J939" t="s">
        <v>436</v>
      </c>
      <c r="R939" s="556">
        <f t="shared" ref="R939:R961" si="131">+IF(R$10="Actuals",IF($O461="Revenue",-IF($H461="BS",R461,IF($H461="P&amp;L",R461,0)),IF($H461="BS",R461,IF($H461="P&amp;L",R461,0))),0)</f>
        <v>0</v>
      </c>
      <c r="S939" s="556">
        <f t="shared" si="115"/>
        <v>0</v>
      </c>
      <c r="T939" s="556">
        <f t="shared" si="116"/>
        <v>0</v>
      </c>
      <c r="U939" s="556">
        <f t="shared" si="117"/>
        <v>0</v>
      </c>
      <c r="V939" s="556">
        <f t="shared" si="118"/>
        <v>0</v>
      </c>
      <c r="W939" s="556">
        <f t="shared" si="119"/>
        <v>0</v>
      </c>
      <c r="X939" s="556">
        <f t="shared" si="120"/>
        <v>0</v>
      </c>
      <c r="Y939" s="556">
        <f t="shared" si="121"/>
        <v>0</v>
      </c>
      <c r="Z939" s="556">
        <f t="shared" si="122"/>
        <v>0</v>
      </c>
      <c r="AA939" s="556">
        <f t="shared" si="123"/>
        <v>0</v>
      </c>
      <c r="AB939" s="556">
        <f t="shared" si="124"/>
        <v>0</v>
      </c>
      <c r="AC939" s="556">
        <f t="shared" si="125"/>
        <v>0</v>
      </c>
      <c r="AF939" s="556"/>
      <c r="AG939" s="556">
        <f t="shared" si="130"/>
        <v>-35107.5</v>
      </c>
    </row>
    <row r="940" spans="1:33" hidden="1" x14ac:dyDescent="0.35">
      <c r="A940" t="b">
        <f t="shared" si="128"/>
        <v>1</v>
      </c>
      <c r="B940" t="s">
        <v>1988</v>
      </c>
      <c r="C940" s="27" t="s">
        <v>51</v>
      </c>
      <c r="D940" s="27" t="str">
        <f t="shared" si="129"/>
        <v>[VCN]200-100-800-0003</v>
      </c>
      <c r="E940" s="27" t="s">
        <v>51</v>
      </c>
      <c r="F940" s="27" t="s">
        <v>434</v>
      </c>
      <c r="G940" s="27" t="s">
        <v>1989</v>
      </c>
      <c r="H940" s="27" t="s">
        <v>54</v>
      </c>
      <c r="I940" t="s">
        <v>142</v>
      </c>
      <c r="J940" t="s">
        <v>436</v>
      </c>
      <c r="R940" s="556">
        <f t="shared" si="131"/>
        <v>0</v>
      </c>
      <c r="S940" s="556">
        <f t="shared" ref="S940:S960" si="132">+IF(S$10="Actuals",IF($O462="Revenue",-IF($H462="BS",S462,IF($H462="P&amp;L",S462-R462,0)),IF($H462="BS",S462,IF($H462="P&amp;L",S462-R462,0))),0)</f>
        <v>0</v>
      </c>
      <c r="T940" s="556">
        <f t="shared" ref="T940:T960" si="133">+IF(T$10="Actuals",IF($O462="Revenue",-IF($H462="BS",T462,IF($H462="P&amp;L",T462-S462,0)),IF($H462="BS",T462,IF($H462="P&amp;L",T462-S462,0))),0)</f>
        <v>0</v>
      </c>
      <c r="U940" s="556">
        <f t="shared" ref="U940:U960" si="134">+IF(U$10="Actuals",IF($O462="Revenue",-IF($H462="BS",U462,IF($H462="P&amp;L",U462-T462,0)),IF($H462="BS",U462,IF($H462="P&amp;L",U462-T462,0))),0)</f>
        <v>0</v>
      </c>
      <c r="V940" s="556">
        <f t="shared" ref="V940:V960" si="135">+IF(V$10="Actuals",IF($O462="Revenue",-IF($H462="BS",V462,IF($H462="P&amp;L",V462-U462,0)),IF($H462="BS",V462,IF($H462="P&amp;L",V462-U462,0))),0)</f>
        <v>0</v>
      </c>
      <c r="W940" s="556">
        <f t="shared" ref="W940:W960" si="136">+IF(W$10="Actuals",IF($O462="Revenue",-IF($H462="BS",W462,IF($H462="P&amp;L",W462-V462,0)),IF($H462="BS",W462,IF($H462="P&amp;L",W462-V462,0))),0)</f>
        <v>0</v>
      </c>
      <c r="X940" s="556">
        <f t="shared" ref="X940:X960" si="137">+IF(X$10="Actuals",IF($O462="Revenue",-IF($H462="BS",X462,IF($H462="P&amp;L",X462-W462,0)),IF($H462="BS",X462,IF($H462="P&amp;L",X462-W462,0))),0)</f>
        <v>0</v>
      </c>
      <c r="Y940" s="556">
        <f t="shared" ref="Y940:Y960" si="138">+IF(Y$10="Actuals",IF($O462="Revenue",-IF($H462="BS",Y462,IF($H462="P&amp;L",Y462-X462,0)),IF($H462="BS",Y462,IF($H462="P&amp;L",Y462-X462,0))),0)</f>
        <v>0</v>
      </c>
      <c r="Z940" s="556">
        <f t="shared" ref="Z940:Z960" si="139">+IF(Z$10="Actuals",IF($O462="Revenue",-IF($H462="BS",Z462,IF($H462="P&amp;L",Z462-Y462,0)),IF($H462="BS",Z462,IF($H462="P&amp;L",Z462-Y462,0))),0)</f>
        <v>0</v>
      </c>
      <c r="AA940" s="556">
        <f t="shared" ref="AA940:AA960" si="140">+IF(AA$10="Actuals",IF($O462="Revenue",-IF($H462="BS",AA462,IF($H462="P&amp;L",AA462-Z462,0)),IF($H462="BS",AA462,IF($H462="P&amp;L",AA462-Z462,0))),0)</f>
        <v>0</v>
      </c>
      <c r="AB940" s="556">
        <f t="shared" ref="AB940:AB960" si="141">+IF(AB$10="Actuals",IF($O462="Revenue",-IF($H462="BS",AB462,IF($H462="P&amp;L",AB462-AA462,0)),IF($H462="BS",AB462,IF($H462="P&amp;L",AB462-AA462,0))),0)</f>
        <v>0</v>
      </c>
      <c r="AC940" s="556">
        <f t="shared" ref="AC940:AC960" si="142">+IF(AC$10="Actuals",IF($O462="Revenue",-IF($H462="BS",AC462,IF($H462="P&amp;L",AC462-AB462,0)),IF($H462="BS",AC462,IF($H462="P&amp;L",AC462-AB462,0))),0)</f>
        <v>0</v>
      </c>
      <c r="AF940" s="556"/>
      <c r="AG940" s="556">
        <f t="shared" si="130"/>
        <v>10520</v>
      </c>
    </row>
    <row r="941" spans="1:33" hidden="1" x14ac:dyDescent="0.35">
      <c r="A941" t="b">
        <f t="shared" si="128"/>
        <v>1</v>
      </c>
      <c r="B941" t="s">
        <v>1990</v>
      </c>
      <c r="C941" s="27" t="s">
        <v>51</v>
      </c>
      <c r="D941" s="27" t="str">
        <f t="shared" si="129"/>
        <v>[VCN]200-101-100-1009</v>
      </c>
      <c r="E941" s="27" t="s">
        <v>51</v>
      </c>
      <c r="F941" s="27" t="s">
        <v>434</v>
      </c>
      <c r="G941" s="27" t="s">
        <v>1991</v>
      </c>
      <c r="H941" s="27" t="s">
        <v>54</v>
      </c>
      <c r="I941" t="s">
        <v>142</v>
      </c>
      <c r="J941" t="s">
        <v>436</v>
      </c>
      <c r="R941" s="556">
        <f t="shared" si="131"/>
        <v>0</v>
      </c>
      <c r="S941" s="556">
        <f t="shared" si="132"/>
        <v>0</v>
      </c>
      <c r="T941" s="556">
        <f t="shared" si="133"/>
        <v>0</v>
      </c>
      <c r="U941" s="556">
        <f t="shared" si="134"/>
        <v>0</v>
      </c>
      <c r="V941" s="556">
        <f t="shared" si="135"/>
        <v>0</v>
      </c>
      <c r="W941" s="556">
        <f t="shared" si="136"/>
        <v>0</v>
      </c>
      <c r="X941" s="556">
        <f t="shared" si="137"/>
        <v>0</v>
      </c>
      <c r="Y941" s="556">
        <f t="shared" si="138"/>
        <v>0</v>
      </c>
      <c r="Z941" s="556">
        <f t="shared" si="139"/>
        <v>0</v>
      </c>
      <c r="AA941" s="556">
        <f t="shared" si="140"/>
        <v>0</v>
      </c>
      <c r="AB941" s="556">
        <f t="shared" si="141"/>
        <v>0</v>
      </c>
      <c r="AC941" s="556">
        <f t="shared" si="142"/>
        <v>0</v>
      </c>
      <c r="AF941" s="556"/>
      <c r="AG941" s="556">
        <f t="shared" si="130"/>
        <v>39278.019999999997</v>
      </c>
    </row>
    <row r="942" spans="1:33" hidden="1" x14ac:dyDescent="0.35">
      <c r="A942" t="b">
        <f t="shared" si="128"/>
        <v>1</v>
      </c>
      <c r="B942" t="s">
        <v>1992</v>
      </c>
      <c r="C942" s="27" t="s">
        <v>51</v>
      </c>
      <c r="D942" s="27" t="str">
        <f t="shared" si="129"/>
        <v>[VCN]200-101-101-1003</v>
      </c>
      <c r="E942" s="27" t="s">
        <v>51</v>
      </c>
      <c r="F942" s="27" t="s">
        <v>434</v>
      </c>
      <c r="G942" s="27" t="s">
        <v>1993</v>
      </c>
      <c r="H942" s="27" t="s">
        <v>54</v>
      </c>
      <c r="I942" t="s">
        <v>142</v>
      </c>
      <c r="J942" t="s">
        <v>436</v>
      </c>
      <c r="R942" s="556">
        <f t="shared" si="131"/>
        <v>0</v>
      </c>
      <c r="S942" s="556">
        <f t="shared" si="132"/>
        <v>0</v>
      </c>
      <c r="T942" s="556">
        <f t="shared" si="133"/>
        <v>0</v>
      </c>
      <c r="U942" s="556">
        <f t="shared" si="134"/>
        <v>0</v>
      </c>
      <c r="V942" s="556">
        <f t="shared" si="135"/>
        <v>0</v>
      </c>
      <c r="W942" s="556">
        <f t="shared" si="136"/>
        <v>0</v>
      </c>
      <c r="X942" s="556">
        <f t="shared" si="137"/>
        <v>0</v>
      </c>
      <c r="Y942" s="556">
        <f t="shared" si="138"/>
        <v>0</v>
      </c>
      <c r="Z942" s="556">
        <f t="shared" si="139"/>
        <v>0</v>
      </c>
      <c r="AA942" s="556">
        <f t="shared" si="140"/>
        <v>0</v>
      </c>
      <c r="AB942" s="556">
        <f t="shared" si="141"/>
        <v>0</v>
      </c>
      <c r="AC942" s="556">
        <f t="shared" si="142"/>
        <v>0</v>
      </c>
      <c r="AF942" s="556"/>
      <c r="AG942" s="556">
        <f t="shared" si="130"/>
        <v>-20764</v>
      </c>
    </row>
    <row r="943" spans="1:33" hidden="1" x14ac:dyDescent="0.35">
      <c r="A943" t="b">
        <f t="shared" si="128"/>
        <v>1</v>
      </c>
      <c r="B943" t="s">
        <v>1994</v>
      </c>
      <c r="C943" s="27" t="s">
        <v>51</v>
      </c>
      <c r="D943" s="27" t="str">
        <f t="shared" si="129"/>
        <v>[VCN]200-101-101-1009</v>
      </c>
      <c r="E943" s="27" t="s">
        <v>51</v>
      </c>
      <c r="F943" s="27" t="s">
        <v>434</v>
      </c>
      <c r="G943" s="27" t="s">
        <v>1995</v>
      </c>
      <c r="H943" s="27" t="s">
        <v>54</v>
      </c>
      <c r="I943" t="s">
        <v>142</v>
      </c>
      <c r="J943" t="s">
        <v>436</v>
      </c>
      <c r="R943" s="556">
        <f t="shared" si="131"/>
        <v>0</v>
      </c>
      <c r="S943" s="556">
        <f t="shared" si="132"/>
        <v>0</v>
      </c>
      <c r="T943" s="556">
        <f t="shared" si="133"/>
        <v>0</v>
      </c>
      <c r="U943" s="556">
        <f t="shared" si="134"/>
        <v>0</v>
      </c>
      <c r="V943" s="556">
        <f t="shared" si="135"/>
        <v>0</v>
      </c>
      <c r="W943" s="556">
        <f t="shared" si="136"/>
        <v>0</v>
      </c>
      <c r="X943" s="556">
        <f t="shared" si="137"/>
        <v>0</v>
      </c>
      <c r="Y943" s="556">
        <f t="shared" si="138"/>
        <v>0</v>
      </c>
      <c r="Z943" s="556">
        <f t="shared" si="139"/>
        <v>0</v>
      </c>
      <c r="AA943" s="556">
        <f t="shared" si="140"/>
        <v>0</v>
      </c>
      <c r="AB943" s="556">
        <f t="shared" si="141"/>
        <v>0</v>
      </c>
      <c r="AC943" s="556">
        <f t="shared" si="142"/>
        <v>0</v>
      </c>
      <c r="AF943" s="556"/>
      <c r="AG943" s="556">
        <f t="shared" si="130"/>
        <v>-22148.34</v>
      </c>
    </row>
    <row r="944" spans="1:33" hidden="1" x14ac:dyDescent="0.35">
      <c r="A944" t="b">
        <f t="shared" si="128"/>
        <v>1</v>
      </c>
      <c r="B944" t="s">
        <v>1996</v>
      </c>
      <c r="C944" s="27" t="s">
        <v>51</v>
      </c>
      <c r="D944" s="27" t="str">
        <f t="shared" si="129"/>
        <v>[VCN]200-200-400-0005</v>
      </c>
      <c r="E944" s="27" t="s">
        <v>51</v>
      </c>
      <c r="F944" s="27" t="s">
        <v>780</v>
      </c>
      <c r="G944" s="27" t="s">
        <v>1997</v>
      </c>
      <c r="H944" s="27" t="s">
        <v>54</v>
      </c>
      <c r="I944" t="s">
        <v>142</v>
      </c>
      <c r="J944" t="s">
        <v>781</v>
      </c>
      <c r="R944" s="556">
        <f t="shared" si="131"/>
        <v>0</v>
      </c>
      <c r="S944" s="556">
        <f t="shared" si="132"/>
        <v>0</v>
      </c>
      <c r="T944" s="556">
        <f t="shared" si="133"/>
        <v>0</v>
      </c>
      <c r="U944" s="556">
        <f t="shared" si="134"/>
        <v>0</v>
      </c>
      <c r="V944" s="556">
        <f t="shared" si="135"/>
        <v>0</v>
      </c>
      <c r="W944" s="556">
        <f t="shared" si="136"/>
        <v>0</v>
      </c>
      <c r="X944" s="556">
        <f t="shared" si="137"/>
        <v>0</v>
      </c>
      <c r="Y944" s="556">
        <f t="shared" si="138"/>
        <v>0</v>
      </c>
      <c r="Z944" s="556">
        <f t="shared" si="139"/>
        <v>0</v>
      </c>
      <c r="AA944" s="556">
        <f t="shared" si="140"/>
        <v>0</v>
      </c>
      <c r="AB944" s="556">
        <f t="shared" si="141"/>
        <v>0</v>
      </c>
      <c r="AC944" s="556">
        <f t="shared" si="142"/>
        <v>0</v>
      </c>
      <c r="AF944" s="556"/>
      <c r="AG944" s="556">
        <f t="shared" si="130"/>
        <v>-1423125</v>
      </c>
    </row>
    <row r="945" spans="1:36" hidden="1" x14ac:dyDescent="0.35">
      <c r="A945" t="b">
        <f t="shared" si="128"/>
        <v>1</v>
      </c>
      <c r="B945" t="s">
        <v>1998</v>
      </c>
      <c r="C945" s="27" t="s">
        <v>51</v>
      </c>
      <c r="D945" s="27" t="str">
        <f t="shared" si="129"/>
        <v>[VCN]600-300-200-0003</v>
      </c>
      <c r="E945" s="27" t="s">
        <v>51</v>
      </c>
      <c r="F945" s="27" t="s">
        <v>539</v>
      </c>
      <c r="G945" s="27" t="s">
        <v>1503</v>
      </c>
      <c r="H945" s="27" t="s">
        <v>447</v>
      </c>
      <c r="I945" t="s">
        <v>440</v>
      </c>
      <c r="J945" t="s">
        <v>448</v>
      </c>
      <c r="K945" s="27" t="s">
        <v>476</v>
      </c>
      <c r="L945" s="27" t="s">
        <v>542</v>
      </c>
      <c r="M945" s="27" t="s">
        <v>542</v>
      </c>
      <c r="N945" s="27" t="s">
        <v>541</v>
      </c>
      <c r="O945" s="27" t="s">
        <v>480</v>
      </c>
      <c r="P945" s="27" t="s">
        <v>480</v>
      </c>
      <c r="Q945" s="27" t="s">
        <v>372</v>
      </c>
      <c r="R945" s="556">
        <f t="shared" si="131"/>
        <v>0</v>
      </c>
      <c r="S945" s="556">
        <f t="shared" si="132"/>
        <v>0</v>
      </c>
      <c r="T945" s="556">
        <f t="shared" si="133"/>
        <v>0</v>
      </c>
      <c r="U945" s="556">
        <f t="shared" si="134"/>
        <v>0</v>
      </c>
      <c r="V945" s="556">
        <f t="shared" si="135"/>
        <v>0</v>
      </c>
      <c r="W945" s="556">
        <f t="shared" si="136"/>
        <v>0</v>
      </c>
      <c r="X945" s="556">
        <f t="shared" si="137"/>
        <v>0</v>
      </c>
      <c r="Y945" s="556">
        <f t="shared" si="138"/>
        <v>0</v>
      </c>
      <c r="Z945" s="556">
        <f t="shared" si="139"/>
        <v>0</v>
      </c>
      <c r="AA945" s="556">
        <f t="shared" si="140"/>
        <v>0</v>
      </c>
      <c r="AB945" s="556">
        <f t="shared" si="141"/>
        <v>0</v>
      </c>
      <c r="AC945" s="556">
        <f t="shared" si="142"/>
        <v>0</v>
      </c>
      <c r="AF945" s="556"/>
      <c r="AG945" s="556">
        <f t="shared" si="130"/>
        <v>58766.34</v>
      </c>
      <c r="AH945" s="44"/>
    </row>
    <row r="946" spans="1:36" hidden="1" x14ac:dyDescent="0.35">
      <c r="A946" t="b">
        <f t="shared" si="128"/>
        <v>1</v>
      </c>
      <c r="B946" t="s">
        <v>1999</v>
      </c>
      <c r="C946" s="27" t="s">
        <v>51</v>
      </c>
      <c r="D946" s="27" t="str">
        <f t="shared" si="129"/>
        <v>[VCN]600-300-300-0002</v>
      </c>
      <c r="E946" s="27" t="s">
        <v>51</v>
      </c>
      <c r="F946" s="27" t="s">
        <v>539</v>
      </c>
      <c r="G946" s="27" t="s">
        <v>2000</v>
      </c>
      <c r="H946" s="27" t="s">
        <v>447</v>
      </c>
      <c r="I946" t="s">
        <v>440</v>
      </c>
      <c r="J946" t="s">
        <v>448</v>
      </c>
      <c r="K946" s="27" t="s">
        <v>476</v>
      </c>
      <c r="L946" s="27" t="s">
        <v>1016</v>
      </c>
      <c r="M946" s="27" t="s">
        <v>1016</v>
      </c>
      <c r="N946" s="27" t="s">
        <v>1016</v>
      </c>
      <c r="O946" s="27" t="s">
        <v>480</v>
      </c>
      <c r="P946" s="27" t="s">
        <v>480</v>
      </c>
      <c r="Q946" s="27" t="s">
        <v>372</v>
      </c>
      <c r="R946" s="556">
        <f t="shared" si="131"/>
        <v>0</v>
      </c>
      <c r="S946" s="556">
        <f t="shared" si="132"/>
        <v>0</v>
      </c>
      <c r="T946" s="556">
        <f t="shared" si="133"/>
        <v>0</v>
      </c>
      <c r="U946" s="556">
        <f t="shared" si="134"/>
        <v>0</v>
      </c>
      <c r="V946" s="556">
        <f t="shared" si="135"/>
        <v>0</v>
      </c>
      <c r="W946" s="556">
        <f t="shared" si="136"/>
        <v>0</v>
      </c>
      <c r="X946" s="556">
        <f t="shared" si="137"/>
        <v>0</v>
      </c>
      <c r="Y946" s="556">
        <f t="shared" si="138"/>
        <v>0</v>
      </c>
      <c r="Z946" s="556">
        <f t="shared" si="139"/>
        <v>0</v>
      </c>
      <c r="AA946" s="556">
        <f t="shared" si="140"/>
        <v>0</v>
      </c>
      <c r="AB946" s="556">
        <f t="shared" si="141"/>
        <v>0</v>
      </c>
      <c r="AC946" s="556">
        <f t="shared" si="142"/>
        <v>0</v>
      </c>
      <c r="AF946" s="556"/>
      <c r="AG946" s="556">
        <f t="shared" si="130"/>
        <v>34321.56</v>
      </c>
      <c r="AH946" s="44"/>
    </row>
    <row r="947" spans="1:36" hidden="1" x14ac:dyDescent="0.35">
      <c r="A947" t="b">
        <f t="shared" si="128"/>
        <v>1</v>
      </c>
      <c r="B947" t="s">
        <v>2001</v>
      </c>
      <c r="C947" s="27" t="s">
        <v>51</v>
      </c>
      <c r="D947" s="27" t="str">
        <f t="shared" si="129"/>
        <v>[VCN]600-300-300-0007</v>
      </c>
      <c r="E947" s="27" t="s">
        <v>51</v>
      </c>
      <c r="F947" s="27" t="s">
        <v>501</v>
      </c>
      <c r="G947" s="27" t="s">
        <v>2002</v>
      </c>
      <c r="H947" s="27" t="s">
        <v>447</v>
      </c>
      <c r="I947" t="s">
        <v>440</v>
      </c>
      <c r="J947" t="s">
        <v>448</v>
      </c>
      <c r="K947" s="27" t="s">
        <v>476</v>
      </c>
      <c r="L947" s="27" t="s">
        <v>1016</v>
      </c>
      <c r="M947" s="27" t="s">
        <v>1016</v>
      </c>
      <c r="N947" s="27" t="s">
        <v>1016</v>
      </c>
      <c r="O947" s="27" t="s">
        <v>480</v>
      </c>
      <c r="P947" s="27" t="s">
        <v>480</v>
      </c>
      <c r="Q947" s="27" t="s">
        <v>372</v>
      </c>
      <c r="R947" s="556">
        <f t="shared" si="131"/>
        <v>0</v>
      </c>
      <c r="S947" s="556">
        <f t="shared" si="132"/>
        <v>0</v>
      </c>
      <c r="T947" s="556">
        <f t="shared" si="133"/>
        <v>0</v>
      </c>
      <c r="U947" s="556">
        <f t="shared" si="134"/>
        <v>0</v>
      </c>
      <c r="V947" s="556">
        <f t="shared" si="135"/>
        <v>0</v>
      </c>
      <c r="W947" s="556">
        <f t="shared" si="136"/>
        <v>0</v>
      </c>
      <c r="X947" s="556">
        <f t="shared" si="137"/>
        <v>0</v>
      </c>
      <c r="Y947" s="556">
        <f t="shared" si="138"/>
        <v>0</v>
      </c>
      <c r="Z947" s="556">
        <f t="shared" si="139"/>
        <v>0</v>
      </c>
      <c r="AA947" s="556">
        <f t="shared" si="140"/>
        <v>0</v>
      </c>
      <c r="AB947" s="556">
        <f t="shared" si="141"/>
        <v>0</v>
      </c>
      <c r="AC947" s="556">
        <f t="shared" si="142"/>
        <v>0</v>
      </c>
      <c r="AF947" s="556"/>
      <c r="AG947" s="556">
        <f t="shared" si="130"/>
        <v>750.07</v>
      </c>
      <c r="AH947" s="44"/>
    </row>
    <row r="948" spans="1:36" hidden="1" x14ac:dyDescent="0.35">
      <c r="A948" t="b">
        <f t="shared" si="128"/>
        <v>1</v>
      </c>
      <c r="B948" t="s">
        <v>2003</v>
      </c>
      <c r="C948" s="27" t="s">
        <v>51</v>
      </c>
      <c r="D948" s="27" t="str">
        <f t="shared" si="129"/>
        <v>[VCN]600-300-403-0001</v>
      </c>
      <c r="E948" s="27" t="s">
        <v>51</v>
      </c>
      <c r="F948" s="27" t="s">
        <v>501</v>
      </c>
      <c r="G948" s="27" t="s">
        <v>2004</v>
      </c>
      <c r="H948" s="27" t="s">
        <v>447</v>
      </c>
      <c r="I948" t="s">
        <v>440</v>
      </c>
      <c r="J948" t="s">
        <v>448</v>
      </c>
      <c r="K948" s="27" t="s">
        <v>476</v>
      </c>
      <c r="L948" s="27" t="s">
        <v>503</v>
      </c>
      <c r="M948" s="27" t="s">
        <v>503</v>
      </c>
      <c r="N948" s="27" t="s">
        <v>503</v>
      </c>
      <c r="O948" s="27" t="s">
        <v>480</v>
      </c>
      <c r="P948" s="27" t="s">
        <v>480</v>
      </c>
      <c r="Q948" s="27" t="s">
        <v>372</v>
      </c>
      <c r="R948" s="556">
        <f t="shared" si="131"/>
        <v>0</v>
      </c>
      <c r="S948" s="556">
        <f t="shared" si="132"/>
        <v>0</v>
      </c>
      <c r="T948" s="556">
        <f t="shared" si="133"/>
        <v>0</v>
      </c>
      <c r="U948" s="556">
        <f t="shared" si="134"/>
        <v>0</v>
      </c>
      <c r="V948" s="556">
        <f t="shared" si="135"/>
        <v>0</v>
      </c>
      <c r="W948" s="556">
        <f t="shared" si="136"/>
        <v>0</v>
      </c>
      <c r="X948" s="556">
        <f t="shared" si="137"/>
        <v>0</v>
      </c>
      <c r="Y948" s="556">
        <f t="shared" si="138"/>
        <v>0</v>
      </c>
      <c r="Z948" s="556">
        <f t="shared" si="139"/>
        <v>0</v>
      </c>
      <c r="AA948" s="556">
        <f t="shared" si="140"/>
        <v>0</v>
      </c>
      <c r="AB948" s="556">
        <f t="shared" si="141"/>
        <v>0</v>
      </c>
      <c r="AC948" s="556">
        <f t="shared" si="142"/>
        <v>0</v>
      </c>
      <c r="AF948" s="556"/>
      <c r="AG948" s="556">
        <f t="shared" si="130"/>
        <v>5842.65</v>
      </c>
      <c r="AH948" s="44"/>
    </row>
    <row r="949" spans="1:36" hidden="1" x14ac:dyDescent="0.35">
      <c r="A949" t="b">
        <f t="shared" si="128"/>
        <v>1</v>
      </c>
      <c r="B949" t="s">
        <v>2005</v>
      </c>
      <c r="C949" s="27" t="s">
        <v>51</v>
      </c>
      <c r="D949" s="27" t="str">
        <f t="shared" si="129"/>
        <v>[VCN]600-300-409-0002</v>
      </c>
      <c r="E949" s="27" t="s">
        <v>51</v>
      </c>
      <c r="F949" s="27" t="s">
        <v>501</v>
      </c>
      <c r="G949" s="27" t="s">
        <v>2006</v>
      </c>
      <c r="H949" s="27" t="s">
        <v>447</v>
      </c>
      <c r="I949" t="s">
        <v>440</v>
      </c>
      <c r="J949" t="s">
        <v>448</v>
      </c>
      <c r="K949" s="27" t="s">
        <v>476</v>
      </c>
      <c r="L949" s="27" t="s">
        <v>502</v>
      </c>
      <c r="M949" s="27" t="s">
        <v>502</v>
      </c>
      <c r="N949" s="27" t="s">
        <v>502</v>
      </c>
      <c r="O949" s="27" t="s">
        <v>480</v>
      </c>
      <c r="P949" s="27" t="s">
        <v>480</v>
      </c>
      <c r="Q949" s="27" t="s">
        <v>372</v>
      </c>
      <c r="R949" s="556">
        <f t="shared" si="131"/>
        <v>0</v>
      </c>
      <c r="S949" s="556">
        <f t="shared" si="132"/>
        <v>0</v>
      </c>
      <c r="T949" s="556">
        <f t="shared" si="133"/>
        <v>0</v>
      </c>
      <c r="U949" s="556">
        <f t="shared" si="134"/>
        <v>0</v>
      </c>
      <c r="V949" s="556">
        <f t="shared" si="135"/>
        <v>0</v>
      </c>
      <c r="W949" s="556">
        <f t="shared" si="136"/>
        <v>0</v>
      </c>
      <c r="X949" s="556">
        <f t="shared" si="137"/>
        <v>0</v>
      </c>
      <c r="Y949" s="556">
        <f t="shared" si="138"/>
        <v>0</v>
      </c>
      <c r="Z949" s="556">
        <f t="shared" si="139"/>
        <v>0</v>
      </c>
      <c r="AA949" s="556">
        <f t="shared" si="140"/>
        <v>0</v>
      </c>
      <c r="AB949" s="556">
        <f t="shared" si="141"/>
        <v>0</v>
      </c>
      <c r="AC949" s="556">
        <f t="shared" si="142"/>
        <v>0</v>
      </c>
      <c r="AF949" s="556"/>
      <c r="AG949" s="556">
        <f t="shared" si="130"/>
        <v>79202</v>
      </c>
      <c r="AH949" s="44"/>
    </row>
    <row r="950" spans="1:36" hidden="1" x14ac:dyDescent="0.35">
      <c r="A950" t="b">
        <f t="shared" si="128"/>
        <v>1</v>
      </c>
      <c r="B950" t="s">
        <v>2007</v>
      </c>
      <c r="C950" s="27" t="s">
        <v>51</v>
      </c>
      <c r="D950" s="27" t="str">
        <f t="shared" si="129"/>
        <v>[VCN]600-300-410-0003</v>
      </c>
      <c r="E950" s="27" t="s">
        <v>51</v>
      </c>
      <c r="F950" s="27" t="s">
        <v>501</v>
      </c>
      <c r="G950" s="27" t="s">
        <v>2008</v>
      </c>
      <c r="H950" s="27" t="s">
        <v>447</v>
      </c>
      <c r="I950" t="s">
        <v>440</v>
      </c>
      <c r="J950" t="s">
        <v>448</v>
      </c>
      <c r="K950" s="27" t="s">
        <v>476</v>
      </c>
      <c r="L950" s="27" t="s">
        <v>904</v>
      </c>
      <c r="M950" s="27" t="s">
        <v>904</v>
      </c>
      <c r="N950" s="27" t="s">
        <v>904</v>
      </c>
      <c r="O950" s="27" t="s">
        <v>480</v>
      </c>
      <c r="P950" s="27" t="s">
        <v>480</v>
      </c>
      <c r="Q950" s="27" t="s">
        <v>372</v>
      </c>
      <c r="R950" s="556">
        <f t="shared" si="131"/>
        <v>0</v>
      </c>
      <c r="S950" s="556">
        <f t="shared" si="132"/>
        <v>0</v>
      </c>
      <c r="T950" s="556">
        <f t="shared" si="133"/>
        <v>0</v>
      </c>
      <c r="U950" s="556">
        <f t="shared" si="134"/>
        <v>0</v>
      </c>
      <c r="V950" s="556">
        <f t="shared" si="135"/>
        <v>0</v>
      </c>
      <c r="W950" s="556">
        <f t="shared" si="136"/>
        <v>0</v>
      </c>
      <c r="X950" s="556">
        <f t="shared" si="137"/>
        <v>0</v>
      </c>
      <c r="Y950" s="556">
        <f t="shared" si="138"/>
        <v>0</v>
      </c>
      <c r="Z950" s="556">
        <f t="shared" si="139"/>
        <v>0</v>
      </c>
      <c r="AA950" s="556">
        <f t="shared" si="140"/>
        <v>0</v>
      </c>
      <c r="AB950" s="556">
        <f t="shared" si="141"/>
        <v>0</v>
      </c>
      <c r="AC950" s="556">
        <f t="shared" si="142"/>
        <v>0</v>
      </c>
      <c r="AF950" s="556"/>
      <c r="AG950" s="556">
        <f t="shared" si="130"/>
        <v>47103.37</v>
      </c>
      <c r="AH950" s="44"/>
    </row>
    <row r="951" spans="1:36" hidden="1" x14ac:dyDescent="0.35">
      <c r="A951" t="b">
        <f t="shared" si="128"/>
        <v>1</v>
      </c>
      <c r="B951" t="s">
        <v>2009</v>
      </c>
      <c r="C951" s="27" t="s">
        <v>51</v>
      </c>
      <c r="D951" s="27" t="str">
        <f t="shared" si="129"/>
        <v>[VCN]600-300-410-0004</v>
      </c>
      <c r="E951" s="27" t="s">
        <v>51</v>
      </c>
      <c r="F951" s="27" t="s">
        <v>501</v>
      </c>
      <c r="G951" s="27" t="s">
        <v>2010</v>
      </c>
      <c r="H951" s="27" t="s">
        <v>447</v>
      </c>
      <c r="I951" t="s">
        <v>440</v>
      </c>
      <c r="J951" t="s">
        <v>448</v>
      </c>
      <c r="K951" s="27" t="s">
        <v>476</v>
      </c>
      <c r="L951" s="27" t="s">
        <v>502</v>
      </c>
      <c r="M951" s="27" t="s">
        <v>502</v>
      </c>
      <c r="N951" s="27" t="s">
        <v>502</v>
      </c>
      <c r="O951" s="27" t="s">
        <v>480</v>
      </c>
      <c r="P951" s="27" t="s">
        <v>480</v>
      </c>
      <c r="Q951" s="27" t="s">
        <v>372</v>
      </c>
      <c r="R951" s="556">
        <f t="shared" si="131"/>
        <v>0</v>
      </c>
      <c r="S951" s="556">
        <f t="shared" si="132"/>
        <v>0</v>
      </c>
      <c r="T951" s="556">
        <f t="shared" si="133"/>
        <v>0</v>
      </c>
      <c r="U951" s="556">
        <f t="shared" si="134"/>
        <v>0</v>
      </c>
      <c r="V951" s="556">
        <f t="shared" si="135"/>
        <v>0</v>
      </c>
      <c r="W951" s="556">
        <f t="shared" si="136"/>
        <v>0</v>
      </c>
      <c r="X951" s="556">
        <f t="shared" si="137"/>
        <v>0</v>
      </c>
      <c r="Y951" s="556">
        <f t="shared" si="138"/>
        <v>0</v>
      </c>
      <c r="Z951" s="556">
        <f t="shared" si="139"/>
        <v>0</v>
      </c>
      <c r="AA951" s="556">
        <f t="shared" si="140"/>
        <v>0</v>
      </c>
      <c r="AB951" s="556">
        <f t="shared" si="141"/>
        <v>0</v>
      </c>
      <c r="AC951" s="556">
        <f t="shared" si="142"/>
        <v>0</v>
      </c>
      <c r="AF951" s="556"/>
      <c r="AG951" s="556">
        <f t="shared" si="130"/>
        <v>6419.54</v>
      </c>
      <c r="AH951" s="44"/>
    </row>
    <row r="952" spans="1:36" hidden="1" x14ac:dyDescent="0.35">
      <c r="A952" t="b">
        <f t="shared" si="128"/>
        <v>1</v>
      </c>
      <c r="B952" t="s">
        <v>2011</v>
      </c>
      <c r="C952" s="27" t="s">
        <v>51</v>
      </c>
      <c r="D952" s="27" t="str">
        <f t="shared" si="129"/>
        <v>[VCN]600-300-410-0005</v>
      </c>
      <c r="E952" s="27" t="s">
        <v>51</v>
      </c>
      <c r="F952" s="27" t="s">
        <v>501</v>
      </c>
      <c r="G952" s="27" t="s">
        <v>2012</v>
      </c>
      <c r="H952" s="27" t="s">
        <v>447</v>
      </c>
      <c r="I952" t="s">
        <v>440</v>
      </c>
      <c r="J952" t="s">
        <v>448</v>
      </c>
      <c r="K952" s="27" t="s">
        <v>476</v>
      </c>
      <c r="L952" s="27" t="s">
        <v>502</v>
      </c>
      <c r="M952" s="27" t="s">
        <v>502</v>
      </c>
      <c r="N952" s="27" t="s">
        <v>502</v>
      </c>
      <c r="O952" s="27" t="s">
        <v>480</v>
      </c>
      <c r="P952" s="27" t="s">
        <v>480</v>
      </c>
      <c r="Q952" s="27" t="s">
        <v>372</v>
      </c>
      <c r="R952" s="556">
        <f t="shared" si="131"/>
        <v>0</v>
      </c>
      <c r="S952" s="556">
        <f t="shared" si="132"/>
        <v>0</v>
      </c>
      <c r="T952" s="556">
        <f t="shared" si="133"/>
        <v>0</v>
      </c>
      <c r="U952" s="556">
        <f t="shared" si="134"/>
        <v>0</v>
      </c>
      <c r="V952" s="556">
        <f t="shared" si="135"/>
        <v>0</v>
      </c>
      <c r="W952" s="556">
        <f t="shared" si="136"/>
        <v>0</v>
      </c>
      <c r="X952" s="556">
        <f t="shared" si="137"/>
        <v>0</v>
      </c>
      <c r="Y952" s="556">
        <f t="shared" si="138"/>
        <v>0</v>
      </c>
      <c r="Z952" s="556">
        <f t="shared" si="139"/>
        <v>0</v>
      </c>
      <c r="AA952" s="556">
        <f t="shared" si="140"/>
        <v>0</v>
      </c>
      <c r="AB952" s="556">
        <f t="shared" si="141"/>
        <v>0</v>
      </c>
      <c r="AC952" s="556">
        <f t="shared" si="142"/>
        <v>0</v>
      </c>
      <c r="AF952" s="556"/>
      <c r="AG952" s="556">
        <f t="shared" si="130"/>
        <v>174015.89</v>
      </c>
      <c r="AH952" s="44"/>
    </row>
    <row r="953" spans="1:36" hidden="1" x14ac:dyDescent="0.35">
      <c r="A953" t="b">
        <f t="shared" si="128"/>
        <v>1</v>
      </c>
      <c r="B953" t="s">
        <v>2013</v>
      </c>
      <c r="C953" s="27" t="s">
        <v>51</v>
      </c>
      <c r="D953" s="27" t="str">
        <f t="shared" si="129"/>
        <v>[VCN]600-300-411-0004</v>
      </c>
      <c r="E953" s="27" t="s">
        <v>51</v>
      </c>
      <c r="F953" s="27" t="s">
        <v>501</v>
      </c>
      <c r="G953" s="27" t="s">
        <v>2014</v>
      </c>
      <c r="H953" s="27" t="s">
        <v>447</v>
      </c>
      <c r="I953" t="s">
        <v>440</v>
      </c>
      <c r="J953" t="s">
        <v>448</v>
      </c>
      <c r="K953" s="27" t="s">
        <v>491</v>
      </c>
      <c r="L953" s="27" t="s">
        <v>668</v>
      </c>
      <c r="M953" s="27" t="s">
        <v>668</v>
      </c>
      <c r="N953" s="27" t="s">
        <v>668</v>
      </c>
      <c r="O953" s="27" t="s">
        <v>491</v>
      </c>
      <c r="P953" s="27" t="s">
        <v>491</v>
      </c>
      <c r="Q953" s="27" t="s">
        <v>372</v>
      </c>
      <c r="R953" s="556">
        <f t="shared" si="131"/>
        <v>0</v>
      </c>
      <c r="S953" s="556">
        <f t="shared" si="132"/>
        <v>0</v>
      </c>
      <c r="T953" s="556">
        <f t="shared" si="133"/>
        <v>0</v>
      </c>
      <c r="U953" s="556">
        <f t="shared" si="134"/>
        <v>0</v>
      </c>
      <c r="V953" s="556">
        <f t="shared" si="135"/>
        <v>0</v>
      </c>
      <c r="W953" s="556">
        <f t="shared" si="136"/>
        <v>0</v>
      </c>
      <c r="X953" s="556">
        <f t="shared" si="137"/>
        <v>0</v>
      </c>
      <c r="Y953" s="556">
        <f t="shared" si="138"/>
        <v>0</v>
      </c>
      <c r="Z953" s="556">
        <f t="shared" si="139"/>
        <v>0</v>
      </c>
      <c r="AA953" s="556">
        <f t="shared" si="140"/>
        <v>0</v>
      </c>
      <c r="AB953" s="556">
        <f t="shared" si="141"/>
        <v>0</v>
      </c>
      <c r="AC953" s="556">
        <f t="shared" si="142"/>
        <v>0</v>
      </c>
      <c r="AF953" s="556"/>
      <c r="AG953" s="556">
        <f t="shared" si="130"/>
        <v>176400</v>
      </c>
      <c r="AH953" s="44"/>
      <c r="AJ953" s="44"/>
    </row>
    <row r="954" spans="1:36" hidden="1" x14ac:dyDescent="0.35">
      <c r="A954" t="b">
        <f t="shared" si="128"/>
        <v>1</v>
      </c>
      <c r="B954" t="s">
        <v>2015</v>
      </c>
      <c r="C954" s="27" t="s">
        <v>51</v>
      </c>
      <c r="D954" s="27" t="str">
        <f t="shared" si="129"/>
        <v>[VCN]600-300-416-0002</v>
      </c>
      <c r="E954" s="27" t="s">
        <v>51</v>
      </c>
      <c r="F954" s="27" t="s">
        <v>501</v>
      </c>
      <c r="G954" s="27" t="s">
        <v>2016</v>
      </c>
      <c r="H954" s="27" t="s">
        <v>447</v>
      </c>
      <c r="I954" t="s">
        <v>440</v>
      </c>
      <c r="J954" t="s">
        <v>448</v>
      </c>
      <c r="K954" s="27" t="s">
        <v>476</v>
      </c>
      <c r="L954" s="27" t="s">
        <v>502</v>
      </c>
      <c r="M954" s="27" t="s">
        <v>502</v>
      </c>
      <c r="N954" s="27" t="s">
        <v>502</v>
      </c>
      <c r="O954" s="27" t="s">
        <v>480</v>
      </c>
      <c r="P954" s="27" t="s">
        <v>480</v>
      </c>
      <c r="Q954" s="27" t="s">
        <v>372</v>
      </c>
      <c r="R954" s="556">
        <f t="shared" si="131"/>
        <v>0</v>
      </c>
      <c r="S954" s="556">
        <f t="shared" si="132"/>
        <v>0</v>
      </c>
      <c r="T954" s="556">
        <f t="shared" si="133"/>
        <v>0</v>
      </c>
      <c r="U954" s="556">
        <f t="shared" si="134"/>
        <v>0</v>
      </c>
      <c r="V954" s="556">
        <f t="shared" si="135"/>
        <v>0</v>
      </c>
      <c r="W954" s="556">
        <f t="shared" si="136"/>
        <v>0</v>
      </c>
      <c r="X954" s="556">
        <f t="shared" si="137"/>
        <v>0</v>
      </c>
      <c r="Y954" s="556">
        <f t="shared" si="138"/>
        <v>0</v>
      </c>
      <c r="Z954" s="556">
        <f t="shared" si="139"/>
        <v>0</v>
      </c>
      <c r="AA954" s="556">
        <f t="shared" si="140"/>
        <v>0</v>
      </c>
      <c r="AB954" s="556">
        <f t="shared" si="141"/>
        <v>0</v>
      </c>
      <c r="AC954" s="556">
        <f t="shared" si="142"/>
        <v>0</v>
      </c>
      <c r="AF954" s="556"/>
      <c r="AG954" s="556">
        <f t="shared" si="130"/>
        <v>13948.6</v>
      </c>
      <c r="AH954" s="44"/>
    </row>
    <row r="955" spans="1:36" hidden="1" x14ac:dyDescent="0.35">
      <c r="A955" t="b">
        <f t="shared" si="128"/>
        <v>1</v>
      </c>
      <c r="B955" t="s">
        <v>2019</v>
      </c>
      <c r="C955" s="27" t="s">
        <v>51</v>
      </c>
      <c r="D955" s="27" t="str">
        <f t="shared" si="129"/>
        <v>[VCN]600-700-000-9006</v>
      </c>
      <c r="E955" s="27" t="s">
        <v>51</v>
      </c>
      <c r="F955" s="27" t="s">
        <v>556</v>
      </c>
      <c r="G955" s="27" t="s">
        <v>2020</v>
      </c>
      <c r="H955" s="27" t="s">
        <v>447</v>
      </c>
      <c r="I955" t="s">
        <v>440</v>
      </c>
      <c r="J955" t="s">
        <v>448</v>
      </c>
      <c r="K955" s="27" t="s">
        <v>557</v>
      </c>
      <c r="L955" s="27" t="s">
        <v>557</v>
      </c>
      <c r="M955" s="27" t="s">
        <v>560</v>
      </c>
      <c r="N955" s="27" t="s">
        <v>560</v>
      </c>
      <c r="O955" s="27" t="s">
        <v>557</v>
      </c>
      <c r="P955" s="27" t="s">
        <v>557</v>
      </c>
      <c r="Q955" s="27" t="s">
        <v>372</v>
      </c>
      <c r="R955" s="556">
        <f t="shared" si="131"/>
        <v>0</v>
      </c>
      <c r="S955" s="556">
        <f t="shared" si="132"/>
        <v>0</v>
      </c>
      <c r="T955" s="556">
        <f t="shared" si="133"/>
        <v>0</v>
      </c>
      <c r="U955" s="556">
        <f t="shared" si="134"/>
        <v>0</v>
      </c>
      <c r="V955" s="556">
        <f t="shared" si="135"/>
        <v>0</v>
      </c>
      <c r="W955" s="556">
        <f t="shared" si="136"/>
        <v>0</v>
      </c>
      <c r="X955" s="556">
        <f t="shared" si="137"/>
        <v>0</v>
      </c>
      <c r="Y955" s="556">
        <f t="shared" si="138"/>
        <v>0</v>
      </c>
      <c r="Z955" s="556">
        <f t="shared" si="139"/>
        <v>0</v>
      </c>
      <c r="AA955" s="556">
        <f t="shared" si="140"/>
        <v>0</v>
      </c>
      <c r="AB955" s="556">
        <f t="shared" si="141"/>
        <v>0</v>
      </c>
      <c r="AC955" s="556">
        <f t="shared" si="142"/>
        <v>0</v>
      </c>
      <c r="AF955" s="556"/>
      <c r="AG955" s="556">
        <f t="shared" si="130"/>
        <v>391961.62</v>
      </c>
      <c r="AH955" s="44"/>
    </row>
    <row r="956" spans="1:36" hidden="1" x14ac:dyDescent="0.35">
      <c r="A956" t="b">
        <f t="shared" si="128"/>
        <v>1</v>
      </c>
      <c r="B956" t="s">
        <v>2021</v>
      </c>
      <c r="C956" s="27" t="s">
        <v>51</v>
      </c>
      <c r="D956" s="27" t="str">
        <f t="shared" si="129"/>
        <v>[VCN]600-700-000-9008</v>
      </c>
      <c r="E956" s="27" t="s">
        <v>51</v>
      </c>
      <c r="F956" s="27" t="s">
        <v>556</v>
      </c>
      <c r="G956" s="27" t="s">
        <v>2022</v>
      </c>
      <c r="H956" s="27" t="s">
        <v>447</v>
      </c>
      <c r="I956" t="s">
        <v>440</v>
      </c>
      <c r="J956" t="s">
        <v>448</v>
      </c>
      <c r="K956" s="27" t="s">
        <v>557</v>
      </c>
      <c r="L956" s="27" t="s">
        <v>557</v>
      </c>
      <c r="M956" s="27" t="s">
        <v>560</v>
      </c>
      <c r="N956" s="27" t="s">
        <v>560</v>
      </c>
      <c r="O956" s="27" t="s">
        <v>557</v>
      </c>
      <c r="P956" s="27" t="s">
        <v>557</v>
      </c>
      <c r="Q956" s="27" t="s">
        <v>372</v>
      </c>
      <c r="R956" s="556">
        <f t="shared" si="131"/>
        <v>0</v>
      </c>
      <c r="S956" s="556">
        <f t="shared" si="132"/>
        <v>0</v>
      </c>
      <c r="T956" s="556">
        <f t="shared" si="133"/>
        <v>0</v>
      </c>
      <c r="U956" s="556">
        <f t="shared" si="134"/>
        <v>0</v>
      </c>
      <c r="V956" s="556">
        <f t="shared" si="135"/>
        <v>0</v>
      </c>
      <c r="W956" s="556">
        <f t="shared" si="136"/>
        <v>0</v>
      </c>
      <c r="X956" s="556">
        <f t="shared" si="137"/>
        <v>0</v>
      </c>
      <c r="Y956" s="556">
        <f t="shared" si="138"/>
        <v>0</v>
      </c>
      <c r="Z956" s="556">
        <f t="shared" si="139"/>
        <v>0</v>
      </c>
      <c r="AA956" s="556">
        <f t="shared" si="140"/>
        <v>0</v>
      </c>
      <c r="AB956" s="556">
        <f t="shared" si="141"/>
        <v>0</v>
      </c>
      <c r="AC956" s="556">
        <f t="shared" si="142"/>
        <v>0</v>
      </c>
      <c r="AF956" s="556"/>
      <c r="AG956" s="556">
        <f t="shared" si="130"/>
        <v>870134.48</v>
      </c>
      <c r="AH956" s="44"/>
    </row>
    <row r="957" spans="1:36" hidden="1" x14ac:dyDescent="0.35">
      <c r="A957" t="b">
        <f t="shared" si="128"/>
        <v>1</v>
      </c>
      <c r="B957" t="s">
        <v>2023</v>
      </c>
      <c r="C957" s="27" t="s">
        <v>51</v>
      </c>
      <c r="D957" s="27" t="str">
        <f t="shared" si="129"/>
        <v>[VCN]600-700-000-9010</v>
      </c>
      <c r="E957" s="27" t="s">
        <v>51</v>
      </c>
      <c r="F957" s="27" t="s">
        <v>556</v>
      </c>
      <c r="G957" s="27" t="s">
        <v>2024</v>
      </c>
      <c r="H957" s="27" t="s">
        <v>447</v>
      </c>
      <c r="I957" t="s">
        <v>440</v>
      </c>
      <c r="J957" t="s">
        <v>448</v>
      </c>
      <c r="K957" s="27" t="s">
        <v>557</v>
      </c>
      <c r="L957" s="27" t="s">
        <v>557</v>
      </c>
      <c r="M957" s="27" t="s">
        <v>560</v>
      </c>
      <c r="N957" s="27" t="s">
        <v>560</v>
      </c>
      <c r="O957" s="27" t="s">
        <v>557</v>
      </c>
      <c r="P957" s="27" t="s">
        <v>557</v>
      </c>
      <c r="Q957" s="27" t="s">
        <v>372</v>
      </c>
      <c r="R957" s="556">
        <f t="shared" si="131"/>
        <v>0</v>
      </c>
      <c r="S957" s="556">
        <f t="shared" si="132"/>
        <v>0</v>
      </c>
      <c r="T957" s="556">
        <f t="shared" si="133"/>
        <v>0</v>
      </c>
      <c r="U957" s="556">
        <f t="shared" si="134"/>
        <v>0</v>
      </c>
      <c r="V957" s="556">
        <f t="shared" si="135"/>
        <v>0</v>
      </c>
      <c r="W957" s="556">
        <f t="shared" si="136"/>
        <v>0</v>
      </c>
      <c r="X957" s="556">
        <f t="shared" si="137"/>
        <v>0</v>
      </c>
      <c r="Y957" s="556">
        <f t="shared" si="138"/>
        <v>0</v>
      </c>
      <c r="Z957" s="556">
        <f t="shared" si="139"/>
        <v>0</v>
      </c>
      <c r="AA957" s="556">
        <f t="shared" si="140"/>
        <v>0</v>
      </c>
      <c r="AB957" s="556">
        <f t="shared" si="141"/>
        <v>0</v>
      </c>
      <c r="AC957" s="556">
        <f t="shared" si="142"/>
        <v>0</v>
      </c>
      <c r="AF957" s="556"/>
      <c r="AG957" s="556">
        <f t="shared" si="130"/>
        <v>569595.04</v>
      </c>
      <c r="AH957" s="44"/>
    </row>
    <row r="958" spans="1:36" hidden="1" x14ac:dyDescent="0.35">
      <c r="A958" t="b">
        <f t="shared" si="128"/>
        <v>1</v>
      </c>
      <c r="B958" t="s">
        <v>2025</v>
      </c>
      <c r="C958" s="27" t="s">
        <v>51</v>
      </c>
      <c r="D958" s="27" t="str">
        <f t="shared" si="129"/>
        <v>[VCN]600-700-000-9012</v>
      </c>
      <c r="E958" s="27" t="s">
        <v>51</v>
      </c>
      <c r="F958" s="27" t="s">
        <v>556</v>
      </c>
      <c r="G958" s="27" t="s">
        <v>2026</v>
      </c>
      <c r="H958" s="27" t="s">
        <v>447</v>
      </c>
      <c r="I958" t="s">
        <v>440</v>
      </c>
      <c r="J958" t="s">
        <v>448</v>
      </c>
      <c r="K958" s="27" t="s">
        <v>557</v>
      </c>
      <c r="L958" s="27" t="s">
        <v>557</v>
      </c>
      <c r="M958" s="27" t="s">
        <v>560</v>
      </c>
      <c r="N958" s="27" t="s">
        <v>560</v>
      </c>
      <c r="O958" s="27" t="s">
        <v>557</v>
      </c>
      <c r="P958" s="27" t="s">
        <v>557</v>
      </c>
      <c r="Q958" s="27" t="s">
        <v>372</v>
      </c>
      <c r="R958" s="556">
        <f t="shared" si="131"/>
        <v>0</v>
      </c>
      <c r="S958" s="556">
        <f t="shared" si="132"/>
        <v>0</v>
      </c>
      <c r="T958" s="556">
        <f t="shared" si="133"/>
        <v>0</v>
      </c>
      <c r="U958" s="556">
        <f t="shared" si="134"/>
        <v>0</v>
      </c>
      <c r="V958" s="556">
        <f t="shared" si="135"/>
        <v>0</v>
      </c>
      <c r="W958" s="556">
        <f t="shared" si="136"/>
        <v>0</v>
      </c>
      <c r="X958" s="556">
        <f t="shared" si="137"/>
        <v>0</v>
      </c>
      <c r="Y958" s="556">
        <f t="shared" si="138"/>
        <v>0</v>
      </c>
      <c r="Z958" s="556">
        <f t="shared" si="139"/>
        <v>0</v>
      </c>
      <c r="AA958" s="556">
        <f t="shared" si="140"/>
        <v>0</v>
      </c>
      <c r="AB958" s="556">
        <f t="shared" si="141"/>
        <v>0</v>
      </c>
      <c r="AC958" s="556">
        <f t="shared" si="142"/>
        <v>0</v>
      </c>
      <c r="AF958" s="556"/>
      <c r="AG958" s="556">
        <f t="shared" si="130"/>
        <v>934303.17</v>
      </c>
      <c r="AH958" s="44"/>
    </row>
    <row r="959" spans="1:36" hidden="1" x14ac:dyDescent="0.35">
      <c r="A959" t="b">
        <f t="shared" si="128"/>
        <v>1</v>
      </c>
      <c r="B959" t="s">
        <v>2027</v>
      </c>
      <c r="C959" s="27" t="s">
        <v>51</v>
      </c>
      <c r="D959" s="27" t="str">
        <f>C959&amp;B959</f>
        <v>[VCN]700-400-000-0007</v>
      </c>
      <c r="E959" s="27" t="s">
        <v>51</v>
      </c>
      <c r="F959" s="27" t="s">
        <v>501</v>
      </c>
      <c r="G959" s="27" t="s">
        <v>2028</v>
      </c>
      <c r="H959" s="27" t="s">
        <v>447</v>
      </c>
      <c r="I959" t="s">
        <v>440</v>
      </c>
      <c r="J959" t="s">
        <v>448</v>
      </c>
      <c r="K959" s="27" t="s">
        <v>476</v>
      </c>
      <c r="L959" s="27" t="s">
        <v>502</v>
      </c>
      <c r="M959" s="27" t="s">
        <v>502</v>
      </c>
      <c r="N959" s="27" t="s">
        <v>502</v>
      </c>
      <c r="O959" s="27" t="s">
        <v>480</v>
      </c>
      <c r="P959" s="27" t="s">
        <v>480</v>
      </c>
      <c r="Q959" s="27" t="s">
        <v>372</v>
      </c>
      <c r="R959" s="556">
        <f t="shared" si="131"/>
        <v>0</v>
      </c>
      <c r="S959" s="556">
        <f t="shared" si="132"/>
        <v>0</v>
      </c>
      <c r="T959" s="556">
        <f t="shared" si="133"/>
        <v>0</v>
      </c>
      <c r="U959" s="556">
        <f t="shared" si="134"/>
        <v>0</v>
      </c>
      <c r="V959" s="556">
        <f t="shared" si="135"/>
        <v>0</v>
      </c>
      <c r="W959" s="556">
        <f t="shared" si="136"/>
        <v>0</v>
      </c>
      <c r="X959" s="556">
        <f t="shared" si="137"/>
        <v>0</v>
      </c>
      <c r="Y959" s="556">
        <f t="shared" si="138"/>
        <v>0</v>
      </c>
      <c r="Z959" s="556">
        <f t="shared" si="139"/>
        <v>0</v>
      </c>
      <c r="AA959" s="556">
        <f t="shared" si="140"/>
        <v>0</v>
      </c>
      <c r="AB959" s="556">
        <f t="shared" si="141"/>
        <v>0</v>
      </c>
      <c r="AC959" s="556">
        <f t="shared" si="142"/>
        <v>0</v>
      </c>
      <c r="AF959" s="556"/>
      <c r="AG959" s="556">
        <f t="shared" si="130"/>
        <v>0.66</v>
      </c>
      <c r="AH959" s="44"/>
    </row>
    <row r="960" spans="1:36" hidden="1" x14ac:dyDescent="0.35">
      <c r="A960" t="b">
        <f t="shared" si="128"/>
        <v>1</v>
      </c>
      <c r="B960" s="27" t="s">
        <v>1251</v>
      </c>
      <c r="C960" s="27" t="s">
        <v>51</v>
      </c>
      <c r="D960" s="27" t="str">
        <f t="shared" ref="D960" si="143">C960&amp;B960</f>
        <v>[VCN]600-300-200-0007</v>
      </c>
      <c r="E960" s="27" t="s">
        <v>51</v>
      </c>
      <c r="F960" s="27" t="s">
        <v>539</v>
      </c>
      <c r="G960" s="27" t="s">
        <v>1508</v>
      </c>
      <c r="H960" s="27" t="s">
        <v>447</v>
      </c>
      <c r="I960" s="27" t="s">
        <v>440</v>
      </c>
      <c r="J960" s="27" t="s">
        <v>448</v>
      </c>
      <c r="K960" s="27" t="s">
        <v>476</v>
      </c>
      <c r="L960" s="27" t="s">
        <v>582</v>
      </c>
      <c r="M960" s="27" t="s">
        <v>582</v>
      </c>
      <c r="N960" s="27" t="s">
        <v>582</v>
      </c>
      <c r="O960" s="27" t="s">
        <v>480</v>
      </c>
      <c r="R960" s="556">
        <f t="shared" si="131"/>
        <v>307164</v>
      </c>
      <c r="S960" s="556">
        <f t="shared" si="132"/>
        <v>307164</v>
      </c>
      <c r="T960" s="556">
        <f t="shared" si="133"/>
        <v>933973.00193646993</v>
      </c>
      <c r="U960" s="556">
        <f t="shared" si="134"/>
        <v>519386.78806347004</v>
      </c>
      <c r="V960" s="556">
        <f t="shared" si="135"/>
        <v>519386.8217585301</v>
      </c>
      <c r="W960" s="556">
        <f t="shared" si="136"/>
        <v>519386.77824149001</v>
      </c>
      <c r="X960" s="556">
        <f t="shared" si="137"/>
        <v>703179.04364032997</v>
      </c>
      <c r="Y960" s="556">
        <f t="shared" si="138"/>
        <v>703178.9563597599</v>
      </c>
      <c r="Z960" s="556">
        <f t="shared" si="139"/>
        <v>703178.99999994971</v>
      </c>
      <c r="AA960" s="556">
        <f t="shared" si="140"/>
        <v>703179.09455273021</v>
      </c>
      <c r="AB960" s="556">
        <f t="shared" si="141"/>
        <v>703178.90544728003</v>
      </c>
      <c r="AC960" s="556">
        <f t="shared" si="142"/>
        <v>703179.12849435024</v>
      </c>
      <c r="AD960" s="556">
        <f t="shared" ref="AD960:AD961" si="144">+IF(AD$10="Actuals",IF($O482="Revenue",-IF($H482="BS",AD482,IF($H482="P&amp;L",AD482,0)),IF($H482="BS",AD482,IF($H482="P&amp;L",AD482,0))),0)</f>
        <v>587518.23333328997</v>
      </c>
      <c r="AE960" s="556">
        <f t="shared" ref="AE960" si="145">+IF(AE$10="Actuals",IF($O482="Revenue",-IF($H482="BS",AE482,IF($H482="P&amp;L",AE482-AD482,0)),IF($H482="BS",AE482,IF($H482="P&amp;L",AE482-AD482,0))),0)</f>
        <v>606348.47718852002</v>
      </c>
      <c r="AF960" s="556">
        <f t="shared" ref="AF960" si="146">+IF(AF$10="Actuals",IF($O482="Revenue",-IF($H482="BS",AF482,IF($H482="P&amp;L",AF482-AE482,0)),IF($H482="BS",AF482,IF($H482="P&amp;L",AF482-AE482,0))),0)</f>
        <v>644738.00510336994</v>
      </c>
      <c r="AG960" s="556">
        <f t="shared" si="130"/>
        <v>645313.92316013994</v>
      </c>
      <c r="AH960" s="44"/>
    </row>
    <row r="961" spans="1:33" hidden="1" x14ac:dyDescent="0.35">
      <c r="A961" t="b">
        <f t="shared" si="128"/>
        <v>1</v>
      </c>
      <c r="B961" s="27" t="s">
        <v>1227</v>
      </c>
      <c r="C961" s="27" t="s">
        <v>51</v>
      </c>
      <c r="D961" s="27" t="s">
        <v>1806</v>
      </c>
      <c r="E961" s="27" t="s">
        <v>51</v>
      </c>
      <c r="F961" s="27" t="s">
        <v>457</v>
      </c>
      <c r="G961" s="27" t="s">
        <v>1465</v>
      </c>
      <c r="H961" s="27" t="s">
        <v>447</v>
      </c>
      <c r="I961" s="27" t="s">
        <v>440</v>
      </c>
      <c r="J961" s="27" t="s">
        <v>448</v>
      </c>
      <c r="K961" s="27" t="s">
        <v>449</v>
      </c>
      <c r="L961" s="27" t="s">
        <v>1028</v>
      </c>
      <c r="M961" s="27" t="s">
        <v>1028</v>
      </c>
      <c r="N961" s="27" t="s">
        <v>1028</v>
      </c>
      <c r="O961" s="27" t="s">
        <v>449</v>
      </c>
      <c r="P961" s="27" t="s">
        <v>449</v>
      </c>
      <c r="Q961" s="27" t="s">
        <v>372</v>
      </c>
      <c r="R961" s="556">
        <f t="shared" si="131"/>
        <v>59388</v>
      </c>
      <c r="S961" s="556">
        <f t="shared" ref="S961" si="147">+IF(S$10="Actuals",IF($O483="Revenue",-IF($H483="BS",S483,IF($H483="P&amp;L",S483-R483,0)),IF($H483="BS",S483,IF($H483="P&amp;L",S483-R483,0))),0)</f>
        <v>59388</v>
      </c>
      <c r="T961" s="556">
        <f t="shared" ref="T961" si="148">+IF(T$10="Actuals",IF($O483="Revenue",-IF($H483="BS",T483,IF($H483="P&amp;L",T483-S483,0)),IF($H483="BS",T483,IF($H483="P&amp;L",T483-S483,0))),0)</f>
        <v>59388</v>
      </c>
      <c r="U961" s="556">
        <f t="shared" ref="U961" si="149">+IF(U$10="Actuals",IF($O483="Revenue",-IF($H483="BS",U483,IF($H483="P&amp;L",U483-T483,0)),IF($H483="BS",U483,IF($H483="P&amp;L",U483-T483,0))),0)</f>
        <v>59388</v>
      </c>
      <c r="V961" s="556">
        <f t="shared" ref="V961" si="150">+IF(V$10="Actuals",IF($O483="Revenue",-IF($H483="BS",V483,IF($H483="P&amp;L",V483-U483,0)),IF($H483="BS",V483,IF($H483="P&amp;L",V483-U483,0))),0)</f>
        <v>867192.06999999983</v>
      </c>
      <c r="W961" s="556">
        <f t="shared" ref="W961" si="151">+IF(W$10="Actuals",IF($O483="Revenue",-IF($H483="BS",W483,IF($H483="P&amp;L",W483-V483,0)),IF($H483="BS",W483,IF($H483="P&amp;L",W483-V483,0))),0)</f>
        <v>231261.00000000023</v>
      </c>
      <c r="X961" s="556">
        <f t="shared" ref="X961" si="152">+IF(X$10="Actuals",IF($O483="Revenue",-IF($H483="BS",X483,IF($H483="P&amp;L",X483-W483,0)),IF($H483="BS",X483,IF($H483="P&amp;L",X483-W483,0))),0)</f>
        <v>59388</v>
      </c>
      <c r="Y961" s="556">
        <f t="shared" ref="Y961" si="153">+IF(Y$10="Actuals",IF($O483="Revenue",-IF($H483="BS",Y483,IF($H483="P&amp;L",Y483-X483,0)),IF($H483="BS",Y483,IF($H483="P&amp;L",Y483-X483,0))),0)</f>
        <v>157824</v>
      </c>
      <c r="Z961" s="556">
        <f t="shared" ref="Z961" si="154">+IF(Z$10="Actuals",IF($O483="Revenue",-IF($H483="BS",Z483,IF($H483="P&amp;L",Z483-Y483,0)),IF($H483="BS",Z483,IF($H483="P&amp;L",Z483-Y483,0))),0)</f>
        <v>4272483</v>
      </c>
      <c r="AA961" s="556">
        <f t="shared" ref="AA961" si="155">+IF(AA$10="Actuals",IF($O483="Revenue",-IF($H483="BS",AA483,IF($H483="P&amp;L",AA483-Z483,0)),IF($H483="BS",AA483,IF($H483="P&amp;L",AA483-Z483,0))),0)</f>
        <v>911696</v>
      </c>
      <c r="AB961" s="556">
        <f t="shared" ref="AB961" si="156">+IF(AB$10="Actuals",IF($O483="Revenue",-IF($H483="BS",AB483,IF($H483="P&amp;L",AB483-AA483,0)),IF($H483="BS",AB483,IF($H483="P&amp;L",AB483-AA483,0))),0)</f>
        <v>157824</v>
      </c>
      <c r="AC961" s="556">
        <f t="shared" ref="AC961" si="157">+IF(AC$10="Actuals",IF($O483="Revenue",-IF($H483="BS",AC483,IF($H483="P&amp;L",AC483-AB483,0)),IF($H483="BS",AC483,IF($H483="P&amp;L",AC483-AB483,0))),0)</f>
        <v>157824</v>
      </c>
      <c r="AD961" s="556">
        <f t="shared" si="144"/>
        <v>157824</v>
      </c>
      <c r="AE961" s="556">
        <f t="shared" ref="AE961" si="158">+IF(AE$10="Actuals",IF($O483="Revenue",-IF($H483="BS",AE483,IF($H483="P&amp;L",AE483-AD483,0)),IF($H483="BS",AE483,IF($H483="P&amp;L",AE483-AD483,0))),0)</f>
        <v>157824</v>
      </c>
      <c r="AF961" s="556">
        <f>+IF(AF$10="Actuals",IF($O483="Revenue",-IF($H483="BS",AF483,IF($H483="P&amp;L",AF483-AE483,0)),IF($H483="BS",AF483,IF($H483="P&amp;L",AF483-AE483,0))),0)</f>
        <v>256260</v>
      </c>
      <c r="AG961" s="556">
        <f>+IF(AG$10="Actuals",IF($O483="Revenue",-IF($H483="BS",AG483,IF($H483="P&amp;L",AG483-AF483,0)),IF($H483="BS",AG483,IF($H483="P&amp;L",AG483-AF483,0))),0)</f>
        <v>59388</v>
      </c>
    </row>
    <row r="962" spans="1:33" ht="15" hidden="1" x14ac:dyDescent="0.35">
      <c r="A962" t="b">
        <f t="shared" si="128"/>
        <v>1</v>
      </c>
      <c r="B962" t="s">
        <v>2059</v>
      </c>
      <c r="C962" s="27" t="s">
        <v>51</v>
      </c>
      <c r="D962" s="27" t="str">
        <f t="shared" ref="D962" si="159">C962&amp;B962</f>
        <v>[VCN]400-100-100-0014</v>
      </c>
      <c r="E962" s="27" t="s">
        <v>51</v>
      </c>
      <c r="F962" s="27" t="s">
        <v>445</v>
      </c>
      <c r="G962" t="s">
        <v>1468</v>
      </c>
      <c r="H962" s="27" t="s">
        <v>447</v>
      </c>
      <c r="I962" s="27" t="s">
        <v>440</v>
      </c>
      <c r="J962" s="27" t="s">
        <v>448</v>
      </c>
      <c r="K962" s="27" t="s">
        <v>449</v>
      </c>
      <c r="L962" s="27" t="s">
        <v>458</v>
      </c>
      <c r="M962" s="102" t="s">
        <v>502</v>
      </c>
      <c r="N962" s="102" t="s">
        <v>502</v>
      </c>
      <c r="O962" s="27" t="s">
        <v>449</v>
      </c>
      <c r="P962" t="s">
        <v>449</v>
      </c>
      <c r="Q962" s="27" t="s">
        <v>372</v>
      </c>
      <c r="AF962" s="556"/>
      <c r="AG962" s="556">
        <f t="shared" ref="AG962" si="160">+IF(AG$10="Actuals",IF($O484="Revenue",-IF($H484="BS",AG484,IF($H484="P&amp;L",AG484-AF484,0)),IF($H484="BS",AG484,IF($H484="P&amp;L",AG484-AF484,0))),0)</f>
        <v>352124.86</v>
      </c>
    </row>
    <row r="963" spans="1:33" x14ac:dyDescent="0.35">
      <c r="AF963" s="556"/>
    </row>
  </sheetData>
  <autoFilter ref="B490:AO962" xr:uid="{920A9EE1-FC8B-41CC-874F-9814E8AA6692}">
    <filterColumn colId="11">
      <filters>
        <filter val="MKT Expense"/>
      </filters>
    </filterColumn>
  </autoFilter>
  <phoneticPr fontId="66" type="noConversion"/>
  <conditionalFormatting sqref="B436">
    <cfRule type="duplicateValues" dxfId="112" priority="17"/>
  </conditionalFormatting>
  <conditionalFormatting sqref="B437:B438">
    <cfRule type="duplicateValues" dxfId="111" priority="15"/>
  </conditionalFormatting>
  <conditionalFormatting sqref="B439">
    <cfRule type="duplicateValues" dxfId="110" priority="14"/>
  </conditionalFormatting>
  <conditionalFormatting sqref="B440:B443">
    <cfRule type="duplicateValues" dxfId="109" priority="18"/>
  </conditionalFormatting>
  <conditionalFormatting sqref="B444:B481">
    <cfRule type="duplicateValues" dxfId="108" priority="12"/>
    <cfRule type="duplicateValues" dxfId="107" priority="13"/>
  </conditionalFormatting>
  <conditionalFormatting sqref="B482">
    <cfRule type="duplicateValues" dxfId="106" priority="10"/>
  </conditionalFormatting>
  <conditionalFormatting sqref="B914">
    <cfRule type="duplicateValues" dxfId="105" priority="32"/>
  </conditionalFormatting>
  <conditionalFormatting sqref="B915:B916">
    <cfRule type="duplicateValues" dxfId="104" priority="30"/>
  </conditionalFormatting>
  <conditionalFormatting sqref="B917">
    <cfRule type="duplicateValues" dxfId="103" priority="29"/>
  </conditionalFormatting>
  <conditionalFormatting sqref="B918:B921">
    <cfRule type="duplicateValues" dxfId="102" priority="33"/>
  </conditionalFormatting>
  <conditionalFormatting sqref="B922:B959">
    <cfRule type="duplicateValues" dxfId="101" priority="24"/>
    <cfRule type="duplicateValues" dxfId="100" priority="25"/>
  </conditionalFormatting>
  <conditionalFormatting sqref="B960">
    <cfRule type="duplicateValues" dxfId="99" priority="20"/>
  </conditionalFormatting>
  <conditionalFormatting sqref="D13:D443">
    <cfRule type="duplicateValues" dxfId="98" priority="16"/>
  </conditionalFormatting>
  <conditionalFormatting sqref="D13:D484">
    <cfRule type="duplicateValues" dxfId="97" priority="8"/>
  </conditionalFormatting>
  <conditionalFormatting sqref="D444:D481">
    <cfRule type="duplicateValues" dxfId="96" priority="11"/>
  </conditionalFormatting>
  <conditionalFormatting sqref="D482">
    <cfRule type="duplicateValues" dxfId="95" priority="9"/>
  </conditionalFormatting>
  <conditionalFormatting sqref="D483">
    <cfRule type="duplicateValues" dxfId="94" priority="7"/>
  </conditionalFormatting>
  <conditionalFormatting sqref="D484">
    <cfRule type="duplicateValues" dxfId="93" priority="4"/>
  </conditionalFormatting>
  <conditionalFormatting sqref="D491:D921">
    <cfRule type="duplicateValues" dxfId="92" priority="31"/>
  </conditionalFormatting>
  <conditionalFormatting sqref="D491:D962">
    <cfRule type="duplicateValues" dxfId="91" priority="1"/>
  </conditionalFormatting>
  <conditionalFormatting sqref="D922:D959">
    <cfRule type="duplicateValues" dxfId="90" priority="23"/>
  </conditionalFormatting>
  <conditionalFormatting sqref="D960">
    <cfRule type="duplicateValues" dxfId="89" priority="19"/>
  </conditionalFormatting>
  <conditionalFormatting sqref="D961">
    <cfRule type="duplicateValues" dxfId="88" priority="5"/>
    <cfRule type="duplicateValues" dxfId="87" priority="6"/>
  </conditionalFormatting>
  <conditionalFormatting sqref="D962">
    <cfRule type="duplicateValues" dxfId="86" priority="2"/>
    <cfRule type="duplicateValues" dxfId="85" priority="3"/>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06EB-73EF-4612-A802-D330E40D9CCE}">
  <sheetPr codeName="Sheet6">
    <tabColor rgb="FF09868C"/>
  </sheetPr>
  <dimension ref="A1:BD124"/>
  <sheetViews>
    <sheetView topLeftCell="A3" workbookViewId="0">
      <selection activeCell="Q11" sqref="Q11"/>
    </sheetView>
    <sheetView zoomScale="60" zoomScaleNormal="60" workbookViewId="1">
      <pane xSplit="16" ySplit="10" topLeftCell="V11" activePane="bottomRight" state="frozen"/>
      <selection pane="topRight" activeCell="Q1" sqref="Q1"/>
      <selection pane="bottomLeft" activeCell="A11" sqref="A11"/>
      <selection pane="bottomRight" activeCell="BF94" sqref="BF94"/>
    </sheetView>
  </sheetViews>
  <sheetFormatPr baseColWidth="10" defaultColWidth="8.54296875" defaultRowHeight="15" outlineLevelRow="2" outlineLevelCol="1" x14ac:dyDescent="0.45"/>
  <cols>
    <col min="1" max="1" width="8.54296875" style="46" customWidth="1"/>
    <col min="2" max="3" width="25.54296875" style="46" customWidth="1"/>
    <col min="4" max="16" width="5.453125" style="181" hidden="1" customWidth="1" outlineLevel="1"/>
    <col min="17" max="17" width="14.453125" style="46" customWidth="1" collapsed="1"/>
    <col min="18" max="32" width="14.453125" style="46" customWidth="1"/>
    <col min="33" max="40" width="14.453125" style="46" hidden="1" customWidth="1" outlineLevel="1"/>
    <col min="41" max="41" width="2.54296875" style="46" customWidth="1" collapsed="1"/>
    <col min="42" max="49" width="14.453125" style="46" hidden="1" customWidth="1" outlineLevel="1"/>
    <col min="50" max="50" width="3.54296875" style="46" customWidth="1" collapsed="1"/>
    <col min="51" max="52" width="16.453125" style="46" hidden="1" customWidth="1" outlineLevel="1"/>
    <col min="53" max="53" width="3.54296875" style="46" customWidth="1" collapsed="1"/>
    <col min="54" max="54" width="16.453125" style="46" hidden="1" customWidth="1" outlineLevel="1"/>
    <col min="55" max="55" width="15.81640625" style="46" hidden="1" customWidth="1" outlineLevel="1"/>
    <col min="56" max="56" width="2.453125" style="46" customWidth="1" collapsed="1"/>
    <col min="57" max="106" width="8.54296875" style="46" customWidth="1"/>
    <col min="107" max="16384" width="8.54296875" style="46"/>
  </cols>
  <sheetData>
    <row r="1" spans="1:55" x14ac:dyDescent="0.45">
      <c r="B1" s="25" t="s">
        <v>339</v>
      </c>
      <c r="C1" s="26" t="s">
        <v>808</v>
      </c>
      <c r="D1" s="175"/>
      <c r="E1" s="175"/>
      <c r="F1" s="175"/>
      <c r="G1" s="175"/>
      <c r="H1" s="175"/>
      <c r="I1" s="175"/>
      <c r="J1" s="175"/>
      <c r="K1" s="175"/>
      <c r="L1" s="175"/>
      <c r="M1" s="175"/>
      <c r="N1" s="175"/>
      <c r="O1" s="175"/>
      <c r="P1" s="175"/>
      <c r="Q1" s="26" t="s">
        <v>1</v>
      </c>
      <c r="R1" s="25"/>
      <c r="S1" s="25"/>
      <c r="T1" s="25"/>
      <c r="U1" s="25"/>
      <c r="V1" s="25"/>
      <c r="W1" s="25"/>
      <c r="X1" s="25"/>
      <c r="Y1" s="25"/>
      <c r="Z1" s="25"/>
      <c r="AA1" s="25"/>
      <c r="AB1" s="25"/>
      <c r="AC1" s="25"/>
      <c r="AD1" s="25"/>
      <c r="AE1" s="25"/>
      <c r="AF1" s="25"/>
      <c r="AG1" s="25"/>
      <c r="AH1" s="25"/>
      <c r="AI1" s="25"/>
      <c r="AJ1" s="25"/>
      <c r="AK1" s="25"/>
      <c r="AL1" s="25"/>
      <c r="AM1" s="25"/>
      <c r="AN1" s="25"/>
      <c r="AP1" s="25"/>
      <c r="AQ1" s="25"/>
      <c r="AR1" s="25"/>
      <c r="AS1" s="25"/>
      <c r="AT1" s="25"/>
      <c r="AU1" s="25"/>
      <c r="AV1" s="25"/>
      <c r="AW1" s="25"/>
      <c r="AY1" s="25"/>
      <c r="AZ1" s="25"/>
      <c r="BB1" s="25"/>
      <c r="BC1" s="25"/>
    </row>
    <row r="2" spans="1:55" ht="15" customHeight="1" x14ac:dyDescent="0.45">
      <c r="A2" s="258">
        <f>SUM(A3:A1048576)</f>
        <v>0</v>
      </c>
      <c r="B2" s="25" t="s">
        <v>2</v>
      </c>
      <c r="C2" s="95" t="str">
        <f>+Scenarios!$F$15</f>
        <v>BP</v>
      </c>
      <c r="D2" s="175"/>
      <c r="E2" s="175"/>
      <c r="F2" s="175"/>
      <c r="G2" s="175"/>
      <c r="H2" s="175"/>
      <c r="I2" s="175"/>
      <c r="J2" s="175"/>
      <c r="K2" s="175"/>
      <c r="L2" s="175"/>
      <c r="M2" s="175"/>
      <c r="N2" s="175"/>
      <c r="O2" s="175"/>
      <c r="P2" s="175"/>
      <c r="Q2" s="259">
        <f>A2</f>
        <v>0</v>
      </c>
      <c r="R2" s="94"/>
      <c r="S2" s="94"/>
      <c r="T2" s="94"/>
      <c r="U2" s="94"/>
      <c r="V2" s="94"/>
      <c r="W2" s="94"/>
      <c r="X2" s="94"/>
      <c r="Y2" s="94"/>
      <c r="Z2" s="94"/>
      <c r="AA2" s="94"/>
      <c r="AB2" s="94"/>
      <c r="AC2" s="94"/>
      <c r="AD2" s="94"/>
      <c r="AE2" s="94"/>
      <c r="AF2" s="94"/>
      <c r="AG2" s="94"/>
      <c r="AH2" s="94"/>
      <c r="AI2" s="94"/>
      <c r="AJ2" s="94"/>
      <c r="AK2" s="94"/>
      <c r="AL2" s="94"/>
      <c r="AM2" s="94"/>
      <c r="AN2" s="94"/>
      <c r="AP2" s="94"/>
      <c r="AQ2" s="94"/>
      <c r="AR2" s="94"/>
      <c r="AS2" s="94"/>
      <c r="AT2" s="94"/>
      <c r="AU2" s="94"/>
      <c r="AV2" s="94"/>
      <c r="AW2" s="94"/>
      <c r="AY2" s="94"/>
      <c r="AZ2" s="94"/>
      <c r="BB2" s="94"/>
      <c r="BC2" s="94"/>
    </row>
    <row r="3" spans="1:55" x14ac:dyDescent="0.45">
      <c r="B3" s="93"/>
      <c r="C3" s="242"/>
      <c r="D3" s="176"/>
      <c r="E3" s="176"/>
      <c r="F3" s="176"/>
      <c r="G3" s="176"/>
      <c r="H3" s="176"/>
      <c r="I3" s="176"/>
      <c r="J3" s="176"/>
      <c r="K3" s="176"/>
      <c r="L3" s="176"/>
      <c r="M3" s="176"/>
      <c r="N3" s="176"/>
      <c r="O3" s="176"/>
      <c r="P3" s="176"/>
      <c r="Q3" s="93"/>
      <c r="R3" s="93"/>
      <c r="S3" s="93"/>
      <c r="T3" s="93"/>
      <c r="U3" s="93"/>
      <c r="V3" s="93"/>
      <c r="W3" s="93"/>
      <c r="X3" s="93"/>
      <c r="Y3" s="93"/>
      <c r="Z3" s="93"/>
      <c r="AA3" s="93"/>
      <c r="AB3" s="93"/>
      <c r="AC3" s="93"/>
      <c r="AD3" s="93"/>
      <c r="AE3" s="93"/>
      <c r="AF3" s="93"/>
      <c r="AG3" s="93"/>
      <c r="AH3" s="93"/>
      <c r="AI3" s="93"/>
      <c r="AJ3" s="93"/>
      <c r="AK3" s="93"/>
      <c r="AL3" s="93"/>
      <c r="AM3" s="93"/>
      <c r="AN3" s="93"/>
      <c r="AY3" s="93"/>
      <c r="AZ3" s="93"/>
      <c r="BB3" s="93"/>
      <c r="BC3" s="93"/>
    </row>
    <row r="4" spans="1:55" x14ac:dyDescent="0.45">
      <c r="B4" s="91"/>
      <c r="C4" s="91"/>
      <c r="D4" s="177"/>
      <c r="E4" s="177"/>
      <c r="F4" s="177"/>
      <c r="G4" s="177"/>
      <c r="H4" s="177"/>
      <c r="I4" s="177"/>
      <c r="J4" s="177"/>
      <c r="K4" s="177"/>
      <c r="L4" s="177"/>
      <c r="M4" s="177"/>
      <c r="N4" s="177"/>
      <c r="O4" s="177"/>
      <c r="P4" s="177"/>
      <c r="Q4" s="92"/>
      <c r="R4" s="92"/>
      <c r="S4" s="92"/>
      <c r="T4" s="92"/>
      <c r="U4" s="92"/>
      <c r="V4" s="92"/>
      <c r="W4" s="92"/>
      <c r="X4" s="92"/>
      <c r="Y4" s="92"/>
      <c r="Z4" s="92"/>
      <c r="AA4" s="92"/>
      <c r="AB4" s="92"/>
      <c r="AC4" s="92"/>
      <c r="AD4" s="92"/>
      <c r="AE4" s="92"/>
      <c r="AF4" s="92"/>
      <c r="AG4" s="92"/>
      <c r="AH4" s="92"/>
      <c r="AI4" s="92"/>
      <c r="AJ4" s="92"/>
      <c r="AK4" s="92"/>
      <c r="AL4" s="92"/>
      <c r="AM4" s="92"/>
      <c r="AN4" s="92"/>
      <c r="AP4" s="91"/>
      <c r="AQ4" s="91"/>
      <c r="AR4" s="91"/>
      <c r="AS4" s="91"/>
      <c r="AT4" s="91"/>
      <c r="AU4" s="91"/>
      <c r="AV4" s="91"/>
      <c r="AW4" s="91"/>
      <c r="AY4" s="114" t="s">
        <v>31</v>
      </c>
      <c r="AZ4" s="114" t="s">
        <v>1022</v>
      </c>
      <c r="BB4" s="114" t="s">
        <v>818</v>
      </c>
      <c r="BC4" s="114" t="s">
        <v>1023</v>
      </c>
    </row>
    <row r="5" spans="1:55" x14ac:dyDescent="0.45">
      <c r="B5" s="90"/>
      <c r="C5" s="90"/>
      <c r="D5" s="178"/>
      <c r="E5" s="178"/>
      <c r="F5" s="178"/>
      <c r="G5" s="178"/>
      <c r="H5" s="178"/>
      <c r="I5" s="178"/>
      <c r="J5" s="178"/>
      <c r="K5" s="178"/>
      <c r="L5" s="178"/>
      <c r="M5" s="178"/>
      <c r="N5" s="178"/>
      <c r="O5" s="178"/>
      <c r="P5" s="178"/>
    </row>
    <row r="6" spans="1:55" x14ac:dyDescent="0.45">
      <c r="B6" s="89" t="s">
        <v>810</v>
      </c>
      <c r="C6" s="89"/>
      <c r="D6" s="179"/>
      <c r="E6" s="179"/>
      <c r="F6" s="179"/>
      <c r="G6" s="179"/>
      <c r="H6" s="179"/>
      <c r="I6" s="179"/>
      <c r="J6" s="179"/>
      <c r="K6" s="179"/>
      <c r="L6" s="179"/>
      <c r="M6" s="179"/>
      <c r="N6" s="179"/>
      <c r="O6" s="179"/>
      <c r="P6" s="179"/>
      <c r="Q6" s="88">
        <v>45658</v>
      </c>
      <c r="R6" s="88">
        <v>45689</v>
      </c>
      <c r="S6" s="88">
        <v>45717</v>
      </c>
      <c r="T6" s="88">
        <v>45748</v>
      </c>
      <c r="U6" s="88">
        <v>45778</v>
      </c>
      <c r="V6" s="88">
        <v>45809</v>
      </c>
      <c r="W6" s="88">
        <v>45839</v>
      </c>
      <c r="X6" s="88">
        <v>45870</v>
      </c>
      <c r="Y6" s="88">
        <v>45901</v>
      </c>
      <c r="Z6" s="88">
        <v>45931</v>
      </c>
      <c r="AA6" s="88">
        <v>45962</v>
      </c>
      <c r="AB6" s="88">
        <v>45992</v>
      </c>
      <c r="AC6" s="88">
        <v>46023</v>
      </c>
      <c r="AD6" s="88">
        <v>46054</v>
      </c>
      <c r="AE6" s="88">
        <v>46082</v>
      </c>
      <c r="AF6" s="88">
        <v>46113</v>
      </c>
      <c r="AG6" s="88">
        <v>46143</v>
      </c>
      <c r="AH6" s="88">
        <v>46174</v>
      </c>
      <c r="AI6" s="88">
        <v>46204</v>
      </c>
      <c r="AJ6" s="88">
        <v>46235</v>
      </c>
      <c r="AK6" s="88">
        <v>46266</v>
      </c>
      <c r="AL6" s="88">
        <v>46296</v>
      </c>
      <c r="AM6" s="88">
        <v>46327</v>
      </c>
      <c r="AN6" s="88">
        <v>46357</v>
      </c>
      <c r="AP6" s="88">
        <v>45658</v>
      </c>
      <c r="AQ6" s="88">
        <v>45748</v>
      </c>
      <c r="AR6" s="88">
        <f>+AQ7+1</f>
        <v>45839</v>
      </c>
      <c r="AS6" s="88">
        <f>+AR7+1</f>
        <v>45931</v>
      </c>
      <c r="AT6" s="88">
        <v>46023</v>
      </c>
      <c r="AU6" s="88">
        <v>46113</v>
      </c>
      <c r="AV6" s="88">
        <f>+AU7+1</f>
        <v>46204</v>
      </c>
      <c r="AW6" s="88">
        <f>+AV7+1</f>
        <v>46296</v>
      </c>
      <c r="AY6" s="88">
        <v>45658</v>
      </c>
      <c r="AZ6" s="88">
        <v>46023</v>
      </c>
      <c r="BB6" s="88">
        <v>45658</v>
      </c>
      <c r="BC6" s="88">
        <v>46023</v>
      </c>
    </row>
    <row r="7" spans="1:55" x14ac:dyDescent="0.45">
      <c r="B7" s="89" t="s">
        <v>359</v>
      </c>
      <c r="C7" s="89"/>
      <c r="D7" s="179"/>
      <c r="E7" s="179"/>
      <c r="F7" s="179"/>
      <c r="G7" s="179"/>
      <c r="H7" s="179"/>
      <c r="I7" s="179"/>
      <c r="J7" s="179"/>
      <c r="K7" s="179"/>
      <c r="L7" s="179"/>
      <c r="M7" s="179"/>
      <c r="N7" s="179"/>
      <c r="O7" s="179"/>
      <c r="P7" s="179"/>
      <c r="Q7" s="88">
        <v>45688</v>
      </c>
      <c r="R7" s="88">
        <v>45716</v>
      </c>
      <c r="S7" s="88">
        <v>45747</v>
      </c>
      <c r="T7" s="88">
        <v>45777</v>
      </c>
      <c r="U7" s="88">
        <v>45808</v>
      </c>
      <c r="V7" s="88">
        <v>45838</v>
      </c>
      <c r="W7" s="88">
        <v>45869</v>
      </c>
      <c r="X7" s="88">
        <v>45900</v>
      </c>
      <c r="Y7" s="88">
        <v>45930</v>
      </c>
      <c r="Z7" s="88">
        <v>45961</v>
      </c>
      <c r="AA7" s="88">
        <v>45991</v>
      </c>
      <c r="AB7" s="88">
        <v>46022</v>
      </c>
      <c r="AC7" s="88">
        <v>46053</v>
      </c>
      <c r="AD7" s="88">
        <v>46081</v>
      </c>
      <c r="AE7" s="88">
        <v>46112</v>
      </c>
      <c r="AF7" s="88">
        <v>46142</v>
      </c>
      <c r="AG7" s="88">
        <v>46173</v>
      </c>
      <c r="AH7" s="88">
        <v>46203</v>
      </c>
      <c r="AI7" s="88">
        <v>46234</v>
      </c>
      <c r="AJ7" s="88">
        <v>46265</v>
      </c>
      <c r="AK7" s="88">
        <v>46295</v>
      </c>
      <c r="AL7" s="88">
        <v>46326</v>
      </c>
      <c r="AM7" s="88">
        <v>46356</v>
      </c>
      <c r="AN7" s="88">
        <v>46387</v>
      </c>
      <c r="AP7" s="88">
        <v>45747</v>
      </c>
      <c r="AQ7" s="88">
        <v>45838</v>
      </c>
      <c r="AR7" s="88">
        <v>45930</v>
      </c>
      <c r="AS7" s="88">
        <v>46022</v>
      </c>
      <c r="AT7" s="88">
        <v>46112</v>
      </c>
      <c r="AU7" s="88">
        <v>46203</v>
      </c>
      <c r="AV7" s="88">
        <v>46295</v>
      </c>
      <c r="AW7" s="88">
        <v>46387</v>
      </c>
      <c r="AY7" s="88">
        <v>46022</v>
      </c>
      <c r="AZ7" s="88">
        <v>46387</v>
      </c>
      <c r="BB7" s="88">
        <v>46022</v>
      </c>
      <c r="BC7" s="88">
        <v>46387</v>
      </c>
    </row>
    <row r="8" spans="1:55" x14ac:dyDescent="0.45">
      <c r="B8" s="84" t="s">
        <v>360</v>
      </c>
      <c r="C8" s="84"/>
      <c r="D8" s="180"/>
      <c r="E8" s="180"/>
      <c r="F8" s="180"/>
      <c r="G8" s="180"/>
      <c r="H8" s="180"/>
      <c r="I8" s="180"/>
      <c r="J8" s="180"/>
      <c r="K8" s="180"/>
      <c r="L8" s="180"/>
      <c r="M8" s="180"/>
      <c r="N8" s="180"/>
      <c r="O8" s="180"/>
      <c r="P8" s="180"/>
      <c r="Q8" s="87">
        <v>2025</v>
      </c>
      <c r="R8" s="87">
        <v>2025</v>
      </c>
      <c r="S8" s="87">
        <v>2025</v>
      </c>
      <c r="T8" s="87">
        <v>2025</v>
      </c>
      <c r="U8" s="87">
        <v>2025</v>
      </c>
      <c r="V8" s="87">
        <v>2025</v>
      </c>
      <c r="W8" s="87">
        <v>2025</v>
      </c>
      <c r="X8" s="87">
        <v>2025</v>
      </c>
      <c r="Y8" s="87">
        <v>2025</v>
      </c>
      <c r="Z8" s="87">
        <v>2025</v>
      </c>
      <c r="AA8" s="87">
        <v>2025</v>
      </c>
      <c r="AB8" s="87">
        <v>2025</v>
      </c>
      <c r="AC8" s="87">
        <v>2026</v>
      </c>
      <c r="AD8" s="87">
        <v>2026</v>
      </c>
      <c r="AE8" s="87">
        <v>2026</v>
      </c>
      <c r="AF8" s="87">
        <v>2026</v>
      </c>
      <c r="AG8" s="87">
        <v>2026</v>
      </c>
      <c r="AH8" s="87">
        <v>2026</v>
      </c>
      <c r="AI8" s="87">
        <v>2026</v>
      </c>
      <c r="AJ8" s="87">
        <v>2026</v>
      </c>
      <c r="AK8" s="87">
        <v>2026</v>
      </c>
      <c r="AL8" s="87">
        <v>2026</v>
      </c>
      <c r="AM8" s="87">
        <v>2026</v>
      </c>
      <c r="AN8" s="87">
        <v>2026</v>
      </c>
      <c r="AP8" s="86">
        <v>2025</v>
      </c>
      <c r="AQ8" s="86">
        <v>2025</v>
      </c>
      <c r="AR8" s="86">
        <v>2025</v>
      </c>
      <c r="AS8" s="86">
        <v>2025</v>
      </c>
      <c r="AT8" s="86">
        <v>2026</v>
      </c>
      <c r="AU8" s="86">
        <v>2026</v>
      </c>
      <c r="AV8" s="86">
        <v>2026</v>
      </c>
      <c r="AW8" s="86">
        <v>2026</v>
      </c>
      <c r="AY8" s="86">
        <v>2025</v>
      </c>
      <c r="AZ8" s="86">
        <v>2026</v>
      </c>
      <c r="BB8" s="86">
        <v>2025</v>
      </c>
      <c r="BC8" s="86">
        <v>2026</v>
      </c>
    </row>
    <row r="9" spans="1:55" x14ac:dyDescent="0.45">
      <c r="B9" s="84" t="s">
        <v>361</v>
      </c>
      <c r="C9" s="84"/>
      <c r="D9" s="180"/>
      <c r="E9" s="180"/>
      <c r="F9" s="180"/>
      <c r="G9" s="180"/>
      <c r="H9" s="180"/>
      <c r="I9" s="180"/>
      <c r="J9" s="180"/>
      <c r="K9" s="180"/>
      <c r="L9" s="180"/>
      <c r="M9" s="180"/>
      <c r="N9" s="180"/>
      <c r="O9" s="180"/>
      <c r="P9" s="180"/>
      <c r="Q9" s="83" t="s">
        <v>7</v>
      </c>
      <c r="R9" s="83" t="s">
        <v>7</v>
      </c>
      <c r="S9" s="83" t="s">
        <v>7</v>
      </c>
      <c r="T9" s="83" t="s">
        <v>13</v>
      </c>
      <c r="U9" s="83" t="s">
        <v>13</v>
      </c>
      <c r="V9" s="83" t="s">
        <v>13</v>
      </c>
      <c r="W9" s="83" t="s">
        <v>20</v>
      </c>
      <c r="X9" s="83" t="s">
        <v>20</v>
      </c>
      <c r="Y9" s="83" t="s">
        <v>20</v>
      </c>
      <c r="Z9" s="83" t="s">
        <v>26</v>
      </c>
      <c r="AA9" s="83" t="s">
        <v>26</v>
      </c>
      <c r="AB9" s="83" t="s">
        <v>26</v>
      </c>
      <c r="AC9" s="83" t="s">
        <v>7</v>
      </c>
      <c r="AD9" s="83" t="s">
        <v>7</v>
      </c>
      <c r="AE9" s="83" t="s">
        <v>7</v>
      </c>
      <c r="AF9" s="83" t="s">
        <v>13</v>
      </c>
      <c r="AG9" s="83" t="s">
        <v>13</v>
      </c>
      <c r="AH9" s="83" t="s">
        <v>13</v>
      </c>
      <c r="AI9" s="83" t="s">
        <v>20</v>
      </c>
      <c r="AJ9" s="83" t="s">
        <v>20</v>
      </c>
      <c r="AK9" s="83" t="s">
        <v>20</v>
      </c>
      <c r="AL9" s="83" t="s">
        <v>26</v>
      </c>
      <c r="AM9" s="83" t="s">
        <v>26</v>
      </c>
      <c r="AN9" s="83" t="s">
        <v>26</v>
      </c>
      <c r="AP9" s="85" t="s">
        <v>7</v>
      </c>
      <c r="AQ9" s="85" t="s">
        <v>13</v>
      </c>
      <c r="AR9" s="85" t="s">
        <v>20</v>
      </c>
      <c r="AS9" s="85" t="s">
        <v>26</v>
      </c>
      <c r="AT9" s="85" t="s">
        <v>7</v>
      </c>
      <c r="AU9" s="85" t="s">
        <v>13</v>
      </c>
      <c r="AV9" s="85" t="s">
        <v>20</v>
      </c>
      <c r="AW9" s="85" t="s">
        <v>26</v>
      </c>
      <c r="AY9" s="85" t="s">
        <v>26</v>
      </c>
      <c r="AZ9" s="85" t="s">
        <v>26</v>
      </c>
      <c r="BB9" s="85" t="s">
        <v>26</v>
      </c>
      <c r="BC9" s="85" t="s">
        <v>26</v>
      </c>
    </row>
    <row r="10" spans="1:55" x14ac:dyDescent="0.45">
      <c r="B10" s="84"/>
      <c r="C10" s="84"/>
      <c r="D10" s="180"/>
      <c r="E10" s="180"/>
      <c r="F10" s="180"/>
      <c r="G10" s="180"/>
      <c r="H10" s="180"/>
      <c r="I10" s="180"/>
      <c r="J10" s="180"/>
      <c r="K10" s="180"/>
      <c r="L10" s="180"/>
      <c r="M10" s="180"/>
      <c r="N10" s="180"/>
      <c r="O10" s="180"/>
      <c r="P10" s="180"/>
      <c r="Q10" s="83" t="s">
        <v>362</v>
      </c>
      <c r="R10" s="83" t="s">
        <v>362</v>
      </c>
      <c r="S10" s="83" t="s">
        <v>362</v>
      </c>
      <c r="T10" s="83" t="s">
        <v>362</v>
      </c>
      <c r="U10" s="83"/>
      <c r="V10" s="83"/>
      <c r="W10" s="83"/>
      <c r="X10" s="83"/>
      <c r="Y10" s="83"/>
      <c r="Z10" s="83"/>
      <c r="AA10" s="83"/>
      <c r="AB10" s="83"/>
      <c r="AC10" s="83" t="s">
        <v>362</v>
      </c>
      <c r="AD10" s="83" t="s">
        <v>362</v>
      </c>
      <c r="AE10" s="83" t="s">
        <v>362</v>
      </c>
      <c r="AF10" s="83" t="s">
        <v>362</v>
      </c>
      <c r="AG10" s="83"/>
      <c r="AH10" s="83"/>
      <c r="AI10" s="83"/>
      <c r="AJ10" s="83"/>
      <c r="AK10" s="83"/>
      <c r="AL10" s="83"/>
      <c r="AM10" s="83"/>
      <c r="AN10" s="83"/>
      <c r="AP10" s="83"/>
      <c r="AQ10" s="83"/>
      <c r="AR10" s="83"/>
      <c r="AS10" s="83"/>
      <c r="AT10" s="83"/>
      <c r="AU10" s="83"/>
      <c r="AV10" s="83"/>
      <c r="AW10" s="83"/>
      <c r="AY10" s="83" t="s">
        <v>362</v>
      </c>
      <c r="AZ10" s="83" t="s">
        <v>362</v>
      </c>
      <c r="BB10" s="83" t="s">
        <v>362</v>
      </c>
      <c r="BC10" s="83" t="s">
        <v>362</v>
      </c>
    </row>
    <row r="11" spans="1:55" x14ac:dyDescent="0.45">
      <c r="Q11" s="82"/>
      <c r="R11" s="82"/>
      <c r="S11" s="82"/>
      <c r="T11" s="82"/>
      <c r="U11" s="82"/>
      <c r="V11" s="82"/>
      <c r="W11" s="82"/>
      <c r="X11" s="82"/>
      <c r="Y11" s="82"/>
      <c r="Z11" s="82"/>
      <c r="AA11" s="82"/>
      <c r="AB11" s="82"/>
      <c r="AC11" s="82"/>
      <c r="AD11" s="82"/>
      <c r="AE11" s="82"/>
      <c r="AF11" s="82"/>
      <c r="AG11" s="82"/>
      <c r="AH11" s="82"/>
      <c r="AI11" s="82"/>
      <c r="AJ11" s="82"/>
      <c r="AK11" s="82"/>
      <c r="AL11" s="82"/>
      <c r="AM11" s="82"/>
      <c r="AN11" s="82"/>
    </row>
    <row r="12" spans="1:55" x14ac:dyDescent="0.45">
      <c r="B12" s="55" t="s">
        <v>51</v>
      </c>
      <c r="C12" s="55"/>
      <c r="D12" s="182"/>
      <c r="E12" s="182"/>
      <c r="F12" s="182"/>
      <c r="G12" s="182"/>
      <c r="H12" s="182"/>
      <c r="I12" s="182"/>
      <c r="J12" s="182"/>
      <c r="K12" s="182"/>
      <c r="L12" s="182"/>
      <c r="M12" s="182"/>
      <c r="N12" s="182"/>
      <c r="O12" s="182"/>
      <c r="P12" s="182"/>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P12" s="54"/>
      <c r="AQ12" s="54"/>
      <c r="AR12" s="54"/>
      <c r="AS12" s="54"/>
      <c r="AT12" s="54"/>
      <c r="AU12" s="54"/>
      <c r="AV12" s="54"/>
      <c r="AW12" s="54"/>
      <c r="AY12" s="54"/>
      <c r="AZ12" s="54"/>
      <c r="BB12" s="54"/>
      <c r="BC12" s="54"/>
    </row>
    <row r="13" spans="1:55" x14ac:dyDescent="0.45">
      <c r="BB13" s="544"/>
    </row>
    <row r="14" spans="1:55" x14ac:dyDescent="0.45">
      <c r="B14" s="55" t="s">
        <v>447</v>
      </c>
      <c r="C14" s="55"/>
      <c r="D14" s="182"/>
      <c r="E14" s="182"/>
      <c r="F14" s="182"/>
      <c r="G14" s="182"/>
      <c r="H14" s="182"/>
      <c r="I14" s="182"/>
      <c r="J14" s="182"/>
      <c r="K14" s="182"/>
      <c r="L14" s="182"/>
      <c r="M14" s="182"/>
      <c r="N14" s="182"/>
      <c r="O14" s="182"/>
      <c r="P14" s="182"/>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P14" s="54"/>
      <c r="AQ14" s="54"/>
      <c r="AR14" s="59"/>
      <c r="AS14" s="54"/>
      <c r="AT14" s="54"/>
      <c r="AU14" s="54"/>
      <c r="AV14" s="54"/>
      <c r="AW14" s="54"/>
      <c r="AY14" s="54"/>
      <c r="AZ14" s="54"/>
      <c r="BB14" s="54"/>
      <c r="BC14" s="54"/>
    </row>
    <row r="15" spans="1:55" hidden="1" outlineLevel="1" x14ac:dyDescent="0.45">
      <c r="B15" s="81" t="s">
        <v>449</v>
      </c>
      <c r="C15" s="81"/>
      <c r="D15" s="520"/>
      <c r="E15" s="520"/>
      <c r="F15" s="520"/>
      <c r="G15" s="520"/>
      <c r="H15" s="520"/>
      <c r="I15" s="520"/>
      <c r="J15" s="520"/>
      <c r="K15" s="520"/>
      <c r="L15" s="520"/>
      <c r="M15" s="520"/>
      <c r="N15" s="520"/>
      <c r="O15" s="520"/>
      <c r="P15" s="520"/>
      <c r="Q15" s="80">
        <f>+SUMIFS('Data BASE'!R$491:R$4835,'Data BASE'!$O$491:$O$4835,'Managerial Consolidated'!$B15,'Data BASE'!$E$491:$E$4835,'Managerial Consolidated'!$B$12)</f>
        <v>8790220.4900000002</v>
      </c>
      <c r="R15" s="80">
        <f>+SUMIFS('Data BASE'!S$491:S$4835,'Data BASE'!$O$491:$O$4835,'Managerial Consolidated'!$B15,'Data BASE'!$E$491:$E$4835,'Managerial Consolidated'!$B$12)</f>
        <v>8433174.4199999981</v>
      </c>
      <c r="S15" s="80">
        <f>+SUMIFS('Data BASE'!T$491:T$4835,'Data BASE'!$O$491:$O$4835,'Managerial Consolidated'!$B15,'Data BASE'!$E$491:$E$4835,'Managerial Consolidated'!$B$12)</f>
        <v>8959087.6600000001</v>
      </c>
      <c r="T15" s="80">
        <f>+SUMIFS('Data BASE'!U$491:U$4835,'Data BASE'!$O$491:$O$4835,'Managerial Consolidated'!$B15,'Data BASE'!$E$491:$E$4835,'Managerial Consolidated'!$B$12)</f>
        <v>10918876.149999995</v>
      </c>
      <c r="U15" s="80">
        <f>+SUMIFS('Data BASE'!V$491:V$4835,'Data BASE'!$O$491:$O$4835,'Managerial Consolidated'!$B15,'Data BASE'!$E$491:$E$4835,'Managerial Consolidated'!$B$12)</f>
        <v>12639203.901758343</v>
      </c>
      <c r="V15" s="80">
        <f>+SUMIFS('Data BASE'!W$491:W$6729,'Data BASE'!$O$491:$O$6729,'Managerial Consolidated'!$B15,'Data BASE'!$E$491:$E$6729,'Managerial Consolidated'!$B$12)</f>
        <v>12607587.788241694</v>
      </c>
      <c r="W15" s="80">
        <f>+SUMIFS('Data BASE'!X$491:X$6729,'Data BASE'!$O$491:$O$6729,'Managerial Consolidated'!$B15,'Data BASE'!$E$491:$E$6729,'Managerial Consolidated'!$B$12)</f>
        <v>13082308.129999924</v>
      </c>
      <c r="X15" s="80">
        <f>+SUMIFS('Data BASE'!Y$491:Y$6729,'Data BASE'!$O$491:$O$6729,'Managerial Consolidated'!$B15,'Data BASE'!$E$491:$E$6729,'Managerial Consolidated'!$B$12)</f>
        <v>13826520.190000048</v>
      </c>
      <c r="Y15" s="80">
        <f>+SUMIFS('Data BASE'!Z$491:Z$6729,'Data BASE'!$O$491:$O$6729,'Managerial Consolidated'!$B15,'Data BASE'!$E$491:$E$6729,'Managerial Consolidated'!$B$12)</f>
        <v>19625869.600000001</v>
      </c>
      <c r="Z15" s="80">
        <f>+SUMIFS('Data BASE'!AA$491:AA$6729,'Data BASE'!$O$491:$O$6729,'Managerial Consolidated'!$B15,'Data BASE'!$E$491:$E$6729,'Managerial Consolidated'!$B$12)</f>
        <v>15195865.779999999</v>
      </c>
      <c r="AA15" s="80">
        <f>+SUMIFS('Data BASE'!AB$491:AB$6729,'Data BASE'!$O$491:$O$6729,'Managerial Consolidated'!$B15,'Data BASE'!$E$491:$E$6729,'Managerial Consolidated'!$B$12)</f>
        <v>14683864.459999995</v>
      </c>
      <c r="AB15" s="80">
        <f>+SUMIFS('Data BASE'!AC$491:AC$6729,'Data BASE'!$O$491:$O$6729,'Managerial Consolidated'!$B15,'Data BASE'!$E$491:$E$6729,'Managerial Consolidated'!$B$12)</f>
        <v>16460862.059999999</v>
      </c>
      <c r="AC15" s="80">
        <f>+SUMIFS('Data BASE'!AD$491:AD$6729,'Data BASE'!$O$491:$O$6729,'Managerial Consolidated'!$B15,'Data BASE'!$E$491:$E$6729,'Managerial Consolidated'!$B$12)</f>
        <v>16611359.630000001</v>
      </c>
      <c r="AD15" s="80">
        <f>+SUMIFS('Data BASE'!AE$491:AE$6729,'Data BASE'!$O$491:$O$6729,'Managerial Consolidated'!$B15,'Data BASE'!$E$491:$E$6729,'Managerial Consolidated'!$B$12)</f>
        <v>16302424.749999998</v>
      </c>
      <c r="AE15" s="80">
        <f>+SUMIFS('Data BASE'!AF$491:AF$6729,'Data BASE'!$O$491:$O$6729,'Managerial Consolidated'!$B15,'Data BASE'!$E$491:$E$6729,'Managerial Consolidated'!$B$12)</f>
        <v>19144764.309999999</v>
      </c>
      <c r="AF15" s="80">
        <f>+SUMIFS('Data BASE'!AG$491:AG$6729,'Data BASE'!$O$491:$O$6729,'Managerial Consolidated'!$B15,'Data BASE'!$E$491:$E$6729,'Managerial Consolidated'!$B$12)</f>
        <v>19311159.885451943</v>
      </c>
      <c r="AG15" s="80">
        <f>+SUMIFS('Data BASE'!AH$491:AH$6729,'Data BASE'!$O$491:$O$6729,'Managerial Consolidated'!$B15,'Data BASE'!$E$491:$E$6729,'Managerial Consolidated'!$B$12)</f>
        <v>0</v>
      </c>
      <c r="AH15" s="80">
        <f>+SUMIFS('Data BASE'!AI$491:AI$6729,'Data BASE'!$O$491:$O$6729,'Managerial Consolidated'!$B15,'Data BASE'!$E$491:$E$6729,'Managerial Consolidated'!$B$12)</f>
        <v>0</v>
      </c>
      <c r="AI15" s="80">
        <f>+SUMIFS('Data BASE'!AJ$491:AJ$6729,'Data BASE'!$O$491:$O$6729,'Managerial Consolidated'!$B15,'Data BASE'!$E$491:$E$6729,'Managerial Consolidated'!$B$12)</f>
        <v>0</v>
      </c>
      <c r="AJ15" s="80">
        <f>+SUMIFS('Data BASE'!AK$491:AK$6729,'Data BASE'!$O$491:$O$6729,'Managerial Consolidated'!$B15,'Data BASE'!$E$491:$E$6729,'Managerial Consolidated'!$B$12)</f>
        <v>0</v>
      </c>
      <c r="AK15" s="80">
        <f>+SUMIFS('Data BASE'!AL$491:AL$6729,'Data BASE'!$O$491:$O$6729,'Managerial Consolidated'!$B15,'Data BASE'!$E$491:$E$6729,'Managerial Consolidated'!$B$12)</f>
        <v>0</v>
      </c>
      <c r="AL15" s="80">
        <f>+SUMIFS('Data BASE'!AM$491:AM$6729,'Data BASE'!$O$491:$O$6729,'Managerial Consolidated'!$B15,'Data BASE'!$E$491:$E$6729,'Managerial Consolidated'!$B$12)</f>
        <v>0</v>
      </c>
      <c r="AM15" s="80">
        <f>+SUMIFS('Data BASE'!AN$491:AN$6729,'Data BASE'!$O$491:$O$6729,'Managerial Consolidated'!$B15,'Data BASE'!$E$491:$E$6729,'Managerial Consolidated'!$B$12)</f>
        <v>0</v>
      </c>
      <c r="AN15" s="80">
        <f>+SUMIFS('Data BASE'!AO$491:AO$6729,'Data BASE'!$O$491:$O$6729,'Managerial Consolidated'!$B15,'Data BASE'!$E$491:$E$6729,'Managerial Consolidated'!$B$12)</f>
        <v>0</v>
      </c>
      <c r="AP15" s="80">
        <f t="shared" ref="AP15:AT16" si="0">+SUMIFS($Q15:$AO15,$Q$9:$AO$9,AP$9,$Q$8:$AO$8,AP$8)</f>
        <v>26182482.569999997</v>
      </c>
      <c r="AQ15" s="80">
        <f t="shared" si="0"/>
        <v>36165667.840000033</v>
      </c>
      <c r="AR15" s="80">
        <f t="shared" si="0"/>
        <v>46534697.919999972</v>
      </c>
      <c r="AS15" s="80">
        <f t="shared" si="0"/>
        <v>46340592.299999997</v>
      </c>
      <c r="AT15" s="80">
        <f t="shared" si="0"/>
        <v>52058548.689999998</v>
      </c>
      <c r="AU15" s="80">
        <f t="shared" ref="AU15:AW16" si="1">+SUMIFS($Q15:$AO15,$Q$9:$AO$9,AU$9,$Q$8:$AO$8,AU$8)</f>
        <v>19311159.885451943</v>
      </c>
      <c r="AV15" s="80">
        <f t="shared" si="1"/>
        <v>0</v>
      </c>
      <c r="AW15" s="80">
        <f t="shared" si="1"/>
        <v>0</v>
      </c>
      <c r="AY15" s="80">
        <f>+SUMIFS(Q15:AN15,$Q$8:$AN$8,$AY$8)</f>
        <v>155223440.63</v>
      </c>
      <c r="AZ15" s="80">
        <f>+SUMIFS(R15:AO15,$R$8:$AO$8,$AZ$8)</f>
        <v>71369708.57545194</v>
      </c>
      <c r="BB15" s="80">
        <f>SUMIFS($Q15:$AN15,$Q$8:$AN$8,BB$8)</f>
        <v>155223440.63</v>
      </c>
      <c r="BC15" s="516">
        <f>SUMIFS($Q15:$AN15,$Q$8:$AN$8,BC$8)</f>
        <v>71369708.57545194</v>
      </c>
    </row>
    <row r="16" spans="1:55" hidden="1" outlineLevel="1" x14ac:dyDescent="0.45">
      <c r="B16" s="81" t="s">
        <v>491</v>
      </c>
      <c r="C16" s="81"/>
      <c r="D16" s="520"/>
      <c r="E16" s="520"/>
      <c r="F16" s="520"/>
      <c r="G16" s="520"/>
      <c r="H16" s="520"/>
      <c r="I16" s="520"/>
      <c r="J16" s="520"/>
      <c r="K16" s="520"/>
      <c r="L16" s="520"/>
      <c r="M16" s="520"/>
      <c r="N16" s="520"/>
      <c r="O16" s="520"/>
      <c r="P16" s="520"/>
      <c r="Q16" s="80">
        <f>-SUMIFS('Data BASE'!R$491:R$4835,'Data BASE'!$O$491:$O$4835,'Managerial Consolidated'!$B16,'Data BASE'!$E$491:$E$4835,'Managerial Consolidated'!$B$12)</f>
        <v>-6804038.6200000001</v>
      </c>
      <c r="R16" s="80">
        <f>-SUMIFS('Data BASE'!S$491:S$4835,'Data BASE'!$O$491:$O$4835,'Managerial Consolidated'!$B16,'Data BASE'!$E$491:$E$4835,'Managerial Consolidated'!$B$12)</f>
        <v>-7474231.7000000011</v>
      </c>
      <c r="S16" s="80">
        <f>-SUMIFS('Data BASE'!T$491:T$4835,'Data BASE'!$O$491:$O$4835,'Managerial Consolidated'!$B16,'Data BASE'!$E$491:$E$4835,'Managerial Consolidated'!$B$12)</f>
        <v>-7278375.2400000012</v>
      </c>
      <c r="T16" s="80">
        <f>-SUMIFS('Data BASE'!U$491:U$4835,'Data BASE'!$O$491:$O$4835,'Managerial Consolidated'!$B16,'Data BASE'!$E$491:$E$4835,'Managerial Consolidated'!$B$12)</f>
        <v>-8425618.5700000003</v>
      </c>
      <c r="U16" s="80">
        <f>-SUMIFS('Data BASE'!V$491:V$4835,'Data BASE'!$O$491:$O$4835,'Managerial Consolidated'!$B16,'Data BASE'!$E$491:$E$4835,'Managerial Consolidated'!$B$12)</f>
        <v>-6142528.7700000005</v>
      </c>
      <c r="V16" s="80">
        <f>-SUMIFS('Data BASE'!W$491:W$6729,'Data BASE'!$O$491:$O$6729,'Managerial Consolidated'!$B16,'Data BASE'!$E$491:$E$6729,'Managerial Consolidated'!$B$12)</f>
        <v>-8343729.6399999978</v>
      </c>
      <c r="W16" s="80">
        <f>-SUMIFS('Data BASE'!X$491:X$6729,'Data BASE'!$O$491:$O$6729,'Managerial Consolidated'!$B16,'Data BASE'!$E$491:$E$6729,'Managerial Consolidated'!$B$12)</f>
        <v>-8033871.5300000012</v>
      </c>
      <c r="X16" s="80">
        <f>-SUMIFS('Data BASE'!Y$491:Y$6729,'Data BASE'!$O$491:$O$6729,'Managerial Consolidated'!$B16,'Data BASE'!$E$491:$E$6729,'Managerial Consolidated'!$B$12)</f>
        <v>-7160858.4799999986</v>
      </c>
      <c r="Y16" s="80">
        <f>-SUMIFS('Data BASE'!Z$491:Z$6729,'Data BASE'!$O$491:$O$6729,'Managerial Consolidated'!$B16,'Data BASE'!$E$491:$E$6729,'Managerial Consolidated'!$B$12)</f>
        <v>-10039264.719999999</v>
      </c>
      <c r="Z16" s="80">
        <f>-SUMIFS('Data BASE'!AA$491:AA$6729,'Data BASE'!$O$491:$O$6729,'Managerial Consolidated'!$B16,'Data BASE'!$E$491:$E$6729,'Managerial Consolidated'!$B$12)</f>
        <v>-9136119.0599999987</v>
      </c>
      <c r="AA16" s="80">
        <f>-SUMIFS('Data BASE'!AB$491:AB$6729,'Data BASE'!$O$491:$O$6729,'Managerial Consolidated'!$B16,'Data BASE'!$E$491:$E$6729,'Managerial Consolidated'!$B$12)</f>
        <v>-10448619.33</v>
      </c>
      <c r="AB16" s="80">
        <f>-SUMIFS('Data BASE'!AC$491:AC$6729,'Data BASE'!$O$491:$O$6729,'Managerial Consolidated'!$B16,'Data BASE'!$E$491:$E$6729,'Managerial Consolidated'!$B$12)</f>
        <v>-16983833.079999998</v>
      </c>
      <c r="AC16" s="80">
        <f>-SUMIFS('Data BASE'!AD$491:AD$6729,'Data BASE'!$O$491:$O$6729,'Managerial Consolidated'!$B16,'Data BASE'!$E$491:$E$6729,'Managerial Consolidated'!$B$12)</f>
        <v>-10815508.509999998</v>
      </c>
      <c r="AD16" s="80">
        <f>-SUMIFS('Data BASE'!AE$491:AE$6729,'Data BASE'!$O$491:$O$6729,'Managerial Consolidated'!$B16,'Data BASE'!$E$491:$E$6729,'Managerial Consolidated'!$B$12)</f>
        <v>-11840176.209999999</v>
      </c>
      <c r="AE16" s="80">
        <f>-SUMIFS('Data BASE'!AF$491:AF$6729,'Data BASE'!$O$491:$O$6729,'Managerial Consolidated'!$B16,'Data BASE'!$E$491:$E$6729,'Managerial Consolidated'!$B$12)</f>
        <v>-15981776.450000003</v>
      </c>
      <c r="AF16" s="80">
        <f>-SUMIFS('Data BASE'!AG$491:AG$6729,'Data BASE'!$O$491:$O$6729,'Managerial Consolidated'!$B16,'Data BASE'!$E$491:$E$6729,'Managerial Consolidated'!$B$12)</f>
        <v>-13085247.449999999</v>
      </c>
      <c r="AG16" s="79">
        <f>-SUMIFS('Data BASE'!AH$491:AH$6729,'Data BASE'!$O$491:$O$6729,'Managerial Consolidated'!$B16,'Data BASE'!$E$491:$E$6729,'Managerial Consolidated'!$B$12)</f>
        <v>0</v>
      </c>
      <c r="AH16" s="79">
        <f>-SUMIFS('Data BASE'!AI$491:AI$6729,'Data BASE'!$O$491:$O$6729,'Managerial Consolidated'!$B16,'Data BASE'!$E$491:$E$6729,'Managerial Consolidated'!$B$12)</f>
        <v>0</v>
      </c>
      <c r="AI16" s="79">
        <f>-SUMIFS('Data BASE'!AJ$491:AJ$6729,'Data BASE'!$O$491:$O$6729,'Managerial Consolidated'!$B16,'Data BASE'!$E$491:$E$6729,'Managerial Consolidated'!$B$12)</f>
        <v>0</v>
      </c>
      <c r="AJ16" s="79">
        <f>-SUMIFS('Data BASE'!AK$491:AK$6729,'Data BASE'!$O$491:$O$6729,'Managerial Consolidated'!$B16,'Data BASE'!$E$491:$E$6729,'Managerial Consolidated'!$B$12)</f>
        <v>0</v>
      </c>
      <c r="AK16" s="79">
        <f>-SUMIFS('Data BASE'!AL$491:AL$6729,'Data BASE'!$O$491:$O$6729,'Managerial Consolidated'!$B16,'Data BASE'!$E$491:$E$6729,'Managerial Consolidated'!$B$12)</f>
        <v>0</v>
      </c>
      <c r="AL16" s="79">
        <f>-SUMIFS('Data BASE'!AM$491:AM$6729,'Data BASE'!$O$491:$O$6729,'Managerial Consolidated'!$B16,'Data BASE'!$E$491:$E$6729,'Managerial Consolidated'!$B$12)</f>
        <v>0</v>
      </c>
      <c r="AM16" s="79">
        <f>-SUMIFS('Data BASE'!AN$491:AN$6729,'Data BASE'!$O$491:$O$6729,'Managerial Consolidated'!$B16,'Data BASE'!$E$491:$E$6729,'Managerial Consolidated'!$B$12)</f>
        <v>0</v>
      </c>
      <c r="AN16" s="79">
        <f>-SUMIFS('Data BASE'!AO$491:AO$6729,'Data BASE'!$O$491:$O$6729,'Managerial Consolidated'!$B16,'Data BASE'!$E$491:$E$6729,'Managerial Consolidated'!$B$12)</f>
        <v>0</v>
      </c>
      <c r="AP16" s="79">
        <f t="shared" si="0"/>
        <v>-21556645.560000002</v>
      </c>
      <c r="AQ16" s="79">
        <f t="shared" si="0"/>
        <v>-22911876.979999997</v>
      </c>
      <c r="AR16" s="79">
        <f t="shared" si="0"/>
        <v>-25233994.729999997</v>
      </c>
      <c r="AS16" s="79">
        <f t="shared" si="0"/>
        <v>-36568571.469999999</v>
      </c>
      <c r="AT16" s="79">
        <f t="shared" si="0"/>
        <v>-38637461.170000002</v>
      </c>
      <c r="AU16" s="79">
        <f t="shared" si="1"/>
        <v>-13085247.449999999</v>
      </c>
      <c r="AV16" s="79">
        <f t="shared" si="1"/>
        <v>0</v>
      </c>
      <c r="AW16" s="79">
        <f t="shared" si="1"/>
        <v>0</v>
      </c>
      <c r="AY16" s="79">
        <f t="shared" ref="AY16:AY27" si="2">+SUMIFS(Q16:AN16,$Q$8:$AN$8,$AY$8)</f>
        <v>-106271088.74000001</v>
      </c>
      <c r="AZ16" s="79">
        <f t="shared" ref="AZ16:AZ27" si="3">+SUMIFS(R16:AO16,$R$8:$AO$8,$AZ$8)</f>
        <v>-51722708.620000005</v>
      </c>
      <c r="BB16" s="80">
        <f>SUMIFS($Q16:$AB16,$Q$8:$AB$8,BB$8)</f>
        <v>-106271088.74000001</v>
      </c>
      <c r="BC16" s="516">
        <f>SUMIFS($Q16:$AN16,$Q$8:$AN$8,BC$8)</f>
        <v>-51722708.620000005</v>
      </c>
    </row>
    <row r="17" spans="1:55" hidden="1" outlineLevel="1" x14ac:dyDescent="0.45">
      <c r="B17" s="57" t="s">
        <v>811</v>
      </c>
      <c r="C17" s="57"/>
      <c r="D17" s="184"/>
      <c r="E17" s="184"/>
      <c r="F17" s="184"/>
      <c r="G17" s="184"/>
      <c r="H17" s="184"/>
      <c r="I17" s="184"/>
      <c r="J17" s="184"/>
      <c r="K17" s="184"/>
      <c r="L17" s="184"/>
      <c r="M17" s="184"/>
      <c r="N17" s="184"/>
      <c r="O17" s="184"/>
      <c r="P17" s="184"/>
      <c r="Q17" s="78">
        <f>+Q15+Q16</f>
        <v>1986181.87</v>
      </c>
      <c r="R17" s="78">
        <f t="shared" ref="R17:U17" si="4">+R15+R16</f>
        <v>958942.71999999695</v>
      </c>
      <c r="S17" s="78">
        <f t="shared" si="4"/>
        <v>1680712.419999999</v>
      </c>
      <c r="T17" s="78">
        <f t="shared" si="4"/>
        <v>2493257.5799999945</v>
      </c>
      <c r="U17" s="78">
        <f t="shared" si="4"/>
        <v>6496675.1317583425</v>
      </c>
      <c r="V17" s="78">
        <f t="shared" ref="V17:AA17" si="5">+V15+V16</f>
        <v>4263858.1482416959</v>
      </c>
      <c r="W17" s="78">
        <f t="shared" si="5"/>
        <v>5048436.5999999233</v>
      </c>
      <c r="X17" s="78">
        <f t="shared" ref="X17" si="6">+X15+X16</f>
        <v>6665661.7100000493</v>
      </c>
      <c r="Y17" s="78">
        <f t="shared" ref="Y17:Z17" si="7">+Y15+Y16</f>
        <v>9586604.8800000027</v>
      </c>
      <c r="Z17" s="78">
        <f t="shared" si="7"/>
        <v>6059746.7200000007</v>
      </c>
      <c r="AA17" s="78">
        <f t="shared" si="5"/>
        <v>4235245.1299999952</v>
      </c>
      <c r="AB17" s="78">
        <f t="shared" ref="AB17:AN17" si="8">+AB15+AB16</f>
        <v>-522971.01999999955</v>
      </c>
      <c r="AC17" s="78">
        <f t="shared" si="8"/>
        <v>5795851.1200000029</v>
      </c>
      <c r="AD17" s="78">
        <f t="shared" si="8"/>
        <v>4462248.5399999991</v>
      </c>
      <c r="AE17" s="78">
        <f t="shared" si="8"/>
        <v>3162987.8599999957</v>
      </c>
      <c r="AF17" s="78">
        <f t="shared" ref="AF17" si="9">+AF15+AF16</f>
        <v>6225912.4354519434</v>
      </c>
      <c r="AG17" s="77">
        <f t="shared" si="8"/>
        <v>0</v>
      </c>
      <c r="AH17" s="77">
        <f t="shared" si="8"/>
        <v>0</v>
      </c>
      <c r="AI17" s="77">
        <f t="shared" si="8"/>
        <v>0</v>
      </c>
      <c r="AJ17" s="77">
        <f t="shared" si="8"/>
        <v>0</v>
      </c>
      <c r="AK17" s="77">
        <f t="shared" si="8"/>
        <v>0</v>
      </c>
      <c r="AL17" s="77">
        <f t="shared" si="8"/>
        <v>0</v>
      </c>
      <c r="AM17" s="77">
        <f t="shared" si="8"/>
        <v>0</v>
      </c>
      <c r="AN17" s="77">
        <f t="shared" si="8"/>
        <v>0</v>
      </c>
      <c r="AO17" s="68"/>
      <c r="AP17" s="77">
        <f t="shared" ref="AP17:AS17" si="10">+AP15+AP16</f>
        <v>4625837.0099999942</v>
      </c>
      <c r="AQ17" s="77">
        <f t="shared" si="10"/>
        <v>13253790.860000037</v>
      </c>
      <c r="AR17" s="77">
        <f t="shared" si="10"/>
        <v>21300703.189999975</v>
      </c>
      <c r="AS17" s="77">
        <f t="shared" si="10"/>
        <v>9772020.8299999982</v>
      </c>
      <c r="AT17" s="77">
        <f t="shared" ref="AT17:AW17" si="11">+AT15+AT16</f>
        <v>13421087.519999996</v>
      </c>
      <c r="AU17" s="77">
        <f t="shared" si="11"/>
        <v>6225912.4354519434</v>
      </c>
      <c r="AV17" s="77">
        <f t="shared" si="11"/>
        <v>0</v>
      </c>
      <c r="AW17" s="77">
        <f t="shared" si="11"/>
        <v>0</v>
      </c>
      <c r="AX17" s="68"/>
      <c r="AY17" s="77">
        <f t="shared" si="2"/>
        <v>48952351.890000001</v>
      </c>
      <c r="AZ17" s="77">
        <f t="shared" si="3"/>
        <v>19646999.955451943</v>
      </c>
      <c r="BA17" s="68"/>
      <c r="BB17" s="77">
        <f>+BB15+BB16</f>
        <v>48952351.889999986</v>
      </c>
      <c r="BC17" s="517">
        <f>+BC15+BC16</f>
        <v>19646999.955451936</v>
      </c>
    </row>
    <row r="18" spans="1:55" hidden="1" outlineLevel="1" x14ac:dyDescent="0.45">
      <c r="B18" s="81" t="s">
        <v>480</v>
      </c>
      <c r="C18" s="81"/>
      <c r="D18" s="520"/>
      <c r="E18" s="520"/>
      <c r="F18" s="520"/>
      <c r="G18" s="520"/>
      <c r="H18" s="520"/>
      <c r="I18" s="520"/>
      <c r="J18" s="520"/>
      <c r="K18" s="520"/>
      <c r="L18" s="520"/>
      <c r="M18" s="520"/>
      <c r="N18" s="520"/>
      <c r="O18" s="520"/>
      <c r="P18" s="520"/>
      <c r="Q18" s="80">
        <f>-SUMIFS('Data BASE'!R$491:R$4835,'Data BASE'!$O$491:$O$4835,'Managerial Consolidated'!$B18,'Data BASE'!$E$491:$E$4835,'Managerial Consolidated'!$B$12)</f>
        <v>-5279058.6600000011</v>
      </c>
      <c r="R18" s="80">
        <f>-SUMIFS('Data BASE'!S$491:S$4835,'Data BASE'!$O$491:$O$4835,'Managerial Consolidated'!$B18,'Data BASE'!$E$491:$E$4835,'Managerial Consolidated'!$B$12)</f>
        <v>-5640888.8600000013</v>
      </c>
      <c r="S18" s="80">
        <f>-SUMIFS('Data BASE'!T$491:T$4835,'Data BASE'!$O$491:$O$4835,'Managerial Consolidated'!$B18,'Data BASE'!$E$491:$E$4835,'Managerial Consolidated'!$B$12)</f>
        <v>-6616945.4319364699</v>
      </c>
      <c r="T18" s="80">
        <f>-SUMIFS('Data BASE'!U$491:U$4835,'Data BASE'!$O$491:$O$4835,'Managerial Consolidated'!$B18,'Data BASE'!$E$491:$E$4835,'Managerial Consolidated'!$B$12)</f>
        <v>-6100327.6580634704</v>
      </c>
      <c r="U18" s="80">
        <f>-SUMIFS('Data BASE'!V$491:V$4835,'Data BASE'!$O$491:$O$4835,'Managerial Consolidated'!$B18,'Data BASE'!$E$491:$E$4835,'Managerial Consolidated'!$B$12)</f>
        <v>-7956129.3817585297</v>
      </c>
      <c r="V18" s="80">
        <f>-SUMIFS('Data BASE'!W$491:W$6729,'Data BASE'!$O$491:$O$6729,'Managerial Consolidated'!$B18,'Data BASE'!$E$491:$E$6729,'Managerial Consolidated'!$B$12)</f>
        <v>-7425617.6982414909</v>
      </c>
      <c r="W18" s="80">
        <f>-SUMIFS('Data BASE'!X$491:X$6729,'Data BASE'!$O$491:$O$6729,'Managerial Consolidated'!$B18,'Data BASE'!$E$491:$E$6729,'Managerial Consolidated'!$B$12)</f>
        <v>-8993803.0299999882</v>
      </c>
      <c r="X18" s="80">
        <f>-SUMIFS('Data BASE'!Y$491:Y$6729,'Data BASE'!$O$491:$O$6729,'Managerial Consolidated'!$B18,'Data BASE'!$E$491:$E$6729,'Managerial Consolidated'!$B$12)</f>
        <v>-9180419.3500001021</v>
      </c>
      <c r="Y18" s="80">
        <f>-SUMIFS('Data BASE'!Z$491:Z$6729,'Data BASE'!$O$491:$O$6729,'Managerial Consolidated'!$B18,'Data BASE'!$E$491:$E$6729,'Managerial Consolidated'!$B$12)</f>
        <v>-8666059.3299999516</v>
      </c>
      <c r="Z18" s="80">
        <f>-SUMIFS('Data BASE'!AA$491:AA$6729,'Data BASE'!$O$491:$O$6729,'Managerial Consolidated'!$B18,'Data BASE'!$E$491:$E$6729,'Managerial Consolidated'!$B$12)</f>
        <v>-11109351.370000146</v>
      </c>
      <c r="AA18" s="80">
        <f>-SUMIFS('Data BASE'!AB$491:AB$6729,'Data BASE'!$O$491:$O$6729,'Managerial Consolidated'!$B18,'Data BASE'!$E$491:$E$6729,'Managerial Consolidated'!$B$12)</f>
        <v>-10019277.889999868</v>
      </c>
      <c r="AB18" s="80">
        <f>-SUMIFS('Data BASE'!AC$491:AC$6729,'Data BASE'!$O$491:$O$6729,'Managerial Consolidated'!$B18,'Data BASE'!$E$491:$E$6729,'Managerial Consolidated'!$B$12)</f>
        <v>7996059.2900000717</v>
      </c>
      <c r="AC18" s="80">
        <f>-SUMIFS('Data BASE'!AD$491:AD$6729,'Data BASE'!$O$491:$O$6729,'Managerial Consolidated'!$B18,'Data BASE'!$E$491:$E$6729,'Managerial Consolidated'!$B$12)</f>
        <v>-10194612.099999957</v>
      </c>
      <c r="AD18" s="80">
        <f>-SUMIFS('Data BASE'!AE$491:AE$6729,'Data BASE'!$O$491:$O$6729,'Managerial Consolidated'!$B18,'Data BASE'!$E$491:$E$6729,'Managerial Consolidated'!$B$12)</f>
        <v>-11223956.403855186</v>
      </c>
      <c r="AE18" s="80">
        <f>-SUMIFS('Data BASE'!AF$491:AF$6729,'Data BASE'!$O$491:$O$6729,'Managerial Consolidated'!$B18,'Data BASE'!$E$491:$E$6729,'Managerial Consolidated'!$B$12)</f>
        <v>-9587660.8717700373</v>
      </c>
      <c r="AF18" s="80">
        <f>-SUMIFS('Data BASE'!AG$491:AG$6729,'Data BASE'!$O$491:$O$6729,'Managerial Consolidated'!$B18,'Data BASE'!$E$491:$E$6729,'Managerial Consolidated'!$B$12)</f>
        <v>-11903986.709826805</v>
      </c>
      <c r="AG18" s="79">
        <f>-SUMIFS('Data BASE'!AH$491:AH$6729,'Data BASE'!$O$491:$O$6729,'Managerial Consolidated'!$B18,'Data BASE'!$E$491:$E$6729,'Managerial Consolidated'!$B$12)</f>
        <v>0</v>
      </c>
      <c r="AH18" s="79">
        <f>-SUMIFS('Data BASE'!AI$491:AI$6729,'Data BASE'!$O$491:$O$6729,'Managerial Consolidated'!$B18,'Data BASE'!$E$491:$E$6729,'Managerial Consolidated'!$B$12)</f>
        <v>0</v>
      </c>
      <c r="AI18" s="79">
        <f>-SUMIFS('Data BASE'!AJ$491:AJ$6729,'Data BASE'!$O$491:$O$6729,'Managerial Consolidated'!$B18,'Data BASE'!$E$491:$E$6729,'Managerial Consolidated'!$B$12)</f>
        <v>0</v>
      </c>
      <c r="AJ18" s="79">
        <f>-SUMIFS('Data BASE'!AK$491:AK$6729,'Data BASE'!$O$491:$O$6729,'Managerial Consolidated'!$B18,'Data BASE'!$E$491:$E$6729,'Managerial Consolidated'!$B$12)</f>
        <v>0</v>
      </c>
      <c r="AK18" s="79">
        <f>-SUMIFS('Data BASE'!AL$491:AL$6729,'Data BASE'!$O$491:$O$6729,'Managerial Consolidated'!$B18,'Data BASE'!$E$491:$E$6729,'Managerial Consolidated'!$B$12)</f>
        <v>0</v>
      </c>
      <c r="AL18" s="79">
        <f>-SUMIFS('Data BASE'!AM$491:AM$6729,'Data BASE'!$O$491:$O$6729,'Managerial Consolidated'!$B18,'Data BASE'!$E$491:$E$6729,'Managerial Consolidated'!$B$12)</f>
        <v>0</v>
      </c>
      <c r="AM18" s="79">
        <f>-SUMIFS('Data BASE'!AN$491:AN$6729,'Data BASE'!$O$491:$O$6729,'Managerial Consolidated'!$B18,'Data BASE'!$E$491:$E$6729,'Managerial Consolidated'!$B$12)</f>
        <v>0</v>
      </c>
      <c r="AN18" s="79">
        <f>-SUMIFS('Data BASE'!AO$491:AO$6729,'Data BASE'!$O$491:$O$6729,'Managerial Consolidated'!$B18,'Data BASE'!$E$491:$E$6729,'Managerial Consolidated'!$B$12)</f>
        <v>0</v>
      </c>
      <c r="AP18" s="79">
        <f t="shared" ref="AP18:AT19" si="12">+SUMIFS($Q18:$AO18,$Q$9:$AO$9,AP$9,$Q$8:$AO$8,AP$8)</f>
        <v>-17536892.951936472</v>
      </c>
      <c r="AQ18" s="79">
        <f t="shared" si="12"/>
        <v>-21482074.738063492</v>
      </c>
      <c r="AR18" s="79">
        <f t="shared" si="12"/>
        <v>-26840281.710000046</v>
      </c>
      <c r="AS18" s="79">
        <f t="shared" si="12"/>
        <v>-13132569.969999941</v>
      </c>
      <c r="AT18" s="79">
        <f t="shared" si="12"/>
        <v>-31006229.375625178</v>
      </c>
      <c r="AU18" s="79">
        <f t="shared" ref="AU18:AW19" si="13">+SUMIFS($Q18:$AO18,$Q$9:$AO$9,AU$9,$Q$8:$AO$8,AU$8)</f>
        <v>-11903986.709826805</v>
      </c>
      <c r="AV18" s="79">
        <f t="shared" si="13"/>
        <v>0</v>
      </c>
      <c r="AW18" s="79">
        <f t="shared" si="13"/>
        <v>0</v>
      </c>
      <c r="AY18" s="79">
        <f t="shared" si="2"/>
        <v>-78991819.36999996</v>
      </c>
      <c r="AZ18" s="79">
        <f t="shared" si="3"/>
        <v>-42910216.085451983</v>
      </c>
      <c r="BB18" s="80">
        <f>SUMIFS($Q18:$AB18,$Q$8:$AB$8,BB$8)</f>
        <v>-78991819.36999996</v>
      </c>
      <c r="BC18" s="516">
        <f>SUMIFS($Q18:$AN18,$Q$8:$AN$8,BC$8)</f>
        <v>-42910216.085451983</v>
      </c>
    </row>
    <row r="19" spans="1:55" hidden="1" outlineLevel="1" x14ac:dyDescent="0.45">
      <c r="B19" s="81" t="s">
        <v>562</v>
      </c>
      <c r="C19" s="81"/>
      <c r="D19" s="520"/>
      <c r="E19" s="520"/>
      <c r="F19" s="520"/>
      <c r="G19" s="520"/>
      <c r="H19" s="520"/>
      <c r="I19" s="520"/>
      <c r="J19" s="520"/>
      <c r="K19" s="520"/>
      <c r="L19" s="520"/>
      <c r="M19" s="520"/>
      <c r="N19" s="520"/>
      <c r="O19" s="520"/>
      <c r="P19" s="520"/>
      <c r="Q19" s="80">
        <f>-SUMIFS('Data BASE'!R$491:R$4835,'Data BASE'!$O$491:$O$4835,'Managerial Consolidated'!$B19,'Data BASE'!$E$491:$E$4835,'Managerial Consolidated'!$B$12)</f>
        <v>-324.55</v>
      </c>
      <c r="R19" s="80">
        <f>-SUMIFS('Data BASE'!S$491:S$4835,'Data BASE'!$O$491:$O$4835,'Managerial Consolidated'!$B19,'Data BASE'!$E$491:$E$4835,'Managerial Consolidated'!$B$12)</f>
        <v>-3714.69</v>
      </c>
      <c r="S19" s="80">
        <f>-SUMIFS('Data BASE'!T$491:T$4835,'Data BASE'!$O$491:$O$4835,'Managerial Consolidated'!$B19,'Data BASE'!$E$491:$E$4835,'Managerial Consolidated'!$B$12)</f>
        <v>334893.49</v>
      </c>
      <c r="T19" s="80">
        <f>-SUMIFS('Data BASE'!U$491:U$4835,'Data BASE'!$O$491:$O$4835,'Managerial Consolidated'!$B19,'Data BASE'!$E$491:$E$4835,'Managerial Consolidated'!$B$12)</f>
        <v>-278953.64</v>
      </c>
      <c r="U19" s="80">
        <f>-SUMIFS('Data BASE'!V$491:V$4835,'Data BASE'!$O$491:$O$4835,'Managerial Consolidated'!$B19,'Data BASE'!$E$491:$E$4835,'Managerial Consolidated'!$B$12)</f>
        <v>-1025887.08</v>
      </c>
      <c r="V19" s="80">
        <f>-SUMIFS('Data BASE'!W$491:W$6729,'Data BASE'!$O$491:$O$6729,'Managerial Consolidated'!$B19,'Data BASE'!$E$491:$E$6729,'Managerial Consolidated'!$B$12)</f>
        <v>-600742.23</v>
      </c>
      <c r="W19" s="80">
        <f>-SUMIFS('Data BASE'!X$491:X$6729,'Data BASE'!$O$491:$O$6729,'Managerial Consolidated'!$B19,'Data BASE'!$E$491:$E$6729,'Managerial Consolidated'!$B$12)</f>
        <v>-93418.52999999997</v>
      </c>
      <c r="X19" s="80">
        <f>-SUMIFS('Data BASE'!Y$491:Y$6729,'Data BASE'!$O$491:$O$6729,'Managerial Consolidated'!$B19,'Data BASE'!$E$491:$E$6729,'Managerial Consolidated'!$B$12)</f>
        <v>-57849.270000000201</v>
      </c>
      <c r="Y19" s="80">
        <f>-SUMIFS('Data BASE'!Z$491:Z$6729,'Data BASE'!$O$491:$O$6729,'Managerial Consolidated'!$B19,'Data BASE'!$E$491:$E$6729,'Managerial Consolidated'!$B$12)</f>
        <v>-240833.10999999981</v>
      </c>
      <c r="Z19" s="80">
        <f>-SUMIFS('Data BASE'!AA$491:AA$6729,'Data BASE'!$O$491:$O$6729,'Managerial Consolidated'!$B19,'Data BASE'!$E$491:$E$6729,'Managerial Consolidated'!$B$12)</f>
        <v>-41831.809999999932</v>
      </c>
      <c r="AA19" s="80">
        <f>-SUMIFS('Data BASE'!AB$491:AB$6729,'Data BASE'!$O$491:$O$6729,'Managerial Consolidated'!$B19,'Data BASE'!$E$491:$E$6729,'Managerial Consolidated'!$B$12)</f>
        <v>-27117.460000000046</v>
      </c>
      <c r="AB19" s="80">
        <f>-SUMIFS('Data BASE'!AC$491:AC$6729,'Data BASE'!$O$491:$O$6729,'Managerial Consolidated'!$B19,'Data BASE'!$E$491:$E$6729,'Managerial Consolidated'!$B$12)</f>
        <v>40269.139999999927</v>
      </c>
      <c r="AC19" s="80">
        <f>-SUMIFS('Data BASE'!AD$491:AD$6729,'Data BASE'!$O$491:$O$6729,'Managerial Consolidated'!$B19,'Data BASE'!$E$491:$E$6729,'Managerial Consolidated'!$B$12)</f>
        <v>-61032.41</v>
      </c>
      <c r="AD19" s="80">
        <f>-SUMIFS('Data BASE'!AE$491:AE$6729,'Data BASE'!$O$491:$O$6729,'Managerial Consolidated'!$B19,'Data BASE'!$E$491:$E$6729,'Managerial Consolidated'!$B$12)</f>
        <v>-35891.869999999995</v>
      </c>
      <c r="AE19" s="80">
        <f>-SUMIFS('Data BASE'!AF$491:AF$6729,'Data BASE'!$O$491:$O$6729,'Managerial Consolidated'!$B19,'Data BASE'!$E$491:$E$6729,'Managerial Consolidated'!$B$12)</f>
        <v>-97332.91</v>
      </c>
      <c r="AF19" s="80">
        <f>-SUMIFS('Data BASE'!AG$491:AG$6729,'Data BASE'!$O$491:$O$6729,'Managerial Consolidated'!$B19,'Data BASE'!$E$491:$E$6729,'Managerial Consolidated'!$B$12)</f>
        <v>4648.0500000000175</v>
      </c>
      <c r="AG19" s="79">
        <f>-SUMIFS('Data BASE'!AH$491:AH$6729,'Data BASE'!$O$491:$O$6729,'Managerial Consolidated'!$B19,'Data BASE'!$E$491:$E$6729,'Managerial Consolidated'!$B$12)</f>
        <v>0</v>
      </c>
      <c r="AH19" s="79">
        <f>-SUMIFS('Data BASE'!AI$491:AI$6729,'Data BASE'!$O$491:$O$6729,'Managerial Consolidated'!$B19,'Data BASE'!$E$491:$E$6729,'Managerial Consolidated'!$B$12)</f>
        <v>0</v>
      </c>
      <c r="AI19" s="79">
        <f>-SUMIFS('Data BASE'!AJ$491:AJ$6729,'Data BASE'!$O$491:$O$6729,'Managerial Consolidated'!$B19,'Data BASE'!$E$491:$E$6729,'Managerial Consolidated'!$B$12)</f>
        <v>0</v>
      </c>
      <c r="AJ19" s="79">
        <f>-SUMIFS('Data BASE'!AK$491:AK$6729,'Data BASE'!$O$491:$O$6729,'Managerial Consolidated'!$B19,'Data BASE'!$E$491:$E$6729,'Managerial Consolidated'!$B$12)</f>
        <v>0</v>
      </c>
      <c r="AK19" s="79">
        <f>-SUMIFS('Data BASE'!AL$491:AL$6729,'Data BASE'!$O$491:$O$6729,'Managerial Consolidated'!$B19,'Data BASE'!$E$491:$E$6729,'Managerial Consolidated'!$B$12)</f>
        <v>0</v>
      </c>
      <c r="AL19" s="79">
        <f>-SUMIFS('Data BASE'!AM$491:AM$6729,'Data BASE'!$O$491:$O$6729,'Managerial Consolidated'!$B19,'Data BASE'!$E$491:$E$6729,'Managerial Consolidated'!$B$12)</f>
        <v>0</v>
      </c>
      <c r="AM19" s="79">
        <f>-SUMIFS('Data BASE'!AN$491:AN$6729,'Data BASE'!$O$491:$O$6729,'Managerial Consolidated'!$B19,'Data BASE'!$E$491:$E$6729,'Managerial Consolidated'!$B$12)</f>
        <v>0</v>
      </c>
      <c r="AN19" s="79">
        <f>-SUMIFS('Data BASE'!AO$491:AO$6729,'Data BASE'!$O$491:$O$6729,'Managerial Consolidated'!$B19,'Data BASE'!$E$491:$E$6729,'Managerial Consolidated'!$B$12)</f>
        <v>0</v>
      </c>
      <c r="AP19" s="79">
        <f t="shared" si="12"/>
        <v>330854.25</v>
      </c>
      <c r="AQ19" s="79">
        <f t="shared" si="12"/>
        <v>-1905582.95</v>
      </c>
      <c r="AR19" s="79">
        <f t="shared" si="12"/>
        <v>-392100.91</v>
      </c>
      <c r="AS19" s="79">
        <f t="shared" si="12"/>
        <v>-28680.130000000048</v>
      </c>
      <c r="AT19" s="79">
        <f t="shared" si="12"/>
        <v>-194257.19</v>
      </c>
      <c r="AU19" s="79">
        <f t="shared" si="13"/>
        <v>4648.0500000000175</v>
      </c>
      <c r="AV19" s="79">
        <f t="shared" si="13"/>
        <v>0</v>
      </c>
      <c r="AW19" s="79">
        <f t="shared" si="13"/>
        <v>0</v>
      </c>
      <c r="AY19" s="79">
        <f t="shared" si="2"/>
        <v>-1995509.74</v>
      </c>
      <c r="AZ19" s="79">
        <f t="shared" si="3"/>
        <v>-189609.13999999998</v>
      </c>
      <c r="BB19" s="80">
        <f>SUMIFS($Q19:$AB19,$Q$8:$AB$8,BB$8)</f>
        <v>-1995509.74</v>
      </c>
      <c r="BC19" s="516">
        <f>SUMIFS($Q19:$AN19,$Q$8:$AN$8,BC$8)</f>
        <v>-189609.13999999998</v>
      </c>
    </row>
    <row r="20" spans="1:55" hidden="1" outlineLevel="1" x14ac:dyDescent="0.45">
      <c r="B20" s="57" t="s">
        <v>812</v>
      </c>
      <c r="C20" s="57"/>
      <c r="D20" s="184"/>
      <c r="E20" s="184"/>
      <c r="F20" s="184"/>
      <c r="G20" s="184"/>
      <c r="H20" s="184"/>
      <c r="I20" s="184"/>
      <c r="J20" s="184"/>
      <c r="K20" s="184"/>
      <c r="L20" s="184"/>
      <c r="M20" s="184"/>
      <c r="N20" s="184"/>
      <c r="O20" s="184"/>
      <c r="P20" s="184"/>
      <c r="Q20" s="78">
        <f>+Q17+Q18+Q19</f>
        <v>-3293201.3400000008</v>
      </c>
      <c r="R20" s="78">
        <f t="shared" ref="R20:U20" si="14">+R17+R18+R19</f>
        <v>-4685660.8300000047</v>
      </c>
      <c r="S20" s="78">
        <f t="shared" si="14"/>
        <v>-4601339.5219364706</v>
      </c>
      <c r="T20" s="78">
        <f t="shared" si="14"/>
        <v>-3886023.718063476</v>
      </c>
      <c r="U20" s="78">
        <f t="shared" si="14"/>
        <v>-2485341.3300001873</v>
      </c>
      <c r="V20" s="78">
        <f t="shared" ref="V20:AA20" si="15">+V17+V18+V19</f>
        <v>-3762501.7799997949</v>
      </c>
      <c r="W20" s="78">
        <f t="shared" si="15"/>
        <v>-4038784.9600000647</v>
      </c>
      <c r="X20" s="78">
        <f t="shared" ref="X20" si="16">+X17+X18+X19</f>
        <v>-2572606.9100000528</v>
      </c>
      <c r="Y20" s="78">
        <f t="shared" ref="Y20:Z20" si="17">+Y17+Y18+Y19</f>
        <v>679712.44000005117</v>
      </c>
      <c r="Z20" s="78">
        <f t="shared" si="17"/>
        <v>-5091436.4600001452</v>
      </c>
      <c r="AA20" s="78">
        <f t="shared" si="15"/>
        <v>-5811150.2199998731</v>
      </c>
      <c r="AB20" s="78">
        <f t="shared" ref="AB20:AN20" si="18">+AB17+AB18+AB19</f>
        <v>7513357.4100000719</v>
      </c>
      <c r="AC20" s="78">
        <f t="shared" si="18"/>
        <v>-4459793.389999954</v>
      </c>
      <c r="AD20" s="78">
        <f t="shared" si="18"/>
        <v>-6797599.733855187</v>
      </c>
      <c r="AE20" s="78">
        <f t="shared" si="18"/>
        <v>-6522005.9217700418</v>
      </c>
      <c r="AF20" s="78">
        <f t="shared" ref="AF20" si="19">+AF17+AF18+AF19</f>
        <v>-5673426.2243748615</v>
      </c>
      <c r="AG20" s="77">
        <f t="shared" si="18"/>
        <v>0</v>
      </c>
      <c r="AH20" s="77">
        <f t="shared" si="18"/>
        <v>0</v>
      </c>
      <c r="AI20" s="77">
        <f t="shared" si="18"/>
        <v>0</v>
      </c>
      <c r="AJ20" s="77">
        <f t="shared" si="18"/>
        <v>0</v>
      </c>
      <c r="AK20" s="77">
        <f t="shared" si="18"/>
        <v>0</v>
      </c>
      <c r="AL20" s="77">
        <f t="shared" si="18"/>
        <v>0</v>
      </c>
      <c r="AM20" s="77">
        <f t="shared" si="18"/>
        <v>0</v>
      </c>
      <c r="AN20" s="77">
        <f t="shared" si="18"/>
        <v>0</v>
      </c>
      <c r="AO20" s="68"/>
      <c r="AP20" s="77">
        <f t="shared" ref="AP20:AS20" si="20">+AP17+AP18+AP19</f>
        <v>-12580201.691936478</v>
      </c>
      <c r="AQ20" s="77">
        <f t="shared" si="20"/>
        <v>-10133866.828063454</v>
      </c>
      <c r="AR20" s="77">
        <f t="shared" si="20"/>
        <v>-5931679.4300000705</v>
      </c>
      <c r="AS20" s="77">
        <f t="shared" si="20"/>
        <v>-3389229.2699999427</v>
      </c>
      <c r="AT20" s="77">
        <f t="shared" ref="AT20:AW20" si="21">+AT17+AT18+AT19</f>
        <v>-17779399.045625184</v>
      </c>
      <c r="AU20" s="77">
        <f t="shared" si="21"/>
        <v>-5673426.2243748615</v>
      </c>
      <c r="AV20" s="77">
        <f t="shared" si="21"/>
        <v>0</v>
      </c>
      <c r="AW20" s="77">
        <f t="shared" si="21"/>
        <v>0</v>
      </c>
      <c r="AX20" s="68"/>
      <c r="AY20" s="77">
        <f t="shared" si="2"/>
        <v>-32034977.219999947</v>
      </c>
      <c r="AZ20" s="77">
        <f t="shared" si="3"/>
        <v>-23452825.270000041</v>
      </c>
      <c r="BA20" s="68"/>
      <c r="BB20" s="77">
        <f>+BB17+BB18+BB19</f>
        <v>-32034977.219999973</v>
      </c>
      <c r="BC20" s="517">
        <f>+BC17+BC18+BC19</f>
        <v>-23452825.270000048</v>
      </c>
    </row>
    <row r="21" spans="1:55" hidden="1" outlineLevel="1" x14ac:dyDescent="0.45">
      <c r="A21" s="521"/>
      <c r="B21" s="81" t="s">
        <v>557</v>
      </c>
      <c r="C21" s="81"/>
      <c r="D21" s="520"/>
      <c r="E21" s="520"/>
      <c r="F21" s="520"/>
      <c r="G21" s="520"/>
      <c r="H21" s="520"/>
      <c r="I21" s="520"/>
      <c r="J21" s="520"/>
      <c r="K21" s="520"/>
      <c r="L21" s="520"/>
      <c r="M21" s="520"/>
      <c r="N21" s="520"/>
      <c r="O21" s="520"/>
      <c r="P21" s="520"/>
      <c r="Q21" s="80">
        <f>-SUMIFS('Data BASE'!R$491:R$4835,'Data BASE'!$O$491:$O$4835,'Managerial Consolidated'!$B21,'Data BASE'!$E$491:$E$4835,'Managerial Consolidated'!$B$12)</f>
        <v>-1714955.5899999999</v>
      </c>
      <c r="R21" s="80">
        <f>-SUMIFS('Data BASE'!S$491:S$4835,'Data BASE'!$O$491:$O$4835,'Managerial Consolidated'!$B21,'Data BASE'!$E$491:$E$4835,'Managerial Consolidated'!$B$12)</f>
        <v>-1840310.28</v>
      </c>
      <c r="S21" s="80">
        <f>-SUMIFS('Data BASE'!T$491:T$4835,'Data BASE'!$O$491:$O$4835,'Managerial Consolidated'!$B21,'Data BASE'!$E$491:$E$4835,'Managerial Consolidated'!$B$12)</f>
        <v>-1830631.21</v>
      </c>
      <c r="T21" s="80">
        <f>-SUMIFS('Data BASE'!U$491:U$4835,'Data BASE'!$O$491:$O$4835,'Managerial Consolidated'!$B21,'Data BASE'!$E$491:$E$4835,'Managerial Consolidated'!$B$12)</f>
        <v>-2474407.290000001</v>
      </c>
      <c r="U21" s="80">
        <f>-SUMIFS('Data BASE'!V$491:V$4835,'Data BASE'!$O$491:$O$4835,'Managerial Consolidated'!$B21,'Data BASE'!$E$491:$E$4835,'Managerial Consolidated'!$B$12)</f>
        <v>-2424952.6300000008</v>
      </c>
      <c r="V21" s="80">
        <f>-SUMIFS('Data BASE'!W$491:W$6729,'Data BASE'!$O$491:$O$6729,'Managerial Consolidated'!$B21,'Data BASE'!$E$491:$E$6729,'Managerial Consolidated'!$B$12)</f>
        <v>-2384325.7799999998</v>
      </c>
      <c r="W21" s="80">
        <f>-SUMIFS('Data BASE'!X$491:X$6729,'Data BASE'!$O$491:$O$6729,'Managerial Consolidated'!$B21,'Data BASE'!$E$491:$E$6729,'Managerial Consolidated'!$B$12)</f>
        <v>-2890391.2999999993</v>
      </c>
      <c r="X21" s="80">
        <f>-SUMIFS('Data BASE'!Y$491:Y$6729,'Data BASE'!$O$491:$O$6729,'Managerial Consolidated'!$B21,'Data BASE'!$E$491:$E$6729,'Managerial Consolidated'!$B$12)</f>
        <v>-2545876.4899999998</v>
      </c>
      <c r="Y21" s="80">
        <f>-SUMIFS('Data BASE'!Z$491:Z$6729,'Data BASE'!$O$491:$O$6729,'Managerial Consolidated'!$B21,'Data BASE'!$E$491:$E$6729,'Managerial Consolidated'!$B$12)</f>
        <v>-2736711.8700000015</v>
      </c>
      <c r="Z21" s="80">
        <f>-SUMIFS('Data BASE'!AA$491:AA$6729,'Data BASE'!$O$491:$O$6729,'Managerial Consolidated'!$B21,'Data BASE'!$E$491:$E$6729,'Managerial Consolidated'!$B$12)</f>
        <v>-2636109.1299999994</v>
      </c>
      <c r="AA21" s="80">
        <f>-SUMIFS('Data BASE'!AB$491:AB$6729,'Data BASE'!$O$491:$O$6729,'Managerial Consolidated'!$B21,'Data BASE'!$E$491:$E$6729,'Managerial Consolidated'!$B$12)</f>
        <v>-3049047.2199999988</v>
      </c>
      <c r="AB21" s="80">
        <f>-SUMIFS('Data BASE'!AC$491:AC$6729,'Data BASE'!$O$491:$O$6729,'Managerial Consolidated'!$B21,'Data BASE'!$E$491:$E$6729,'Managerial Consolidated'!$B$12)</f>
        <v>-9971241.0199999996</v>
      </c>
      <c r="AC21" s="80">
        <f>-SUMIFS('Data BASE'!AD$491:AD$6729,'Data BASE'!$O$491:$O$6729,'Managerial Consolidated'!$B21,'Data BASE'!$E$491:$E$6729,'Managerial Consolidated'!$B$12)</f>
        <v>-5110921.4399999985</v>
      </c>
      <c r="AD21" s="80">
        <f>-SUMIFS('Data BASE'!AE$491:AE$6729,'Data BASE'!$O$491:$O$6729,'Managerial Consolidated'!$B21,'Data BASE'!$E$491:$E$6729,'Managerial Consolidated'!$B$12)</f>
        <v>-5023333.3099999996</v>
      </c>
      <c r="AE21" s="80">
        <f>-SUMIFS('Data BASE'!AF$491:AF$6729,'Data BASE'!$O$491:$O$6729,'Managerial Consolidated'!$B21,'Data BASE'!$E$491:$E$6729,'Managerial Consolidated'!$B$12)</f>
        <v>-5605386.7800000003</v>
      </c>
      <c r="AF21" s="80">
        <f>-SUMIFS('Data BASE'!AG$491:AG$6729,'Data BASE'!$O$491:$O$6729,'Managerial Consolidated'!$B21,'Data BASE'!$E$491:$E$6729,'Managerial Consolidated'!$B$12)</f>
        <v>-5548251.7300000004</v>
      </c>
      <c r="AG21" s="79">
        <f>-SUMIFS('Data BASE'!AH$491:AH$6729,'Data BASE'!$O$491:$O$6729,'Managerial Consolidated'!$B21,'Data BASE'!$E$491:$E$6729,'Managerial Consolidated'!$B$12)</f>
        <v>0</v>
      </c>
      <c r="AH21" s="79">
        <f>-SUMIFS('Data BASE'!AI$491:AI$6729,'Data BASE'!$O$491:$O$6729,'Managerial Consolidated'!$B21,'Data BASE'!$E$491:$E$6729,'Managerial Consolidated'!$B$12)</f>
        <v>0</v>
      </c>
      <c r="AI21" s="79">
        <f>-SUMIFS('Data BASE'!AJ$491:AJ$6729,'Data BASE'!$O$491:$O$6729,'Managerial Consolidated'!$B21,'Data BASE'!$E$491:$E$6729,'Managerial Consolidated'!$B$12)</f>
        <v>0</v>
      </c>
      <c r="AJ21" s="79">
        <f>-SUMIFS('Data BASE'!AK$491:AK$6729,'Data BASE'!$O$491:$O$6729,'Managerial Consolidated'!$B21,'Data BASE'!$E$491:$E$6729,'Managerial Consolidated'!$B$12)</f>
        <v>0</v>
      </c>
      <c r="AK21" s="79">
        <f>-SUMIFS('Data BASE'!AL$491:AL$6729,'Data BASE'!$O$491:$O$6729,'Managerial Consolidated'!$B21,'Data BASE'!$E$491:$E$6729,'Managerial Consolidated'!$B$12)</f>
        <v>0</v>
      </c>
      <c r="AL21" s="79">
        <f>-SUMIFS('Data BASE'!AM$491:AM$6729,'Data BASE'!$O$491:$O$6729,'Managerial Consolidated'!$B21,'Data BASE'!$E$491:$E$6729,'Managerial Consolidated'!$B$12)</f>
        <v>0</v>
      </c>
      <c r="AM21" s="79">
        <f>-SUMIFS('Data BASE'!AN$491:AN$6729,'Data BASE'!$O$491:$O$6729,'Managerial Consolidated'!$B21,'Data BASE'!$E$491:$E$6729,'Managerial Consolidated'!$B$12)</f>
        <v>0</v>
      </c>
      <c r="AN21" s="79">
        <f>-SUMIFS('Data BASE'!AO$491:AO$6729,'Data BASE'!$O$491:$O$6729,'Managerial Consolidated'!$B21,'Data BASE'!$E$491:$E$6729,'Managerial Consolidated'!$B$12)</f>
        <v>0</v>
      </c>
      <c r="AP21" s="79">
        <f>+SUMIFS($Q21:$AO21,$Q$9:$AO$9,AP$9,$Q$8:$AO$8,AP$8)</f>
        <v>-5385897.0800000001</v>
      </c>
      <c r="AQ21" s="79">
        <f>+SUMIFS($Q21:$AO21,$Q$9:$AO$9,AQ$9,$Q$8:$AO$8,AQ$8)</f>
        <v>-7283685.7000000011</v>
      </c>
      <c r="AR21" s="79">
        <f>+SUMIFS($Q21:$AO21,$Q$9:$AO$9,AR$9,$Q$8:$AO$8,AR$8)</f>
        <v>-8172979.6600000001</v>
      </c>
      <c r="AS21" s="79">
        <f>+SUMIFS($Q21:$AO21,$Q$9:$AO$9,AS$9,$Q$8:$AO$8,AS$8)</f>
        <v>-15656397.369999997</v>
      </c>
      <c r="AT21" s="79">
        <f>+SUMIFS($Q21:$AO21,$Q$9:$AO$9,AT$9,$Q$8:$AO$8,AT$8)</f>
        <v>-15739641.529999997</v>
      </c>
      <c r="AU21" s="79">
        <f t="shared" ref="AU21:AW21" si="22">+SUMIFS($Q21:$AO21,$Q$9:$AO$9,AU$9,$Q$8:$AO$8,AU$8)</f>
        <v>-5548251.7300000004</v>
      </c>
      <c r="AV21" s="79">
        <f t="shared" si="22"/>
        <v>0</v>
      </c>
      <c r="AW21" s="79">
        <f t="shared" si="22"/>
        <v>0</v>
      </c>
      <c r="AY21" s="79">
        <f t="shared" si="2"/>
        <v>-36498959.810000002</v>
      </c>
      <c r="AZ21" s="79">
        <f t="shared" si="3"/>
        <v>-21287893.259999998</v>
      </c>
      <c r="BB21" s="80">
        <f>SUMIFS($Q21:$AB21,$Q$8:$AB$8,BB$8)</f>
        <v>-36498959.810000002</v>
      </c>
      <c r="BC21" s="516">
        <f>SUMIFS($Q21:$AN21,$Q$8:$AN$8,BC$8)</f>
        <v>-21287893.259999998</v>
      </c>
    </row>
    <row r="22" spans="1:55" hidden="1" outlineLevel="1" x14ac:dyDescent="0.45">
      <c r="A22" s="258"/>
      <c r="B22" s="57" t="s">
        <v>813</v>
      </c>
      <c r="C22" s="57"/>
      <c r="D22" s="184"/>
      <c r="E22" s="184"/>
      <c r="F22" s="184"/>
      <c r="G22" s="184"/>
      <c r="H22" s="184"/>
      <c r="I22" s="184"/>
      <c r="J22" s="184"/>
      <c r="K22" s="184"/>
      <c r="L22" s="184"/>
      <c r="M22" s="184"/>
      <c r="N22" s="184"/>
      <c r="O22" s="184"/>
      <c r="P22" s="184"/>
      <c r="Q22" s="78">
        <f>+Q20+Q21</f>
        <v>-5008156.9300000006</v>
      </c>
      <c r="R22" s="78">
        <f t="shared" ref="R22:U22" si="23">+R20+R21</f>
        <v>-6525971.110000005</v>
      </c>
      <c r="S22" s="78">
        <f t="shared" si="23"/>
        <v>-6431970.7319364706</v>
      </c>
      <c r="T22" s="78">
        <f t="shared" si="23"/>
        <v>-6360431.0080634765</v>
      </c>
      <c r="U22" s="78">
        <f t="shared" si="23"/>
        <v>-4910293.9600001881</v>
      </c>
      <c r="V22" s="78">
        <f t="shared" ref="V22:AA22" si="24">+V20+V21</f>
        <v>-6146827.5599997947</v>
      </c>
      <c r="W22" s="78">
        <f t="shared" si="24"/>
        <v>-6929176.260000064</v>
      </c>
      <c r="X22" s="78">
        <f t="shared" ref="X22" si="25">+X20+X21</f>
        <v>-5118483.4000000525</v>
      </c>
      <c r="Y22" s="78">
        <f t="shared" ref="Y22:Z22" si="26">+Y20+Y21</f>
        <v>-2056999.4299999503</v>
      </c>
      <c r="Z22" s="78">
        <f t="shared" si="26"/>
        <v>-7727545.5900001451</v>
      </c>
      <c r="AA22" s="78">
        <f t="shared" si="24"/>
        <v>-8860197.439999871</v>
      </c>
      <c r="AB22" s="78">
        <f t="shared" ref="AB22:AN22" si="27">+AB20+AB21</f>
        <v>-2457883.6099999277</v>
      </c>
      <c r="AC22" s="78">
        <f t="shared" si="27"/>
        <v>-9570714.8299999535</v>
      </c>
      <c r="AD22" s="78">
        <f t="shared" si="27"/>
        <v>-11820933.043855187</v>
      </c>
      <c r="AE22" s="78">
        <f t="shared" si="27"/>
        <v>-12127392.701770041</v>
      </c>
      <c r="AF22" s="78">
        <f t="shared" ref="AF22" si="28">+AF20+AF21</f>
        <v>-11221677.954374861</v>
      </c>
      <c r="AG22" s="77">
        <f t="shared" si="27"/>
        <v>0</v>
      </c>
      <c r="AH22" s="77">
        <f t="shared" si="27"/>
        <v>0</v>
      </c>
      <c r="AI22" s="77">
        <f t="shared" si="27"/>
        <v>0</v>
      </c>
      <c r="AJ22" s="77">
        <f t="shared" si="27"/>
        <v>0</v>
      </c>
      <c r="AK22" s="77">
        <f t="shared" si="27"/>
        <v>0</v>
      </c>
      <c r="AL22" s="77">
        <f t="shared" si="27"/>
        <v>0</v>
      </c>
      <c r="AM22" s="77">
        <f t="shared" si="27"/>
        <v>0</v>
      </c>
      <c r="AN22" s="77">
        <f t="shared" si="27"/>
        <v>0</v>
      </c>
      <c r="AO22" s="68"/>
      <c r="AP22" s="77">
        <f t="shared" ref="AP22:AS22" si="29">+AP20+AP21</f>
        <v>-17966098.771936476</v>
      </c>
      <c r="AQ22" s="77">
        <f t="shared" si="29"/>
        <v>-17417552.528063454</v>
      </c>
      <c r="AR22" s="77">
        <f t="shared" si="29"/>
        <v>-14104659.090000071</v>
      </c>
      <c r="AS22" s="77">
        <f t="shared" si="29"/>
        <v>-19045626.639999941</v>
      </c>
      <c r="AT22" s="77">
        <f t="shared" ref="AT22:AW22" si="30">+AT20+AT21</f>
        <v>-33519040.575625181</v>
      </c>
      <c r="AU22" s="77">
        <f t="shared" si="30"/>
        <v>-11221677.954374861</v>
      </c>
      <c r="AV22" s="77">
        <f t="shared" si="30"/>
        <v>0</v>
      </c>
      <c r="AW22" s="77">
        <f t="shared" si="30"/>
        <v>0</v>
      </c>
      <c r="AX22" s="68"/>
      <c r="AY22" s="77">
        <f t="shared" si="2"/>
        <v>-68533937.029999942</v>
      </c>
      <c r="AZ22" s="77">
        <f t="shared" si="3"/>
        <v>-44740718.530000046</v>
      </c>
      <c r="BA22" s="68"/>
      <c r="BB22" s="77">
        <f>+BB20+BB21</f>
        <v>-68533937.029999971</v>
      </c>
      <c r="BC22" s="517">
        <f>+BC20+BC21</f>
        <v>-44740718.530000046</v>
      </c>
    </row>
    <row r="23" spans="1:55" hidden="1" outlineLevel="1" x14ac:dyDescent="0.45">
      <c r="A23" s="521"/>
      <c r="B23" s="81" t="s">
        <v>564</v>
      </c>
      <c r="C23" s="81"/>
      <c r="D23" s="520"/>
      <c r="E23" s="520"/>
      <c r="F23" s="520"/>
      <c r="G23" s="520"/>
      <c r="H23" s="520"/>
      <c r="I23" s="520"/>
      <c r="J23" s="520"/>
      <c r="K23" s="520"/>
      <c r="L23" s="520"/>
      <c r="M23" s="520"/>
      <c r="N23" s="520"/>
      <c r="O23" s="520"/>
      <c r="P23" s="520"/>
      <c r="Q23" s="80">
        <f>-SUMIFS('Data BASE'!R$491:R$4835,'Data BASE'!$O$491:$O$4835,'Managerial Consolidated'!$B23,'Data BASE'!$E$491:$E$4835,'Managerial Consolidated'!$B$12)</f>
        <v>2310.44</v>
      </c>
      <c r="R23" s="80">
        <f>-SUMIFS('Data BASE'!S$491:S$4835,'Data BASE'!$O$491:$O$4835,'Managerial Consolidated'!$B23,'Data BASE'!$E$491:$E$4835,'Managerial Consolidated'!$B$12)</f>
        <v>2278.14</v>
      </c>
      <c r="S23" s="80">
        <f>-SUMIFS('Data BASE'!T$491:T$4835,'Data BASE'!$O$491:$O$4835,'Managerial Consolidated'!$B23,'Data BASE'!$E$491:$E$4835,'Managerial Consolidated'!$B$12)</f>
        <v>23607.979999999996</v>
      </c>
      <c r="T23" s="80">
        <f>-SUMIFS('Data BASE'!U$491:U$4835,'Data BASE'!$O$491:$O$4835,'Managerial Consolidated'!$B23,'Data BASE'!$E$491:$E$4835,'Managerial Consolidated'!$B$12)</f>
        <v>34303.300000000003</v>
      </c>
      <c r="U23" s="80">
        <f>-SUMIFS('Data BASE'!V$491:V$4835,'Data BASE'!$O$491:$O$4835,'Managerial Consolidated'!$B23,'Data BASE'!$E$491:$E$4835,'Managerial Consolidated'!$B$12)</f>
        <v>111601.91000000002</v>
      </c>
      <c r="V23" s="80">
        <f>-SUMIFS('Data BASE'!W$491:W$6729,'Data BASE'!$O$491:$O$6729,'Managerial Consolidated'!$B23,'Data BASE'!$E$491:$E$6729,'Managerial Consolidated'!$B$12)</f>
        <v>69996.339999999967</v>
      </c>
      <c r="W23" s="80">
        <f>-SUMIFS('Data BASE'!X$491:X$6729,'Data BASE'!$O$491:$O$6729,'Managerial Consolidated'!$B23,'Data BASE'!$E$491:$E$6729,'Managerial Consolidated'!$B$12)</f>
        <v>-976779.70999999985</v>
      </c>
      <c r="X23" s="80">
        <f>-SUMIFS('Data BASE'!Y$491:Y$6729,'Data BASE'!$O$491:$O$6729,'Managerial Consolidated'!$B23,'Data BASE'!$E$491:$E$6729,'Managerial Consolidated'!$B$12)</f>
        <v>-1433668.58</v>
      </c>
      <c r="Y23" s="80">
        <f>-SUMIFS('Data BASE'!Z$491:Z$6729,'Data BASE'!$O$491:$O$6729,'Managerial Consolidated'!$B23,'Data BASE'!$E$491:$E$6729,'Managerial Consolidated'!$B$12)</f>
        <v>-1413642.0599999996</v>
      </c>
      <c r="Z23" s="80">
        <f>-SUMIFS('Data BASE'!AA$491:AA$6729,'Data BASE'!$O$491:$O$6729,'Managerial Consolidated'!$B23,'Data BASE'!$E$491:$E$6729,'Managerial Consolidated'!$B$12)</f>
        <v>-1451387.1400000008</v>
      </c>
      <c r="AA23" s="80">
        <f>-SUMIFS('Data BASE'!AB$491:AB$6729,'Data BASE'!$O$491:$O$6729,'Managerial Consolidated'!$B23,'Data BASE'!$E$491:$E$6729,'Managerial Consolidated'!$B$12)</f>
        <v>-1396654.73</v>
      </c>
      <c r="AB23" s="80">
        <f>-SUMIFS('Data BASE'!AC$491:AC$6729,'Data BASE'!$O$491:$O$6729,'Managerial Consolidated'!$B23,'Data BASE'!$E$491:$E$6729,'Managerial Consolidated'!$B$12)</f>
        <v>-1156524.0399999991</v>
      </c>
      <c r="AC23" s="80">
        <f>-SUMIFS('Data BASE'!AD$491:AD$6729,'Data BASE'!$O$491:$O$6729,'Managerial Consolidated'!$B23,'Data BASE'!$E$491:$E$6729,'Managerial Consolidated'!$B$12)</f>
        <v>-1440748.99</v>
      </c>
      <c r="AD23" s="80">
        <f>-SUMIFS('Data BASE'!AE$491:AE$6729,'Data BASE'!$O$491:$O$6729,'Managerial Consolidated'!$B23,'Data BASE'!$E$491:$E$6729,'Managerial Consolidated'!$B$12)</f>
        <v>-1323929.3</v>
      </c>
      <c r="AE23" s="80">
        <f>-SUMIFS('Data BASE'!AF$491:AF$6729,'Data BASE'!$O$491:$O$6729,'Managerial Consolidated'!$B23,'Data BASE'!$E$491:$E$6729,'Managerial Consolidated'!$B$12)</f>
        <v>-1146687.69</v>
      </c>
      <c r="AF23" s="80">
        <f>-SUMIFS('Data BASE'!AG$491:AG$6729,'Data BASE'!$O$491:$O$6729,'Managerial Consolidated'!$B23,'Data BASE'!$E$491:$E$6729,'Managerial Consolidated'!$B$12)</f>
        <v>-1355873.78</v>
      </c>
      <c r="AG23" s="79">
        <f>-SUMIFS('Data BASE'!AH$491:AH$6729,'Data BASE'!$O$491:$O$6729,'Managerial Consolidated'!$B23,'Data BASE'!$E$491:$E$6729,'Managerial Consolidated'!$B$12)</f>
        <v>0</v>
      </c>
      <c r="AH23" s="79">
        <f>-SUMIFS('Data BASE'!AI$491:AI$6729,'Data BASE'!$O$491:$O$6729,'Managerial Consolidated'!$B23,'Data BASE'!$E$491:$E$6729,'Managerial Consolidated'!$B$12)</f>
        <v>0</v>
      </c>
      <c r="AI23" s="79">
        <f>-SUMIFS('Data BASE'!AJ$491:AJ$6729,'Data BASE'!$O$491:$O$6729,'Managerial Consolidated'!$B23,'Data BASE'!$E$491:$E$6729,'Managerial Consolidated'!$B$12)</f>
        <v>0</v>
      </c>
      <c r="AJ23" s="79">
        <f>-SUMIFS('Data BASE'!AK$491:AK$6729,'Data BASE'!$O$491:$O$6729,'Managerial Consolidated'!$B23,'Data BASE'!$E$491:$E$6729,'Managerial Consolidated'!$B$12)</f>
        <v>0</v>
      </c>
      <c r="AK23" s="79">
        <f>-SUMIFS('Data BASE'!AL$491:AL$6729,'Data BASE'!$O$491:$O$6729,'Managerial Consolidated'!$B23,'Data BASE'!$E$491:$E$6729,'Managerial Consolidated'!$B$12)</f>
        <v>0</v>
      </c>
      <c r="AL23" s="79">
        <f>-SUMIFS('Data BASE'!AM$491:AM$6729,'Data BASE'!$O$491:$O$6729,'Managerial Consolidated'!$B23,'Data BASE'!$E$491:$E$6729,'Managerial Consolidated'!$B$12)</f>
        <v>0</v>
      </c>
      <c r="AM23" s="79">
        <f>-SUMIFS('Data BASE'!AN$491:AN$6729,'Data BASE'!$O$491:$O$6729,'Managerial Consolidated'!$B23,'Data BASE'!$E$491:$E$6729,'Managerial Consolidated'!$B$12)</f>
        <v>0</v>
      </c>
      <c r="AN23" s="79">
        <f>-SUMIFS('Data BASE'!AO$491:AO$6729,'Data BASE'!$O$491:$O$6729,'Managerial Consolidated'!$B23,'Data BASE'!$E$491:$E$6729,'Managerial Consolidated'!$B$12)</f>
        <v>0</v>
      </c>
      <c r="AP23" s="79">
        <f>+SUMIFS($Q23:$AO23,$Q$9:$AO$9,AP$9,$Q$8:$AO$8,AP$8)</f>
        <v>28196.559999999998</v>
      </c>
      <c r="AQ23" s="79">
        <f>+SUMIFS($Q23:$AO23,$Q$9:$AO$9,AQ$9,$Q$8:$AO$8,AQ$8)</f>
        <v>215901.55</v>
      </c>
      <c r="AR23" s="79">
        <f>+SUMIFS($Q23:$AO23,$Q$9:$AO$9,AR$9,$Q$8:$AO$8,AR$8)</f>
        <v>-3824090.3499999996</v>
      </c>
      <c r="AS23" s="79">
        <f>+SUMIFS($Q23:$AO23,$Q$9:$AO$9,AS$9,$Q$8:$AO$8,AS$8)</f>
        <v>-4004565.91</v>
      </c>
      <c r="AT23" s="79">
        <f>+SUMIFS($Q23:$AO23,$Q$9:$AO$9,AT$9,$Q$8:$AO$8,AT$8)</f>
        <v>-3911365.98</v>
      </c>
      <c r="AU23" s="79">
        <f t="shared" ref="AU23:AW23" si="31">+SUMIFS($Q23:$AO23,$Q$9:$AO$9,AU$9,$Q$8:$AO$8,AU$8)</f>
        <v>-1355873.78</v>
      </c>
      <c r="AV23" s="79">
        <f t="shared" si="31"/>
        <v>0</v>
      </c>
      <c r="AW23" s="79">
        <f t="shared" si="31"/>
        <v>0</v>
      </c>
      <c r="AY23" s="79">
        <f t="shared" si="2"/>
        <v>-7584558.1499999985</v>
      </c>
      <c r="AZ23" s="79">
        <f t="shared" si="3"/>
        <v>-5267239.76</v>
      </c>
      <c r="BB23" s="80">
        <f>SUMIFS($Q23:$AB23,$Q$8:$AB$8,BB$8)</f>
        <v>-7584558.1499999985</v>
      </c>
      <c r="BC23" s="516">
        <f>SUMIFS($Q23:$AN23,$Q$8:$AN$8,BC$8)</f>
        <v>-5267239.76</v>
      </c>
    </row>
    <row r="24" spans="1:55" hidden="1" outlineLevel="1" x14ac:dyDescent="0.45">
      <c r="A24" s="258"/>
      <c r="B24" s="57" t="s">
        <v>814</v>
      </c>
      <c r="C24" s="57"/>
      <c r="D24" s="184"/>
      <c r="E24" s="184"/>
      <c r="F24" s="184"/>
      <c r="G24" s="184"/>
      <c r="H24" s="184"/>
      <c r="I24" s="184"/>
      <c r="J24" s="184"/>
      <c r="K24" s="184"/>
      <c r="L24" s="184"/>
      <c r="M24" s="184"/>
      <c r="N24" s="184"/>
      <c r="O24" s="184"/>
      <c r="P24" s="184"/>
      <c r="Q24" s="78">
        <f>+Q22+Q23</f>
        <v>-5005846.49</v>
      </c>
      <c r="R24" s="78">
        <f t="shared" ref="R24:U24" si="32">+R22+R23</f>
        <v>-6523692.9700000053</v>
      </c>
      <c r="S24" s="78">
        <f t="shared" si="32"/>
        <v>-6408362.7519364702</v>
      </c>
      <c r="T24" s="78">
        <f t="shared" si="32"/>
        <v>-6326127.7080634767</v>
      </c>
      <c r="U24" s="78">
        <f t="shared" si="32"/>
        <v>-4798692.0500001879</v>
      </c>
      <c r="V24" s="78">
        <f t="shared" ref="V24:AA24" si="33">+V22+V23</f>
        <v>-6076831.2199997948</v>
      </c>
      <c r="W24" s="78">
        <f t="shared" si="33"/>
        <v>-7905955.970000064</v>
      </c>
      <c r="X24" s="78">
        <f t="shared" ref="X24" si="34">+X22+X23</f>
        <v>-6552151.9800000526</v>
      </c>
      <c r="Y24" s="78">
        <f t="shared" ref="Y24:Z24" si="35">+Y22+Y23</f>
        <v>-3470641.4899999499</v>
      </c>
      <c r="Z24" s="78">
        <f t="shared" si="35"/>
        <v>-9178932.7300001457</v>
      </c>
      <c r="AA24" s="78">
        <f t="shared" si="33"/>
        <v>-10256852.169999871</v>
      </c>
      <c r="AB24" s="78">
        <f t="shared" ref="AB24:AN24" si="36">+AB22+AB23</f>
        <v>-3614407.6499999268</v>
      </c>
      <c r="AC24" s="78">
        <f t="shared" si="36"/>
        <v>-11011463.819999954</v>
      </c>
      <c r="AD24" s="78">
        <f t="shared" si="36"/>
        <v>-13144862.343855187</v>
      </c>
      <c r="AE24" s="78">
        <f t="shared" si="36"/>
        <v>-13274080.391770041</v>
      </c>
      <c r="AF24" s="78">
        <f t="shared" ref="AF24" si="37">+AF22+AF23</f>
        <v>-12577551.73437486</v>
      </c>
      <c r="AG24" s="77">
        <f t="shared" si="36"/>
        <v>0</v>
      </c>
      <c r="AH24" s="77">
        <f t="shared" si="36"/>
        <v>0</v>
      </c>
      <c r="AI24" s="77">
        <f t="shared" si="36"/>
        <v>0</v>
      </c>
      <c r="AJ24" s="77">
        <f t="shared" si="36"/>
        <v>0</v>
      </c>
      <c r="AK24" s="77">
        <f t="shared" si="36"/>
        <v>0</v>
      </c>
      <c r="AL24" s="77">
        <f t="shared" si="36"/>
        <v>0</v>
      </c>
      <c r="AM24" s="77">
        <f t="shared" si="36"/>
        <v>0</v>
      </c>
      <c r="AN24" s="77">
        <f t="shared" si="36"/>
        <v>0</v>
      </c>
      <c r="AO24" s="68"/>
      <c r="AP24" s="77">
        <f t="shared" ref="AP24:AS24" si="38">+AP22+AP23</f>
        <v>-17937902.211936478</v>
      </c>
      <c r="AQ24" s="77">
        <f t="shared" si="38"/>
        <v>-17201650.978063453</v>
      </c>
      <c r="AR24" s="77">
        <f t="shared" si="38"/>
        <v>-17928749.440000072</v>
      </c>
      <c r="AS24" s="77">
        <f t="shared" si="38"/>
        <v>-23050192.549999941</v>
      </c>
      <c r="AT24" s="77">
        <f t="shared" ref="AT24:AW24" si="39">+AT22+AT23</f>
        <v>-37430406.555625178</v>
      </c>
      <c r="AU24" s="77">
        <f t="shared" si="39"/>
        <v>-12577551.73437486</v>
      </c>
      <c r="AV24" s="77">
        <f t="shared" si="39"/>
        <v>0</v>
      </c>
      <c r="AW24" s="77">
        <f t="shared" si="39"/>
        <v>0</v>
      </c>
      <c r="AX24" s="68"/>
      <c r="AY24" s="77">
        <f t="shared" si="2"/>
        <v>-76118495.179999948</v>
      </c>
      <c r="AZ24" s="77">
        <f t="shared" si="3"/>
        <v>-50007958.290000044</v>
      </c>
      <c r="BA24" s="68"/>
      <c r="BB24" s="77">
        <f>+BB22+BB23</f>
        <v>-76118495.179999977</v>
      </c>
      <c r="BC24" s="517">
        <f>+BC22+BC23</f>
        <v>-50007958.290000044</v>
      </c>
    </row>
    <row r="25" spans="1:55" hidden="1" outlineLevel="1" x14ac:dyDescent="0.45">
      <c r="A25" s="258"/>
      <c r="B25" s="81" t="s">
        <v>819</v>
      </c>
      <c r="C25" s="81"/>
      <c r="D25" s="183"/>
      <c r="E25" s="183"/>
      <c r="F25" s="183"/>
      <c r="G25" s="183"/>
      <c r="H25" s="183"/>
      <c r="I25" s="183"/>
      <c r="J25" s="183"/>
      <c r="K25" s="183"/>
      <c r="L25" s="183"/>
      <c r="M25" s="183"/>
      <c r="N25" s="183"/>
      <c r="O25" s="183"/>
      <c r="P25" s="183"/>
      <c r="Q25" s="80">
        <f>-SUMIFS('Data BASE'!R$491:R$4835,'Data BASE'!$O$491:$O$4835,'Managerial Consolidated'!$B25,'Data BASE'!$E$491:$E$4835,'Managerial Consolidated'!$B$12)</f>
        <v>0</v>
      </c>
      <c r="R25" s="80">
        <f>-SUMIFS('Data BASE'!S$491:S$4835,'Data BASE'!$O$491:$O$4835,'Managerial Consolidated'!$B25,'Data BASE'!$E$491:$E$4835,'Managerial Consolidated'!$B$12)</f>
        <v>0</v>
      </c>
      <c r="S25" s="80">
        <f>-SUMIFS('Data BASE'!T$491:T$4835,'Data BASE'!$O$491:$O$4835,'Managerial Consolidated'!$B25,'Data BASE'!$E$491:$E$4835,'Managerial Consolidated'!$B$12)</f>
        <v>0</v>
      </c>
      <c r="T25" s="80">
        <f>-SUMIFS('Data BASE'!U$491:U$4835,'Data BASE'!$O$491:$O$4835,'Managerial Consolidated'!$B25,'Data BASE'!$E$491:$E$4835,'Managerial Consolidated'!$B$12)</f>
        <v>0</v>
      </c>
      <c r="U25" s="80">
        <f>-SUMIFS('Data BASE'!V$491:V$4835,'Data BASE'!$O$491:$O$4835,'Managerial Consolidated'!$B25,'Data BASE'!$E$491:$E$4835,'Managerial Consolidated'!$B$12)</f>
        <v>0</v>
      </c>
      <c r="V25" s="80">
        <f>-SUMIFS('Data BASE'!W$491:W$6729,'Data BASE'!$O$491:$O$6729,'Managerial Consolidated'!$B25,'Data BASE'!$E$491:$E$6729,'Managerial Consolidated'!$B$12)</f>
        <v>0</v>
      </c>
      <c r="W25" s="80">
        <f>-SUMIFS('Data BASE'!X$491:X$6729,'Data BASE'!$O$491:$O$6729,'Managerial Consolidated'!$B25,'Data BASE'!$E$491:$E$6729,'Managerial Consolidated'!$B$12)</f>
        <v>0</v>
      </c>
      <c r="X25" s="80">
        <f>-SUMIFS('Data BASE'!Y$491:Y$6729,'Data BASE'!$O$491:$O$6729,'Managerial Consolidated'!$B25,'Data BASE'!$E$491:$E$6729,'Managerial Consolidated'!$B$12)</f>
        <v>0</v>
      </c>
      <c r="Y25" s="80">
        <f>-SUMIFS('Data BASE'!Z$491:Z$6729,'Data BASE'!$O$491:$O$6729,'Managerial Consolidated'!$B25,'Data BASE'!$E$491:$E$6729,'Managerial Consolidated'!$B$12)</f>
        <v>0</v>
      </c>
      <c r="Z25" s="80">
        <f>-SUMIFS('Data BASE'!AA$491:AA$6729,'Data BASE'!$O$491:$O$6729,'Managerial Consolidated'!$B25,'Data BASE'!$E$491:$E$6729,'Managerial Consolidated'!$B$12)</f>
        <v>0</v>
      </c>
      <c r="AA25" s="80">
        <f>-SUMIFS('Data BASE'!AB$491:AB$6729,'Data BASE'!$O$491:$O$6729,'Managerial Consolidated'!$B25,'Data BASE'!$E$491:$E$6729,'Managerial Consolidated'!$B$12)</f>
        <v>0</v>
      </c>
      <c r="AB25" s="80">
        <f>-SUMIFS('Data BASE'!AC$491:AC$6729,'Data BASE'!$O$491:$O$6729,'Managerial Consolidated'!$B25,'Data BASE'!$E$491:$E$6729,'Managerial Consolidated'!$B$12)</f>
        <v>0</v>
      </c>
      <c r="AC25" s="80">
        <f>-SUMIFS('Data BASE'!AD$491:AD$6729,'Data BASE'!$O$491:$O$6729,'Managerial Consolidated'!$B25,'Data BASE'!$E$491:$E$6729,'Managerial Consolidated'!$B$12)</f>
        <v>0</v>
      </c>
      <c r="AD25" s="80">
        <f>-SUMIFS('Data BASE'!AE$491:AE$6729,'Data BASE'!$O$491:$O$6729,'Managerial Consolidated'!$B25,'Data BASE'!$E$491:$E$6729,'Managerial Consolidated'!$B$12)</f>
        <v>0</v>
      </c>
      <c r="AE25" s="80">
        <f>-SUMIFS('Data BASE'!AF$491:AF$6729,'Data BASE'!$O$491:$O$6729,'Managerial Consolidated'!$B25,'Data BASE'!$E$491:$E$6729,'Managerial Consolidated'!$B$12)</f>
        <v>0</v>
      </c>
      <c r="AF25" s="80">
        <f>-SUMIFS('Data BASE'!AG$491:AG$6729,'Data BASE'!$O$491:$O$6729,'Managerial Consolidated'!$B25,'Data BASE'!$E$491:$E$6729,'Managerial Consolidated'!$B$12)</f>
        <v>0</v>
      </c>
      <c r="AG25" s="79">
        <f>-SUMIFS('Data BASE'!AH$491:AH$6729,'Data BASE'!$O$491:$O$6729,'Managerial Consolidated'!$B25,'Data BASE'!$E$491:$E$6729,'Managerial Consolidated'!$B$12)</f>
        <v>0</v>
      </c>
      <c r="AH25" s="79">
        <f>-SUMIFS('Data BASE'!AI$491:AI$6729,'Data BASE'!$O$491:$O$6729,'Managerial Consolidated'!$B25,'Data BASE'!$E$491:$E$6729,'Managerial Consolidated'!$B$12)</f>
        <v>0</v>
      </c>
      <c r="AI25" s="79">
        <f>-SUMIFS('Data BASE'!AJ$491:AJ$6729,'Data BASE'!$O$491:$O$6729,'Managerial Consolidated'!$B25,'Data BASE'!$E$491:$E$6729,'Managerial Consolidated'!$B$12)</f>
        <v>0</v>
      </c>
      <c r="AJ25" s="79">
        <f>-SUMIFS('Data BASE'!AK$491:AK$6729,'Data BASE'!$O$491:$O$6729,'Managerial Consolidated'!$B25,'Data BASE'!$E$491:$E$6729,'Managerial Consolidated'!$B$12)</f>
        <v>0</v>
      </c>
      <c r="AK25" s="79">
        <f>-SUMIFS('Data BASE'!AL$491:AL$6729,'Data BASE'!$O$491:$O$6729,'Managerial Consolidated'!$B25,'Data BASE'!$E$491:$E$6729,'Managerial Consolidated'!$B$12)</f>
        <v>0</v>
      </c>
      <c r="AL25" s="79">
        <f>-SUMIFS('Data BASE'!AM$491:AM$6729,'Data BASE'!$O$491:$O$6729,'Managerial Consolidated'!$B25,'Data BASE'!$E$491:$E$6729,'Managerial Consolidated'!$B$12)</f>
        <v>0</v>
      </c>
      <c r="AM25" s="79">
        <f>-SUMIFS('Data BASE'!AN$491:AN$6729,'Data BASE'!$O$491:$O$6729,'Managerial Consolidated'!$B25,'Data BASE'!$E$491:$E$6729,'Managerial Consolidated'!$B$12)</f>
        <v>0</v>
      </c>
      <c r="AN25" s="79">
        <f>-SUMIFS('Data BASE'!AO$491:AO$6729,'Data BASE'!$O$491:$O$6729,'Managerial Consolidated'!$B25,'Data BASE'!$E$491:$E$6729,'Managerial Consolidated'!$B$12)</f>
        <v>0</v>
      </c>
      <c r="AP25" s="79">
        <f t="shared" ref="AP25:AT26" si="40">+SUMIFS($Q25:$AO25,$Q$9:$AO$9,AP$9,$Q$8:$AO$8,AP$8)</f>
        <v>0</v>
      </c>
      <c r="AQ25" s="79">
        <f t="shared" si="40"/>
        <v>0</v>
      </c>
      <c r="AR25" s="79">
        <f t="shared" si="40"/>
        <v>0</v>
      </c>
      <c r="AS25" s="79">
        <f t="shared" si="40"/>
        <v>0</v>
      </c>
      <c r="AT25" s="79">
        <f t="shared" si="40"/>
        <v>0</v>
      </c>
      <c r="AU25" s="79">
        <f t="shared" ref="AU25:AW26" si="41">+SUMIFS($Q25:$AO25,$Q$9:$AO$9,AU$9,$Q$8:$AO$8,AU$8)</f>
        <v>0</v>
      </c>
      <c r="AV25" s="79">
        <f t="shared" si="41"/>
        <v>0</v>
      </c>
      <c r="AW25" s="79">
        <f t="shared" si="41"/>
        <v>0</v>
      </c>
      <c r="AY25" s="79">
        <f t="shared" si="2"/>
        <v>0</v>
      </c>
      <c r="AZ25" s="79">
        <f t="shared" si="3"/>
        <v>0</v>
      </c>
      <c r="BB25" s="80">
        <f>SUMIFS($Q25:$AB25,$Q$8:$AB$8,BB$8)</f>
        <v>0</v>
      </c>
      <c r="BC25" s="516">
        <f>SUMIFS($Q25:$AN25,$Q$8:$AN$8,BC$8)</f>
        <v>0</v>
      </c>
    </row>
    <row r="26" spans="1:55" hidden="1" outlineLevel="1" x14ac:dyDescent="0.45">
      <c r="A26" s="258"/>
      <c r="B26" s="81" t="s">
        <v>820</v>
      </c>
      <c r="C26" s="81"/>
      <c r="D26" s="183"/>
      <c r="E26" s="183"/>
      <c r="F26" s="183"/>
      <c r="G26" s="183"/>
      <c r="H26" s="183"/>
      <c r="I26" s="183"/>
      <c r="J26" s="183"/>
      <c r="K26" s="183"/>
      <c r="L26" s="183"/>
      <c r="M26" s="183"/>
      <c r="N26" s="183"/>
      <c r="O26" s="183"/>
      <c r="P26" s="183"/>
      <c r="Q26" s="80">
        <f>-SUMIFS('Data BASE'!R$491:R$4835,'Data BASE'!$O$491:$O$4835,'Managerial Consolidated'!$B26,'Data BASE'!$E$491:$E$4835,'Managerial Consolidated'!$B$12)</f>
        <v>0</v>
      </c>
      <c r="R26" s="80">
        <f>-SUMIFS('Data BASE'!S$491:S$4835,'Data BASE'!$O$491:$O$4835,'Managerial Consolidated'!$B26,'Data BASE'!$E$491:$E$4835,'Managerial Consolidated'!$B$12)</f>
        <v>0</v>
      </c>
      <c r="S26" s="80">
        <f>-SUMIFS('Data BASE'!T$491:T$4835,'Data BASE'!$O$491:$O$4835,'Managerial Consolidated'!$B26,'Data BASE'!$E$491:$E$4835,'Managerial Consolidated'!$B$12)</f>
        <v>0</v>
      </c>
      <c r="T26" s="80">
        <f>-SUMIFS('Data BASE'!U$491:U$4835,'Data BASE'!$O$491:$O$4835,'Managerial Consolidated'!$B26,'Data BASE'!$E$491:$E$4835,'Managerial Consolidated'!$B$12)</f>
        <v>0</v>
      </c>
      <c r="U26" s="80">
        <f>-SUMIFS('Data BASE'!V$491:V$4835,'Data BASE'!$O$491:$O$4835,'Managerial Consolidated'!$B26,'Data BASE'!$E$491:$E$4835,'Managerial Consolidated'!$B$12)</f>
        <v>0</v>
      </c>
      <c r="V26" s="80">
        <f>-SUMIFS('Data BASE'!W$491:W$6729,'Data BASE'!$O$491:$O$6729,'Managerial Consolidated'!$B26,'Data BASE'!$E$491:$E$6729,'Managerial Consolidated'!$B$12)</f>
        <v>0</v>
      </c>
      <c r="W26" s="80">
        <f>-SUMIFS('Data BASE'!X$491:X$6729,'Data BASE'!$O$491:$O$6729,'Managerial Consolidated'!$B26,'Data BASE'!$E$491:$E$6729,'Managerial Consolidated'!$B$12)</f>
        <v>0</v>
      </c>
      <c r="X26" s="80">
        <f>-SUMIFS('Data BASE'!Y$491:Y$6729,'Data BASE'!$O$491:$O$6729,'Managerial Consolidated'!$B26,'Data BASE'!$E$491:$E$6729,'Managerial Consolidated'!$B$12)</f>
        <v>0</v>
      </c>
      <c r="Y26" s="80">
        <f>-SUMIFS('Data BASE'!Z$491:Z$6729,'Data BASE'!$O$491:$O$6729,'Managerial Consolidated'!$B26,'Data BASE'!$E$491:$E$6729,'Managerial Consolidated'!$B$12)</f>
        <v>0</v>
      </c>
      <c r="Z26" s="80">
        <f>-SUMIFS('Data BASE'!AA$491:AA$6729,'Data BASE'!$O$491:$O$6729,'Managerial Consolidated'!$B26,'Data BASE'!$E$491:$E$6729,'Managerial Consolidated'!$B$12)</f>
        <v>0</v>
      </c>
      <c r="AA26" s="80">
        <f>-SUMIFS('Data BASE'!AB$491:AB$6729,'Data BASE'!$O$491:$O$6729,'Managerial Consolidated'!$B26,'Data BASE'!$E$491:$E$6729,'Managerial Consolidated'!$B$12)</f>
        <v>0</v>
      </c>
      <c r="AB26" s="80">
        <f>-SUMIFS('Data BASE'!AC$491:AC$6729,'Data BASE'!$O$491:$O$6729,'Managerial Consolidated'!$B26,'Data BASE'!$E$491:$E$6729,'Managerial Consolidated'!$B$12)</f>
        <v>0</v>
      </c>
      <c r="AC26" s="80">
        <f>-SUMIFS('Data BASE'!AD$491:AD$6729,'Data BASE'!$O$491:$O$6729,'Managerial Consolidated'!$B26,'Data BASE'!$E$491:$E$6729,'Managerial Consolidated'!$B$12)</f>
        <v>0</v>
      </c>
      <c r="AD26" s="80">
        <f>-SUMIFS('Data BASE'!AE$491:AE$6729,'Data BASE'!$O$491:$O$6729,'Managerial Consolidated'!$B26,'Data BASE'!$E$491:$E$6729,'Managerial Consolidated'!$B$12)</f>
        <v>0</v>
      </c>
      <c r="AE26" s="80">
        <f>-SUMIFS('Data BASE'!AF$491:AF$6729,'Data BASE'!$O$491:$O$6729,'Managerial Consolidated'!$B26,'Data BASE'!$E$491:$E$6729,'Managerial Consolidated'!$B$12)</f>
        <v>0</v>
      </c>
      <c r="AF26" s="80">
        <f>-SUMIFS('Data BASE'!AG$491:AG$6729,'Data BASE'!$O$491:$O$6729,'Managerial Consolidated'!$B26,'Data BASE'!$E$491:$E$6729,'Managerial Consolidated'!$B$12)</f>
        <v>0</v>
      </c>
      <c r="AG26" s="79">
        <f>-SUMIFS('Data BASE'!AH$491:AH$6729,'Data BASE'!$O$491:$O$6729,'Managerial Consolidated'!$B26,'Data BASE'!$E$491:$E$6729,'Managerial Consolidated'!$B$12)</f>
        <v>0</v>
      </c>
      <c r="AH26" s="79">
        <f>-SUMIFS('Data BASE'!AI$491:AI$6729,'Data BASE'!$O$491:$O$6729,'Managerial Consolidated'!$B26,'Data BASE'!$E$491:$E$6729,'Managerial Consolidated'!$B$12)</f>
        <v>0</v>
      </c>
      <c r="AI26" s="79">
        <f>-SUMIFS('Data BASE'!AJ$491:AJ$6729,'Data BASE'!$O$491:$O$6729,'Managerial Consolidated'!$B26,'Data BASE'!$E$491:$E$6729,'Managerial Consolidated'!$B$12)</f>
        <v>0</v>
      </c>
      <c r="AJ26" s="79">
        <f>-SUMIFS('Data BASE'!AK$491:AK$6729,'Data BASE'!$O$491:$O$6729,'Managerial Consolidated'!$B26,'Data BASE'!$E$491:$E$6729,'Managerial Consolidated'!$B$12)</f>
        <v>0</v>
      </c>
      <c r="AK26" s="79">
        <f>-SUMIFS('Data BASE'!AL$491:AL$6729,'Data BASE'!$O$491:$O$6729,'Managerial Consolidated'!$B26,'Data BASE'!$E$491:$E$6729,'Managerial Consolidated'!$B$12)</f>
        <v>0</v>
      </c>
      <c r="AL26" s="79">
        <f>-SUMIFS('Data BASE'!AM$491:AM$6729,'Data BASE'!$O$491:$O$6729,'Managerial Consolidated'!$B26,'Data BASE'!$E$491:$E$6729,'Managerial Consolidated'!$B$12)</f>
        <v>0</v>
      </c>
      <c r="AM26" s="79">
        <f>-SUMIFS('Data BASE'!AN$491:AN$6729,'Data BASE'!$O$491:$O$6729,'Managerial Consolidated'!$B26,'Data BASE'!$E$491:$E$6729,'Managerial Consolidated'!$B$12)</f>
        <v>0</v>
      </c>
      <c r="AN26" s="79">
        <f>-SUMIFS('Data BASE'!AO$491:AO$6729,'Data BASE'!$O$491:$O$6729,'Managerial Consolidated'!$B26,'Data BASE'!$E$491:$E$6729,'Managerial Consolidated'!$B$12)</f>
        <v>0</v>
      </c>
      <c r="AP26" s="79">
        <f t="shared" si="40"/>
        <v>0</v>
      </c>
      <c r="AQ26" s="79">
        <f t="shared" si="40"/>
        <v>0</v>
      </c>
      <c r="AR26" s="79">
        <f t="shared" si="40"/>
        <v>0</v>
      </c>
      <c r="AS26" s="79">
        <f t="shared" si="40"/>
        <v>0</v>
      </c>
      <c r="AT26" s="79">
        <f t="shared" si="40"/>
        <v>0</v>
      </c>
      <c r="AU26" s="79">
        <f t="shared" si="41"/>
        <v>0</v>
      </c>
      <c r="AV26" s="79">
        <f t="shared" si="41"/>
        <v>0</v>
      </c>
      <c r="AW26" s="79">
        <f t="shared" si="41"/>
        <v>0</v>
      </c>
      <c r="AY26" s="79">
        <f t="shared" si="2"/>
        <v>0</v>
      </c>
      <c r="AZ26" s="79">
        <f t="shared" si="3"/>
        <v>0</v>
      </c>
      <c r="BB26" s="80">
        <f>SUMIFS($Q26:$AB26,$Q$8:$AB$8,BB$8)</f>
        <v>0</v>
      </c>
      <c r="BC26" s="516">
        <f>SUMIFS($Q26:$AN26,$Q$8:$AN$8,BC$8)</f>
        <v>0</v>
      </c>
    </row>
    <row r="27" spans="1:55" hidden="1" outlineLevel="1" x14ac:dyDescent="0.45">
      <c r="A27" s="258"/>
      <c r="B27" s="57" t="s">
        <v>815</v>
      </c>
      <c r="C27" s="57"/>
      <c r="D27" s="184"/>
      <c r="E27" s="184"/>
      <c r="F27" s="184"/>
      <c r="G27" s="184"/>
      <c r="H27" s="184"/>
      <c r="I27" s="184"/>
      <c r="J27" s="184"/>
      <c r="K27" s="184"/>
      <c r="L27" s="184"/>
      <c r="M27" s="184"/>
      <c r="N27" s="184"/>
      <c r="O27" s="184"/>
      <c r="P27" s="184"/>
      <c r="Q27" s="78">
        <f>+Q24+Q25+Q26</f>
        <v>-5005846.49</v>
      </c>
      <c r="R27" s="78">
        <f t="shared" ref="R27:U27" si="42">+R24+R25+R26</f>
        <v>-6523692.9700000053</v>
      </c>
      <c r="S27" s="78">
        <f t="shared" si="42"/>
        <v>-6408362.7519364702</v>
      </c>
      <c r="T27" s="78">
        <f t="shared" si="42"/>
        <v>-6326127.7080634767</v>
      </c>
      <c r="U27" s="78">
        <f t="shared" si="42"/>
        <v>-4798692.0500001879</v>
      </c>
      <c r="V27" s="78">
        <f t="shared" ref="V27:AA27" si="43">+V24+V25+V26</f>
        <v>-6076831.2199997948</v>
      </c>
      <c r="W27" s="78">
        <f t="shared" si="43"/>
        <v>-7905955.970000064</v>
      </c>
      <c r="X27" s="78">
        <f t="shared" ref="X27" si="44">+X24+X25+X26</f>
        <v>-6552151.9800000526</v>
      </c>
      <c r="Y27" s="78">
        <f t="shared" ref="Y27:Z27" si="45">+Y24+Y25+Y26</f>
        <v>-3470641.4899999499</v>
      </c>
      <c r="Z27" s="78">
        <f t="shared" si="45"/>
        <v>-9178932.7300001457</v>
      </c>
      <c r="AA27" s="78">
        <f t="shared" si="43"/>
        <v>-10256852.169999871</v>
      </c>
      <c r="AB27" s="78">
        <f t="shared" ref="AB27:AN27" si="46">+AB24+AB25+AB26</f>
        <v>-3614407.6499999268</v>
      </c>
      <c r="AC27" s="78">
        <f t="shared" si="46"/>
        <v>-11011463.819999954</v>
      </c>
      <c r="AD27" s="78">
        <f t="shared" si="46"/>
        <v>-13144862.343855187</v>
      </c>
      <c r="AE27" s="78">
        <f t="shared" si="46"/>
        <v>-13274080.391770041</v>
      </c>
      <c r="AF27" s="78">
        <f t="shared" ref="AF27" si="47">+AF24+AF25+AF26</f>
        <v>-12577551.73437486</v>
      </c>
      <c r="AG27" s="77">
        <f t="shared" si="46"/>
        <v>0</v>
      </c>
      <c r="AH27" s="77">
        <f t="shared" si="46"/>
        <v>0</v>
      </c>
      <c r="AI27" s="77">
        <f t="shared" si="46"/>
        <v>0</v>
      </c>
      <c r="AJ27" s="77">
        <f t="shared" si="46"/>
        <v>0</v>
      </c>
      <c r="AK27" s="77">
        <f t="shared" si="46"/>
        <v>0</v>
      </c>
      <c r="AL27" s="77">
        <f t="shared" si="46"/>
        <v>0</v>
      </c>
      <c r="AM27" s="77">
        <f t="shared" si="46"/>
        <v>0</v>
      </c>
      <c r="AN27" s="77">
        <f t="shared" si="46"/>
        <v>0</v>
      </c>
      <c r="AO27" s="233"/>
      <c r="AP27" s="77">
        <f t="shared" ref="AP27:AS27" si="48">+AP24+AP25+AP26</f>
        <v>-17937902.211936478</v>
      </c>
      <c r="AQ27" s="77">
        <f t="shared" si="48"/>
        <v>-17201650.978063453</v>
      </c>
      <c r="AR27" s="77">
        <f t="shared" si="48"/>
        <v>-17928749.440000072</v>
      </c>
      <c r="AS27" s="77">
        <f t="shared" si="48"/>
        <v>-23050192.549999941</v>
      </c>
      <c r="AT27" s="77">
        <f t="shared" ref="AT27:AW27" si="49">+AT24+AT25+AT26</f>
        <v>-37430406.555625178</v>
      </c>
      <c r="AU27" s="77">
        <f t="shared" si="49"/>
        <v>-12577551.73437486</v>
      </c>
      <c r="AV27" s="77">
        <f t="shared" si="49"/>
        <v>0</v>
      </c>
      <c r="AW27" s="77">
        <f t="shared" si="49"/>
        <v>0</v>
      </c>
      <c r="AX27" s="68"/>
      <c r="AY27" s="77">
        <f t="shared" si="2"/>
        <v>-76118495.179999948</v>
      </c>
      <c r="AZ27" s="77">
        <f t="shared" si="3"/>
        <v>-50007958.290000044</v>
      </c>
      <c r="BA27" s="68"/>
      <c r="BB27" s="77">
        <f>+BB24+BB25+BB26</f>
        <v>-76118495.179999977</v>
      </c>
      <c r="BC27" s="517">
        <f>+BC24+BC25+BC26</f>
        <v>-50007958.290000044</v>
      </c>
    </row>
    <row r="28" spans="1:55" s="47" customFormat="1" collapsed="1" x14ac:dyDescent="0.45">
      <c r="A28" s="258"/>
      <c r="D28" s="189"/>
      <c r="E28" s="189"/>
      <c r="F28" s="189"/>
      <c r="G28" s="189"/>
      <c r="H28" s="189"/>
      <c r="I28" s="189"/>
      <c r="J28" s="189"/>
      <c r="K28" s="189"/>
      <c r="L28" s="189"/>
      <c r="M28" s="189"/>
      <c r="N28" s="189"/>
      <c r="O28" s="189"/>
      <c r="P28" s="189"/>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BB28" s="266"/>
      <c r="BC28" s="553"/>
    </row>
    <row r="29" spans="1:55" x14ac:dyDescent="0.45">
      <c r="A29" s="258"/>
      <c r="B29" s="55" t="s">
        <v>54</v>
      </c>
      <c r="C29" s="55"/>
      <c r="D29" s="182"/>
      <c r="E29" s="182"/>
      <c r="F29" s="182"/>
      <c r="G29" s="182"/>
      <c r="H29" s="182"/>
      <c r="I29" s="182"/>
      <c r="J29" s="182"/>
      <c r="K29" s="182"/>
      <c r="L29" s="182"/>
      <c r="M29" s="182"/>
      <c r="N29" s="182"/>
      <c r="O29" s="182"/>
      <c r="P29" s="182"/>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P29" s="54"/>
      <c r="AQ29" s="54"/>
      <c r="AR29" s="54"/>
      <c r="AS29" s="54"/>
      <c r="AT29" s="54"/>
      <c r="AU29" s="54"/>
      <c r="AV29" s="54"/>
      <c r="AW29" s="54"/>
      <c r="AY29" s="54"/>
      <c r="AZ29" s="54"/>
      <c r="BB29" s="54"/>
      <c r="BC29" s="54"/>
    </row>
    <row r="30" spans="1:55" hidden="1" outlineLevel="1" x14ac:dyDescent="0.45">
      <c r="A30" s="258"/>
      <c r="B30" s="76"/>
      <c r="C30" s="76"/>
      <c r="D30" s="185"/>
      <c r="E30" s="185"/>
      <c r="F30" s="185"/>
      <c r="G30" s="185"/>
      <c r="H30" s="185"/>
      <c r="I30" s="185"/>
      <c r="J30" s="185"/>
      <c r="K30" s="185"/>
      <c r="L30" s="185"/>
      <c r="M30" s="185"/>
      <c r="N30" s="185"/>
      <c r="O30" s="185"/>
      <c r="P30" s="185"/>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P30" s="71"/>
      <c r="AQ30" s="71"/>
      <c r="AR30" s="71"/>
      <c r="AS30" s="71"/>
      <c r="AT30" s="71"/>
      <c r="AU30" s="71"/>
      <c r="AV30" s="71"/>
      <c r="AW30" s="71"/>
      <c r="AY30" s="71"/>
      <c r="AZ30" s="71"/>
      <c r="BB30" s="71"/>
      <c r="BC30" s="71"/>
    </row>
    <row r="31" spans="1:55" hidden="1" outlineLevel="2" x14ac:dyDescent="0.45">
      <c r="A31" s="258"/>
      <c r="B31" s="72" t="s">
        <v>370</v>
      </c>
      <c r="C31" s="72"/>
      <c r="D31" s="186"/>
      <c r="E31" s="186"/>
      <c r="F31" s="186"/>
      <c r="G31" s="186"/>
      <c r="H31" s="186"/>
      <c r="I31" s="186"/>
      <c r="J31" s="186"/>
      <c r="K31" s="186"/>
      <c r="L31" s="186"/>
      <c r="M31" s="186"/>
      <c r="N31" s="186"/>
      <c r="O31" s="186"/>
      <c r="P31" s="186"/>
      <c r="Q31" s="73">
        <f>SUMIFS('Data BASE'!R$13:R$485,'Data BASE'!$J$13:$J$485,$B31,'Data BASE'!$H$13:$H$485,"BS")</f>
        <v>1867303.87</v>
      </c>
      <c r="R31" s="73">
        <f>SUMIFS('Data BASE'!S$13:S$485,'Data BASE'!$J$13:$J$485,$B31,'Data BASE'!$H$13:$H$485,"BS")</f>
        <v>536815.35</v>
      </c>
      <c r="S31" s="73">
        <f>SUMIFS('Data BASE'!T$13:T$485,'Data BASE'!$J$13:$J$485,$B31,'Data BASE'!$H$13:$H$485,"BS")</f>
        <v>19398132.590000004</v>
      </c>
      <c r="T31" s="73">
        <f>SUMIFS('Data BASE'!U$13:U$485,'Data BASE'!$J$13:$J$485,$B31,'Data BASE'!$H$13:$H$485,"BS")</f>
        <v>2129239.5200000033</v>
      </c>
      <c r="U31" s="73">
        <f>SUMIFS('Data BASE'!V$13:V$485,'Data BASE'!$J$13:$J$485,$B31,'Data BASE'!$H$13:$H$485,"BS")</f>
        <v>29326004.339999996</v>
      </c>
      <c r="V31" s="73">
        <f>SUMIFS('Data BASE'!W$13:W$485,'Data BASE'!$J$13:$J$485,$B31,'Data BASE'!$H$13:$H$485,"BS")</f>
        <v>110883517.16000003</v>
      </c>
      <c r="W31" s="73">
        <f>SUMIFS('Data BASE'!X$13:X$485,'Data BASE'!$J$13:$J$485,$B31,'Data BASE'!$H$13:$H$485,"BS")</f>
        <v>35991350.510000005</v>
      </c>
      <c r="X31" s="73">
        <f>SUMIFS('Data BASE'!Y$13:Y$485,'Data BASE'!$J$13:$J$485,$B31,'Data BASE'!$H$13:$H$485,"BS")</f>
        <v>19174289.91</v>
      </c>
      <c r="Y31" s="73">
        <f>SUMIFS('Data BASE'!Z$13:Z$485,'Data BASE'!$J$13:$J$485,$B31,'Data BASE'!$H$13:$H$485,"BS")</f>
        <v>13901618.660000008</v>
      </c>
      <c r="Z31" s="73">
        <f>SUMIFS('Data BASE'!AA$13:AA$485,'Data BASE'!$J$13:$J$485,$B31,'Data BASE'!$H$13:$H$485,"BS")</f>
        <v>6289436.3300000001</v>
      </c>
      <c r="AA31" s="73">
        <f>SUMIFS('Data BASE'!AB$13:AB$485,'Data BASE'!$J$13:$J$485,$B31,'Data BASE'!$H$13:$H$485,"BS")</f>
        <v>7900839.8899999997</v>
      </c>
      <c r="AB31" s="73">
        <f>SUMIFS('Data BASE'!AC$13:AC$485,'Data BASE'!$J$13:$J$485,$B31,'Data BASE'!$H$13:$H$485,"BS")</f>
        <v>22315898.780000001</v>
      </c>
      <c r="AC31" s="73">
        <f>SUMIFS('Data BASE'!AD$13:AD$485,'Data BASE'!$J$13:$J$485,$B31,'Data BASE'!$H$13:$H$485,"BS")</f>
        <v>5793776.6500000004</v>
      </c>
      <c r="AD31" s="73">
        <f>SUMIFS('Data BASE'!AE$13:AE$485,'Data BASE'!$J$13:$J$485,$B31,'Data BASE'!$H$13:$H$485,"BS")</f>
        <v>9231742.629999999</v>
      </c>
      <c r="AE31" s="73">
        <f>SUMIFS('Data BASE'!AF$13:AF$485,'Data BASE'!$J$13:$J$485,$B31,'Data BASE'!$H$13:$H$485,"BS")</f>
        <v>7251674.2400000002</v>
      </c>
      <c r="AF31" s="73">
        <f>SUMIFS('Data BASE'!AG$13:AG$485,'Data BASE'!$J$13:$J$485,$B31,'Data BASE'!$H$13:$H$485,"BS")</f>
        <v>10928275.83</v>
      </c>
      <c r="AG31" s="73"/>
      <c r="AH31" s="73"/>
      <c r="AI31" s="73"/>
      <c r="AJ31" s="73"/>
      <c r="AK31" s="73"/>
      <c r="AL31" s="73"/>
      <c r="AM31" s="73"/>
      <c r="AN31" s="73"/>
      <c r="AP31" s="73" cm="1">
        <f t="array" ref="AP31">LOOKUP(2,1/(($Q$9:$AN$9=AP$9)*($Q$8:$AN$8=AP$8)),$Q31:$AN31)</f>
        <v>19398132.590000004</v>
      </c>
      <c r="AQ31" s="73" cm="1">
        <f t="array" ref="AQ31">LOOKUP(2,1/(($Q$9:$AN$9=AQ$9)*($Q$8:$AN$8=AQ$8)),$Q31:$AN31)</f>
        <v>110883517.16000003</v>
      </c>
      <c r="AR31" s="73" cm="1">
        <f t="array" ref="AR31">LOOKUP(2,1/(($Q$9:$AN$9=AR$9)*($Q$8:$AN$8=AR$8)),$Q31:$AN31)</f>
        <v>13901618.660000008</v>
      </c>
      <c r="AS31" s="73" cm="1">
        <f t="array" ref="AS31">LOOKUP(2,1/(($Q$9:$AN$9=AS$9)*($Q$8:$AN$8=AS$8)),$Q31:$AN31)</f>
        <v>22315898.780000001</v>
      </c>
      <c r="AT31" s="73" cm="1">
        <f t="array" ref="AT31">LOOKUP(2,1/(($Q$9:$AN$9=AT$9)*($Q$8:$AN$8=AT$8)),$Q31:$AN31)</f>
        <v>7251674.2400000002</v>
      </c>
      <c r="AU31" s="73" cm="1">
        <f t="array" ref="AU31">LOOKUP(2,1/(($Q$9:$AN$9=AU$9)*($Q$8:$AN$8=AU$8)),$Q31:$AN31)</f>
        <v>0</v>
      </c>
      <c r="AV31" s="73" cm="1">
        <f t="array" ref="AV31">LOOKUP(2,1/(($Q$9:$AN$9=AV$9)*($Q$8:$AN$8=AV$8)),$Q31:$AN31)</f>
        <v>0</v>
      </c>
      <c r="AW31" s="73" cm="1">
        <f t="array" ref="AW31">LOOKUP(2,1/(($Q$9:$AN$9=AW$9)*($Q$8:$AN$8=AW$8)),$Q31:$AN31)</f>
        <v>0</v>
      </c>
      <c r="AY31" s="73" cm="1">
        <f t="array" ref="AY31">LOOKUP(2,1/(($AP$8:$AW$8=AY$8)*ISNUMBER($AP31:$AW31)),$AP31:$AW31)</f>
        <v>22315898.780000001</v>
      </c>
      <c r="AZ31" s="73" cm="1">
        <f t="array" ref="AZ31">LOOKUP(2,1/(($Q$8:$AN$8=AZ$8)*($Q$10:$AN$10="Actuals")*ISNUMBER($Q31:$AN31)),$Q31:$AN31)</f>
        <v>10928275.83</v>
      </c>
      <c r="BB31" s="73" cm="1">
        <f t="array" ref="BB31">LOOKUP(2,1/(($Q$8:$AN$8=BB$8)*($Q$10:$AN$10="Actuals")*ISNUMBER($Q31:$AN31)),$Q31:$AN31)</f>
        <v>2129239.5200000033</v>
      </c>
      <c r="BC31" s="73" cm="1">
        <f t="array" ref="BC31">LOOKUP(2,1/(($Q$8:$AN$8=BC$8)*($Q$10:$AN$10="Actuals")*ISNUMBER($Q31:$AN31)),$Q31:$AN31)</f>
        <v>10928275.83</v>
      </c>
    </row>
    <row r="32" spans="1:55" hidden="1" outlineLevel="2" x14ac:dyDescent="0.45">
      <c r="A32" s="258"/>
      <c r="B32" s="72" t="s">
        <v>393</v>
      </c>
      <c r="C32" s="72"/>
      <c r="D32" s="186"/>
      <c r="E32" s="186"/>
      <c r="F32" s="186"/>
      <c r="G32" s="186"/>
      <c r="H32" s="186"/>
      <c r="I32" s="186"/>
      <c r="J32" s="186"/>
      <c r="K32" s="186"/>
      <c r="L32" s="186"/>
      <c r="M32" s="186"/>
      <c r="N32" s="186"/>
      <c r="O32" s="186"/>
      <c r="P32" s="186"/>
      <c r="Q32" s="73">
        <f>SUMIFS('Data BASE'!R$13:R$485,'Data BASE'!$J$13:$J$485,$B32,'Data BASE'!$H$13:$H$485,"BS")</f>
        <v>158931381.49000001</v>
      </c>
      <c r="R32" s="73">
        <f>SUMIFS('Data BASE'!S$13:S$485,'Data BASE'!$J$13:$J$485,$B32,'Data BASE'!$H$13:$H$485,"BS")</f>
        <v>160473745.43999997</v>
      </c>
      <c r="S32" s="73">
        <f>SUMIFS('Data BASE'!T$13:T$485,'Data BASE'!$J$13:$J$485,$B32,'Data BASE'!$H$13:$H$485,"BS")</f>
        <v>186618309.24999997</v>
      </c>
      <c r="T32" s="73">
        <f>SUMIFS('Data BASE'!U$13:U$485,'Data BASE'!$J$13:$J$485,$B32,'Data BASE'!$H$13:$H$485,"BS")</f>
        <v>241405723.50999996</v>
      </c>
      <c r="U32" s="73">
        <f>SUMIFS('Data BASE'!V$13:V$485,'Data BASE'!$J$13:$J$485,$B32,'Data BASE'!$H$13:$H$485,"BS")</f>
        <v>241323028.27999997</v>
      </c>
      <c r="V32" s="73">
        <f>SUMIFS('Data BASE'!W$13:W$485,'Data BASE'!$J$13:$J$485,$B32,'Data BASE'!$H$13:$H$485,"BS")</f>
        <v>239356049.04000002</v>
      </c>
      <c r="W32" s="73">
        <f>SUMIFS('Data BASE'!X$13:X$485,'Data BASE'!$J$13:$J$485,$B32,'Data BASE'!$H$13:$H$485,"BS")</f>
        <v>247380177.5</v>
      </c>
      <c r="X32" s="73">
        <f>SUMIFS('Data BASE'!Y$13:Y$485,'Data BASE'!$J$13:$J$485,$B32,'Data BASE'!$H$13:$H$485,"BS")</f>
        <v>246391486.50999999</v>
      </c>
      <c r="Y32" s="73">
        <f>SUMIFS('Data BASE'!Z$13:Z$485,'Data BASE'!$J$13:$J$485,$B32,'Data BASE'!$H$13:$H$485,"BS")</f>
        <v>246340297.72999999</v>
      </c>
      <c r="Z32" s="73">
        <f>SUMIFS('Data BASE'!AA$13:AA$485,'Data BASE'!$J$13:$J$485,$B32,'Data BASE'!$H$13:$H$485,"BS")</f>
        <v>271950257.78999996</v>
      </c>
      <c r="AA32" s="73">
        <f>SUMIFS('Data BASE'!AB$13:AB$485,'Data BASE'!$J$13:$J$485,$B32,'Data BASE'!$H$13:$H$485,"BS")</f>
        <v>293432536.69000006</v>
      </c>
      <c r="AB32" s="73">
        <f>SUMIFS('Data BASE'!AC$13:AC$485,'Data BASE'!$J$13:$J$485,$B32,'Data BASE'!$H$13:$H$485,"BS")</f>
        <v>544487806.44999981</v>
      </c>
      <c r="AC32" s="73">
        <f>SUMIFS('Data BASE'!AD$13:AD$485,'Data BASE'!$J$13:$J$485,$B32,'Data BASE'!$H$13:$H$485,"BS")</f>
        <v>550470283.89999998</v>
      </c>
      <c r="AD32" s="73">
        <f>SUMIFS('Data BASE'!AE$13:AE$485,'Data BASE'!$J$13:$J$485,$B32,'Data BASE'!$H$13:$H$485,"BS")</f>
        <v>546546585.53999996</v>
      </c>
      <c r="AE32" s="73">
        <f>SUMIFS('Data BASE'!AF$13:AF$485,'Data BASE'!$J$13:$J$485,$B32,'Data BASE'!$H$13:$H$485,"BS")</f>
        <v>649990467.60000002</v>
      </c>
      <c r="AF32" s="73">
        <f>SUMIFS('Data BASE'!AG$13:AG$485,'Data BASE'!$J$13:$J$485,$B32,'Data BASE'!$H$13:$H$485,"BS")</f>
        <v>722578361.23000014</v>
      </c>
      <c r="AG32" s="73"/>
      <c r="AH32" s="73"/>
      <c r="AI32" s="73"/>
      <c r="AJ32" s="73"/>
      <c r="AK32" s="73"/>
      <c r="AL32" s="73"/>
      <c r="AM32" s="73"/>
      <c r="AN32" s="73"/>
      <c r="AP32" s="73" cm="1">
        <f t="array" ref="AP32">LOOKUP(2,1/(($Q$9:$AN$9=AP$9)*($Q$8:$AN$8=AP$8)),$Q32:$AN32)</f>
        <v>186618309.24999997</v>
      </c>
      <c r="AQ32" s="73" cm="1">
        <f t="array" ref="AQ32">LOOKUP(2,1/(($Q$9:$AN$9=AQ$9)*($Q$8:$AN$8=AQ$8)),$Q32:$AN32)</f>
        <v>239356049.04000002</v>
      </c>
      <c r="AR32" s="73" cm="1">
        <f t="array" ref="AR32">LOOKUP(2,1/(($Q$9:$AN$9=AR$9)*($Q$8:$AN$8=AR$8)),$Q32:$AN32)</f>
        <v>246340297.72999999</v>
      </c>
      <c r="AS32" s="73" cm="1">
        <f t="array" ref="AS32">LOOKUP(2,1/(($Q$9:$AN$9=AS$9)*($Q$8:$AN$8=AS$8)),$Q32:$AN32)</f>
        <v>544487806.44999981</v>
      </c>
      <c r="AT32" s="73" cm="1">
        <f t="array" ref="AT32">LOOKUP(2,1/(($Q$9:$AN$9=AT$9)*($Q$8:$AN$8=AT$8)),$Q32:$AN32)</f>
        <v>649990467.60000002</v>
      </c>
      <c r="AU32" s="73" cm="1">
        <f t="array" ref="AU32">LOOKUP(2,1/(($Q$9:$AN$9=AU$9)*($Q$8:$AN$8=AU$8)),$Q32:$AN32)</f>
        <v>0</v>
      </c>
      <c r="AV32" s="73" cm="1">
        <f t="array" ref="AV32">LOOKUP(2,1/(($Q$9:$AN$9=AV$9)*($Q$8:$AN$8=AV$8)),$Q32:$AN32)</f>
        <v>0</v>
      </c>
      <c r="AW32" s="73" cm="1">
        <f t="array" ref="AW32">LOOKUP(2,1/(($Q$9:$AN$9=AW$9)*($Q$8:$AN$8=AW$8)),$Q32:$AN32)</f>
        <v>0</v>
      </c>
      <c r="AY32" s="73" cm="1">
        <f t="array" ref="AY32">LOOKUP(2,1/(($AP$8:$AW$8=AY$8)*ISNUMBER($AP32:$AW32)),$AP32:$AW32)</f>
        <v>544487806.44999981</v>
      </c>
      <c r="AZ32" s="73" cm="1">
        <f t="array" ref="AZ32">LOOKUP(2,1/(($Q$8:$AN$8=AZ$8)*($Q$10:$AN$10="Actuals")*ISNUMBER($Q32:$AN32)),$Q32:$AN32)</f>
        <v>722578361.23000014</v>
      </c>
      <c r="BB32" s="73" cm="1">
        <f t="array" ref="BB32">LOOKUP(2,1/(($Q$8:$AN$8=BB$8)*($Q$10:$AN$10="Actuals")*ISNUMBER($Q32:$AN32)),$Q32:$AN32)</f>
        <v>241405723.50999996</v>
      </c>
      <c r="BC32" s="73" cm="1">
        <f t="array" ref="BC32">LOOKUP(2,1/(($Q$8:$AN$8=BC$8)*($Q$10:$AN$10="Actuals")*ISNUMBER($Q32:$AN32)),$Q32:$AN32)</f>
        <v>722578361.23000014</v>
      </c>
    </row>
    <row r="33" spans="1:55" hidden="1" outlineLevel="2" x14ac:dyDescent="0.45">
      <c r="A33" s="258"/>
      <c r="B33" s="72" t="s">
        <v>113</v>
      </c>
      <c r="C33" s="72"/>
      <c r="D33" s="186"/>
      <c r="E33" s="186"/>
      <c r="F33" s="186"/>
      <c r="G33" s="186"/>
      <c r="H33" s="186"/>
      <c r="I33" s="186"/>
      <c r="J33" s="186"/>
      <c r="K33" s="186"/>
      <c r="L33" s="186"/>
      <c r="M33" s="186"/>
      <c r="N33" s="186"/>
      <c r="O33" s="186"/>
      <c r="P33" s="186"/>
      <c r="Q33" s="73">
        <f>SUMIFS('Data BASE'!R$13:R$485,'Data BASE'!$J$13:$J$485,$B33,'Data BASE'!$H$13:$H$485,"BS")</f>
        <v>0</v>
      </c>
      <c r="R33" s="73">
        <f>SUMIFS('Data BASE'!S$13:S$485,'Data BASE'!$J$13:$J$485,$B33,'Data BASE'!$H$13:$H$485,"BS")</f>
        <v>0</v>
      </c>
      <c r="S33" s="73">
        <f>SUMIFS('Data BASE'!T$13:T$485,'Data BASE'!$J$13:$J$485,$B33,'Data BASE'!$H$13:$H$485,"BS")</f>
        <v>0</v>
      </c>
      <c r="T33" s="73">
        <f>SUMIFS('Data BASE'!U$13:U$485,'Data BASE'!$J$13:$J$485,$B33,'Data BASE'!$H$13:$H$485,"BS")</f>
        <v>0</v>
      </c>
      <c r="U33" s="73">
        <f>SUMIFS('Data BASE'!V$13:V$485,'Data BASE'!$J$13:$J$485,$B33,'Data BASE'!$H$13:$H$485,"BS")</f>
        <v>0</v>
      </c>
      <c r="V33" s="73">
        <f>SUMIFS('Data BASE'!W$13:W$485,'Data BASE'!$J$13:$J$485,$B33,'Data BASE'!$H$13:$H$485,"BS")</f>
        <v>0</v>
      </c>
      <c r="W33" s="73">
        <f>SUMIFS('Data BASE'!X$13:X$485,'Data BASE'!$J$13:$J$485,$B33,'Data BASE'!$H$13:$H$485,"BS")</f>
        <v>0</v>
      </c>
      <c r="X33" s="73">
        <f>SUMIFS('Data BASE'!Y$13:Y$485,'Data BASE'!$J$13:$J$485,$B33,'Data BASE'!$H$13:$H$485,"BS")</f>
        <v>0</v>
      </c>
      <c r="Y33" s="73">
        <f>SUMIFS('Data BASE'!Z$13:Z$485,'Data BASE'!$J$13:$J$485,$B33,'Data BASE'!$H$13:$H$485,"BS")</f>
        <v>0</v>
      </c>
      <c r="Z33" s="73">
        <f>SUMIFS('Data BASE'!AA$13:AA$485,'Data BASE'!$J$13:$J$485,$B33,'Data BASE'!$H$13:$H$485,"BS")</f>
        <v>0</v>
      </c>
      <c r="AA33" s="73">
        <f>SUMIFS('Data BASE'!AB$13:AB$485,'Data BASE'!$J$13:$J$485,$B33,'Data BASE'!$H$13:$H$485,"BS")</f>
        <v>0</v>
      </c>
      <c r="AB33" s="73">
        <f>SUMIFS('Data BASE'!AC$13:AC$485,'Data BASE'!$J$13:$J$485,$B33,'Data BASE'!$H$13:$H$485,"BS")</f>
        <v>0</v>
      </c>
      <c r="AC33" s="73">
        <f>SUMIFS('Data BASE'!AD$13:AD$485,'Data BASE'!$J$13:$J$485,$B33,'Data BASE'!$H$13:$H$485,"BS")</f>
        <v>0</v>
      </c>
      <c r="AD33" s="73">
        <f>SUMIFS('Data BASE'!AE$13:AE$485,'Data BASE'!$J$13:$J$485,$B33,'Data BASE'!$H$13:$H$485,"BS")</f>
        <v>0</v>
      </c>
      <c r="AE33" s="73">
        <f>SUMIFS('Data BASE'!AF$13:AF$485,'Data BASE'!$J$13:$J$485,$B33,'Data BASE'!$H$13:$H$485,"BS")</f>
        <v>0</v>
      </c>
      <c r="AF33" s="73">
        <f>SUMIFS('Data BASE'!AG$13:AG$485,'Data BASE'!$J$13:$J$485,$B33,'Data BASE'!$H$13:$H$485,"BS")</f>
        <v>0</v>
      </c>
      <c r="AG33" s="73"/>
      <c r="AH33" s="73"/>
      <c r="AI33" s="73"/>
      <c r="AJ33" s="73"/>
      <c r="AK33" s="73"/>
      <c r="AL33" s="73"/>
      <c r="AM33" s="73"/>
      <c r="AN33" s="73"/>
      <c r="AP33" s="73" cm="1">
        <f t="array" ref="AP33">LOOKUP(2,1/(($Q$9:$AN$9=AP$9)*($Q$8:$AN$8=AP$8)),$Q33:$AN33)</f>
        <v>0</v>
      </c>
      <c r="AQ33" s="73" cm="1">
        <f t="array" ref="AQ33">LOOKUP(2,1/(($Q$9:$AN$9=AQ$9)*($Q$8:$AN$8=AQ$8)),$Q33:$AN33)</f>
        <v>0</v>
      </c>
      <c r="AR33" s="73" cm="1">
        <f t="array" ref="AR33">LOOKUP(2,1/(($Q$9:$AN$9=AR$9)*($Q$8:$AN$8=AR$8)),$Q33:$AN33)</f>
        <v>0</v>
      </c>
      <c r="AS33" s="73" cm="1">
        <f t="array" ref="AS33">LOOKUP(2,1/(($Q$9:$AN$9=AS$9)*($Q$8:$AN$8=AS$8)),$Q33:$AN33)</f>
        <v>0</v>
      </c>
      <c r="AT33" s="73" cm="1">
        <f t="array" ref="AT33">LOOKUP(2,1/(($Q$9:$AN$9=AT$9)*($Q$8:$AN$8=AT$8)),$Q33:$AN33)</f>
        <v>0</v>
      </c>
      <c r="AU33" s="73" cm="1">
        <f t="array" ref="AU33">LOOKUP(2,1/(($Q$9:$AN$9=AU$9)*($Q$8:$AN$8=AU$8)),$Q33:$AN33)</f>
        <v>0</v>
      </c>
      <c r="AV33" s="73" cm="1">
        <f t="array" ref="AV33">LOOKUP(2,1/(($Q$9:$AN$9=AV$9)*($Q$8:$AN$8=AV$8)),$Q33:$AN33)</f>
        <v>0</v>
      </c>
      <c r="AW33" s="73" cm="1">
        <f t="array" ref="AW33">LOOKUP(2,1/(($Q$9:$AN$9=AW$9)*($Q$8:$AN$8=AW$8)),$Q33:$AN33)</f>
        <v>0</v>
      </c>
      <c r="AY33" s="73" cm="1">
        <f t="array" ref="AY33">LOOKUP(2,1/(($AP$8:$AW$8=AY$8)*ISNUMBER($AP33:$AW33)),$AP33:$AW33)</f>
        <v>0</v>
      </c>
      <c r="AZ33" s="73" cm="1">
        <f t="array" ref="AZ33">LOOKUP(2,1/(($Q$8:$AN$8=AZ$8)*($Q$10:$AN$10="Actuals")*ISNUMBER($Q33:$AN33)),$Q33:$AN33)</f>
        <v>0</v>
      </c>
      <c r="BB33" s="73" cm="1">
        <f t="array" ref="BB33">LOOKUP(2,1/(($Q$8:$AN$8=BB$8)*($Q$10:$AN$10="Actuals")*ISNUMBER($Q33:$AN33)),$Q33:$AN33)</f>
        <v>0</v>
      </c>
      <c r="BC33" s="73" cm="1">
        <f t="array" ref="BC33">LOOKUP(2,1/(($Q$8:$AN$8=BC$8)*($Q$10:$AN$10="Actuals")*ISNUMBER($Q33:$AN33)),$Q33:$AN33)</f>
        <v>0</v>
      </c>
    </row>
    <row r="34" spans="1:55" hidden="1" outlineLevel="2" x14ac:dyDescent="0.45">
      <c r="A34" s="258"/>
      <c r="B34" s="72" t="s">
        <v>379</v>
      </c>
      <c r="C34" s="72"/>
      <c r="D34" s="186"/>
      <c r="E34" s="186"/>
      <c r="F34" s="186"/>
      <c r="G34" s="186"/>
      <c r="H34" s="186"/>
      <c r="I34" s="186"/>
      <c r="J34" s="186"/>
      <c r="K34" s="186"/>
      <c r="L34" s="186"/>
      <c r="M34" s="186"/>
      <c r="N34" s="186"/>
      <c r="O34" s="186"/>
      <c r="P34" s="186"/>
      <c r="Q34" s="73">
        <f>SUMIFS('Data BASE'!R$13:R$485,'Data BASE'!$J$13:$J$485,$B34,'Data BASE'!$H$13:$H$485,"BS")</f>
        <v>36693732.450000003</v>
      </c>
      <c r="R34" s="73">
        <f>SUMIFS('Data BASE'!S$13:S$485,'Data BASE'!$J$13:$J$485,$B34,'Data BASE'!$H$13:$H$485,"BS")</f>
        <v>32362708.440000001</v>
      </c>
      <c r="S34" s="73">
        <f>SUMIFS('Data BASE'!T$13:T$485,'Data BASE'!$J$13:$J$485,$B34,'Data BASE'!$H$13:$H$485,"BS")</f>
        <v>36411055.970000006</v>
      </c>
      <c r="T34" s="73">
        <f>SUMIFS('Data BASE'!U$13:U$485,'Data BASE'!$J$13:$J$485,$B34,'Data BASE'!$H$13:$H$485,"BS")</f>
        <v>35430028.870000005</v>
      </c>
      <c r="U34" s="73">
        <f>SUMIFS('Data BASE'!V$13:V$485,'Data BASE'!$J$13:$J$485,$B34,'Data BASE'!$H$13:$H$485,"BS")</f>
        <v>46999114.059999995</v>
      </c>
      <c r="V34" s="73">
        <f>SUMIFS('Data BASE'!W$13:W$485,'Data BASE'!$J$13:$J$485,$B34,'Data BASE'!$H$13:$H$485,"BS")</f>
        <v>53874678.390000001</v>
      </c>
      <c r="W34" s="73">
        <f>SUMIFS('Data BASE'!X$13:X$485,'Data BASE'!$J$13:$J$485,$B34,'Data BASE'!$H$13:$H$485,"BS")</f>
        <v>54221366.539999999</v>
      </c>
      <c r="X34" s="73">
        <f>SUMIFS('Data BASE'!Y$13:Y$485,'Data BASE'!$J$13:$J$485,$B34,'Data BASE'!$H$13:$H$485,"BS")</f>
        <v>57764403.410000011</v>
      </c>
      <c r="Y34" s="73">
        <f>SUMIFS('Data BASE'!Z$13:Z$485,'Data BASE'!$J$13:$J$485,$B34,'Data BASE'!$H$13:$H$485,"BS")</f>
        <v>62767663.24000001</v>
      </c>
      <c r="Z34" s="73">
        <f>SUMIFS('Data BASE'!AA$13:AA$485,'Data BASE'!$J$13:$J$485,$B34,'Data BASE'!$H$13:$H$485,"BS")</f>
        <v>66293544.830000013</v>
      </c>
      <c r="AA34" s="73">
        <f>SUMIFS('Data BASE'!AB$13:AB$485,'Data BASE'!$J$13:$J$485,$B34,'Data BASE'!$H$13:$H$485,"BS")</f>
        <v>71925606.24000001</v>
      </c>
      <c r="AB34" s="73">
        <f>SUMIFS('Data BASE'!AC$13:AC$485,'Data BASE'!$J$13:$J$485,$B34,'Data BASE'!$H$13:$H$485,"BS")</f>
        <v>91432106.399999991</v>
      </c>
      <c r="AC34" s="73">
        <f>SUMIFS('Data BASE'!AD$13:AD$485,'Data BASE'!$J$13:$J$485,$B34,'Data BASE'!$H$13:$H$485,"BS")</f>
        <v>83578415.599999994</v>
      </c>
      <c r="AD34" s="73">
        <f>SUMIFS('Data BASE'!AE$13:AE$485,'Data BASE'!$J$13:$J$485,$B34,'Data BASE'!$H$13:$H$485,"BS")</f>
        <v>85859075.390000015</v>
      </c>
      <c r="AE34" s="73">
        <f>SUMIFS('Data BASE'!AF$13:AF$485,'Data BASE'!$J$13:$J$485,$B34,'Data BASE'!$H$13:$H$485,"BS")</f>
        <v>102763906.57999998</v>
      </c>
      <c r="AF34" s="73">
        <f>SUMIFS('Data BASE'!AG$13:AG$485,'Data BASE'!$J$13:$J$485,$B34,'Data BASE'!$H$13:$H$485,"BS")</f>
        <v>108188896.05999997</v>
      </c>
      <c r="AG34" s="73"/>
      <c r="AH34" s="73"/>
      <c r="AI34" s="73"/>
      <c r="AJ34" s="73"/>
      <c r="AK34" s="73"/>
      <c r="AL34" s="73"/>
      <c r="AM34" s="73"/>
      <c r="AN34" s="73"/>
      <c r="AP34" s="73" cm="1">
        <f t="array" ref="AP34">LOOKUP(2,1/(($Q$9:$AN$9=AP$9)*($Q$8:$AN$8=AP$8)),$Q34:$AN34)</f>
        <v>36411055.970000006</v>
      </c>
      <c r="AQ34" s="73" cm="1">
        <f t="array" ref="AQ34">LOOKUP(2,1/(($Q$9:$AN$9=AQ$9)*($Q$8:$AN$8=AQ$8)),$Q34:$AN34)</f>
        <v>53874678.390000001</v>
      </c>
      <c r="AR34" s="73" cm="1">
        <f t="array" ref="AR34">LOOKUP(2,1/(($Q$9:$AN$9=AR$9)*($Q$8:$AN$8=AR$8)),$Q34:$AN34)</f>
        <v>62767663.24000001</v>
      </c>
      <c r="AS34" s="73" cm="1">
        <f t="array" ref="AS34">LOOKUP(2,1/(($Q$9:$AN$9=AS$9)*($Q$8:$AN$8=AS$8)),$Q34:$AN34)</f>
        <v>91432106.399999991</v>
      </c>
      <c r="AT34" s="73" cm="1">
        <f t="array" ref="AT34">LOOKUP(2,1/(($Q$9:$AN$9=AT$9)*($Q$8:$AN$8=AT$8)),$Q34:$AN34)</f>
        <v>102763906.57999998</v>
      </c>
      <c r="AU34" s="73" cm="1">
        <f t="array" ref="AU34">LOOKUP(2,1/(($Q$9:$AN$9=AU$9)*($Q$8:$AN$8=AU$8)),$Q34:$AN34)</f>
        <v>0</v>
      </c>
      <c r="AV34" s="73" cm="1">
        <f t="array" ref="AV34">LOOKUP(2,1/(($Q$9:$AN$9=AV$9)*($Q$8:$AN$8=AV$8)),$Q34:$AN34)</f>
        <v>0</v>
      </c>
      <c r="AW34" s="73" cm="1">
        <f t="array" ref="AW34">LOOKUP(2,1/(($Q$9:$AN$9=AW$9)*($Q$8:$AN$8=AW$8)),$Q34:$AN34)</f>
        <v>0</v>
      </c>
      <c r="AY34" s="73" cm="1">
        <f t="array" ref="AY34">LOOKUP(2,1/(($AP$8:$AW$8=AY$8)*ISNUMBER($AP34:$AW34)),$AP34:$AW34)</f>
        <v>91432106.399999991</v>
      </c>
      <c r="AZ34" s="73" cm="1">
        <f t="array" ref="AZ34">LOOKUP(2,1/(($Q$8:$AN$8=AZ$8)*($Q$10:$AN$10="Actuals")*ISNUMBER($Q34:$AN34)),$Q34:$AN34)</f>
        <v>108188896.05999997</v>
      </c>
      <c r="BB34" s="73" cm="1">
        <f t="array" ref="BB34">LOOKUP(2,1/(($Q$8:$AN$8=BB$8)*($Q$10:$AN$10="Actuals")*ISNUMBER($Q34:$AN34)),$Q34:$AN34)</f>
        <v>35430028.870000005</v>
      </c>
      <c r="BC34" s="73" cm="1">
        <f t="array" ref="BC34">LOOKUP(2,1/(($Q$8:$AN$8=BC$8)*($Q$10:$AN$10="Actuals")*ISNUMBER($Q34:$AN34)),$Q34:$AN34)</f>
        <v>108188896.05999997</v>
      </c>
    </row>
    <row r="35" spans="1:55" hidden="1" outlineLevel="2" x14ac:dyDescent="0.45">
      <c r="A35" s="258"/>
      <c r="B35" s="72" t="s">
        <v>56</v>
      </c>
      <c r="C35" s="72"/>
      <c r="D35" s="186"/>
      <c r="E35" s="186"/>
      <c r="F35" s="186"/>
      <c r="G35" s="186"/>
      <c r="H35" s="186"/>
      <c r="I35" s="186"/>
      <c r="J35" s="186"/>
      <c r="K35" s="186"/>
      <c r="L35" s="186"/>
      <c r="M35" s="186"/>
      <c r="N35" s="186"/>
      <c r="O35" s="186"/>
      <c r="P35" s="186"/>
      <c r="Q35" s="73">
        <f>SUMIFS('Data BASE'!R$13:R$485,'Data BASE'!$J$13:$J$485,$B35,'Data BASE'!$H$13:$H$485,"BS")</f>
        <v>11483222.950000001</v>
      </c>
      <c r="R35" s="73">
        <f>SUMIFS('Data BASE'!S$13:S$485,'Data BASE'!$J$13:$J$485,$B35,'Data BASE'!$H$13:$H$485,"BS")</f>
        <v>8807815.2800000012</v>
      </c>
      <c r="S35" s="73">
        <f>SUMIFS('Data BASE'!T$13:T$485,'Data BASE'!$J$13:$J$485,$B35,'Data BASE'!$H$13:$H$485,"BS")</f>
        <v>7741043.6499999994</v>
      </c>
      <c r="T35" s="73">
        <f>SUMIFS('Data BASE'!U$13:U$485,'Data BASE'!$J$13:$J$485,$B35,'Data BASE'!$H$13:$H$485,"BS")</f>
        <v>9629443.6400000006</v>
      </c>
      <c r="U35" s="73">
        <f>SUMIFS('Data BASE'!V$13:V$485,'Data BASE'!$J$13:$J$485,$B35,'Data BASE'!$H$13:$H$485,"BS")</f>
        <v>11401460.390000002</v>
      </c>
      <c r="V35" s="73">
        <f>SUMIFS('Data BASE'!W$13:W$485,'Data BASE'!$J$13:$J$485,$B35,'Data BASE'!$H$13:$H$485,"BS")</f>
        <v>11717132.810000001</v>
      </c>
      <c r="W35" s="73">
        <f>SUMIFS('Data BASE'!X$13:X$485,'Data BASE'!$J$13:$J$485,$B35,'Data BASE'!$H$13:$H$485,"BS")</f>
        <v>11957365.730000002</v>
      </c>
      <c r="X35" s="73">
        <f>SUMIFS('Data BASE'!Y$13:Y$485,'Data BASE'!$J$13:$J$485,$B35,'Data BASE'!$H$13:$H$485,"BS")</f>
        <v>11794542.33</v>
      </c>
      <c r="Y35" s="73">
        <f>SUMIFS('Data BASE'!Z$13:Z$485,'Data BASE'!$J$13:$J$485,$B35,'Data BASE'!$H$13:$H$485,"BS")</f>
        <v>8985601.5399999991</v>
      </c>
      <c r="Z35" s="73">
        <f>SUMIFS('Data BASE'!AA$13:AA$485,'Data BASE'!$J$13:$J$485,$B35,'Data BASE'!$H$13:$H$485,"BS")</f>
        <v>9099340.2999999989</v>
      </c>
      <c r="AA35" s="73">
        <f>SUMIFS('Data BASE'!AB$13:AB$485,'Data BASE'!$J$13:$J$485,$B35,'Data BASE'!$H$13:$H$485,"BS")</f>
        <v>8493100.2799999993</v>
      </c>
      <c r="AB35" s="73">
        <f>SUMIFS('Data BASE'!AC$13:AC$485,'Data BASE'!$J$13:$J$485,$B35,'Data BASE'!$H$13:$H$485,"BS")</f>
        <v>8056930.4000000004</v>
      </c>
      <c r="AC35" s="73">
        <f>SUMIFS('Data BASE'!AD$13:AD$485,'Data BASE'!$J$13:$J$485,$B35,'Data BASE'!$H$13:$H$485,"BS")</f>
        <v>8962777.5599999987</v>
      </c>
      <c r="AD35" s="73">
        <f>SUMIFS('Data BASE'!AE$13:AE$485,'Data BASE'!$J$13:$J$485,$B35,'Data BASE'!$H$13:$H$485,"BS")</f>
        <v>11862398.149999999</v>
      </c>
      <c r="AE35" s="73">
        <f>SUMIFS('Data BASE'!AF$13:AF$485,'Data BASE'!$J$13:$J$485,$B35,'Data BASE'!$H$13:$H$485,"BS")</f>
        <v>11954628.02</v>
      </c>
      <c r="AF35" s="73">
        <f>SUMIFS('Data BASE'!AG$13:AG$485,'Data BASE'!$J$13:$J$485,$B35,'Data BASE'!$H$13:$H$485,"BS")</f>
        <v>9521570.8800000027</v>
      </c>
      <c r="AG35" s="73"/>
      <c r="AH35" s="73"/>
      <c r="AI35" s="73"/>
      <c r="AJ35" s="73"/>
      <c r="AK35" s="73"/>
      <c r="AL35" s="73"/>
      <c r="AM35" s="73"/>
      <c r="AN35" s="73"/>
      <c r="AP35" s="73" cm="1">
        <f t="array" ref="AP35">LOOKUP(2,1/(($Q$9:$AN$9=AP$9)*($Q$8:$AN$8=AP$8)),$Q35:$AN35)</f>
        <v>7741043.6499999994</v>
      </c>
      <c r="AQ35" s="73" cm="1">
        <f t="array" ref="AQ35">LOOKUP(2,1/(($Q$9:$AN$9=AQ$9)*($Q$8:$AN$8=AQ$8)),$Q35:$AN35)</f>
        <v>11717132.810000001</v>
      </c>
      <c r="AR35" s="73" cm="1">
        <f t="array" ref="AR35">LOOKUP(2,1/(($Q$9:$AN$9=AR$9)*($Q$8:$AN$8=AR$8)),$Q35:$AN35)</f>
        <v>8985601.5399999991</v>
      </c>
      <c r="AS35" s="73" cm="1">
        <f t="array" ref="AS35">LOOKUP(2,1/(($Q$9:$AN$9=AS$9)*($Q$8:$AN$8=AS$8)),$Q35:$AN35)</f>
        <v>8056930.4000000004</v>
      </c>
      <c r="AT35" s="73" cm="1">
        <f t="array" ref="AT35">LOOKUP(2,1/(($Q$9:$AN$9=AT$9)*($Q$8:$AN$8=AT$8)),$Q35:$AN35)</f>
        <v>11954628.02</v>
      </c>
      <c r="AU35" s="73" cm="1">
        <f t="array" ref="AU35">LOOKUP(2,1/(($Q$9:$AN$9=AU$9)*($Q$8:$AN$8=AU$8)),$Q35:$AN35)</f>
        <v>0</v>
      </c>
      <c r="AV35" s="73" cm="1">
        <f t="array" ref="AV35">LOOKUP(2,1/(($Q$9:$AN$9=AV$9)*($Q$8:$AN$8=AV$8)),$Q35:$AN35)</f>
        <v>0</v>
      </c>
      <c r="AW35" s="73" cm="1">
        <f t="array" ref="AW35">LOOKUP(2,1/(($Q$9:$AN$9=AW$9)*($Q$8:$AN$8=AW$8)),$Q35:$AN35)</f>
        <v>0</v>
      </c>
      <c r="AY35" s="73" cm="1">
        <f t="array" ref="AY35">LOOKUP(2,1/(($AP$8:$AW$8=AY$8)*ISNUMBER($AP35:$AW35)),$AP35:$AW35)</f>
        <v>8056930.4000000004</v>
      </c>
      <c r="AZ35" s="73" cm="1">
        <f t="array" ref="AZ35">LOOKUP(2,1/(($Q$8:$AN$8=AZ$8)*($Q$10:$AN$10="Actuals")*ISNUMBER($Q35:$AN35)),$Q35:$AN35)</f>
        <v>9521570.8800000027</v>
      </c>
      <c r="BB35" s="73" cm="1">
        <f t="array" ref="BB35">LOOKUP(2,1/(($Q$8:$AN$8=BB$8)*($Q$10:$AN$10="Actuals")*ISNUMBER($Q35:$AN35)),$Q35:$AN35)</f>
        <v>9629443.6400000006</v>
      </c>
      <c r="BC35" s="73" cm="1">
        <f t="array" ref="BC35">LOOKUP(2,1/(($Q$8:$AN$8=BC$8)*($Q$10:$AN$10="Actuals")*ISNUMBER($Q35:$AN35)),$Q35:$AN35)</f>
        <v>9521570.8800000027</v>
      </c>
    </row>
    <row r="36" spans="1:55" hidden="1" outlineLevel="2" x14ac:dyDescent="0.45">
      <c r="A36" s="258"/>
      <c r="B36" s="72" t="s">
        <v>383</v>
      </c>
      <c r="C36" s="72"/>
      <c r="D36" s="186"/>
      <c r="E36" s="186"/>
      <c r="F36" s="186"/>
      <c r="G36" s="186"/>
      <c r="H36" s="186"/>
      <c r="I36" s="186"/>
      <c r="J36" s="186"/>
      <c r="K36" s="186"/>
      <c r="L36" s="186"/>
      <c r="M36" s="186"/>
      <c r="N36" s="186"/>
      <c r="O36" s="186"/>
      <c r="P36" s="186"/>
      <c r="Q36" s="73">
        <f>SUMIFS('Data BASE'!R$13:R$485,'Data BASE'!$J$13:$J$485,$B36,'Data BASE'!$H$13:$H$485,"BS")</f>
        <v>30483635.16</v>
      </c>
      <c r="R36" s="73">
        <f>SUMIFS('Data BASE'!S$13:S$485,'Data BASE'!$J$13:$J$485,$B36,'Data BASE'!$H$13:$H$485,"BS")</f>
        <v>33449097.779999997</v>
      </c>
      <c r="S36" s="73">
        <f>SUMIFS('Data BASE'!T$13:T$485,'Data BASE'!$J$13:$J$485,$B36,'Data BASE'!$H$13:$H$485,"BS")</f>
        <v>18985446.440000001</v>
      </c>
      <c r="T36" s="73">
        <f>SUMIFS('Data BASE'!U$13:U$485,'Data BASE'!$J$13:$J$485,$B36,'Data BASE'!$H$13:$H$485,"BS")</f>
        <v>20723029.140000001</v>
      </c>
      <c r="U36" s="73">
        <f>SUMIFS('Data BASE'!V$13:V$485,'Data BASE'!$J$13:$J$485,$B36,'Data BASE'!$H$13:$H$485,"BS")</f>
        <v>60069367.32</v>
      </c>
      <c r="V36" s="73">
        <f>SUMIFS('Data BASE'!W$13:W$485,'Data BASE'!$J$13:$J$485,$B36,'Data BASE'!$H$13:$H$485,"BS")</f>
        <v>68567516.230000004</v>
      </c>
      <c r="W36" s="73">
        <f>SUMIFS('Data BASE'!X$13:X$485,'Data BASE'!$J$13:$J$485,$B36,'Data BASE'!$H$13:$H$485,"BS")</f>
        <v>74036299.360000014</v>
      </c>
      <c r="X36" s="73">
        <f>SUMIFS('Data BASE'!Y$13:Y$485,'Data BASE'!$J$13:$J$485,$B36,'Data BASE'!$H$13:$H$485,"BS")</f>
        <v>81594860.109999999</v>
      </c>
      <c r="Y36" s="73">
        <f>SUMIFS('Data BASE'!Z$13:Z$485,'Data BASE'!$J$13:$J$485,$B36,'Data BASE'!$H$13:$H$485,"BS")</f>
        <v>111009489.92999999</v>
      </c>
      <c r="Z36" s="73">
        <f>SUMIFS('Data BASE'!AA$13:AA$485,'Data BASE'!$J$13:$J$485,$B36,'Data BASE'!$H$13:$H$485,"BS")</f>
        <v>107218037.13</v>
      </c>
      <c r="AA36" s="73">
        <f>SUMIFS('Data BASE'!AB$13:AB$485,'Data BASE'!$J$13:$J$485,$B36,'Data BASE'!$H$13:$H$485,"BS")</f>
        <v>130327311.41000003</v>
      </c>
      <c r="AB36" s="73">
        <f>SUMIFS('Data BASE'!AC$13:AC$485,'Data BASE'!$J$13:$J$485,$B36,'Data BASE'!$H$13:$H$485,"BS")</f>
        <v>89576645.710000008</v>
      </c>
      <c r="AC36" s="73">
        <f>SUMIFS('Data BASE'!AD$13:AD$485,'Data BASE'!$J$13:$J$485,$B36,'Data BASE'!$H$13:$H$485,"BS")</f>
        <v>99021321.930000007</v>
      </c>
      <c r="AD36" s="73">
        <f>SUMIFS('Data BASE'!AE$13:AE$485,'Data BASE'!$J$13:$J$485,$B36,'Data BASE'!$H$13:$H$485,"BS")</f>
        <v>116351212.14999999</v>
      </c>
      <c r="AE36" s="73">
        <f>SUMIFS('Data BASE'!AF$13:AF$485,'Data BASE'!$J$13:$J$485,$B36,'Data BASE'!$H$13:$H$485,"BS")</f>
        <v>97157289.860000014</v>
      </c>
      <c r="AF36" s="73">
        <f>SUMIFS('Data BASE'!AG$13:AG$485,'Data BASE'!$J$13:$J$485,$B36,'Data BASE'!$H$13:$H$485,"BS")</f>
        <v>55302603.359999999</v>
      </c>
      <c r="AG36" s="73"/>
      <c r="AH36" s="73"/>
      <c r="AI36" s="73"/>
      <c r="AJ36" s="73"/>
      <c r="AK36" s="73"/>
      <c r="AL36" s="73"/>
      <c r="AM36" s="73"/>
      <c r="AN36" s="73"/>
      <c r="AP36" s="73" cm="1">
        <f t="array" ref="AP36">LOOKUP(2,1/(($Q$9:$AN$9=AP$9)*($Q$8:$AN$8=AP$8)),$Q36:$AN36)</f>
        <v>18985446.440000001</v>
      </c>
      <c r="AQ36" s="73" cm="1">
        <f t="array" ref="AQ36">LOOKUP(2,1/(($Q$9:$AN$9=AQ$9)*($Q$8:$AN$8=AQ$8)),$Q36:$AN36)</f>
        <v>68567516.230000004</v>
      </c>
      <c r="AR36" s="73" cm="1">
        <f t="array" ref="AR36">LOOKUP(2,1/(($Q$9:$AN$9=AR$9)*($Q$8:$AN$8=AR$8)),$Q36:$AN36)</f>
        <v>111009489.92999999</v>
      </c>
      <c r="AS36" s="73" cm="1">
        <f t="array" ref="AS36">LOOKUP(2,1/(($Q$9:$AN$9=AS$9)*($Q$8:$AN$8=AS$8)),$Q36:$AN36)</f>
        <v>89576645.710000008</v>
      </c>
      <c r="AT36" s="73" cm="1">
        <f t="array" ref="AT36">LOOKUP(2,1/(($Q$9:$AN$9=AT$9)*($Q$8:$AN$8=AT$8)),$Q36:$AN36)</f>
        <v>97157289.860000014</v>
      </c>
      <c r="AU36" s="73" cm="1">
        <f t="array" ref="AU36">LOOKUP(2,1/(($Q$9:$AN$9=AU$9)*($Q$8:$AN$8=AU$8)),$Q36:$AN36)</f>
        <v>0</v>
      </c>
      <c r="AV36" s="73" cm="1">
        <f t="array" ref="AV36">LOOKUP(2,1/(($Q$9:$AN$9=AV$9)*($Q$8:$AN$8=AV$8)),$Q36:$AN36)</f>
        <v>0</v>
      </c>
      <c r="AW36" s="73" cm="1">
        <f t="array" ref="AW36">LOOKUP(2,1/(($Q$9:$AN$9=AW$9)*($Q$8:$AN$8=AW$8)),$Q36:$AN36)</f>
        <v>0</v>
      </c>
      <c r="AY36" s="73" cm="1">
        <f t="array" ref="AY36">LOOKUP(2,1/(($AP$8:$AW$8=AY$8)*ISNUMBER($AP36:$AW36)),$AP36:$AW36)</f>
        <v>89576645.710000008</v>
      </c>
      <c r="AZ36" s="73" cm="1">
        <f t="array" ref="AZ36">LOOKUP(2,1/(($Q$8:$AN$8=AZ$8)*($Q$10:$AN$10="Actuals")*ISNUMBER($Q36:$AN36)),$Q36:$AN36)</f>
        <v>55302603.359999999</v>
      </c>
      <c r="BB36" s="73" cm="1">
        <f t="array" ref="BB36">LOOKUP(2,1/(($Q$8:$AN$8=BB$8)*($Q$10:$AN$10="Actuals")*ISNUMBER($Q36:$AN36)),$Q36:$AN36)</f>
        <v>20723029.140000001</v>
      </c>
      <c r="BC36" s="73" cm="1">
        <f t="array" ref="BC36">LOOKUP(2,1/(($Q$8:$AN$8=BC$8)*($Q$10:$AN$10="Actuals")*ISNUMBER($Q36:$AN36)),$Q36:$AN36)</f>
        <v>55302603.359999999</v>
      </c>
    </row>
    <row r="37" spans="1:55" hidden="1" outlineLevel="2" x14ac:dyDescent="0.45">
      <c r="A37" s="258"/>
      <c r="B37" s="72" t="s">
        <v>89</v>
      </c>
      <c r="C37" s="72"/>
      <c r="D37" s="186"/>
      <c r="E37" s="186"/>
      <c r="F37" s="186"/>
      <c r="G37" s="186"/>
      <c r="H37" s="186"/>
      <c r="I37" s="186"/>
      <c r="J37" s="186"/>
      <c r="K37" s="186"/>
      <c r="L37" s="186"/>
      <c r="M37" s="186"/>
      <c r="N37" s="186"/>
      <c r="O37" s="186"/>
      <c r="P37" s="186"/>
      <c r="Q37" s="73">
        <f>SUMIFS('Data BASE'!R$13:R$485,'Data BASE'!$J$13:$J$485,$B37,'Data BASE'!$H$13:$H$485,"BS")</f>
        <v>3210289.08</v>
      </c>
      <c r="R37" s="73">
        <f>SUMIFS('Data BASE'!S$13:S$485,'Data BASE'!$J$13:$J$485,$B37,'Data BASE'!$H$13:$H$485,"BS")</f>
        <v>1621471.75</v>
      </c>
      <c r="S37" s="73">
        <f>SUMIFS('Data BASE'!T$13:T$485,'Data BASE'!$J$13:$J$485,$B37,'Data BASE'!$H$13:$H$485,"BS")</f>
        <v>1581768.03</v>
      </c>
      <c r="T37" s="73">
        <f>SUMIFS('Data BASE'!U$13:U$485,'Data BASE'!$J$13:$J$485,$B37,'Data BASE'!$H$13:$H$485,"BS")</f>
        <v>2.7699999995529652</v>
      </c>
      <c r="U37" s="73">
        <f>SUMIFS('Data BASE'!V$13:V$485,'Data BASE'!$J$13:$J$485,$B37,'Data BASE'!$H$13:$H$485,"BS")</f>
        <v>1075199.2299999995</v>
      </c>
      <c r="V37" s="73">
        <f>SUMIFS('Data BASE'!W$13:W$485,'Data BASE'!$J$13:$J$485,$B37,'Data BASE'!$H$13:$H$485,"BS")</f>
        <v>5886834.0999999996</v>
      </c>
      <c r="W37" s="73">
        <f>SUMIFS('Data BASE'!X$13:X$485,'Data BASE'!$J$13:$J$485,$B37,'Data BASE'!$H$13:$H$485,"BS")</f>
        <v>5680827.2400000002</v>
      </c>
      <c r="X37" s="73">
        <f>SUMIFS('Data BASE'!Y$13:Y$485,'Data BASE'!$J$13:$J$485,$B37,'Data BASE'!$H$13:$H$485,"BS")</f>
        <v>15027920.310000002</v>
      </c>
      <c r="Y37" s="73">
        <f>SUMIFS('Data BASE'!Z$13:Z$485,'Data BASE'!$J$13:$J$485,$B37,'Data BASE'!$H$13:$H$485,"BS")</f>
        <v>28232155.269999996</v>
      </c>
      <c r="Z37" s="73">
        <f>SUMIFS('Data BASE'!AA$13:AA$485,'Data BASE'!$J$13:$J$485,$B37,'Data BASE'!$H$13:$H$485,"BS")</f>
        <v>39965406.460000001</v>
      </c>
      <c r="AA37" s="73">
        <f>SUMIFS('Data BASE'!AB$13:AB$485,'Data BASE'!$J$13:$J$485,$B37,'Data BASE'!$H$13:$H$485,"BS")</f>
        <v>38826499.880000003</v>
      </c>
      <c r="AB37" s="73">
        <f>SUMIFS('Data BASE'!AC$13:AC$485,'Data BASE'!$J$13:$J$485,$B37,'Data BASE'!$H$13:$H$485,"BS")</f>
        <v>17710571.77</v>
      </c>
      <c r="AC37" s="73">
        <f>SUMIFS('Data BASE'!AD$13:AD$485,'Data BASE'!$J$13:$J$485,$B37,'Data BASE'!$H$13:$H$485,"BS")</f>
        <v>24525109.440000001</v>
      </c>
      <c r="AD37" s="73">
        <f>SUMIFS('Data BASE'!AE$13:AE$485,'Data BASE'!$J$13:$J$485,$B37,'Data BASE'!$H$13:$H$485,"BS")</f>
        <v>18113805.369999997</v>
      </c>
      <c r="AE37" s="73">
        <f>SUMIFS('Data BASE'!AF$13:AF$485,'Data BASE'!$J$13:$J$485,$B37,'Data BASE'!$H$13:$H$485,"BS")</f>
        <v>24359903.520000003</v>
      </c>
      <c r="AF37" s="73">
        <f>SUMIFS('Data BASE'!AG$13:AG$485,'Data BASE'!$J$13:$J$485,$B37,'Data BASE'!$H$13:$H$485,"BS")</f>
        <v>25432398.030000001</v>
      </c>
      <c r="AG37" s="73"/>
      <c r="AH37" s="73"/>
      <c r="AI37" s="73"/>
      <c r="AJ37" s="73"/>
      <c r="AK37" s="73"/>
      <c r="AL37" s="73"/>
      <c r="AM37" s="73"/>
      <c r="AN37" s="73"/>
      <c r="AP37" s="73" cm="1">
        <f t="array" ref="AP37">LOOKUP(2,1/(($Q$9:$AN$9=AP$9)*($Q$8:$AN$8=AP$8)),$Q37:$AN37)</f>
        <v>1581768.03</v>
      </c>
      <c r="AQ37" s="73" cm="1">
        <f t="array" ref="AQ37">LOOKUP(2,1/(($Q$9:$AN$9=AQ$9)*($Q$8:$AN$8=AQ$8)),$Q37:$AN37)</f>
        <v>5886834.0999999996</v>
      </c>
      <c r="AR37" s="73" cm="1">
        <f t="array" ref="AR37">LOOKUP(2,1/(($Q$9:$AN$9=AR$9)*($Q$8:$AN$8=AR$8)),$Q37:$AN37)</f>
        <v>28232155.269999996</v>
      </c>
      <c r="AS37" s="73" cm="1">
        <f t="array" ref="AS37">LOOKUP(2,1/(($Q$9:$AN$9=AS$9)*($Q$8:$AN$8=AS$8)),$Q37:$AN37)</f>
        <v>17710571.77</v>
      </c>
      <c r="AT37" s="73" cm="1">
        <f t="array" ref="AT37">LOOKUP(2,1/(($Q$9:$AN$9=AT$9)*($Q$8:$AN$8=AT$8)),$Q37:$AN37)</f>
        <v>24359903.520000003</v>
      </c>
      <c r="AU37" s="73" cm="1">
        <f t="array" ref="AU37">LOOKUP(2,1/(($Q$9:$AN$9=AU$9)*($Q$8:$AN$8=AU$8)),$Q37:$AN37)</f>
        <v>0</v>
      </c>
      <c r="AV37" s="73" cm="1">
        <f t="array" ref="AV37">LOOKUP(2,1/(($Q$9:$AN$9=AV$9)*($Q$8:$AN$8=AV$8)),$Q37:$AN37)</f>
        <v>0</v>
      </c>
      <c r="AW37" s="73" cm="1">
        <f t="array" ref="AW37">LOOKUP(2,1/(($Q$9:$AN$9=AW$9)*($Q$8:$AN$8=AW$8)),$Q37:$AN37)</f>
        <v>0</v>
      </c>
      <c r="AY37" s="73" cm="1">
        <f t="array" ref="AY37">LOOKUP(2,1/(($AP$8:$AW$8=AY$8)*ISNUMBER($AP37:$AW37)),$AP37:$AW37)</f>
        <v>17710571.77</v>
      </c>
      <c r="AZ37" s="73" cm="1">
        <f t="array" ref="AZ37">LOOKUP(2,1/(($Q$8:$AN$8=AZ$8)*($Q$10:$AN$10="Actuals")*ISNUMBER($Q37:$AN37)),$Q37:$AN37)</f>
        <v>25432398.030000001</v>
      </c>
      <c r="BB37" s="73" cm="1">
        <f t="array" ref="BB37">LOOKUP(2,1/(($Q$8:$AN$8=BB$8)*($Q$10:$AN$10="Actuals")*ISNUMBER($Q37:$AN37)),$Q37:$AN37)</f>
        <v>2.7699999995529652</v>
      </c>
      <c r="BC37" s="73" cm="1">
        <f t="array" ref="BC37">LOOKUP(2,1/(($Q$8:$AN$8=BC$8)*($Q$10:$AN$10="Actuals")*ISNUMBER($Q37:$AN37)),$Q37:$AN37)</f>
        <v>25432398.030000001</v>
      </c>
    </row>
    <row r="38" spans="1:55" hidden="1" outlineLevel="2" x14ac:dyDescent="0.45">
      <c r="A38" s="258"/>
      <c r="B38" s="72" t="s">
        <v>101</v>
      </c>
      <c r="C38" s="72"/>
      <c r="D38" s="186"/>
      <c r="E38" s="186"/>
      <c r="F38" s="186"/>
      <c r="G38" s="186"/>
      <c r="H38" s="186"/>
      <c r="I38" s="186"/>
      <c r="J38" s="186"/>
      <c r="K38" s="186"/>
      <c r="L38" s="186"/>
      <c r="M38" s="186"/>
      <c r="N38" s="186"/>
      <c r="O38" s="186"/>
      <c r="P38" s="186"/>
      <c r="Q38" s="73">
        <f>SUMIFS('Data BASE'!R$13:R$485,'Data BASE'!$J$13:$J$485,$B38,'Data BASE'!$H$13:$H$485,"BS")</f>
        <v>832091.72</v>
      </c>
      <c r="R38" s="73">
        <f>SUMIFS('Data BASE'!S$13:S$485,'Data BASE'!$J$13:$J$485,$B38,'Data BASE'!$H$13:$H$485,"BS")</f>
        <v>1039444.94</v>
      </c>
      <c r="S38" s="73">
        <f>SUMIFS('Data BASE'!T$13:T$485,'Data BASE'!$J$13:$J$485,$B38,'Data BASE'!$H$13:$H$485,"BS")</f>
        <v>1281225.4300000002</v>
      </c>
      <c r="T38" s="73">
        <f>SUMIFS('Data BASE'!U$13:U$485,'Data BASE'!$J$13:$J$485,$B38,'Data BASE'!$H$13:$H$485,"BS")</f>
        <v>1321815.52</v>
      </c>
      <c r="U38" s="73">
        <f>SUMIFS('Data BASE'!V$13:V$485,'Data BASE'!$J$13:$J$485,$B38,'Data BASE'!$H$13:$H$485,"BS")</f>
        <v>2196125.9500000002</v>
      </c>
      <c r="V38" s="73">
        <f>SUMIFS('Data BASE'!W$13:W$485,'Data BASE'!$J$13:$J$485,$B38,'Data BASE'!$H$13:$H$485,"BS")</f>
        <v>3890793.35</v>
      </c>
      <c r="W38" s="73">
        <f>SUMIFS('Data BASE'!X$13:X$485,'Data BASE'!$J$13:$J$485,$B38,'Data BASE'!$H$13:$H$485,"BS")</f>
        <v>2508401.0699999998</v>
      </c>
      <c r="X38" s="73">
        <f>SUMIFS('Data BASE'!Y$13:Y$485,'Data BASE'!$J$13:$J$485,$B38,'Data BASE'!$H$13:$H$485,"BS")</f>
        <v>3182247.32</v>
      </c>
      <c r="Y38" s="73">
        <f>SUMIFS('Data BASE'!Z$13:Z$485,'Data BASE'!$J$13:$J$485,$B38,'Data BASE'!$H$13:$H$485,"BS")</f>
        <v>2926072.73</v>
      </c>
      <c r="Z38" s="73">
        <f>SUMIFS('Data BASE'!AA$13:AA$485,'Data BASE'!$J$13:$J$485,$B38,'Data BASE'!$H$13:$H$485,"BS")</f>
        <v>3035079.2899999996</v>
      </c>
      <c r="AA38" s="73">
        <f>SUMIFS('Data BASE'!AB$13:AB$485,'Data BASE'!$J$13:$J$485,$B38,'Data BASE'!$H$13:$H$485,"BS")</f>
        <v>2765867.83</v>
      </c>
      <c r="AB38" s="73">
        <f>SUMIFS('Data BASE'!AC$13:AC$485,'Data BASE'!$J$13:$J$485,$B38,'Data BASE'!$H$13:$H$485,"BS")</f>
        <v>1611600.52</v>
      </c>
      <c r="AC38" s="73">
        <f>SUMIFS('Data BASE'!AD$13:AD$485,'Data BASE'!$J$13:$J$485,$B38,'Data BASE'!$H$13:$H$485,"BS")</f>
        <v>4658260.7399999993</v>
      </c>
      <c r="AD38" s="73">
        <f>SUMIFS('Data BASE'!AE$13:AE$485,'Data BASE'!$J$13:$J$485,$B38,'Data BASE'!$H$13:$H$485,"BS")</f>
        <v>6185329.4999999981</v>
      </c>
      <c r="AE38" s="73">
        <f>SUMIFS('Data BASE'!AF$13:AF$485,'Data BASE'!$J$13:$J$485,$B38,'Data BASE'!$H$13:$H$485,"BS")</f>
        <v>2558739.04</v>
      </c>
      <c r="AF38" s="73">
        <f>SUMIFS('Data BASE'!AG$13:AG$485,'Data BASE'!$J$13:$J$485,$B38,'Data BASE'!$H$13:$H$485,"BS")</f>
        <v>4619010.62</v>
      </c>
      <c r="AG38" s="73"/>
      <c r="AH38" s="73"/>
      <c r="AI38" s="73"/>
      <c r="AJ38" s="73"/>
      <c r="AK38" s="73"/>
      <c r="AL38" s="73"/>
      <c r="AM38" s="73"/>
      <c r="AN38" s="73"/>
      <c r="AP38" s="73" cm="1">
        <f t="array" ref="AP38">LOOKUP(2,1/(($Q$9:$AN$9=AP$9)*($Q$8:$AN$8=AP$8)),$Q38:$AN38)</f>
        <v>1281225.4300000002</v>
      </c>
      <c r="AQ38" s="73" cm="1">
        <f t="array" ref="AQ38">LOOKUP(2,1/(($Q$9:$AN$9=AQ$9)*($Q$8:$AN$8=AQ$8)),$Q38:$AN38)</f>
        <v>3890793.35</v>
      </c>
      <c r="AR38" s="73" cm="1">
        <f t="array" ref="AR38">LOOKUP(2,1/(($Q$9:$AN$9=AR$9)*($Q$8:$AN$8=AR$8)),$Q38:$AN38)</f>
        <v>2926072.73</v>
      </c>
      <c r="AS38" s="73" cm="1">
        <f t="array" ref="AS38">LOOKUP(2,1/(($Q$9:$AN$9=AS$9)*($Q$8:$AN$8=AS$8)),$Q38:$AN38)</f>
        <v>1611600.52</v>
      </c>
      <c r="AT38" s="73" cm="1">
        <f t="array" ref="AT38">LOOKUP(2,1/(($Q$9:$AN$9=AT$9)*($Q$8:$AN$8=AT$8)),$Q38:$AN38)</f>
        <v>2558739.04</v>
      </c>
      <c r="AU38" s="73" cm="1">
        <f t="array" ref="AU38">LOOKUP(2,1/(($Q$9:$AN$9=AU$9)*($Q$8:$AN$8=AU$8)),$Q38:$AN38)</f>
        <v>0</v>
      </c>
      <c r="AV38" s="73" cm="1">
        <f t="array" ref="AV38">LOOKUP(2,1/(($Q$9:$AN$9=AV$9)*($Q$8:$AN$8=AV$8)),$Q38:$AN38)</f>
        <v>0</v>
      </c>
      <c r="AW38" s="73" cm="1">
        <f t="array" ref="AW38">LOOKUP(2,1/(($Q$9:$AN$9=AW$9)*($Q$8:$AN$8=AW$8)),$Q38:$AN38)</f>
        <v>0</v>
      </c>
      <c r="AY38" s="73" cm="1">
        <f t="array" ref="AY38">LOOKUP(2,1/(($AP$8:$AW$8=AY$8)*ISNUMBER($AP38:$AW38)),$AP38:$AW38)</f>
        <v>1611600.52</v>
      </c>
      <c r="AZ38" s="73" cm="1">
        <f t="array" ref="AZ38">LOOKUP(2,1/(($Q$8:$AN$8=AZ$8)*($Q$10:$AN$10="Actuals")*ISNUMBER($Q38:$AN38)),$Q38:$AN38)</f>
        <v>4619010.62</v>
      </c>
      <c r="BB38" s="73" cm="1">
        <f t="array" ref="BB38">LOOKUP(2,1/(($Q$8:$AN$8=BB$8)*($Q$10:$AN$10="Actuals")*ISNUMBER($Q38:$AN38)),$Q38:$AN38)</f>
        <v>1321815.52</v>
      </c>
      <c r="BC38" s="73" cm="1">
        <f t="array" ref="BC38">LOOKUP(2,1/(($Q$8:$AN$8=BC$8)*($Q$10:$AN$10="Actuals")*ISNUMBER($Q38:$AN38)),$Q38:$AN38)</f>
        <v>4619010.62</v>
      </c>
    </row>
    <row r="39" spans="1:55" hidden="1" outlineLevel="2" x14ac:dyDescent="0.45">
      <c r="A39" s="258"/>
      <c r="B39" s="72" t="s">
        <v>821</v>
      </c>
      <c r="C39" s="72"/>
      <c r="D39" s="186"/>
      <c r="E39" s="186"/>
      <c r="F39" s="186"/>
      <c r="G39" s="186"/>
      <c r="H39" s="186"/>
      <c r="I39" s="186"/>
      <c r="J39" s="186"/>
      <c r="K39" s="186"/>
      <c r="L39" s="186"/>
      <c r="M39" s="186"/>
      <c r="N39" s="186"/>
      <c r="O39" s="186"/>
      <c r="P39" s="186"/>
      <c r="Q39" s="73">
        <f>SUMIFS('Data BASE'!R$13:R$485,'Data BASE'!$J$13:$J$485,$B39,'Data BASE'!$H$13:$H$485,"BS")</f>
        <v>0</v>
      </c>
      <c r="R39" s="73">
        <f>SUMIFS('Data BASE'!S$13:S$485,'Data BASE'!$J$13:$J$485,$B39,'Data BASE'!$H$13:$H$485,"BS")</f>
        <v>0</v>
      </c>
      <c r="S39" s="73">
        <f>SUMIFS('Data BASE'!T$13:T$485,'Data BASE'!$J$13:$J$485,$B39,'Data BASE'!$H$13:$H$485,"BS")</f>
        <v>0</v>
      </c>
      <c r="T39" s="73">
        <f>SUMIFS('Data BASE'!U$13:U$485,'Data BASE'!$J$13:$J$485,$B39,'Data BASE'!$H$13:$H$485,"BS")</f>
        <v>0</v>
      </c>
      <c r="U39" s="73">
        <f>SUMIFS('Data BASE'!V$13:V$485,'Data BASE'!$J$13:$J$485,$B39,'Data BASE'!$H$13:$H$485,"BS")</f>
        <v>0</v>
      </c>
      <c r="V39" s="73">
        <f>SUMIFS('Data BASE'!W$13:W$485,'Data BASE'!$J$13:$J$485,$B39,'Data BASE'!$H$13:$H$485,"BS")</f>
        <v>0</v>
      </c>
      <c r="W39" s="73">
        <f>SUMIFS('Data BASE'!X$13:X$485,'Data BASE'!$J$13:$J$485,$B39,'Data BASE'!$H$13:$H$485,"BS")</f>
        <v>0</v>
      </c>
      <c r="X39" s="73">
        <f>SUMIFS('Data BASE'!Y$13:Y$485,'Data BASE'!$J$13:$J$485,$B39,'Data BASE'!$H$13:$H$485,"BS")</f>
        <v>0</v>
      </c>
      <c r="Y39" s="73">
        <f>SUMIFS('Data BASE'!Z$13:Z$485,'Data BASE'!$J$13:$J$485,$B39,'Data BASE'!$H$13:$H$485,"BS")</f>
        <v>0</v>
      </c>
      <c r="Z39" s="73">
        <f>SUMIFS('Data BASE'!AA$13:AA$485,'Data BASE'!$J$13:$J$485,$B39,'Data BASE'!$H$13:$H$485,"BS")</f>
        <v>0</v>
      </c>
      <c r="AA39" s="73">
        <f>SUMIFS('Data BASE'!AB$13:AB$485,'Data BASE'!$J$13:$J$485,$B39,'Data BASE'!$H$13:$H$485,"BS")</f>
        <v>0</v>
      </c>
      <c r="AB39" s="73">
        <f>SUMIFS('Data BASE'!AC$13:AC$485,'Data BASE'!$J$13:$J$485,$B39,'Data BASE'!$H$13:$H$485,"BS")</f>
        <v>0</v>
      </c>
      <c r="AC39" s="73">
        <f>SUMIFS('Data BASE'!AD$13:AD$485,'Data BASE'!$J$13:$J$485,$B39,'Data BASE'!$H$13:$H$485,"BS")</f>
        <v>0</v>
      </c>
      <c r="AD39" s="73">
        <f>SUMIFS('Data BASE'!AE$13:AE$485,'Data BASE'!$J$13:$J$485,$B39,'Data BASE'!$H$13:$H$485,"BS")</f>
        <v>0</v>
      </c>
      <c r="AE39" s="73">
        <f>SUMIFS('Data BASE'!AF$13:AF$485,'Data BASE'!$J$13:$J$485,$B39,'Data BASE'!$H$13:$H$485,"BS")</f>
        <v>0</v>
      </c>
      <c r="AF39" s="73">
        <f>SUMIFS('Data BASE'!AG$13:AG$485,'Data BASE'!$J$13:$J$485,$B39,'Data BASE'!$H$13:$H$485,"BS")</f>
        <v>0</v>
      </c>
      <c r="AG39" s="73"/>
      <c r="AH39" s="73"/>
      <c r="AI39" s="73"/>
      <c r="AJ39" s="73"/>
      <c r="AK39" s="73"/>
      <c r="AL39" s="73"/>
      <c r="AM39" s="73"/>
      <c r="AN39" s="73"/>
      <c r="AP39" s="73" cm="1">
        <f t="array" ref="AP39">LOOKUP(2,1/(($Q$9:$AN$9=AP$9)*($Q$8:$AN$8=AP$8)),$Q39:$AN39)</f>
        <v>0</v>
      </c>
      <c r="AQ39" s="73" cm="1">
        <f t="array" ref="AQ39">LOOKUP(2,1/(($Q$9:$AN$9=AQ$9)*($Q$8:$AN$8=AQ$8)),$Q39:$AN39)</f>
        <v>0</v>
      </c>
      <c r="AR39" s="73" cm="1">
        <f t="array" ref="AR39">LOOKUP(2,1/(($Q$9:$AN$9=AR$9)*($Q$8:$AN$8=AR$8)),$Q39:$AN39)</f>
        <v>0</v>
      </c>
      <c r="AS39" s="73" cm="1">
        <f t="array" ref="AS39">LOOKUP(2,1/(($Q$9:$AN$9=AS$9)*($Q$8:$AN$8=AS$8)),$Q39:$AN39)</f>
        <v>0</v>
      </c>
      <c r="AT39" s="73" cm="1">
        <f t="array" ref="AT39">LOOKUP(2,1/(($Q$9:$AN$9=AT$9)*($Q$8:$AN$8=AT$8)),$Q39:$AN39)</f>
        <v>0</v>
      </c>
      <c r="AU39" s="73" cm="1">
        <f t="array" ref="AU39">LOOKUP(2,1/(($Q$9:$AN$9=AU$9)*($Q$8:$AN$8=AU$8)),$Q39:$AN39)</f>
        <v>0</v>
      </c>
      <c r="AV39" s="73" cm="1">
        <f t="array" ref="AV39">LOOKUP(2,1/(($Q$9:$AN$9=AV$9)*($Q$8:$AN$8=AV$8)),$Q39:$AN39)</f>
        <v>0</v>
      </c>
      <c r="AW39" s="73" cm="1">
        <f t="array" ref="AW39">LOOKUP(2,1/(($Q$9:$AN$9=AW$9)*($Q$8:$AN$8=AW$8)),$Q39:$AN39)</f>
        <v>0</v>
      </c>
      <c r="AY39" s="73" cm="1">
        <f t="array" ref="AY39">LOOKUP(2,1/(($AP$8:$AW$8=AY$8)*ISNUMBER($AP39:$AW39)),$AP39:$AW39)</f>
        <v>0</v>
      </c>
      <c r="AZ39" s="73" cm="1">
        <f t="array" ref="AZ39">LOOKUP(2,1/(($Q$8:$AN$8=AZ$8)*($Q$10:$AN$10="Actuals")*ISNUMBER($Q39:$AN39)),$Q39:$AN39)</f>
        <v>0</v>
      </c>
      <c r="BB39" s="73" cm="1">
        <f t="array" ref="BB39">LOOKUP(2,1/(($Q$8:$AN$8=BB$8)*($Q$10:$AN$10="Actuals")*ISNUMBER($Q39:$AN39)),$Q39:$AN39)</f>
        <v>0</v>
      </c>
      <c r="BC39" s="73" cm="1">
        <f t="array" ref="BC39">LOOKUP(2,1/(($Q$8:$AN$8=BC$8)*($Q$10:$AN$10="Actuals")*ISNUMBER($Q39:$AN39)),$Q39:$AN39)</f>
        <v>0</v>
      </c>
    </row>
    <row r="40" spans="1:55" hidden="1" outlineLevel="2" x14ac:dyDescent="0.45">
      <c r="A40" s="258"/>
      <c r="B40" s="72" t="s">
        <v>822</v>
      </c>
      <c r="C40" s="72"/>
      <c r="D40" s="186"/>
      <c r="E40" s="186"/>
      <c r="F40" s="186"/>
      <c r="G40" s="186"/>
      <c r="H40" s="186"/>
      <c r="I40" s="186"/>
      <c r="J40" s="186"/>
      <c r="K40" s="186"/>
      <c r="L40" s="186"/>
      <c r="M40" s="186"/>
      <c r="N40" s="186"/>
      <c r="O40" s="186"/>
      <c r="P40" s="186"/>
      <c r="Q40" s="73">
        <f>SUMIFS('Data BASE'!R$13:R$485,'Data BASE'!$J$13:$J$485,$B40,'Data BASE'!$H$13:$H$485,"BS")</f>
        <v>0</v>
      </c>
      <c r="R40" s="73">
        <f>SUMIFS('Data BASE'!S$13:S$485,'Data BASE'!$J$13:$J$485,$B40,'Data BASE'!$H$13:$H$485,"BS")</f>
        <v>0</v>
      </c>
      <c r="S40" s="73">
        <f>SUMIFS('Data BASE'!T$13:T$485,'Data BASE'!$J$13:$J$485,$B40,'Data BASE'!$H$13:$H$485,"BS")</f>
        <v>0</v>
      </c>
      <c r="T40" s="73">
        <f>SUMIFS('Data BASE'!U$13:U$485,'Data BASE'!$J$13:$J$485,$B40,'Data BASE'!$H$13:$H$485,"BS")</f>
        <v>0</v>
      </c>
      <c r="U40" s="73">
        <f>SUMIFS('Data BASE'!V$13:V$485,'Data BASE'!$J$13:$J$485,$B40,'Data BASE'!$H$13:$H$485,"BS")</f>
        <v>0</v>
      </c>
      <c r="V40" s="73">
        <f>SUMIFS('Data BASE'!W$13:W$485,'Data BASE'!$J$13:$J$485,$B40,'Data BASE'!$H$13:$H$485,"BS")</f>
        <v>0</v>
      </c>
      <c r="W40" s="73">
        <f>SUMIFS('Data BASE'!X$13:X$485,'Data BASE'!$J$13:$J$485,$B40,'Data BASE'!$H$13:$H$485,"BS")</f>
        <v>0</v>
      </c>
      <c r="X40" s="73">
        <f>SUMIFS('Data BASE'!Y$13:Y$485,'Data BASE'!$J$13:$J$485,$B40,'Data BASE'!$H$13:$H$485,"BS")</f>
        <v>0</v>
      </c>
      <c r="Y40" s="73">
        <f>SUMIFS('Data BASE'!Z$13:Z$485,'Data BASE'!$J$13:$J$485,$B40,'Data BASE'!$H$13:$H$485,"BS")</f>
        <v>0</v>
      </c>
      <c r="Z40" s="73">
        <f>SUMIFS('Data BASE'!AA$13:AA$485,'Data BASE'!$J$13:$J$485,$B40,'Data BASE'!$H$13:$H$485,"BS")</f>
        <v>0</v>
      </c>
      <c r="AA40" s="73">
        <f>SUMIFS('Data BASE'!AB$13:AB$485,'Data BASE'!$J$13:$J$485,$B40,'Data BASE'!$H$13:$H$485,"BS")</f>
        <v>0</v>
      </c>
      <c r="AB40" s="73">
        <f>SUMIFS('Data BASE'!AC$13:AC$485,'Data BASE'!$J$13:$J$485,$B40,'Data BASE'!$H$13:$H$485,"BS")</f>
        <v>0</v>
      </c>
      <c r="AC40" s="73">
        <f>SUMIFS('Data BASE'!AD$13:AD$485,'Data BASE'!$J$13:$J$485,$B40,'Data BASE'!$H$13:$H$485,"BS")</f>
        <v>0</v>
      </c>
      <c r="AD40" s="73">
        <f>SUMIFS('Data BASE'!AE$13:AE$485,'Data BASE'!$J$13:$J$485,$B40,'Data BASE'!$H$13:$H$485,"BS")</f>
        <v>0</v>
      </c>
      <c r="AE40" s="73">
        <f>SUMIFS('Data BASE'!AF$13:AF$485,'Data BASE'!$J$13:$J$485,$B40,'Data BASE'!$H$13:$H$485,"BS")</f>
        <v>0</v>
      </c>
      <c r="AF40" s="73">
        <f>SUMIFS('Data BASE'!AG$13:AG$485,'Data BASE'!$J$13:$J$485,$B40,'Data BASE'!$H$13:$H$485,"BS")</f>
        <v>0</v>
      </c>
      <c r="AG40" s="73"/>
      <c r="AH40" s="73"/>
      <c r="AI40" s="73"/>
      <c r="AJ40" s="73"/>
      <c r="AK40" s="73"/>
      <c r="AL40" s="73"/>
      <c r="AM40" s="73"/>
      <c r="AN40" s="73"/>
      <c r="AP40" s="73" cm="1">
        <f t="array" ref="AP40">LOOKUP(2,1/(($Q$9:$AN$9=AP$9)*($Q$8:$AN$8=AP$8)),$Q40:$AN40)</f>
        <v>0</v>
      </c>
      <c r="AQ40" s="73" cm="1">
        <f t="array" ref="AQ40">LOOKUP(2,1/(($Q$9:$AN$9=AQ$9)*($Q$8:$AN$8=AQ$8)),$Q40:$AN40)</f>
        <v>0</v>
      </c>
      <c r="AR40" s="73" cm="1">
        <f t="array" ref="AR40">LOOKUP(2,1/(($Q$9:$AN$9=AR$9)*($Q$8:$AN$8=AR$8)),$Q40:$AN40)</f>
        <v>0</v>
      </c>
      <c r="AS40" s="73" cm="1">
        <f t="array" ref="AS40">LOOKUP(2,1/(($Q$9:$AN$9=AS$9)*($Q$8:$AN$8=AS$8)),$Q40:$AN40)</f>
        <v>0</v>
      </c>
      <c r="AT40" s="73" cm="1">
        <f t="array" ref="AT40">LOOKUP(2,1/(($Q$9:$AN$9=AT$9)*($Q$8:$AN$8=AT$8)),$Q40:$AN40)</f>
        <v>0</v>
      </c>
      <c r="AU40" s="73" cm="1">
        <f t="array" ref="AU40">LOOKUP(2,1/(($Q$9:$AN$9=AU$9)*($Q$8:$AN$8=AU$8)),$Q40:$AN40)</f>
        <v>0</v>
      </c>
      <c r="AV40" s="73" cm="1">
        <f t="array" ref="AV40">LOOKUP(2,1/(($Q$9:$AN$9=AV$9)*($Q$8:$AN$8=AV$8)),$Q40:$AN40)</f>
        <v>0</v>
      </c>
      <c r="AW40" s="73" cm="1">
        <f t="array" ref="AW40">LOOKUP(2,1/(($Q$9:$AN$9=AW$9)*($Q$8:$AN$8=AW$8)),$Q40:$AN40)</f>
        <v>0</v>
      </c>
      <c r="AY40" s="73" cm="1">
        <f t="array" ref="AY40">LOOKUP(2,1/(($AP$8:$AW$8=AY$8)*ISNUMBER($AP40:$AW40)),$AP40:$AW40)</f>
        <v>0</v>
      </c>
      <c r="AZ40" s="73" cm="1">
        <f t="array" ref="AZ40">LOOKUP(2,1/(($Q$8:$AN$8=AZ$8)*($Q$10:$AN$10="Actuals")*ISNUMBER($Q40:$AN40)),$Q40:$AN40)</f>
        <v>0</v>
      </c>
      <c r="BB40" s="73" cm="1">
        <f t="array" ref="BB40">LOOKUP(2,1/(($Q$8:$AN$8=BB$8)*($Q$10:$AN$10="Actuals")*ISNUMBER($Q40:$AN40)),$Q40:$AN40)</f>
        <v>0</v>
      </c>
      <c r="BC40" s="73" cm="1">
        <f t="array" ref="BC40">LOOKUP(2,1/(($Q$8:$AN$8=BC$8)*($Q$10:$AN$10="Actuals")*ISNUMBER($Q40:$AN40)),$Q40:$AN40)</f>
        <v>0</v>
      </c>
    </row>
    <row r="41" spans="1:55" hidden="1" outlineLevel="2" x14ac:dyDescent="0.45">
      <c r="A41" s="258"/>
      <c r="B41" s="72" t="s">
        <v>581</v>
      </c>
      <c r="C41" s="72"/>
      <c r="D41" s="186"/>
      <c r="E41" s="186"/>
      <c r="F41" s="186"/>
      <c r="G41" s="186"/>
      <c r="H41" s="186"/>
      <c r="I41" s="186"/>
      <c r="J41" s="186"/>
      <c r="K41" s="186"/>
      <c r="L41" s="186"/>
      <c r="M41" s="186"/>
      <c r="N41" s="186"/>
      <c r="O41" s="186"/>
      <c r="P41" s="186"/>
      <c r="Q41" s="73">
        <f>SUMIFS('Data BASE'!R$13:R$485,'Data BASE'!$J$13:$J$485,$B41,'Data BASE'!$H$13:$H$485,"BS")</f>
        <v>0</v>
      </c>
      <c r="R41" s="73">
        <f>SUMIFS('Data BASE'!S$13:S$485,'Data BASE'!$J$13:$J$485,$B41,'Data BASE'!$H$13:$H$485,"BS")</f>
        <v>0</v>
      </c>
      <c r="S41" s="73">
        <f>SUMIFS('Data BASE'!T$13:T$485,'Data BASE'!$J$13:$J$485,$B41,'Data BASE'!$H$13:$H$485,"BS")</f>
        <v>0</v>
      </c>
      <c r="T41" s="73">
        <f>SUMIFS('Data BASE'!U$13:U$485,'Data BASE'!$J$13:$J$485,$B41,'Data BASE'!$H$13:$H$485,"BS")</f>
        <v>0</v>
      </c>
      <c r="U41" s="73">
        <f>SUMIFS('Data BASE'!V$13:V$485,'Data BASE'!$J$13:$J$485,$B41,'Data BASE'!$H$13:$H$485,"BS")</f>
        <v>0</v>
      </c>
      <c r="V41" s="73">
        <f>SUMIFS('Data BASE'!W$13:W$485,'Data BASE'!$J$13:$J$485,$B41,'Data BASE'!$H$13:$H$485,"BS")</f>
        <v>0</v>
      </c>
      <c r="W41" s="73">
        <f>SUMIFS('Data BASE'!X$13:X$485,'Data BASE'!$J$13:$J$485,$B41,'Data BASE'!$H$13:$H$485,"BS")</f>
        <v>0</v>
      </c>
      <c r="X41" s="73">
        <f>SUMIFS('Data BASE'!Y$13:Y$485,'Data BASE'!$J$13:$J$485,$B41,'Data BASE'!$H$13:$H$485,"BS")</f>
        <v>0</v>
      </c>
      <c r="Y41" s="73">
        <f>SUMIFS('Data BASE'!Z$13:Z$485,'Data BASE'!$J$13:$J$485,$B41,'Data BASE'!$H$13:$H$485,"BS")</f>
        <v>0</v>
      </c>
      <c r="Z41" s="73">
        <f>SUMIFS('Data BASE'!AA$13:AA$485,'Data BASE'!$J$13:$J$485,$B41,'Data BASE'!$H$13:$H$485,"BS")</f>
        <v>0</v>
      </c>
      <c r="AA41" s="73">
        <f>SUMIFS('Data BASE'!AB$13:AB$485,'Data BASE'!$J$13:$J$485,$B41,'Data BASE'!$H$13:$H$485,"BS")</f>
        <v>0</v>
      </c>
      <c r="AB41" s="73">
        <f>SUMIFS('Data BASE'!AC$13:AC$485,'Data BASE'!$J$13:$J$485,$B41,'Data BASE'!$H$13:$H$485,"BS")</f>
        <v>0</v>
      </c>
      <c r="AC41" s="73">
        <f>SUMIFS('Data BASE'!AD$13:AD$485,'Data BASE'!$J$13:$J$485,$B41,'Data BASE'!$H$13:$H$485,"BS")</f>
        <v>0</v>
      </c>
      <c r="AD41" s="73">
        <f>SUMIFS('Data BASE'!AE$13:AE$485,'Data BASE'!$J$13:$J$485,$B41,'Data BASE'!$H$13:$H$485,"BS")</f>
        <v>0</v>
      </c>
      <c r="AE41" s="73">
        <f>SUMIFS('Data BASE'!AF$13:AF$485,'Data BASE'!$J$13:$J$485,$B41,'Data BASE'!$H$13:$H$485,"BS")</f>
        <v>0</v>
      </c>
      <c r="AF41" s="73">
        <f>SUMIFS('Data BASE'!AG$13:AG$485,'Data BASE'!$J$13:$J$485,$B41,'Data BASE'!$H$13:$H$485,"BS")</f>
        <v>0</v>
      </c>
      <c r="AG41" s="73"/>
      <c r="AH41" s="73"/>
      <c r="AI41" s="73"/>
      <c r="AJ41" s="73"/>
      <c r="AK41" s="73"/>
      <c r="AL41" s="73"/>
      <c r="AM41" s="73"/>
      <c r="AN41" s="73"/>
      <c r="AP41" s="73" cm="1">
        <f t="array" ref="AP41">LOOKUP(2,1/(($Q$9:$AN$9=AP$9)*($Q$8:$AN$8=AP$8)),$Q41:$AN41)</f>
        <v>0</v>
      </c>
      <c r="AQ41" s="73" cm="1">
        <f t="array" ref="AQ41">LOOKUP(2,1/(($Q$9:$AN$9=AQ$9)*($Q$8:$AN$8=AQ$8)),$Q41:$AN41)</f>
        <v>0</v>
      </c>
      <c r="AR41" s="73" cm="1">
        <f t="array" ref="AR41">LOOKUP(2,1/(($Q$9:$AN$9=AR$9)*($Q$8:$AN$8=AR$8)),$Q41:$AN41)</f>
        <v>0</v>
      </c>
      <c r="AS41" s="73" cm="1">
        <f t="array" ref="AS41">LOOKUP(2,1/(($Q$9:$AN$9=AS$9)*($Q$8:$AN$8=AS$8)),$Q41:$AN41)</f>
        <v>0</v>
      </c>
      <c r="AT41" s="73" cm="1">
        <f t="array" ref="AT41">LOOKUP(2,1/(($Q$9:$AN$9=AT$9)*($Q$8:$AN$8=AT$8)),$Q41:$AN41)</f>
        <v>0</v>
      </c>
      <c r="AU41" s="73" cm="1">
        <f t="array" ref="AU41">LOOKUP(2,1/(($Q$9:$AN$9=AU$9)*($Q$8:$AN$8=AU$8)),$Q41:$AN41)</f>
        <v>0</v>
      </c>
      <c r="AV41" s="73" cm="1">
        <f t="array" ref="AV41">LOOKUP(2,1/(($Q$9:$AN$9=AV$9)*($Q$8:$AN$8=AV$8)),$Q41:$AN41)</f>
        <v>0</v>
      </c>
      <c r="AW41" s="73" cm="1">
        <f t="array" ref="AW41">LOOKUP(2,1/(($Q$9:$AN$9=AW$9)*($Q$8:$AN$8=AW$8)),$Q41:$AN41)</f>
        <v>0</v>
      </c>
      <c r="AY41" s="73" cm="1">
        <f t="array" ref="AY41">LOOKUP(2,1/(($AP$8:$AW$8=AY$8)*ISNUMBER($AP41:$AW41)),$AP41:$AW41)</f>
        <v>0</v>
      </c>
      <c r="AZ41" s="73" cm="1">
        <f t="array" ref="AZ41">LOOKUP(2,1/(($Q$8:$AN$8=AZ$8)*($Q$10:$AN$10="Actuals")*ISNUMBER($Q41:$AN41)),$Q41:$AN41)</f>
        <v>0</v>
      </c>
      <c r="BB41" s="73" cm="1">
        <f t="array" ref="BB41">LOOKUP(2,1/(($Q$8:$AN$8=BB$8)*($Q$10:$AN$10="Actuals")*ISNUMBER($Q41:$AN41)),$Q41:$AN41)</f>
        <v>0</v>
      </c>
      <c r="BC41" s="73" cm="1">
        <f t="array" ref="BC41">LOOKUP(2,1/(($Q$8:$AN$8=BC$8)*($Q$10:$AN$10="Actuals")*ISNUMBER($Q41:$AN41)),$Q41:$AN41)</f>
        <v>0</v>
      </c>
    </row>
    <row r="42" spans="1:55" hidden="1" outlineLevel="2" x14ac:dyDescent="0.45">
      <c r="A42" s="258"/>
      <c r="B42" s="72" t="s">
        <v>1100</v>
      </c>
      <c r="C42" s="72"/>
      <c r="D42" s="186"/>
      <c r="E42" s="186"/>
      <c r="F42" s="186"/>
      <c r="G42" s="186"/>
      <c r="H42" s="186"/>
      <c r="I42" s="186"/>
      <c r="J42" s="186"/>
      <c r="K42" s="186"/>
      <c r="L42" s="186"/>
      <c r="M42" s="186"/>
      <c r="N42" s="186"/>
      <c r="O42" s="186"/>
      <c r="P42" s="186"/>
      <c r="Q42" s="73">
        <f>SUMIFS('Data BASE'!R$13:R$485,'Data BASE'!$J$13:$J$485,$B42,'Data BASE'!$H$13:$H$485,"BS")</f>
        <v>0</v>
      </c>
      <c r="R42" s="73">
        <f>SUMIFS('Data BASE'!S$13:S$485,'Data BASE'!$J$13:$J$485,$B42,'Data BASE'!$H$13:$H$485,"BS")</f>
        <v>0</v>
      </c>
      <c r="S42" s="73">
        <f>SUMIFS('Data BASE'!T$13:T$485,'Data BASE'!$J$13:$J$485,$B42,'Data BASE'!$H$13:$H$485,"BS")</f>
        <v>0</v>
      </c>
      <c r="T42" s="73">
        <f>SUMIFS('Data BASE'!U$13:U$485,'Data BASE'!$J$13:$J$485,$B42,'Data BASE'!$H$13:$H$485,"BS")</f>
        <v>0</v>
      </c>
      <c r="U42" s="73">
        <f>SUMIFS('Data BASE'!V$13:V$485,'Data BASE'!$J$13:$J$485,$B42,'Data BASE'!$H$13:$H$485,"BS")</f>
        <v>0</v>
      </c>
      <c r="V42" s="73">
        <f>SUMIFS('Data BASE'!W$13:W$485,'Data BASE'!$J$13:$J$485,$B42,'Data BASE'!$H$13:$H$485,"BS")</f>
        <v>0</v>
      </c>
      <c r="W42" s="73">
        <f>SUMIFS('Data BASE'!X$13:X$485,'Data BASE'!$J$13:$J$485,$B42,'Data BASE'!$H$13:$H$485,"BS")</f>
        <v>0</v>
      </c>
      <c r="X42" s="73">
        <f>SUMIFS('Data BASE'!Y$13:Y$485,'Data BASE'!$J$13:$J$485,$B42,'Data BASE'!$H$13:$H$485,"BS")</f>
        <v>0</v>
      </c>
      <c r="Y42" s="73">
        <f>SUMIFS('Data BASE'!Z$13:Z$485,'Data BASE'!$J$13:$J$485,$B42,'Data BASE'!$H$13:$H$485,"BS")</f>
        <v>0</v>
      </c>
      <c r="Z42" s="73">
        <f>SUMIFS('Data BASE'!AA$13:AA$485,'Data BASE'!$J$13:$J$485,$B42,'Data BASE'!$H$13:$H$485,"BS")</f>
        <v>0</v>
      </c>
      <c r="AA42" s="73">
        <f>SUMIFS('Data BASE'!AB$13:AB$485,'Data BASE'!$J$13:$J$485,$B42,'Data BASE'!$H$13:$H$485,"BS")</f>
        <v>0</v>
      </c>
      <c r="AB42" s="73">
        <f>SUMIFS('Data BASE'!AC$13:AC$485,'Data BASE'!$J$13:$J$485,$B42,'Data BASE'!$H$13:$H$485,"BS")</f>
        <v>0</v>
      </c>
      <c r="AC42" s="73">
        <f>SUMIFS('Data BASE'!AD$13:AD$485,'Data BASE'!$J$13:$J$485,$B42,'Data BASE'!$H$13:$H$485,"BS")</f>
        <v>0</v>
      </c>
      <c r="AD42" s="73">
        <f>SUMIFS('Data BASE'!AE$13:AE$485,'Data BASE'!$J$13:$J$485,$B42,'Data BASE'!$H$13:$H$485,"BS")</f>
        <v>0</v>
      </c>
      <c r="AE42" s="73">
        <f>SUMIFS('Data BASE'!AF$13:AF$485,'Data BASE'!$J$13:$J$485,$B42,'Data BASE'!$H$13:$H$485,"BS")</f>
        <v>0</v>
      </c>
      <c r="AF42" s="73">
        <f>SUMIFS('Data BASE'!AG$13:AG$485,'Data BASE'!$J$13:$J$485,$B42,'Data BASE'!$H$13:$H$485,"BS")</f>
        <v>0</v>
      </c>
      <c r="AG42" s="73"/>
      <c r="AH42" s="73"/>
      <c r="AI42" s="73"/>
      <c r="AJ42" s="73"/>
      <c r="AK42" s="73"/>
      <c r="AL42" s="73"/>
      <c r="AM42" s="73"/>
      <c r="AN42" s="73"/>
      <c r="AP42" s="73" cm="1">
        <f t="array" ref="AP42">LOOKUP(2,1/(($Q$9:$AN$9=AP$9)*($Q$8:$AN$8=AP$8)),$Q42:$AN42)</f>
        <v>0</v>
      </c>
      <c r="AQ42" s="73" cm="1">
        <f t="array" ref="AQ42">LOOKUP(2,1/(($Q$9:$AN$9=AQ$9)*($Q$8:$AN$8=AQ$8)),$Q42:$AN42)</f>
        <v>0</v>
      </c>
      <c r="AR42" s="73" cm="1">
        <f t="array" ref="AR42">LOOKUP(2,1/(($Q$9:$AN$9=AR$9)*($Q$8:$AN$8=AR$8)),$Q42:$AN42)</f>
        <v>0</v>
      </c>
      <c r="AS42" s="73" cm="1">
        <f t="array" ref="AS42">LOOKUP(2,1/(($Q$9:$AN$9=AS$9)*($Q$8:$AN$8=AS$8)),$Q42:$AN42)</f>
        <v>0</v>
      </c>
      <c r="AT42" s="73" cm="1">
        <f t="array" ref="AT42">LOOKUP(2,1/(($Q$9:$AN$9=AT$9)*($Q$8:$AN$8=AT$8)),$Q42:$AN42)</f>
        <v>0</v>
      </c>
      <c r="AU42" s="73" cm="1">
        <f t="array" ref="AU42">LOOKUP(2,1/(($Q$9:$AN$9=AU$9)*($Q$8:$AN$8=AU$8)),$Q42:$AN42)</f>
        <v>0</v>
      </c>
      <c r="AV42" s="73" cm="1">
        <f t="array" ref="AV42">LOOKUP(2,1/(($Q$9:$AN$9=AV$9)*($Q$8:$AN$8=AV$8)),$Q42:$AN42)</f>
        <v>0</v>
      </c>
      <c r="AW42" s="73" cm="1">
        <f t="array" ref="AW42">LOOKUP(2,1/(($Q$9:$AN$9=AW$9)*($Q$8:$AN$8=AW$8)),$Q42:$AN42)</f>
        <v>0</v>
      </c>
      <c r="AY42" s="73" cm="1">
        <f t="array" ref="AY42">LOOKUP(2,1/(($AP$8:$AW$8=AY$8)*ISNUMBER($AP42:$AW42)),$AP42:$AW42)</f>
        <v>0</v>
      </c>
      <c r="AZ42" s="73" cm="1">
        <f t="array" ref="AZ42">LOOKUP(2,1/(($Q$8:$AN$8=AZ$8)*($Q$10:$AN$10="Actuals")*ISNUMBER($Q42:$AN42)),$Q42:$AN42)</f>
        <v>0</v>
      </c>
      <c r="BB42" s="73" cm="1">
        <f t="array" ref="BB42">LOOKUP(2,1/(($Q$8:$AN$8=BB$8)*($Q$10:$AN$10="Actuals")*ISNUMBER($Q42:$AN42)),$Q42:$AN42)</f>
        <v>0</v>
      </c>
      <c r="BC42" s="73" cm="1">
        <f t="array" ref="BC42">LOOKUP(2,1/(($Q$8:$AN$8=BC$8)*($Q$10:$AN$10="Actuals")*ISNUMBER($Q42:$AN42)),$Q42:$AN42)</f>
        <v>0</v>
      </c>
    </row>
    <row r="43" spans="1:55" hidden="1" outlineLevel="1" x14ac:dyDescent="0.45">
      <c r="A43" s="258"/>
      <c r="B43" s="49" t="s">
        <v>816</v>
      </c>
      <c r="C43" s="437"/>
      <c r="D43" s="187"/>
      <c r="E43" s="187"/>
      <c r="F43" s="187"/>
      <c r="G43" s="187"/>
      <c r="H43" s="187"/>
      <c r="I43" s="187"/>
      <c r="J43" s="187"/>
      <c r="K43" s="187"/>
      <c r="L43" s="187"/>
      <c r="M43" s="187"/>
      <c r="N43" s="187"/>
      <c r="O43" s="187"/>
      <c r="P43" s="187"/>
      <c r="Q43" s="438">
        <f t="shared" ref="Q43:AN43" si="50">SUM(Q31:Q42)</f>
        <v>243501656.72</v>
      </c>
      <c r="R43" s="438">
        <f t="shared" ref="R43:AF43" si="51">SUM(R31:R42)</f>
        <v>238291098.97999996</v>
      </c>
      <c r="S43" s="438">
        <f t="shared" si="51"/>
        <v>272016981.35999995</v>
      </c>
      <c r="T43" s="438">
        <f t="shared" si="51"/>
        <v>310639282.96999991</v>
      </c>
      <c r="U43" s="438">
        <f t="shared" si="51"/>
        <v>392390299.56999993</v>
      </c>
      <c r="V43" s="438">
        <f t="shared" si="51"/>
        <v>494176521.0800001</v>
      </c>
      <c r="W43" s="438">
        <f t="shared" si="51"/>
        <v>431775787.95000005</v>
      </c>
      <c r="X43" s="438">
        <f t="shared" si="51"/>
        <v>434929749.89999998</v>
      </c>
      <c r="Y43" s="438">
        <f t="shared" si="51"/>
        <v>474162899.10000002</v>
      </c>
      <c r="Z43" s="438">
        <f t="shared" si="51"/>
        <v>503851102.12999994</v>
      </c>
      <c r="AA43" s="438">
        <f t="shared" si="51"/>
        <v>553671762.22000015</v>
      </c>
      <c r="AB43" s="438">
        <f t="shared" si="51"/>
        <v>775191560.02999973</v>
      </c>
      <c r="AC43" s="438">
        <f t="shared" si="51"/>
        <v>777009945.81999993</v>
      </c>
      <c r="AD43" s="438">
        <f t="shared" si="51"/>
        <v>794150148.7299999</v>
      </c>
      <c r="AE43" s="438">
        <f t="shared" si="51"/>
        <v>896036608.86000001</v>
      </c>
      <c r="AF43" s="438">
        <f t="shared" si="51"/>
        <v>936571116.01000011</v>
      </c>
      <c r="AG43" s="441">
        <f t="shared" si="50"/>
        <v>0</v>
      </c>
      <c r="AH43" s="441">
        <f t="shared" si="50"/>
        <v>0</v>
      </c>
      <c r="AI43" s="441">
        <f t="shared" si="50"/>
        <v>0</v>
      </c>
      <c r="AJ43" s="441">
        <f t="shared" si="50"/>
        <v>0</v>
      </c>
      <c r="AK43" s="441">
        <f t="shared" si="50"/>
        <v>0</v>
      </c>
      <c r="AL43" s="441">
        <f t="shared" si="50"/>
        <v>0</v>
      </c>
      <c r="AM43" s="441">
        <f t="shared" si="50"/>
        <v>0</v>
      </c>
      <c r="AN43" s="441">
        <f t="shared" si="50"/>
        <v>0</v>
      </c>
      <c r="AP43" s="441">
        <f>SUM(AP31:AP42)</f>
        <v>272016981.35999995</v>
      </c>
      <c r="AQ43" s="441">
        <f t="shared" ref="AP43:AW43" si="52">SUM(AQ31:AQ42)</f>
        <v>494176521.0800001</v>
      </c>
      <c r="AR43" s="441">
        <f t="shared" si="52"/>
        <v>474162899.10000002</v>
      </c>
      <c r="AS43" s="441">
        <f t="shared" si="52"/>
        <v>775191560.02999973</v>
      </c>
      <c r="AT43" s="441">
        <f t="shared" si="52"/>
        <v>896036608.86000001</v>
      </c>
      <c r="AU43" s="441">
        <f t="shared" si="52"/>
        <v>0</v>
      </c>
      <c r="AV43" s="441">
        <f t="shared" si="52"/>
        <v>0</v>
      </c>
      <c r="AW43" s="441">
        <f t="shared" si="52"/>
        <v>0</v>
      </c>
      <c r="AY43" s="441">
        <f>SUM(AY31:AY42)</f>
        <v>775191560.02999973</v>
      </c>
      <c r="AZ43" s="441">
        <f>SUM(AZ31:AZ42)</f>
        <v>936571116.01000011</v>
      </c>
      <c r="BB43" s="441">
        <f>SUM(BB31:BB42)</f>
        <v>310639282.96999991</v>
      </c>
      <c r="BC43" s="441">
        <f>SUM(BC31:BC42)</f>
        <v>936571116.01000011</v>
      </c>
    </row>
    <row r="44" spans="1:55" hidden="1" outlineLevel="1" x14ac:dyDescent="0.45">
      <c r="A44" s="258"/>
      <c r="B44" s="72"/>
      <c r="C44" s="72"/>
      <c r="D44" s="186"/>
      <c r="E44" s="186"/>
      <c r="F44" s="186"/>
      <c r="G44" s="186"/>
      <c r="H44" s="186"/>
      <c r="I44" s="186"/>
      <c r="J44" s="186"/>
      <c r="K44" s="186"/>
      <c r="L44" s="186"/>
      <c r="M44" s="186"/>
      <c r="N44" s="186"/>
      <c r="O44" s="186"/>
      <c r="P44" s="186"/>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P44" s="73"/>
      <c r="AQ44" s="73"/>
      <c r="AR44" s="73"/>
      <c r="AS44" s="73"/>
      <c r="AT44" s="73"/>
      <c r="AU44" s="73"/>
      <c r="AV44" s="73"/>
      <c r="AW44" s="73"/>
      <c r="AY44" s="73"/>
      <c r="AZ44" s="73"/>
      <c r="BB44" s="73"/>
      <c r="BC44" s="73"/>
    </row>
    <row r="45" spans="1:55" hidden="1" outlineLevel="2" x14ac:dyDescent="0.45">
      <c r="A45" s="258"/>
      <c r="B45" s="72" t="s">
        <v>781</v>
      </c>
      <c r="C45" s="72"/>
      <c r="D45" s="186"/>
      <c r="E45" s="186"/>
      <c r="F45" s="186"/>
      <c r="G45" s="186"/>
      <c r="H45" s="186"/>
      <c r="I45" s="186"/>
      <c r="J45" s="186"/>
      <c r="K45" s="186"/>
      <c r="L45" s="186"/>
      <c r="M45" s="186"/>
      <c r="N45" s="186"/>
      <c r="O45" s="186"/>
      <c r="P45" s="186"/>
      <c r="Q45" s="73">
        <f>-SUMIFS('Data BASE'!R$13:R$485,'Data BASE'!$J$13:$J$485,$B45,'Data BASE'!$H$13:$H$485,"BS")</f>
        <v>0</v>
      </c>
      <c r="R45" s="73">
        <f>-SUMIFS('Data BASE'!S$13:S$485,'Data BASE'!$J$13:$J$485,$B45,'Data BASE'!$H$13:$H$485,"BS")</f>
        <v>0</v>
      </c>
      <c r="S45" s="73">
        <f>-SUMIFS('Data BASE'!T$13:T$485,'Data BASE'!$J$13:$J$485,$B45,'Data BASE'!$H$13:$H$485,"BS")</f>
        <v>0</v>
      </c>
      <c r="T45" s="73">
        <f>-SUMIFS('Data BASE'!U$13:U$485,'Data BASE'!$J$13:$J$485,$B45,'Data BASE'!$H$13:$H$485,"BS")</f>
        <v>0</v>
      </c>
      <c r="U45" s="73">
        <f>-SUMIFS('Data BASE'!V$13:V$485,'Data BASE'!$J$13:$J$485,$B45,'Data BASE'!$H$13:$H$485,"BS")</f>
        <v>0</v>
      </c>
      <c r="V45" s="73">
        <f>-SUMIFS('Data BASE'!W$13:W$485,'Data BASE'!$J$13:$J$485,$B45,'Data BASE'!$H$13:$H$485,"BS")</f>
        <v>98023550</v>
      </c>
      <c r="W45" s="73">
        <f>-SUMIFS('Data BASE'!X$13:X$485,'Data BASE'!$J$13:$J$485,$B45,'Data BASE'!$H$13:$H$485,"BS")</f>
        <v>99654896.189999998</v>
      </c>
      <c r="X45" s="73">
        <f>-SUMIFS('Data BASE'!Y$13:Y$485,'Data BASE'!$J$13:$J$485,$B45,'Data BASE'!$H$13:$H$485,"BS")</f>
        <v>101341242.38</v>
      </c>
      <c r="Y45" s="73">
        <f>-SUMIFS('Data BASE'!Z$13:Z$485,'Data BASE'!$J$13:$J$485,$B45,'Data BASE'!$H$13:$H$485,"BS")</f>
        <v>103531259.23</v>
      </c>
      <c r="Z45" s="73">
        <f>-SUMIFS('Data BASE'!AA$13:AA$485,'Data BASE'!$J$13:$J$485,$B45,'Data BASE'!$H$13:$H$485,"BS")</f>
        <v>100246792.2</v>
      </c>
      <c r="AA45" s="73">
        <f>-SUMIFS('Data BASE'!AB$13:AB$485,'Data BASE'!$J$13:$J$485,$B45,'Data BASE'!$H$13:$H$485,"BS")</f>
        <v>101871837</v>
      </c>
      <c r="AB45" s="73">
        <f>-SUMIFS('Data BASE'!AC$13:AC$485,'Data BASE'!$J$13:$J$485,$B45,'Data BASE'!$H$13:$H$485,"BS")</f>
        <v>99545094</v>
      </c>
      <c r="AC45" s="73">
        <f>-SUMIFS('Data BASE'!AD$13:AD$485,'Data BASE'!$J$13:$J$485,$B45,'Data BASE'!$H$13:$H$485,"BS")</f>
        <v>100852551.09999999</v>
      </c>
      <c r="AD45" s="73">
        <f>-SUMIFS('Data BASE'!AE$13:AE$485,'Data BASE'!$J$13:$J$485,$B45,'Data BASE'!$H$13:$H$485,"BS")</f>
        <v>102382720.90000001</v>
      </c>
      <c r="AE45" s="73">
        <f>-SUMIFS('Data BASE'!AF$13:AF$485,'Data BASE'!$J$13:$J$485,$B45,'Data BASE'!$H$13:$H$485,"BS")</f>
        <v>100150853.40000001</v>
      </c>
      <c r="AF45" s="73">
        <f>-SUMIFS('Data BASE'!AG$13:AG$485,'Data BASE'!$J$13:$J$485,$B45,'Data BASE'!$H$13:$H$485,"BS")</f>
        <v>101775898.2</v>
      </c>
      <c r="AG45" s="73"/>
      <c r="AH45" s="73"/>
      <c r="AI45" s="73"/>
      <c r="AJ45" s="73"/>
      <c r="AK45" s="73"/>
      <c r="AL45" s="73"/>
      <c r="AM45" s="73"/>
      <c r="AN45" s="73"/>
      <c r="AP45" s="73" cm="1">
        <f t="array" ref="AP45">LOOKUP(2,1/(($Q$9:$AN$9=AP$9)*($Q$8:$AN$8=AP$8)),$Q45:$AN45)</f>
        <v>0</v>
      </c>
      <c r="AQ45" s="73" cm="1">
        <f t="array" ref="AQ45">LOOKUP(2,1/(($Q$9:$AN$9=AQ$9)*($Q$8:$AN$8=AQ$8)),$Q45:$AN45)</f>
        <v>98023550</v>
      </c>
      <c r="AR45" s="73" cm="1">
        <f t="array" ref="AR45">LOOKUP(2,1/(($Q$9:$AN$9=AR$9)*($Q$8:$AN$8=AR$8)),$Q45:$AN45)</f>
        <v>103531259.23</v>
      </c>
      <c r="AS45" s="73" cm="1">
        <f t="array" ref="AS45">LOOKUP(2,1/(($Q$9:$AN$9=AS$9)*($Q$8:$AN$8=AS$8)),$Q45:$AN45)</f>
        <v>99545094</v>
      </c>
      <c r="AT45" s="73" cm="1">
        <f t="array" ref="AT45">LOOKUP(2,1/(($Q$9:$AN$9=AT$9)*($Q$8:$AN$8=AT$8)),$Q45:$AN45)</f>
        <v>100150853.40000001</v>
      </c>
      <c r="AU45" s="73" cm="1">
        <f t="array" ref="AU45">LOOKUP(2,1/(($Q$9:$AN$9=AU$9)*($Q$8:$AN$8=AU$8)),$Q45:$AN45)</f>
        <v>0</v>
      </c>
      <c r="AV45" s="73" cm="1">
        <f t="array" ref="AV45">LOOKUP(2,1/(($Q$9:$AN$9=AV$9)*($Q$8:$AN$8=AV$8)),$Q45:$AN45)</f>
        <v>0</v>
      </c>
      <c r="AW45" s="73" cm="1">
        <f t="array" ref="AW45">LOOKUP(2,1/(($Q$9:$AN$9=AW$9)*($Q$8:$AN$8=AW$8)),$Q45:$AN45)</f>
        <v>0</v>
      </c>
      <c r="AY45" s="73" cm="1">
        <f t="array" ref="AY45">LOOKUP(2,1/(($AP$8:$AW$8=AY$8)*ISNUMBER($AP45:$AW45)),$AP45:$AW45)</f>
        <v>99545094</v>
      </c>
      <c r="AZ45" s="73" cm="1">
        <f t="array" ref="AZ45">LOOKUP(2,1/(($Q$8:$AN$8=AZ$8)*($Q$10:$AN$10="Actuals")*ISNUMBER($Q45:$AN45)),$Q45:$AN45)</f>
        <v>101775898.2</v>
      </c>
      <c r="BB45" s="73" cm="1">
        <f t="array" ref="BB45">LOOKUP(2,1/(($Q$8:$AN$8=BB$8)*($Q$10:$AN$10="Actuals")*ISNUMBER($Q45:$AN45)),$Q45:$AN45)</f>
        <v>0</v>
      </c>
      <c r="BC45" s="73" cm="1">
        <f t="array" ref="BC45">LOOKUP(2,1/(($Q$8:$AN$8=BC$8)*($Q$10:$AN$10="Actuals")*ISNUMBER($Q45:$AN45)),$Q45:$AN45)</f>
        <v>101775898.2</v>
      </c>
    </row>
    <row r="46" spans="1:55" hidden="1" outlineLevel="2" x14ac:dyDescent="0.45">
      <c r="A46" s="258"/>
      <c r="B46" s="72" t="s">
        <v>180</v>
      </c>
      <c r="C46" s="72"/>
      <c r="D46" s="186"/>
      <c r="E46" s="186"/>
      <c r="F46" s="186"/>
      <c r="G46" s="186"/>
      <c r="H46" s="186"/>
      <c r="I46" s="186"/>
      <c r="J46" s="186"/>
      <c r="K46" s="186"/>
      <c r="L46" s="186"/>
      <c r="M46" s="186"/>
      <c r="N46" s="186"/>
      <c r="O46" s="186"/>
      <c r="P46" s="186"/>
      <c r="Q46" s="73">
        <f>-SUMIFS('Data BASE'!R$13:R$485,'Data BASE'!$J$13:$J$485,$B46,'Data BASE'!$H$13:$H$485,"BS")</f>
        <v>86407995.540000007</v>
      </c>
      <c r="R46" s="73">
        <f>-SUMIFS('Data BASE'!S$13:S$485,'Data BASE'!$J$13:$J$485,$B46,'Data BASE'!$H$13:$H$485,"BS")</f>
        <v>77365458.290000007</v>
      </c>
      <c r="S46" s="73">
        <f>-SUMIFS('Data BASE'!T$13:T$485,'Data BASE'!$J$13:$J$485,$B46,'Data BASE'!$H$13:$H$485,"BS")</f>
        <v>85649743.360000014</v>
      </c>
      <c r="T46" s="73">
        <f>-SUMIFS('Data BASE'!U$13:U$485,'Data BASE'!$J$13:$J$485,$B46,'Data BASE'!$H$13:$H$485,"BS")</f>
        <v>75884245.36999999</v>
      </c>
      <c r="U46" s="73">
        <f>-SUMIFS('Data BASE'!V$13:V$485,'Data BASE'!$J$13:$J$485,$B46,'Data BASE'!$H$13:$H$485,"BS")</f>
        <v>93287973.019999996</v>
      </c>
      <c r="V46" s="73">
        <f>-SUMIFS('Data BASE'!W$13:W$485,'Data BASE'!$J$13:$J$485,$B46,'Data BASE'!$H$13:$H$485,"BS")</f>
        <v>102139993.81999999</v>
      </c>
      <c r="W46" s="73">
        <f>-SUMIFS('Data BASE'!X$13:X$485,'Data BASE'!$J$13:$J$485,$B46,'Data BASE'!$H$13:$H$485,"BS")</f>
        <v>39017059.299999997</v>
      </c>
      <c r="X46" s="73">
        <f>-SUMIFS('Data BASE'!Y$13:Y$485,'Data BASE'!$J$13:$J$485,$B46,'Data BASE'!$H$13:$H$485,"BS")</f>
        <v>49058068.079999998</v>
      </c>
      <c r="Y46" s="73">
        <f>-SUMIFS('Data BASE'!Z$13:Z$485,'Data BASE'!$J$13:$J$485,$B46,'Data BASE'!$H$13:$H$485,"BS")</f>
        <v>39088601.869999997</v>
      </c>
      <c r="Z46" s="73">
        <f>-SUMIFS('Data BASE'!AA$13:AA$485,'Data BASE'!$J$13:$J$485,$B46,'Data BASE'!$H$13:$H$485,"BS")</f>
        <v>26825313.680000003</v>
      </c>
      <c r="AA46" s="73">
        <f>-SUMIFS('Data BASE'!AB$13:AB$485,'Data BASE'!$J$13:$J$485,$B46,'Data BASE'!$H$13:$H$485,"BS")</f>
        <v>15499539.449999999</v>
      </c>
      <c r="AB46" s="73">
        <f>-SUMIFS('Data BASE'!AC$13:AC$485,'Data BASE'!$J$13:$J$485,$B46,'Data BASE'!$H$13:$H$485,"BS")</f>
        <v>38684925.779999994</v>
      </c>
      <c r="AC46" s="73">
        <f>-SUMIFS('Data BASE'!AD$13:AD$485,'Data BASE'!$J$13:$J$485,$B46,'Data BASE'!$H$13:$H$485,"BS")</f>
        <v>39661490.099999994</v>
      </c>
      <c r="AD46" s="73">
        <f>-SUMIFS('Data BASE'!AE$13:AE$485,'Data BASE'!$J$13:$J$485,$B46,'Data BASE'!$H$13:$H$485,"BS")</f>
        <v>21976848.610000003</v>
      </c>
      <c r="AE46" s="73">
        <f>-SUMIFS('Data BASE'!AF$13:AF$485,'Data BASE'!$J$13:$J$485,$B46,'Data BASE'!$H$13:$H$485,"BS")</f>
        <v>11704641.119999999</v>
      </c>
      <c r="AF46" s="73">
        <f>-SUMIFS('Data BASE'!AG$13:AG$485,'Data BASE'!$J$13:$J$485,$B46,'Data BASE'!$H$13:$H$485,"BS")</f>
        <v>4044461.17</v>
      </c>
      <c r="AG46" s="73"/>
      <c r="AH46" s="73"/>
      <c r="AI46" s="73"/>
      <c r="AJ46" s="73"/>
      <c r="AK46" s="73"/>
      <c r="AL46" s="73"/>
      <c r="AM46" s="73"/>
      <c r="AN46" s="73"/>
      <c r="AP46" s="73" cm="1">
        <f t="array" ref="AP46">LOOKUP(2,1/(($Q$9:$AN$9=AP$9)*($Q$8:$AN$8=AP$8)),$Q46:$AN46)</f>
        <v>85649743.360000014</v>
      </c>
      <c r="AQ46" s="73" cm="1">
        <f t="array" ref="AQ46">LOOKUP(2,1/(($Q$9:$AN$9=AQ$9)*($Q$8:$AN$8=AQ$8)),$Q46:$AN46)</f>
        <v>102139993.81999999</v>
      </c>
      <c r="AR46" s="73" cm="1">
        <f t="array" ref="AR46">LOOKUP(2,1/(($Q$9:$AN$9=AR$9)*($Q$8:$AN$8=AR$8)),$Q46:$AN46)</f>
        <v>39088601.869999997</v>
      </c>
      <c r="AS46" s="73" cm="1">
        <f t="array" ref="AS46">LOOKUP(2,1/(($Q$9:$AN$9=AS$9)*($Q$8:$AN$8=AS$8)),$Q46:$AN46)</f>
        <v>38684925.779999994</v>
      </c>
      <c r="AT46" s="73" cm="1">
        <f t="array" ref="AT46">LOOKUP(2,1/(($Q$9:$AN$9=AT$9)*($Q$8:$AN$8=AT$8)),$Q46:$AN46)</f>
        <v>11704641.119999999</v>
      </c>
      <c r="AU46" s="73" cm="1">
        <f t="array" ref="AU46">LOOKUP(2,1/(($Q$9:$AN$9=AU$9)*($Q$8:$AN$8=AU$8)),$Q46:$AN46)</f>
        <v>0</v>
      </c>
      <c r="AV46" s="73" cm="1">
        <f t="array" ref="AV46">LOOKUP(2,1/(($Q$9:$AN$9=AV$9)*($Q$8:$AN$8=AV$8)),$Q46:$AN46)</f>
        <v>0</v>
      </c>
      <c r="AW46" s="73" cm="1">
        <f t="array" ref="AW46">LOOKUP(2,1/(($Q$9:$AN$9=AW$9)*($Q$8:$AN$8=AW$8)),$Q46:$AN46)</f>
        <v>0</v>
      </c>
      <c r="AY46" s="73" cm="1">
        <f t="array" ref="AY46">LOOKUP(2,1/(($AP$8:$AW$8=AY$8)*ISNUMBER($AP46:$AW46)),$AP46:$AW46)</f>
        <v>38684925.779999994</v>
      </c>
      <c r="AZ46" s="73" cm="1">
        <f t="array" ref="AZ46">LOOKUP(2,1/(($Q$8:$AN$8=AZ$8)*($Q$10:$AN$10="Actuals")*ISNUMBER($Q46:$AN46)),$Q46:$AN46)</f>
        <v>4044461.17</v>
      </c>
      <c r="BB46" s="73" cm="1">
        <f t="array" ref="BB46">LOOKUP(2,1/(($Q$8:$AN$8=BB$8)*($Q$10:$AN$10="Actuals")*ISNUMBER($Q46:$AN46)),$Q46:$AN46)</f>
        <v>75884245.36999999</v>
      </c>
      <c r="BC46" s="73" cm="1">
        <f t="array" ref="BC46">LOOKUP(2,1/(($Q$8:$AN$8=BC$8)*($Q$10:$AN$10="Actuals")*ISNUMBER($Q46:$AN46)),$Q46:$AN46)</f>
        <v>4044461.17</v>
      </c>
    </row>
    <row r="47" spans="1:55" hidden="1" outlineLevel="2" x14ac:dyDescent="0.45">
      <c r="A47" s="258"/>
      <c r="B47" s="72" t="s">
        <v>156</v>
      </c>
      <c r="C47" s="72"/>
      <c r="D47" s="186"/>
      <c r="E47" s="186"/>
      <c r="F47" s="186"/>
      <c r="G47" s="186"/>
      <c r="H47" s="186"/>
      <c r="I47" s="186"/>
      <c r="J47" s="186"/>
      <c r="K47" s="186"/>
      <c r="L47" s="186"/>
      <c r="M47" s="186"/>
      <c r="N47" s="186"/>
      <c r="O47" s="186"/>
      <c r="P47" s="186"/>
      <c r="Q47" s="73">
        <f>-SUMIFS('Data BASE'!R$13:R$485,'Data BASE'!$J$13:$J$485,$B47,'Data BASE'!$H$13:$H$485,"BS")</f>
        <v>73734757.680000007</v>
      </c>
      <c r="R47" s="73">
        <f>-SUMIFS('Data BASE'!S$13:S$485,'Data BASE'!$J$13:$J$485,$B47,'Data BASE'!$H$13:$H$485,"BS")</f>
        <v>73847996.420000002</v>
      </c>
      <c r="S47" s="73">
        <f>-SUMIFS('Data BASE'!T$13:T$485,'Data BASE'!$J$13:$J$485,$B47,'Data BASE'!$H$13:$H$485,"BS")</f>
        <v>72417597.359999999</v>
      </c>
      <c r="T47" s="73">
        <f>-SUMIFS('Data BASE'!U$13:U$485,'Data BASE'!$J$13:$J$485,$B47,'Data BASE'!$H$13:$H$485,"BS")</f>
        <v>127555044.57000002</v>
      </c>
      <c r="U47" s="73">
        <f>-SUMIFS('Data BASE'!V$13:V$485,'Data BASE'!$J$13:$J$485,$B47,'Data BASE'!$H$13:$H$485,"BS")</f>
        <v>126939557.17999999</v>
      </c>
      <c r="V47" s="73">
        <f>-SUMIFS('Data BASE'!W$13:W$485,'Data BASE'!$J$13:$J$485,$B47,'Data BASE'!$H$13:$H$485,"BS")</f>
        <v>126313896.05000001</v>
      </c>
      <c r="W47" s="73">
        <f>-SUMIFS('Data BASE'!X$13:X$485,'Data BASE'!$J$13:$J$485,$B47,'Data BASE'!$H$13:$H$485,"BS")</f>
        <v>138107036.66</v>
      </c>
      <c r="X47" s="73">
        <f>-SUMIFS('Data BASE'!Y$13:Y$485,'Data BASE'!$J$13:$J$485,$B47,'Data BASE'!$H$13:$H$485,"BS")</f>
        <v>137442060.80000001</v>
      </c>
      <c r="Y47" s="73">
        <f>-SUMIFS('Data BASE'!Z$13:Z$485,'Data BASE'!$J$13:$J$485,$B47,'Data BASE'!$H$13:$H$485,"BS")</f>
        <v>136977888.07000002</v>
      </c>
      <c r="Z47" s="73">
        <f>-SUMIFS('Data BASE'!AA$13:AA$485,'Data BASE'!$J$13:$J$485,$B47,'Data BASE'!$H$13:$H$485,"BS")</f>
        <v>137543616.69999999</v>
      </c>
      <c r="AA47" s="73">
        <f>-SUMIFS('Data BASE'!AB$13:AB$485,'Data BASE'!$J$13:$J$485,$B47,'Data BASE'!$H$13:$H$485,"BS")</f>
        <v>155414504.03</v>
      </c>
      <c r="AB47" s="73">
        <f>-SUMIFS('Data BASE'!AC$13:AC$485,'Data BASE'!$J$13:$J$485,$B47,'Data BASE'!$H$13:$H$485,"BS")</f>
        <v>320123543.46000004</v>
      </c>
      <c r="AC47" s="73">
        <f>-SUMIFS('Data BASE'!AD$13:AD$485,'Data BASE'!$J$13:$J$485,$B47,'Data BASE'!$H$13:$H$485,"BS")</f>
        <v>329123594.75999999</v>
      </c>
      <c r="AD47" s="73">
        <f>-SUMIFS('Data BASE'!AE$13:AE$485,'Data BASE'!$J$13:$J$485,$B47,'Data BASE'!$H$13:$H$485,"BS")</f>
        <v>329104898.5200001</v>
      </c>
      <c r="AE47" s="73">
        <f>-SUMIFS('Data BASE'!AF$13:AF$485,'Data BASE'!$J$13:$J$485,$B47,'Data BASE'!$H$13:$H$485,"BS")</f>
        <v>388031073.51999992</v>
      </c>
      <c r="AF47" s="73">
        <f>-SUMIFS('Data BASE'!AG$13:AG$485,'Data BASE'!$J$13:$J$485,$B47,'Data BASE'!$H$13:$H$485,"BS")</f>
        <v>389453941.25</v>
      </c>
      <c r="AG47" s="73"/>
      <c r="AH47" s="73"/>
      <c r="AI47" s="73"/>
      <c r="AJ47" s="73"/>
      <c r="AK47" s="73"/>
      <c r="AL47" s="73"/>
      <c r="AM47" s="73"/>
      <c r="AN47" s="73"/>
      <c r="AP47" s="73" cm="1">
        <f t="array" ref="AP47">LOOKUP(2,1/(($Q$9:$AN$9=AP$9)*($Q$8:$AN$8=AP$8)),$Q47:$AN47)</f>
        <v>72417597.359999999</v>
      </c>
      <c r="AQ47" s="73" cm="1">
        <f t="array" ref="AQ47">LOOKUP(2,1/(($Q$9:$AN$9=AQ$9)*($Q$8:$AN$8=AQ$8)),$Q47:$AN47)</f>
        <v>126313896.05000001</v>
      </c>
      <c r="AR47" s="73" cm="1">
        <f t="array" ref="AR47">LOOKUP(2,1/(($Q$9:$AN$9=AR$9)*($Q$8:$AN$8=AR$8)),$Q47:$AN47)</f>
        <v>136977888.07000002</v>
      </c>
      <c r="AS47" s="73" cm="1">
        <f t="array" ref="AS47">LOOKUP(2,1/(($Q$9:$AN$9=AS$9)*($Q$8:$AN$8=AS$8)),$Q47:$AN47)</f>
        <v>320123543.46000004</v>
      </c>
      <c r="AT47" s="73" cm="1">
        <f t="array" ref="AT47">LOOKUP(2,1/(($Q$9:$AN$9=AT$9)*($Q$8:$AN$8=AT$8)),$Q47:$AN47)</f>
        <v>388031073.51999992</v>
      </c>
      <c r="AU47" s="73" cm="1">
        <f t="array" ref="AU47">LOOKUP(2,1/(($Q$9:$AN$9=AU$9)*($Q$8:$AN$8=AU$8)),$Q47:$AN47)</f>
        <v>0</v>
      </c>
      <c r="AV47" s="73" cm="1">
        <f t="array" ref="AV47">LOOKUP(2,1/(($Q$9:$AN$9=AV$9)*($Q$8:$AN$8=AV$8)),$Q47:$AN47)</f>
        <v>0</v>
      </c>
      <c r="AW47" s="73" cm="1">
        <f t="array" ref="AW47">LOOKUP(2,1/(($Q$9:$AN$9=AW$9)*($Q$8:$AN$8=AW$8)),$Q47:$AN47)</f>
        <v>0</v>
      </c>
      <c r="AY47" s="73" cm="1">
        <f t="array" ref="AY47">LOOKUP(2,1/(($AP$8:$AW$8=AY$8)*ISNUMBER($AP47:$AW47)),$AP47:$AW47)</f>
        <v>320123543.46000004</v>
      </c>
      <c r="AZ47" s="73" cm="1">
        <f t="array" ref="AZ47">LOOKUP(2,1/(($Q$8:$AN$8=AZ$8)*($Q$10:$AN$10="Actuals")*ISNUMBER($Q47:$AN47)),$Q47:$AN47)</f>
        <v>389453941.25</v>
      </c>
      <c r="BB47" s="73" cm="1">
        <f t="array" ref="BB47">LOOKUP(2,1/(($Q$8:$AN$8=BB$8)*($Q$10:$AN$10="Actuals")*ISNUMBER($Q47:$AN47)),$Q47:$AN47)</f>
        <v>127555044.57000002</v>
      </c>
      <c r="BC47" s="73" cm="1">
        <f t="array" ref="BC47">LOOKUP(2,1/(($Q$8:$AN$8=BC$8)*($Q$10:$AN$10="Actuals")*ISNUMBER($Q47:$AN47)),$Q47:$AN47)</f>
        <v>389453941.25</v>
      </c>
    </row>
    <row r="48" spans="1:55" hidden="1" outlineLevel="2" x14ac:dyDescent="0.45">
      <c r="A48" s="258"/>
      <c r="B48" s="72" t="s">
        <v>197</v>
      </c>
      <c r="C48" s="72"/>
      <c r="D48" s="186"/>
      <c r="E48" s="186"/>
      <c r="F48" s="186"/>
      <c r="G48" s="186"/>
      <c r="H48" s="186"/>
      <c r="I48" s="186"/>
      <c r="J48" s="186"/>
      <c r="K48" s="186"/>
      <c r="L48" s="186"/>
      <c r="M48" s="186"/>
      <c r="N48" s="186"/>
      <c r="O48" s="186"/>
      <c r="P48" s="186"/>
      <c r="Q48" s="73">
        <f>-SUMIFS('Data BASE'!R$13:R$485,'Data BASE'!$J$13:$J$485,$B48,'Data BASE'!$H$13:$H$485,"BS")</f>
        <v>14592146.050000001</v>
      </c>
      <c r="R48" s="73">
        <f>-SUMIFS('Data BASE'!S$13:S$485,'Data BASE'!$J$13:$J$485,$B48,'Data BASE'!$H$13:$H$485,"BS")</f>
        <v>17489738.91</v>
      </c>
      <c r="S48" s="73">
        <f>-SUMIFS('Data BASE'!T$13:T$485,'Data BASE'!$J$13:$J$485,$B48,'Data BASE'!$H$13:$H$485,"BS")</f>
        <v>17168859.919999998</v>
      </c>
      <c r="T48" s="73">
        <f>-SUMIFS('Data BASE'!U$13:U$485,'Data BASE'!$J$13:$J$485,$B48,'Data BASE'!$H$13:$H$485,"BS")</f>
        <v>16032031.189999999</v>
      </c>
      <c r="U48" s="73">
        <f>-SUMIFS('Data BASE'!V$13:V$485,'Data BASE'!$J$13:$J$485,$B48,'Data BASE'!$H$13:$H$485,"BS")</f>
        <v>12300511.939999999</v>
      </c>
      <c r="V48" s="73">
        <f>-SUMIFS('Data BASE'!W$13:W$485,'Data BASE'!$J$13:$J$485,$B48,'Data BASE'!$H$13:$H$485,"BS")</f>
        <v>9395860.129999999</v>
      </c>
      <c r="W48" s="73">
        <f>-SUMIFS('Data BASE'!X$13:X$485,'Data BASE'!$J$13:$J$485,$B48,'Data BASE'!$H$13:$H$485,"BS")</f>
        <v>4416641.49</v>
      </c>
      <c r="X48" s="73">
        <f>-SUMIFS('Data BASE'!Y$13:Y$485,'Data BASE'!$J$13:$J$485,$B48,'Data BASE'!$H$13:$H$485,"BS")</f>
        <v>5167040.82</v>
      </c>
      <c r="Y48" s="73">
        <f>-SUMIFS('Data BASE'!Z$13:Z$485,'Data BASE'!$J$13:$J$485,$B48,'Data BASE'!$H$13:$H$485,"BS")</f>
        <v>8839836.1699999999</v>
      </c>
      <c r="Z48" s="73">
        <f>-SUMIFS('Data BASE'!AA$13:AA$485,'Data BASE'!$J$13:$J$485,$B48,'Data BASE'!$H$13:$H$485,"BS")</f>
        <v>9411972.7599999998</v>
      </c>
      <c r="AA48" s="73">
        <f>-SUMIFS('Data BASE'!AB$13:AB$485,'Data BASE'!$J$13:$J$485,$B48,'Data BASE'!$H$13:$H$485,"BS")</f>
        <v>9232148.6400000006</v>
      </c>
      <c r="AB48" s="73">
        <f>-SUMIFS('Data BASE'!AC$13:AC$485,'Data BASE'!$J$13:$J$485,$B48,'Data BASE'!$H$13:$H$485,"BS")</f>
        <v>15497576.65</v>
      </c>
      <c r="AC48" s="73">
        <f>-SUMIFS('Data BASE'!AD$13:AD$485,'Data BASE'!$J$13:$J$485,$B48,'Data BASE'!$H$13:$H$485,"BS")</f>
        <v>9296494.8800000008</v>
      </c>
      <c r="AD48" s="73">
        <f>-SUMIFS('Data BASE'!AE$13:AE$485,'Data BASE'!$J$13:$J$485,$B48,'Data BASE'!$H$13:$H$485,"BS")</f>
        <v>12901111.140000002</v>
      </c>
      <c r="AE48" s="73">
        <f>-SUMIFS('Data BASE'!AF$13:AF$485,'Data BASE'!$J$13:$J$485,$B48,'Data BASE'!$H$13:$H$485,"BS")</f>
        <v>11921680.32</v>
      </c>
      <c r="AF48" s="73">
        <f>-SUMIFS('Data BASE'!AG$13:AG$485,'Data BASE'!$J$13:$J$485,$B48,'Data BASE'!$H$13:$H$485,"BS")</f>
        <v>19193361</v>
      </c>
      <c r="AG48" s="73"/>
      <c r="AH48" s="73"/>
      <c r="AI48" s="73"/>
      <c r="AJ48" s="73"/>
      <c r="AK48" s="73"/>
      <c r="AL48" s="73"/>
      <c r="AM48" s="73"/>
      <c r="AN48" s="73"/>
      <c r="AP48" s="73" cm="1">
        <f t="array" ref="AP48">LOOKUP(2,1/(($Q$9:$AN$9=AP$9)*($Q$8:$AN$8=AP$8)),$Q48:$AN48)</f>
        <v>17168859.919999998</v>
      </c>
      <c r="AQ48" s="73" cm="1">
        <f t="array" ref="AQ48">LOOKUP(2,1/(($Q$9:$AN$9=AQ$9)*($Q$8:$AN$8=AQ$8)),$Q48:$AN48)</f>
        <v>9395860.129999999</v>
      </c>
      <c r="AR48" s="73" cm="1">
        <f t="array" ref="AR48">LOOKUP(2,1/(($Q$9:$AN$9=AR$9)*($Q$8:$AN$8=AR$8)),$Q48:$AN48)</f>
        <v>8839836.1699999999</v>
      </c>
      <c r="AS48" s="73" cm="1">
        <f t="array" ref="AS48">LOOKUP(2,1/(($Q$9:$AN$9=AS$9)*($Q$8:$AN$8=AS$8)),$Q48:$AN48)</f>
        <v>15497576.65</v>
      </c>
      <c r="AT48" s="73" cm="1">
        <f t="array" ref="AT48">LOOKUP(2,1/(($Q$9:$AN$9=AT$9)*($Q$8:$AN$8=AT$8)),$Q48:$AN48)</f>
        <v>11921680.32</v>
      </c>
      <c r="AU48" s="73" cm="1">
        <f t="array" ref="AU48">LOOKUP(2,1/(($Q$9:$AN$9=AU$9)*($Q$8:$AN$8=AU$8)),$Q48:$AN48)</f>
        <v>0</v>
      </c>
      <c r="AV48" s="73" cm="1">
        <f t="array" ref="AV48">LOOKUP(2,1/(($Q$9:$AN$9=AV$9)*($Q$8:$AN$8=AV$8)),$Q48:$AN48)</f>
        <v>0</v>
      </c>
      <c r="AW48" s="73" cm="1">
        <f t="array" ref="AW48">LOOKUP(2,1/(($Q$9:$AN$9=AW$9)*($Q$8:$AN$8=AW$8)),$Q48:$AN48)</f>
        <v>0</v>
      </c>
      <c r="AY48" s="73" cm="1">
        <f t="array" ref="AY48">LOOKUP(2,1/(($AP$8:$AW$8=AY$8)*ISNUMBER($AP48:$AW48)),$AP48:$AW48)</f>
        <v>15497576.65</v>
      </c>
      <c r="AZ48" s="73" cm="1">
        <f t="array" ref="AZ48">LOOKUP(2,1/(($Q$8:$AN$8=AZ$8)*($Q$10:$AN$10="Actuals")*ISNUMBER($Q48:$AN48)),$Q48:$AN48)</f>
        <v>19193361</v>
      </c>
      <c r="BB48" s="73" cm="1">
        <f t="array" ref="BB48">LOOKUP(2,1/(($Q$8:$AN$8=BB$8)*($Q$10:$AN$10="Actuals")*ISNUMBER($Q48:$AN48)),$Q48:$AN48)</f>
        <v>16032031.189999999</v>
      </c>
      <c r="BC48" s="73" cm="1">
        <f t="array" ref="BC48">LOOKUP(2,1/(($Q$8:$AN$8=BC$8)*($Q$10:$AN$10="Actuals")*ISNUMBER($Q48:$AN48)),$Q48:$AN48)</f>
        <v>19193361</v>
      </c>
    </row>
    <row r="49" spans="1:55" hidden="1" outlineLevel="2" x14ac:dyDescent="0.45">
      <c r="A49" s="258"/>
      <c r="B49" s="72" t="s">
        <v>143</v>
      </c>
      <c r="C49" s="72"/>
      <c r="D49" s="186"/>
      <c r="E49" s="186"/>
      <c r="F49" s="186"/>
      <c r="G49" s="186"/>
      <c r="H49" s="186"/>
      <c r="I49" s="186"/>
      <c r="J49" s="186"/>
      <c r="K49" s="186"/>
      <c r="L49" s="186"/>
      <c r="M49" s="186"/>
      <c r="N49" s="186"/>
      <c r="O49" s="186"/>
      <c r="P49" s="186"/>
      <c r="Q49" s="73">
        <f>-SUMIFS('Data BASE'!R$13:R$485,'Data BASE'!$J$13:$J$485,$B49,'Data BASE'!$H$13:$H$485,"BS")</f>
        <v>10449881.419999998</v>
      </c>
      <c r="R49" s="73">
        <f>-SUMIFS('Data BASE'!S$13:S$485,'Data BASE'!$J$13:$J$485,$B49,'Data BASE'!$H$13:$H$485,"BS")</f>
        <v>12254548.100000001</v>
      </c>
      <c r="S49" s="73">
        <f>-SUMIFS('Data BASE'!T$13:T$485,'Data BASE'!$J$13:$J$485,$B49,'Data BASE'!$H$13:$H$485,"BS")</f>
        <v>19382324.690000001</v>
      </c>
      <c r="T49" s="73">
        <f>-SUMIFS('Data BASE'!U$13:U$485,'Data BASE'!$J$13:$J$485,$B49,'Data BASE'!$H$13:$H$485,"BS")</f>
        <v>21763521.669999998</v>
      </c>
      <c r="U49" s="73">
        <f>-SUMIFS('Data BASE'!V$13:V$485,'Data BASE'!$J$13:$J$485,$B49,'Data BASE'!$H$13:$H$485,"BS")</f>
        <v>75022405.680000007</v>
      </c>
      <c r="V49" s="73">
        <f>-SUMIFS('Data BASE'!W$13:W$485,'Data BASE'!$J$13:$J$485,$B49,'Data BASE'!$H$13:$H$485,"BS")</f>
        <v>76684288.689999998</v>
      </c>
      <c r="W49" s="73">
        <f>-SUMIFS('Data BASE'!X$13:X$485,'Data BASE'!$J$13:$J$485,$B49,'Data BASE'!$H$13:$H$485,"BS")</f>
        <v>76826595.069999993</v>
      </c>
      <c r="X49" s="73">
        <f>-SUMIFS('Data BASE'!Y$13:Y$485,'Data BASE'!$J$13:$J$485,$B49,'Data BASE'!$H$13:$H$485,"BS")</f>
        <v>71772626.700000003</v>
      </c>
      <c r="Y49" s="73">
        <f>-SUMIFS('Data BASE'!Z$13:Z$485,'Data BASE'!$J$13:$J$485,$B49,'Data BASE'!$H$13:$H$485,"BS")</f>
        <v>66474351.130000003</v>
      </c>
      <c r="Z49" s="73">
        <f>-SUMIFS('Data BASE'!AA$13:AA$485,'Data BASE'!$J$13:$J$485,$B49,'Data BASE'!$H$13:$H$485,"BS")</f>
        <v>67308522.780000001</v>
      </c>
      <c r="AA49" s="73">
        <f>-SUMIFS('Data BASE'!AB$13:AB$485,'Data BASE'!$J$13:$J$485,$B49,'Data BASE'!$H$13:$H$485,"BS")</f>
        <v>68194763.969999999</v>
      </c>
      <c r="AB49" s="73">
        <f>-SUMIFS('Data BASE'!AC$13:AC$485,'Data BASE'!$J$13:$J$485,$B49,'Data BASE'!$H$13:$H$485,"BS")</f>
        <v>14427530.52</v>
      </c>
      <c r="AC49" s="73">
        <f>-SUMIFS('Data BASE'!AD$13:AD$485,'Data BASE'!$J$13:$J$485,$B49,'Data BASE'!$H$13:$H$485,"BS")</f>
        <v>70496838.539999992</v>
      </c>
      <c r="AD49" s="73">
        <f>-SUMIFS('Data BASE'!AE$13:AE$485,'Data BASE'!$J$13:$J$485,$B49,'Data BASE'!$H$13:$H$485,"BS")</f>
        <v>71632959.949999988</v>
      </c>
      <c r="AE49" s="73">
        <f>-SUMIFS('Data BASE'!AF$13:AF$485,'Data BASE'!$J$13:$J$485,$B49,'Data BASE'!$H$13:$H$485,"BS")</f>
        <v>18509218.190000001</v>
      </c>
      <c r="AF49" s="73">
        <f>-SUMIFS('Data BASE'!AG$13:AG$485,'Data BASE'!$J$13:$J$485,$B49,'Data BASE'!$H$13:$H$485,"BS")</f>
        <v>17721493.399999999</v>
      </c>
      <c r="AG49" s="73"/>
      <c r="AH49" s="73"/>
      <c r="AI49" s="73"/>
      <c r="AJ49" s="73"/>
      <c r="AK49" s="73"/>
      <c r="AL49" s="73"/>
      <c r="AM49" s="73"/>
      <c r="AN49" s="73"/>
      <c r="AP49" s="73" cm="1">
        <f t="array" ref="AP49">LOOKUP(2,1/(($Q$9:$AN$9=AP$9)*($Q$8:$AN$8=AP$8)),$Q49:$AN49)</f>
        <v>19382324.690000001</v>
      </c>
      <c r="AQ49" s="73" cm="1">
        <f t="array" ref="AQ49">LOOKUP(2,1/(($Q$9:$AN$9=AQ$9)*($Q$8:$AN$8=AQ$8)),$Q49:$AN49)</f>
        <v>76684288.689999998</v>
      </c>
      <c r="AR49" s="73" cm="1">
        <f t="array" ref="AR49">LOOKUP(2,1/(($Q$9:$AN$9=AR$9)*($Q$8:$AN$8=AR$8)),$Q49:$AN49)</f>
        <v>66474351.130000003</v>
      </c>
      <c r="AS49" s="73" cm="1">
        <f t="array" ref="AS49">LOOKUP(2,1/(($Q$9:$AN$9=AS$9)*($Q$8:$AN$8=AS$8)),$Q49:$AN49)</f>
        <v>14427530.52</v>
      </c>
      <c r="AT49" s="73" cm="1">
        <f t="array" ref="AT49">LOOKUP(2,1/(($Q$9:$AN$9=AT$9)*($Q$8:$AN$8=AT$8)),$Q49:$AN49)</f>
        <v>18509218.190000001</v>
      </c>
      <c r="AU49" s="73" cm="1">
        <f t="array" ref="AU49">LOOKUP(2,1/(($Q$9:$AN$9=AU$9)*($Q$8:$AN$8=AU$8)),$Q49:$AN49)</f>
        <v>0</v>
      </c>
      <c r="AV49" s="73" cm="1">
        <f t="array" ref="AV49">LOOKUP(2,1/(($Q$9:$AN$9=AV$9)*($Q$8:$AN$8=AV$8)),$Q49:$AN49)</f>
        <v>0</v>
      </c>
      <c r="AW49" s="73" cm="1">
        <f t="array" ref="AW49">LOOKUP(2,1/(($Q$9:$AN$9=AW$9)*($Q$8:$AN$8=AW$8)),$Q49:$AN49)</f>
        <v>0</v>
      </c>
      <c r="AY49" s="73" cm="1">
        <f t="array" ref="AY49">LOOKUP(2,1/(($AP$8:$AW$8=AY$8)*ISNUMBER($AP49:$AW49)),$AP49:$AW49)</f>
        <v>14427530.52</v>
      </c>
      <c r="AZ49" s="73" cm="1">
        <f t="array" ref="AZ49">LOOKUP(2,1/(($Q$8:$AN$8=AZ$8)*($Q$10:$AN$10="Actuals")*ISNUMBER($Q49:$AN49)),$Q49:$AN49)</f>
        <v>17721493.399999999</v>
      </c>
      <c r="BB49" s="73" cm="1">
        <f t="array" ref="BB49">LOOKUP(2,1/(($Q$8:$AN$8=BB$8)*($Q$10:$AN$10="Actuals")*ISNUMBER($Q49:$AN49)),$Q49:$AN49)</f>
        <v>21763521.669999998</v>
      </c>
      <c r="BC49" s="73" cm="1">
        <f t="array" ref="BC49">LOOKUP(2,1/(($Q$8:$AN$8=BC$8)*($Q$10:$AN$10="Actuals")*ISNUMBER($Q49:$AN49)),$Q49:$AN49)</f>
        <v>17721493.399999999</v>
      </c>
    </row>
    <row r="50" spans="1:55" hidden="1" outlineLevel="2" x14ac:dyDescent="0.45">
      <c r="A50" s="258"/>
      <c r="B50" s="72" t="s">
        <v>436</v>
      </c>
      <c r="C50" s="72"/>
      <c r="D50" s="186"/>
      <c r="E50" s="186"/>
      <c r="F50" s="186"/>
      <c r="G50" s="186"/>
      <c r="H50" s="186"/>
      <c r="I50" s="186"/>
      <c r="J50" s="186"/>
      <c r="K50" s="186"/>
      <c r="L50" s="186"/>
      <c r="M50" s="186"/>
      <c r="N50" s="186"/>
      <c r="O50" s="186"/>
      <c r="P50" s="186"/>
      <c r="Q50" s="73">
        <f>-SUMIFS('Data BASE'!R$13:R$485,'Data BASE'!$J$13:$J$485,$B50,'Data BASE'!$H$13:$H$485,"BS")</f>
        <v>5816832.2000000011</v>
      </c>
      <c r="R50" s="73">
        <f>-SUMIFS('Data BASE'!S$13:S$485,'Data BASE'!$J$13:$J$485,$B50,'Data BASE'!$H$13:$H$485,"BS")</f>
        <v>1348022.7400000002</v>
      </c>
      <c r="S50" s="73">
        <f>-SUMIFS('Data BASE'!T$13:T$485,'Data BASE'!$J$13:$J$485,$B50,'Data BASE'!$H$13:$H$485,"BS")</f>
        <v>2615141.42</v>
      </c>
      <c r="T50" s="73">
        <f>-SUMIFS('Data BASE'!U$13:U$485,'Data BASE'!$J$13:$J$485,$B50,'Data BASE'!$H$13:$H$485,"BS")</f>
        <v>940910.45000000019</v>
      </c>
      <c r="U50" s="73">
        <f>-SUMIFS('Data BASE'!V$13:V$485,'Data BASE'!$J$13:$J$485,$B50,'Data BASE'!$H$13:$H$485,"BS")</f>
        <v>1849584.18</v>
      </c>
      <c r="V50" s="73">
        <f>-SUMIFS('Data BASE'!W$13:W$485,'Data BASE'!$J$13:$J$485,$B50,'Data BASE'!$H$13:$H$485,"BS")</f>
        <v>3359477.38</v>
      </c>
      <c r="W50" s="73">
        <f>-SUMIFS('Data BASE'!X$13:X$485,'Data BASE'!$J$13:$J$485,$B50,'Data BASE'!$H$13:$H$485,"BS")</f>
        <v>2055176.2</v>
      </c>
      <c r="X50" s="73">
        <f>-SUMIFS('Data BASE'!Y$13:Y$485,'Data BASE'!$J$13:$J$485,$B50,'Data BASE'!$H$13:$H$485,"BS")</f>
        <v>3657595.7499999995</v>
      </c>
      <c r="Y50" s="73">
        <f>-SUMIFS('Data BASE'!Z$13:Z$485,'Data BASE'!$J$13:$J$485,$B50,'Data BASE'!$H$13:$H$485,"BS")</f>
        <v>4619229.55</v>
      </c>
      <c r="Z50" s="73">
        <f>-SUMIFS('Data BASE'!AA$13:AA$485,'Data BASE'!$J$13:$J$485,$B50,'Data BASE'!$H$13:$H$485,"BS")</f>
        <v>4506393.5500000007</v>
      </c>
      <c r="AA50" s="73">
        <f>-SUMIFS('Data BASE'!AB$13:AB$485,'Data BASE'!$J$13:$J$485,$B50,'Data BASE'!$H$13:$H$485,"BS")</f>
        <v>5243775.18</v>
      </c>
      <c r="AB50" s="73">
        <f>-SUMIFS('Data BASE'!AC$13:AC$485,'Data BASE'!$J$13:$J$485,$B50,'Data BASE'!$H$13:$H$485,"BS")</f>
        <v>3930109.34</v>
      </c>
      <c r="AC50" s="73">
        <f>-SUMIFS('Data BASE'!AD$13:AD$485,'Data BASE'!$J$13:$J$485,$B50,'Data BASE'!$H$13:$H$485,"BS")</f>
        <v>4623010.330000001</v>
      </c>
      <c r="AD50" s="73">
        <f>-SUMIFS('Data BASE'!AE$13:AE$485,'Data BASE'!$J$13:$J$485,$B50,'Data BASE'!$H$13:$H$485,"BS")</f>
        <v>4406589.34</v>
      </c>
      <c r="AE50" s="73">
        <f>-SUMIFS('Data BASE'!AF$13:AF$485,'Data BASE'!$J$13:$J$485,$B50,'Data BASE'!$H$13:$H$485,"BS")</f>
        <v>5039581.09</v>
      </c>
      <c r="AF50" s="73">
        <f>-SUMIFS('Data BASE'!AG$13:AG$485,'Data BASE'!$J$13:$J$485,$B50,'Data BASE'!$H$13:$H$485,"BS")</f>
        <v>5327569.49</v>
      </c>
      <c r="AG50" s="73"/>
      <c r="AH50" s="73"/>
      <c r="AI50" s="73"/>
      <c r="AJ50" s="73"/>
      <c r="AK50" s="73"/>
      <c r="AL50" s="73"/>
      <c r="AM50" s="73"/>
      <c r="AN50" s="73"/>
      <c r="AP50" s="73" cm="1">
        <f t="array" ref="AP50">LOOKUP(2,1/(($Q$9:$AN$9=AP$9)*($Q$8:$AN$8=AP$8)),$Q50:$AN50)</f>
        <v>2615141.42</v>
      </c>
      <c r="AQ50" s="73" cm="1">
        <f t="array" ref="AQ50">LOOKUP(2,1/(($Q$9:$AN$9=AQ$9)*($Q$8:$AN$8=AQ$8)),$Q50:$AN50)</f>
        <v>3359477.38</v>
      </c>
      <c r="AR50" s="73" cm="1">
        <f t="array" ref="AR50">LOOKUP(2,1/(($Q$9:$AN$9=AR$9)*($Q$8:$AN$8=AR$8)),$Q50:$AN50)</f>
        <v>4619229.55</v>
      </c>
      <c r="AS50" s="73" cm="1">
        <f t="array" ref="AS50">LOOKUP(2,1/(($Q$9:$AN$9=AS$9)*($Q$8:$AN$8=AS$8)),$Q50:$AN50)</f>
        <v>3930109.34</v>
      </c>
      <c r="AT50" s="73" cm="1">
        <f t="array" ref="AT50">LOOKUP(2,1/(($Q$9:$AN$9=AT$9)*($Q$8:$AN$8=AT$8)),$Q50:$AN50)</f>
        <v>5039581.09</v>
      </c>
      <c r="AU50" s="73" cm="1">
        <f t="array" ref="AU50">LOOKUP(2,1/(($Q$9:$AN$9=AU$9)*($Q$8:$AN$8=AU$8)),$Q50:$AN50)</f>
        <v>0</v>
      </c>
      <c r="AV50" s="73" cm="1">
        <f t="array" ref="AV50">LOOKUP(2,1/(($Q$9:$AN$9=AV$9)*($Q$8:$AN$8=AV$8)),$Q50:$AN50)</f>
        <v>0</v>
      </c>
      <c r="AW50" s="73" cm="1">
        <f t="array" ref="AW50">LOOKUP(2,1/(($Q$9:$AN$9=AW$9)*($Q$8:$AN$8=AW$8)),$Q50:$AN50)</f>
        <v>0</v>
      </c>
      <c r="AY50" s="73" cm="1">
        <f t="array" ref="AY50">LOOKUP(2,1/(($AP$8:$AW$8=AY$8)*ISNUMBER($AP50:$AW50)),$AP50:$AW50)</f>
        <v>3930109.34</v>
      </c>
      <c r="AZ50" s="73" cm="1">
        <f t="array" ref="AZ50">LOOKUP(2,1/(($Q$8:$AN$8=AZ$8)*($Q$10:$AN$10="Actuals")*ISNUMBER($Q50:$AN50)),$Q50:$AN50)</f>
        <v>5327569.49</v>
      </c>
      <c r="BB50" s="73" cm="1">
        <f t="array" ref="BB50">LOOKUP(2,1/(($Q$8:$AN$8=BB$8)*($Q$10:$AN$10="Actuals")*ISNUMBER($Q50:$AN50)),$Q50:$AN50)</f>
        <v>940910.45000000019</v>
      </c>
      <c r="BC50" s="73" cm="1">
        <f t="array" ref="BC50">LOOKUP(2,1/(($Q$8:$AN$8=BC$8)*($Q$10:$AN$10="Actuals")*ISNUMBER($Q50:$AN50)),$Q50:$AN50)</f>
        <v>5327569.49</v>
      </c>
    </row>
    <row r="51" spans="1:55" hidden="1" outlineLevel="2" x14ac:dyDescent="0.45">
      <c r="A51" s="258"/>
      <c r="B51" s="72" t="s">
        <v>697</v>
      </c>
      <c r="C51" s="72"/>
      <c r="D51" s="186"/>
      <c r="E51" s="186"/>
      <c r="F51" s="186"/>
      <c r="G51" s="186"/>
      <c r="H51" s="186"/>
      <c r="I51" s="186"/>
      <c r="J51" s="186"/>
      <c r="K51" s="186"/>
      <c r="L51" s="186"/>
      <c r="M51" s="186"/>
      <c r="N51" s="186"/>
      <c r="O51" s="186"/>
      <c r="P51" s="186"/>
      <c r="Q51" s="73">
        <f>-SUMIFS('Data BASE'!R$13:R$485,'Data BASE'!$J$13:$J$485,$B51,'Data BASE'!$H$13:$H$485,"BS")</f>
        <v>0</v>
      </c>
      <c r="R51" s="73">
        <f>-SUMIFS('Data BASE'!S$13:S$485,'Data BASE'!$J$13:$J$485,$B51,'Data BASE'!$H$13:$H$485,"BS")</f>
        <v>0</v>
      </c>
      <c r="S51" s="73">
        <f>-SUMIFS('Data BASE'!T$13:T$485,'Data BASE'!$J$13:$J$485,$B51,'Data BASE'!$H$13:$H$485,"BS")</f>
        <v>0</v>
      </c>
      <c r="T51" s="73">
        <f>-SUMIFS('Data BASE'!U$13:U$485,'Data BASE'!$J$13:$J$485,$B51,'Data BASE'!$H$13:$H$485,"BS")</f>
        <v>0</v>
      </c>
      <c r="U51" s="73">
        <f>-SUMIFS('Data BASE'!V$13:V$485,'Data BASE'!$J$13:$J$485,$B51,'Data BASE'!$H$13:$H$485,"BS")</f>
        <v>0</v>
      </c>
      <c r="V51" s="73">
        <f>-SUMIFS('Data BASE'!W$13:W$485,'Data BASE'!$J$13:$J$485,$B51,'Data BASE'!$H$13:$H$485,"BS")</f>
        <v>0</v>
      </c>
      <c r="W51" s="73">
        <f>-SUMIFS('Data BASE'!X$13:X$485,'Data BASE'!$J$13:$J$485,$B51,'Data BASE'!$H$13:$H$485,"BS")</f>
        <v>0</v>
      </c>
      <c r="X51" s="73">
        <f>-SUMIFS('Data BASE'!Y$13:Y$485,'Data BASE'!$J$13:$J$485,$B51,'Data BASE'!$H$13:$H$485,"BS")</f>
        <v>0</v>
      </c>
      <c r="Y51" s="73">
        <f>-SUMIFS('Data BASE'!Z$13:Z$485,'Data BASE'!$J$13:$J$485,$B51,'Data BASE'!$H$13:$H$485,"BS")</f>
        <v>0</v>
      </c>
      <c r="Z51" s="73">
        <f>-SUMIFS('Data BASE'!AA$13:AA$485,'Data BASE'!$J$13:$J$485,$B51,'Data BASE'!$H$13:$H$485,"BS")</f>
        <v>0</v>
      </c>
      <c r="AA51" s="73">
        <f>-SUMIFS('Data BASE'!AB$13:AB$485,'Data BASE'!$J$13:$J$485,$B51,'Data BASE'!$H$13:$H$485,"BS")</f>
        <v>0</v>
      </c>
      <c r="AB51" s="73">
        <f>-SUMIFS('Data BASE'!AC$13:AC$485,'Data BASE'!$J$13:$J$485,$B51,'Data BASE'!$H$13:$H$485,"BS")</f>
        <v>0</v>
      </c>
      <c r="AC51" s="73">
        <f>-SUMIFS('Data BASE'!AD$13:AD$485,'Data BASE'!$J$13:$J$485,$B51,'Data BASE'!$H$13:$H$485,"BS")</f>
        <v>0</v>
      </c>
      <c r="AD51" s="73">
        <f>-SUMIFS('Data BASE'!AE$13:AE$485,'Data BASE'!$J$13:$J$485,$B51,'Data BASE'!$H$13:$H$485,"BS")</f>
        <v>0</v>
      </c>
      <c r="AE51" s="73">
        <f>-SUMIFS('Data BASE'!AF$13:AF$485,'Data BASE'!$J$13:$J$485,$B51,'Data BASE'!$H$13:$H$485,"BS")</f>
        <v>0</v>
      </c>
      <c r="AF51" s="73">
        <f>-SUMIFS('Data BASE'!AG$13:AG$485,'Data BASE'!$J$13:$J$485,$B51,'Data BASE'!$H$13:$H$485,"BS")</f>
        <v>0</v>
      </c>
      <c r="AG51" s="73"/>
      <c r="AH51" s="73"/>
      <c r="AI51" s="73"/>
      <c r="AJ51" s="73"/>
      <c r="AK51" s="73"/>
      <c r="AL51" s="73"/>
      <c r="AM51" s="73"/>
      <c r="AN51" s="73"/>
      <c r="AP51" s="73" cm="1">
        <f t="array" ref="AP51">LOOKUP(2,1/(($Q$9:$AN$9=AP$9)*($Q$8:$AN$8=AP$8)),$Q51:$AN51)</f>
        <v>0</v>
      </c>
      <c r="AQ51" s="73" cm="1">
        <f t="array" ref="AQ51">LOOKUP(2,1/(($Q$9:$AN$9=AQ$9)*($Q$8:$AN$8=AQ$8)),$Q51:$AN51)</f>
        <v>0</v>
      </c>
      <c r="AR51" s="73" cm="1">
        <f t="array" ref="AR51">LOOKUP(2,1/(($Q$9:$AN$9=AR$9)*($Q$8:$AN$8=AR$8)),$Q51:$AN51)</f>
        <v>0</v>
      </c>
      <c r="AS51" s="73" cm="1">
        <f t="array" ref="AS51">LOOKUP(2,1/(($Q$9:$AN$9=AS$9)*($Q$8:$AN$8=AS$8)),$Q51:$AN51)</f>
        <v>0</v>
      </c>
      <c r="AT51" s="73" cm="1">
        <f t="array" ref="AT51">LOOKUP(2,1/(($Q$9:$AN$9=AT$9)*($Q$8:$AN$8=AT$8)),$Q51:$AN51)</f>
        <v>0</v>
      </c>
      <c r="AU51" s="73" cm="1">
        <f t="array" ref="AU51">LOOKUP(2,1/(($Q$9:$AN$9=AU$9)*($Q$8:$AN$8=AU$8)),$Q51:$AN51)</f>
        <v>0</v>
      </c>
      <c r="AV51" s="73" cm="1">
        <f t="array" ref="AV51">LOOKUP(2,1/(($Q$9:$AN$9=AV$9)*($Q$8:$AN$8=AV$8)),$Q51:$AN51)</f>
        <v>0</v>
      </c>
      <c r="AW51" s="73" cm="1">
        <f t="array" ref="AW51">LOOKUP(2,1/(($Q$9:$AN$9=AW$9)*($Q$8:$AN$8=AW$8)),$Q51:$AN51)</f>
        <v>0</v>
      </c>
      <c r="AY51" s="73" cm="1">
        <f t="array" ref="AY51">LOOKUP(2,1/(($AP$8:$AW$8=AY$8)*ISNUMBER($AP51:$AW51)),$AP51:$AW51)</f>
        <v>0</v>
      </c>
      <c r="AZ51" s="73" cm="1">
        <f t="array" ref="AZ51">LOOKUP(2,1/(($Q$8:$AN$8=AZ$8)*($Q$10:$AN$10="Actuals")*ISNUMBER($Q51:$AN51)),$Q51:$AN51)</f>
        <v>0</v>
      </c>
      <c r="BB51" s="73" cm="1">
        <f t="array" ref="BB51">LOOKUP(2,1/(($Q$8:$AN$8=BB$8)*($Q$10:$AN$10="Actuals")*ISNUMBER($Q51:$AN51)),$Q51:$AN51)</f>
        <v>0</v>
      </c>
      <c r="BC51" s="73" cm="1">
        <f t="array" ref="BC51">LOOKUP(2,1/(($Q$8:$AN$8=BC$8)*($Q$10:$AN$10="Actuals")*ISNUMBER($Q51:$AN51)),$Q51:$AN51)</f>
        <v>0</v>
      </c>
    </row>
    <row r="52" spans="1:55" hidden="1" outlineLevel="2" x14ac:dyDescent="0.45">
      <c r="A52" s="258"/>
      <c r="B52" s="72" t="s">
        <v>438</v>
      </c>
      <c r="C52" s="72"/>
      <c r="D52" s="186"/>
      <c r="E52" s="186"/>
      <c r="F52" s="186"/>
      <c r="G52" s="186"/>
      <c r="H52" s="186"/>
      <c r="I52" s="186"/>
      <c r="J52" s="186"/>
      <c r="K52" s="186"/>
      <c r="L52" s="186"/>
      <c r="M52" s="186"/>
      <c r="N52" s="186"/>
      <c r="O52" s="186"/>
      <c r="P52" s="186"/>
      <c r="Q52" s="73">
        <f>-SUMIFS('Data BASE'!R$13:R$485,'Data BASE'!$J$13:$J$485,$B52,'Data BASE'!$H$13:$H$485,"BS")</f>
        <v>168495</v>
      </c>
      <c r="R52" s="73">
        <f>-SUMIFS('Data BASE'!S$13:S$485,'Data BASE'!$J$13:$J$485,$B52,'Data BASE'!$H$13:$H$485,"BS")</f>
        <v>177478.66</v>
      </c>
      <c r="S52" s="73">
        <f>-SUMIFS('Data BASE'!T$13:T$485,'Data BASE'!$J$13:$J$485,$B52,'Data BASE'!$H$13:$H$485,"BS")</f>
        <v>183821.49</v>
      </c>
      <c r="T52" s="73">
        <f>-SUMIFS('Data BASE'!U$13:U$485,'Data BASE'!$J$13:$J$485,$B52,'Data BASE'!$H$13:$H$485,"BS")</f>
        <v>190164.32</v>
      </c>
      <c r="U52" s="73">
        <f>-SUMIFS('Data BASE'!V$13:V$485,'Data BASE'!$J$13:$J$485,$B52,'Data BASE'!$H$13:$H$485,"BS")</f>
        <v>46987.29</v>
      </c>
      <c r="V52" s="73">
        <f>-SUMIFS('Data BASE'!W$13:W$485,'Data BASE'!$J$13:$J$485,$B52,'Data BASE'!$H$13:$H$485,"BS")</f>
        <v>59672.95</v>
      </c>
      <c r="W52" s="73">
        <f>-SUMIFS('Data BASE'!X$13:X$485,'Data BASE'!$J$13:$J$485,$B52,'Data BASE'!$H$13:$H$485,"BS")</f>
        <v>71223.95</v>
      </c>
      <c r="X52" s="73">
        <f>-SUMIFS('Data BASE'!Y$13:Y$485,'Data BASE'!$J$13:$J$485,$B52,'Data BASE'!$H$13:$H$485,"BS")</f>
        <v>82775.259999999995</v>
      </c>
      <c r="Y52" s="73">
        <f>-SUMIFS('Data BASE'!Z$13:Z$485,'Data BASE'!$J$13:$J$485,$B52,'Data BASE'!$H$13:$H$485,"BS")</f>
        <v>94221.46</v>
      </c>
      <c r="Z52" s="73">
        <f>-SUMIFS('Data BASE'!AA$13:AA$485,'Data BASE'!$J$13:$J$485,$B52,'Data BASE'!$H$13:$H$485,"BS")</f>
        <v>54514.36</v>
      </c>
      <c r="AA52" s="73">
        <f>-SUMIFS('Data BASE'!AB$13:AB$485,'Data BASE'!$J$13:$J$485,$B52,'Data BASE'!$H$13:$H$485,"BS")</f>
        <v>67200.02</v>
      </c>
      <c r="AB52" s="73">
        <f>-SUMIFS('Data BASE'!AC$13:AC$485,'Data BASE'!$J$13:$J$485,$B52,'Data BASE'!$H$13:$H$485,"BS")</f>
        <v>708015</v>
      </c>
      <c r="AC52" s="73">
        <f>-SUMIFS('Data BASE'!AD$13:AD$485,'Data BASE'!$J$13:$J$485,$B52,'Data BASE'!$H$13:$H$485,"BS")</f>
        <v>729439</v>
      </c>
      <c r="AD52" s="73">
        <f>-SUMIFS('Data BASE'!AE$13:AE$485,'Data BASE'!$J$13:$J$485,$B52,'Data BASE'!$H$13:$H$485,"BS")</f>
        <v>750863</v>
      </c>
      <c r="AE52" s="73">
        <f>-SUMIFS('Data BASE'!AF$13:AF$485,'Data BASE'!$J$13:$J$485,$B52,'Data BASE'!$H$13:$H$485,"BS")</f>
        <v>772287</v>
      </c>
      <c r="AF52" s="73">
        <f>-SUMIFS('Data BASE'!AG$13:AG$485,'Data BASE'!$J$13:$J$485,$B52,'Data BASE'!$H$13:$H$485,"BS")</f>
        <v>793711</v>
      </c>
      <c r="AG52" s="73"/>
      <c r="AH52" s="73"/>
      <c r="AI52" s="73"/>
      <c r="AJ52" s="73"/>
      <c r="AK52" s="73"/>
      <c r="AL52" s="73"/>
      <c r="AM52" s="73"/>
      <c r="AN52" s="73"/>
      <c r="AP52" s="73" cm="1">
        <f t="array" ref="AP52">LOOKUP(2,1/(($Q$9:$AN$9=AP$9)*($Q$8:$AN$8=AP$8)),$Q52:$AN52)</f>
        <v>183821.49</v>
      </c>
      <c r="AQ52" s="73" cm="1">
        <f t="array" ref="AQ52">LOOKUP(2,1/(($Q$9:$AN$9=AQ$9)*($Q$8:$AN$8=AQ$8)),$Q52:$AN52)</f>
        <v>59672.95</v>
      </c>
      <c r="AR52" s="73" cm="1">
        <f t="array" ref="AR52">LOOKUP(2,1/(($Q$9:$AN$9=AR$9)*($Q$8:$AN$8=AR$8)),$Q52:$AN52)</f>
        <v>94221.46</v>
      </c>
      <c r="AS52" s="73" cm="1">
        <f t="array" ref="AS52">LOOKUP(2,1/(($Q$9:$AN$9=AS$9)*($Q$8:$AN$8=AS$8)),$Q52:$AN52)</f>
        <v>708015</v>
      </c>
      <c r="AT52" s="73" cm="1">
        <f t="array" ref="AT52">LOOKUP(2,1/(($Q$9:$AN$9=AT$9)*($Q$8:$AN$8=AT$8)),$Q52:$AN52)</f>
        <v>772287</v>
      </c>
      <c r="AU52" s="73" cm="1">
        <f t="array" ref="AU52">LOOKUP(2,1/(($Q$9:$AN$9=AU$9)*($Q$8:$AN$8=AU$8)),$Q52:$AN52)</f>
        <v>0</v>
      </c>
      <c r="AV52" s="73" cm="1">
        <f t="array" ref="AV52">LOOKUP(2,1/(($Q$9:$AN$9=AV$9)*($Q$8:$AN$8=AV$8)),$Q52:$AN52)</f>
        <v>0</v>
      </c>
      <c r="AW52" s="73" cm="1">
        <f t="array" ref="AW52">LOOKUP(2,1/(($Q$9:$AN$9=AW$9)*($Q$8:$AN$8=AW$8)),$Q52:$AN52)</f>
        <v>0</v>
      </c>
      <c r="AY52" s="73" cm="1">
        <f t="array" ref="AY52">LOOKUP(2,1/(($AP$8:$AW$8=AY$8)*ISNUMBER($AP52:$AW52)),$AP52:$AW52)</f>
        <v>708015</v>
      </c>
      <c r="AZ52" s="73" cm="1">
        <f t="array" ref="AZ52">LOOKUP(2,1/(($Q$8:$AN$8=AZ$8)*($Q$10:$AN$10="Actuals")*ISNUMBER($Q52:$AN52)),$Q52:$AN52)</f>
        <v>793711</v>
      </c>
      <c r="BB52" s="73" cm="1">
        <f t="array" ref="BB52">LOOKUP(2,1/(($Q$8:$AN$8=BB$8)*($Q$10:$AN$10="Actuals")*ISNUMBER($Q52:$AN52)),$Q52:$AN52)</f>
        <v>190164.32</v>
      </c>
      <c r="BC52" s="73" cm="1">
        <f t="array" ref="BC52">LOOKUP(2,1/(($Q$8:$AN$8=BC$8)*($Q$10:$AN$10="Actuals")*ISNUMBER($Q52:$AN52)),$Q52:$AN52)</f>
        <v>793711</v>
      </c>
    </row>
    <row r="53" spans="1:55" hidden="1" outlineLevel="1" x14ac:dyDescent="0.45">
      <c r="A53" s="258"/>
      <c r="B53" s="49" t="s">
        <v>142</v>
      </c>
      <c r="C53" s="439"/>
      <c r="D53" s="440"/>
      <c r="E53" s="440"/>
      <c r="F53" s="440"/>
      <c r="G53" s="440"/>
      <c r="H53" s="440"/>
      <c r="I53" s="440"/>
      <c r="J53" s="440"/>
      <c r="K53" s="440"/>
      <c r="L53" s="440"/>
      <c r="M53" s="440"/>
      <c r="N53" s="440"/>
      <c r="O53" s="440"/>
      <c r="P53" s="440"/>
      <c r="Q53" s="441">
        <f t="shared" ref="Q53:AN53" si="53">SUM(Q45:Q52)</f>
        <v>191170107.89000002</v>
      </c>
      <c r="R53" s="441">
        <f t="shared" ref="R53:AF53" si="54">SUM(R45:R52)</f>
        <v>182483243.12</v>
      </c>
      <c r="S53" s="441">
        <f t="shared" si="54"/>
        <v>197417488.24000001</v>
      </c>
      <c r="T53" s="441">
        <f t="shared" si="54"/>
        <v>242365917.56999996</v>
      </c>
      <c r="U53" s="441">
        <f t="shared" si="54"/>
        <v>309447019.29000002</v>
      </c>
      <c r="V53" s="441">
        <f t="shared" si="54"/>
        <v>415976739.01999998</v>
      </c>
      <c r="W53" s="441">
        <f t="shared" si="54"/>
        <v>360148628.85999995</v>
      </c>
      <c r="X53" s="441">
        <f t="shared" si="54"/>
        <v>368521409.78999996</v>
      </c>
      <c r="Y53" s="441">
        <f t="shared" si="54"/>
        <v>359625387.48000002</v>
      </c>
      <c r="Z53" s="441">
        <f t="shared" si="54"/>
        <v>345897126.03000003</v>
      </c>
      <c r="AA53" s="441">
        <f t="shared" si="54"/>
        <v>355523768.29000002</v>
      </c>
      <c r="AB53" s="441">
        <f t="shared" si="54"/>
        <v>492916794.74999994</v>
      </c>
      <c r="AC53" s="441">
        <f t="shared" si="54"/>
        <v>554783418.71000004</v>
      </c>
      <c r="AD53" s="441">
        <f t="shared" si="54"/>
        <v>543155991.46000016</v>
      </c>
      <c r="AE53" s="441">
        <f t="shared" si="54"/>
        <v>536129334.63999993</v>
      </c>
      <c r="AF53" s="441">
        <f t="shared" si="54"/>
        <v>538310435.50999999</v>
      </c>
      <c r="AG53" s="441">
        <f t="shared" si="53"/>
        <v>0</v>
      </c>
      <c r="AH53" s="441">
        <f t="shared" si="53"/>
        <v>0</v>
      </c>
      <c r="AI53" s="441">
        <f t="shared" si="53"/>
        <v>0</v>
      </c>
      <c r="AJ53" s="441">
        <f t="shared" si="53"/>
        <v>0</v>
      </c>
      <c r="AK53" s="441">
        <f t="shared" si="53"/>
        <v>0</v>
      </c>
      <c r="AL53" s="441">
        <f t="shared" si="53"/>
        <v>0</v>
      </c>
      <c r="AM53" s="441">
        <f t="shared" si="53"/>
        <v>0</v>
      </c>
      <c r="AN53" s="441">
        <f t="shared" si="53"/>
        <v>0</v>
      </c>
      <c r="AP53" s="441">
        <f>SUM(AP45:AP52)</f>
        <v>197417488.24000001</v>
      </c>
      <c r="AQ53" s="441">
        <f t="shared" ref="AP53:AW53" si="55">SUM(AQ45:AQ52)</f>
        <v>415976739.01999998</v>
      </c>
      <c r="AR53" s="441">
        <f t="shared" si="55"/>
        <v>359625387.48000002</v>
      </c>
      <c r="AS53" s="441">
        <f t="shared" si="55"/>
        <v>492916794.74999994</v>
      </c>
      <c r="AT53" s="441">
        <f t="shared" si="55"/>
        <v>536129334.63999993</v>
      </c>
      <c r="AU53" s="441">
        <f t="shared" si="55"/>
        <v>0</v>
      </c>
      <c r="AV53" s="441">
        <f t="shared" si="55"/>
        <v>0</v>
      </c>
      <c r="AW53" s="441">
        <f t="shared" si="55"/>
        <v>0</v>
      </c>
      <c r="AY53" s="441">
        <f>SUM(AY45:AY52)</f>
        <v>492916794.74999994</v>
      </c>
      <c r="AZ53" s="441">
        <f>SUM(AZ45:AZ52)</f>
        <v>538310435.50999999</v>
      </c>
      <c r="BB53" s="441">
        <f>SUM(BB45:BB52)</f>
        <v>242365917.56999996</v>
      </c>
      <c r="BC53" s="441">
        <f>SUM(BC45:BC52)</f>
        <v>538310435.50999999</v>
      </c>
    </row>
    <row r="54" spans="1:55" hidden="1" outlineLevel="1" x14ac:dyDescent="0.45">
      <c r="A54" s="258"/>
      <c r="B54" s="72"/>
      <c r="C54" s="72"/>
      <c r="D54" s="186"/>
      <c r="E54" s="186"/>
      <c r="F54" s="186"/>
      <c r="G54" s="186"/>
      <c r="H54" s="186"/>
      <c r="I54" s="186"/>
      <c r="J54" s="186"/>
      <c r="K54" s="186"/>
      <c r="L54" s="186"/>
      <c r="M54" s="186"/>
      <c r="N54" s="186"/>
      <c r="O54" s="186"/>
      <c r="P54" s="186"/>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P54" s="73"/>
      <c r="AQ54" s="73"/>
      <c r="AR54" s="73"/>
      <c r="AS54" s="73"/>
      <c r="AT54" s="73"/>
      <c r="AU54" s="73"/>
      <c r="AV54" s="73"/>
      <c r="AW54" s="73"/>
      <c r="AY54" s="73"/>
      <c r="AZ54" s="73"/>
      <c r="BB54" s="73"/>
      <c r="BC54" s="73"/>
    </row>
    <row r="55" spans="1:55" hidden="1" outlineLevel="2" x14ac:dyDescent="0.45">
      <c r="A55" s="258"/>
      <c r="B55" s="72" t="s">
        <v>441</v>
      </c>
      <c r="C55" s="72"/>
      <c r="D55" s="186"/>
      <c r="E55" s="186"/>
      <c r="F55" s="186"/>
      <c r="G55" s="186"/>
      <c r="H55" s="186"/>
      <c r="I55" s="186"/>
      <c r="J55" s="186"/>
      <c r="K55" s="186"/>
      <c r="L55" s="186"/>
      <c r="M55" s="186"/>
      <c r="N55" s="186"/>
      <c r="O55" s="186"/>
      <c r="P55" s="186"/>
      <c r="Q55" s="73">
        <f>-SUMIFS('Data BASE'!R$13:R$485,'Data BASE'!$J$13:$J$485,$B55,'Data BASE'!$H$13:$H$485,"BS")</f>
        <v>167287878.78999999</v>
      </c>
      <c r="R55" s="73">
        <f>-SUMIFS('Data BASE'!S$13:S$485,'Data BASE'!$J$13:$J$485,$B55,'Data BASE'!$H$13:$H$485,"BS")</f>
        <v>177287878.78999999</v>
      </c>
      <c r="S55" s="73">
        <f>-SUMIFS('Data BASE'!T$13:T$485,'Data BASE'!$J$13:$J$485,$B55,'Data BASE'!$H$13:$H$485,"BS")</f>
        <v>202487878.78999999</v>
      </c>
      <c r="T55" s="73">
        <f>-SUMIFS('Data BASE'!U$13:U$485,'Data BASE'!$J$13:$J$485,$B55,'Data BASE'!$H$13:$H$485,"BS")</f>
        <v>202487878.78999999</v>
      </c>
      <c r="U55" s="73">
        <f>-SUMIFS('Data BASE'!V$13:V$485,'Data BASE'!$J$13:$J$485,$B55,'Data BASE'!$H$13:$H$485,"BS")</f>
        <v>218621226.78999999</v>
      </c>
      <c r="V55" s="73">
        <f>-SUMIFS('Data BASE'!W$13:W$485,'Data BASE'!$J$13:$J$485,$B55,'Data BASE'!$H$13:$H$485,"BS")</f>
        <v>219954559.78999999</v>
      </c>
      <c r="W55" s="73">
        <f>-SUMIFS('Data BASE'!X$13:X$485,'Data BASE'!$J$13:$J$485,$B55,'Data BASE'!$H$13:$H$485,"BS")</f>
        <v>221287892.78999999</v>
      </c>
      <c r="X55" s="73">
        <f>-SUMIFS('Data BASE'!Y$13:Y$485,'Data BASE'!$J$13:$J$485,$B55,'Data BASE'!$H$13:$H$485,"BS")</f>
        <v>222621225.78999999</v>
      </c>
      <c r="Y55" s="73">
        <f>-SUMIFS('Data BASE'!Z$13:Z$485,'Data BASE'!$J$13:$J$485,$B55,'Data BASE'!$H$13:$H$485,"BS")</f>
        <v>274221038.78999996</v>
      </c>
      <c r="Z55" s="73">
        <f>-SUMIFS('Data BASE'!AA$13:AA$485,'Data BASE'!$J$13:$J$485,$B55,'Data BASE'!$H$13:$H$485,"BS")</f>
        <v>326816436</v>
      </c>
      <c r="AA55" s="73">
        <f>-SUMIFS('Data BASE'!AB$13:AB$485,'Data BASE'!$J$13:$J$485,$B55,'Data BASE'!$H$13:$H$485,"BS")</f>
        <v>377267306</v>
      </c>
      <c r="AB55" s="73">
        <f>-SUMIFS('Data BASE'!AC$13:AC$485,'Data BASE'!$J$13:$J$485,$B55,'Data BASE'!$H$13:$H$485,"BS")</f>
        <v>465008485</v>
      </c>
      <c r="AC55" s="73">
        <f>-SUMIFS('Data BASE'!AD$13:AD$485,'Data BASE'!$J$13:$J$485,$B55,'Data BASE'!$H$13:$H$485,"BS")</f>
        <v>438463371</v>
      </c>
      <c r="AD55" s="73">
        <f>-SUMIFS('Data BASE'!AE$13:AE$485,'Data BASE'!$J$13:$J$485,$B55,'Data BASE'!$H$13:$H$485,"BS")</f>
        <v>480375863.50999999</v>
      </c>
      <c r="AE55" s="73">
        <f>-SUMIFS('Data BASE'!AF$13:AF$485,'Data BASE'!$J$13:$J$485,$B55,'Data BASE'!$H$13:$H$485,"BS")</f>
        <v>580071400.50999999</v>
      </c>
      <c r="AF55" s="73">
        <f>-SUMIFS('Data BASE'!AG$13:AG$485,'Data BASE'!$J$13:$J$485,$B55,'Data BASE'!$H$13:$H$485,"BS")</f>
        <v>631002358.50999999</v>
      </c>
      <c r="AG55" s="73"/>
      <c r="AH55" s="73"/>
      <c r="AI55" s="73"/>
      <c r="AJ55" s="73"/>
      <c r="AK55" s="73"/>
      <c r="AL55" s="73"/>
      <c r="AM55" s="73"/>
      <c r="AN55" s="73"/>
      <c r="AP55" s="73" cm="1">
        <f t="array" ref="AP55">LOOKUP(2,1/(($Q$9:$AN$9=AP$9)*($Q$8:$AN$8=AP$8)),$Q55:$AN55)</f>
        <v>202487878.78999999</v>
      </c>
      <c r="AQ55" s="73" cm="1">
        <f t="array" ref="AQ55">LOOKUP(2,1/(($Q$9:$AN$9=AQ$9)*($Q$8:$AN$8=AQ$8)),$Q55:$AN55)</f>
        <v>219954559.78999999</v>
      </c>
      <c r="AR55" s="73" cm="1">
        <f t="array" ref="AR55">LOOKUP(2,1/(($Q$9:$AN$9=AR$9)*($Q$8:$AN$8=AR$8)),$Q55:$AN55)</f>
        <v>274221038.78999996</v>
      </c>
      <c r="AS55" s="73" cm="1">
        <f t="array" ref="AS55">LOOKUP(2,1/(($Q$9:$AN$9=AS$9)*($Q$8:$AN$8=AS$8)),$Q55:$AN55)</f>
        <v>465008485</v>
      </c>
      <c r="AT55" s="73" cm="1">
        <f t="array" ref="AT55">LOOKUP(2,1/(($Q$9:$AN$9=AT$9)*($Q$8:$AN$8=AT$8)),$Q55:$AN55)</f>
        <v>580071400.50999999</v>
      </c>
      <c r="AU55" s="73" cm="1">
        <f t="array" ref="AU55">LOOKUP(2,1/(($Q$9:$AN$9=AU$9)*($Q$8:$AN$8=AU$8)),$Q55:$AN55)</f>
        <v>0</v>
      </c>
      <c r="AV55" s="73" cm="1">
        <f t="array" ref="AV55">LOOKUP(2,1/(($Q$9:$AN$9=AV$9)*($Q$8:$AN$8=AV$8)),$Q55:$AN55)</f>
        <v>0</v>
      </c>
      <c r="AW55" s="73" cm="1">
        <f t="array" ref="AW55">LOOKUP(2,1/(($Q$9:$AN$9=AW$9)*($Q$8:$AN$8=AW$8)),$Q55:$AN55)</f>
        <v>0</v>
      </c>
      <c r="AY55" s="73" cm="1">
        <f t="array" ref="AY55">LOOKUP(2,1/(($AP$8:$AW$8=AY$8)*ISNUMBER($AP55:$AW55)),$AP55:$AW55)</f>
        <v>465008485</v>
      </c>
      <c r="AZ55" s="73" cm="1">
        <f t="array" ref="AZ55">LOOKUP(2,1/(($Q$8:$AN$8=AZ$8)*($Q$10:$AN$10="Actuals")*ISNUMBER($Q55:$AN55)),$Q55:$AN55)</f>
        <v>631002358.50999999</v>
      </c>
      <c r="BB55" s="73" cm="1">
        <f t="array" ref="BB55">LOOKUP(2,1/(($Q$8:$AN$8=BB$8)*($Q$10:$AN$10="Actuals")*ISNUMBER($Q55:$AN55)),$Q55:$AN55)</f>
        <v>202487878.78999999</v>
      </c>
      <c r="BC55" s="73" cm="1">
        <f t="array" ref="BC55">LOOKUP(2,1/(($Q$8:$AN$8=BC$8)*($Q$10:$AN$10="Actuals")*ISNUMBER($Q55:$AN55)),$Q55:$AN55)</f>
        <v>631002358.50999999</v>
      </c>
    </row>
    <row r="56" spans="1:55" hidden="1" outlineLevel="2" x14ac:dyDescent="0.45">
      <c r="A56" s="258"/>
      <c r="B56" s="72" t="s">
        <v>448</v>
      </c>
      <c r="C56" s="72"/>
      <c r="D56" s="186"/>
      <c r="E56" s="186"/>
      <c r="F56" s="186"/>
      <c r="G56" s="186"/>
      <c r="H56" s="186"/>
      <c r="I56" s="186"/>
      <c r="J56" s="186"/>
      <c r="K56" s="186"/>
      <c r="L56" s="186"/>
      <c r="M56" s="186"/>
      <c r="N56" s="186"/>
      <c r="O56" s="186"/>
      <c r="P56" s="186"/>
      <c r="Q56" s="73">
        <f>-SUMIFS('Data BASE'!R$13:R$485,'Data BASE'!$J$13:$J$485,$B56)</f>
        <v>-5005846.4900000012</v>
      </c>
      <c r="R56" s="73">
        <f>-SUMIFS('Data BASE'!S$13:S$485,'Data BASE'!$J$13:$J$485,$B56)</f>
        <v>-11529539.460000006</v>
      </c>
      <c r="S56" s="73">
        <f>-SUMIFS('Data BASE'!T$13:T$485,'Data BASE'!$J$13:$J$485,$B56)</f>
        <v>-17937902.211936485</v>
      </c>
      <c r="T56" s="73">
        <f>-SUMIFS('Data BASE'!U$13:U$485,'Data BASE'!$J$13:$J$485,$B56)</f>
        <v>-24264029.919999938</v>
      </c>
      <c r="U56" s="73">
        <f>-SUMIFS('Data BASE'!V$13:V$485,'Data BASE'!$J$13:$J$485,$B56)</f>
        <v>-29062721.970000129</v>
      </c>
      <c r="V56" s="73">
        <f>-SUMIFS('Data BASE'!W$13:W$485,'Data BASE'!$J$13:$J$485,$B56)</f>
        <v>-35139553.189999945</v>
      </c>
      <c r="W56" s="73">
        <f>-SUMIFS('Data BASE'!X$13:X$485,'Data BASE'!$J$13:$J$485,$B56)</f>
        <v>-43045509.160000004</v>
      </c>
      <c r="X56" s="73">
        <f>-SUMIFS('Data BASE'!Y$13:Y$485,'Data BASE'!$J$13:$J$485,$B56)</f>
        <v>-49597661.140000053</v>
      </c>
      <c r="Y56" s="73">
        <f>-SUMIFS('Data BASE'!Z$13:Z$485,'Data BASE'!$J$13:$J$485,$B56)</f>
        <v>-53068302.629999995</v>
      </c>
      <c r="Z56" s="73">
        <f>-SUMIFS('Data BASE'!AA$13:AA$485,'Data BASE'!$J$13:$J$485,$B56)</f>
        <v>-62247235.360000096</v>
      </c>
      <c r="AA56" s="73">
        <f>-SUMIFS('Data BASE'!AB$13:AB$485,'Data BASE'!$J$13:$J$485,$B56)</f>
        <v>-72504087.530000001</v>
      </c>
      <c r="AB56" s="73">
        <f>-SUMIFS('Data BASE'!AC$13:AC$485,'Data BASE'!$J$13:$J$485,$B56)</f>
        <v>-76118495.179999948</v>
      </c>
      <c r="AC56" s="73">
        <f>-SUMIFS('Data BASE'!AD$13:AD$485,'Data BASE'!$J$13:$J$485,$B56)</f>
        <v>-11011463.819999957</v>
      </c>
      <c r="AD56" s="73">
        <f>-SUMIFS('Data BASE'!AE$13:AE$485,'Data BASE'!$J$13:$J$485,$B56)</f>
        <v>-24156326.163855143</v>
      </c>
      <c r="AE56" s="73">
        <f>-SUMIFS('Data BASE'!AF$13:AF$485,'Data BASE'!$J$13:$J$485,$B56)</f>
        <v>-37430406.555625185</v>
      </c>
      <c r="AF56" s="73">
        <f>-SUMIFS('Data BASE'!AG$13:AG$485,'Data BASE'!$J$13:$J$485,$B56)</f>
        <v>-50007958.290000051</v>
      </c>
      <c r="AG56" s="73"/>
      <c r="AH56" s="73"/>
      <c r="AI56" s="73"/>
      <c r="AJ56" s="73"/>
      <c r="AK56" s="73"/>
      <c r="AL56" s="73"/>
      <c r="AM56" s="73"/>
      <c r="AN56" s="73"/>
      <c r="AP56" s="73" cm="1">
        <f t="array" ref="AP56">LOOKUP(2,1/(($Q$9:$AN$9=AP$9)*($Q$8:$AN$8=AP$8)),$Q56:$AN56)</f>
        <v>-17937902.211936485</v>
      </c>
      <c r="AQ56" s="73" cm="1">
        <f t="array" ref="AQ56">LOOKUP(2,1/(($Q$9:$AN$9=AQ$9)*($Q$8:$AN$8=AQ$8)),$Q56:$AN56)</f>
        <v>-35139553.189999945</v>
      </c>
      <c r="AR56" s="73" cm="1">
        <f t="array" ref="AR56">LOOKUP(2,1/(($Q$9:$AN$9=AR$9)*($Q$8:$AN$8=AR$8)),$Q56:$AN56)</f>
        <v>-53068302.629999995</v>
      </c>
      <c r="AS56" s="73" cm="1">
        <f t="array" ref="AS56">LOOKUP(2,1/(($Q$9:$AN$9=AS$9)*($Q$8:$AN$8=AS$8)),$Q56:$AN56)</f>
        <v>-76118495.179999948</v>
      </c>
      <c r="AT56" s="73" cm="1">
        <f t="array" ref="AT56">LOOKUP(2,1/(($Q$9:$AN$9=AT$9)*($Q$8:$AN$8=AT$8)),$Q56:$AN56)</f>
        <v>-37430406.555625185</v>
      </c>
      <c r="AU56" s="73" cm="1">
        <f t="array" ref="AU56">LOOKUP(2,1/(($Q$9:$AN$9=AU$9)*($Q$8:$AN$8=AU$8)),$Q56:$AN56)</f>
        <v>0</v>
      </c>
      <c r="AV56" s="73" cm="1">
        <f t="array" ref="AV56">LOOKUP(2,1/(($Q$9:$AN$9=AV$9)*($Q$8:$AN$8=AV$8)),$Q56:$AN56)</f>
        <v>0</v>
      </c>
      <c r="AW56" s="73" cm="1">
        <f t="array" ref="AW56">LOOKUP(2,1/(($Q$9:$AN$9=AW$9)*($Q$8:$AN$8=AW$8)),$Q56:$AN56)</f>
        <v>0</v>
      </c>
      <c r="AY56" s="73" cm="1">
        <f t="array" ref="AY56">LOOKUP(2,1/(($AP$8:$AW$8=AY$8)*ISNUMBER($AP56:$AW56)),$AP56:$AW56)</f>
        <v>-76118495.179999948</v>
      </c>
      <c r="AZ56" s="73" cm="1">
        <f t="array" ref="AZ56">LOOKUP(2,1/(($Q$8:$AN$8=AZ$8)*($Q$10:$AN$10="Actuals")*ISNUMBER($Q56:$AN56)),$Q56:$AN56)</f>
        <v>-50007958.290000051</v>
      </c>
      <c r="BB56" s="73" cm="1">
        <f t="array" ref="BB56">LOOKUP(2,1/(($Q$8:$AN$8=BB$8)*($Q$10:$AN$10="Actuals")*ISNUMBER($Q56:$AN56)),$Q56:$AN56)</f>
        <v>-24264029.919999938</v>
      </c>
      <c r="BC56" s="73" cm="1">
        <f t="array" ref="BC56">LOOKUP(2,1/(($Q$8:$AN$8=BC$8)*($Q$10:$AN$10="Actuals")*ISNUMBER($Q56:$AN56)),$Q56:$AN56)</f>
        <v>-50007958.290000051</v>
      </c>
    </row>
    <row r="57" spans="1:55" hidden="1" outlineLevel="2" x14ac:dyDescent="0.45">
      <c r="A57" s="258"/>
      <c r="B57" s="72" t="s">
        <v>443</v>
      </c>
      <c r="C57" s="72"/>
      <c r="D57" s="186"/>
      <c r="E57" s="186"/>
      <c r="F57" s="186"/>
      <c r="G57" s="186"/>
      <c r="H57" s="186"/>
      <c r="I57" s="186"/>
      <c r="J57" s="186"/>
      <c r="K57" s="186"/>
      <c r="L57" s="186"/>
      <c r="M57" s="186"/>
      <c r="N57" s="186"/>
      <c r="O57" s="186"/>
      <c r="P57" s="186"/>
      <c r="Q57" s="73">
        <f>-SUMIFS('Data BASE'!R$13:R$485,'Data BASE'!$J$13:$J$485,$B57,'Data BASE'!$H$13:$H$485,"BS")</f>
        <v>-109950483.47</v>
      </c>
      <c r="R57" s="73">
        <f>-SUMIFS('Data BASE'!S$13:S$485,'Data BASE'!$J$13:$J$485,$B57,'Data BASE'!$H$13:$H$485,"BS")</f>
        <v>-109950483.47</v>
      </c>
      <c r="S57" s="73">
        <f>-SUMIFS('Data BASE'!T$13:T$485,'Data BASE'!$J$13:$J$485,$B57,'Data BASE'!$H$13:$H$485,"BS")</f>
        <v>-109950483.47</v>
      </c>
      <c r="T57" s="73">
        <f>-SUMIFS('Data BASE'!U$13:U$485,'Data BASE'!$J$13:$J$485,$B57,'Data BASE'!$H$13:$H$485,"BS")</f>
        <v>-109950483.47</v>
      </c>
      <c r="U57" s="73">
        <f>-SUMIFS('Data BASE'!V$13:V$485,'Data BASE'!$J$13:$J$485,$B57,'Data BASE'!$H$13:$H$485,"BS")</f>
        <v>-106615224.54000001</v>
      </c>
      <c r="V57" s="73">
        <f>-SUMIFS('Data BASE'!W$13:W$485,'Data BASE'!$J$13:$J$485,$B57,'Data BASE'!$H$13:$H$485,"BS")</f>
        <v>-106615224.54000001</v>
      </c>
      <c r="W57" s="73">
        <f>-SUMIFS('Data BASE'!X$13:X$485,'Data BASE'!$J$13:$J$485,$B57,'Data BASE'!$H$13:$H$485,"BS")</f>
        <v>-106615224.54000001</v>
      </c>
      <c r="X57" s="73">
        <f>-SUMIFS('Data BASE'!Y$13:Y$485,'Data BASE'!$J$13:$J$485,$B57,'Data BASE'!$H$13:$H$485,"BS")</f>
        <v>-106615224.54000001</v>
      </c>
      <c r="Y57" s="73">
        <f>-SUMIFS('Data BASE'!Z$13:Z$485,'Data BASE'!$J$13:$J$485,$B57,'Data BASE'!$H$13:$H$485,"BS")</f>
        <v>-106615224.54000001</v>
      </c>
      <c r="Z57" s="73">
        <f>-SUMIFS('Data BASE'!AA$13:AA$485,'Data BASE'!$J$13:$J$485,$B57,'Data BASE'!$H$13:$H$485,"BS")</f>
        <v>-106615224.54000001</v>
      </c>
      <c r="AA57" s="73">
        <f>-SUMIFS('Data BASE'!AB$13:AB$485,'Data BASE'!$J$13:$J$485,$B57,'Data BASE'!$H$13:$H$485,"BS")</f>
        <v>-106615224.54000001</v>
      </c>
      <c r="AB57" s="73">
        <f>-SUMIFS('Data BASE'!AC$13:AC$485,'Data BASE'!$J$13:$J$485,$B57,'Data BASE'!$H$13:$H$485,"BS")</f>
        <v>-106615224.54000001</v>
      </c>
      <c r="AC57" s="73">
        <f>-SUMIFS('Data BASE'!AD$13:AD$485,'Data BASE'!$J$13:$J$485,$B57,'Data BASE'!$H$13:$H$485,"BS")</f>
        <v>-205225380.06999999</v>
      </c>
      <c r="AD57" s="73">
        <f>-SUMIFS('Data BASE'!AE$13:AE$485,'Data BASE'!$J$13:$J$485,$B57,'Data BASE'!$H$13:$H$485,"BS")</f>
        <v>-205225380.06999999</v>
      </c>
      <c r="AE57" s="73">
        <f>-SUMIFS('Data BASE'!AF$13:AF$485,'Data BASE'!$J$13:$J$485,$B57,'Data BASE'!$H$13:$H$485,"BS")</f>
        <v>-182733719.72000003</v>
      </c>
      <c r="AF57" s="73">
        <f>-SUMIFS('Data BASE'!AG$13:AG$485,'Data BASE'!$J$13:$J$485,$B57,'Data BASE'!$H$13:$H$485,"BS")</f>
        <v>-182733719.72000003</v>
      </c>
      <c r="AG57" s="73"/>
      <c r="AH57" s="73"/>
      <c r="AI57" s="73"/>
      <c r="AJ57" s="73"/>
      <c r="AK57" s="73"/>
      <c r="AL57" s="73"/>
      <c r="AM57" s="73"/>
      <c r="AN57" s="73"/>
      <c r="AP57" s="73" cm="1">
        <f t="array" ref="AP57">LOOKUP(2,1/(($Q$9:$AN$9=AP$9)*($Q$8:$AN$8=AP$8)),$Q57:$AN57)</f>
        <v>-109950483.47</v>
      </c>
      <c r="AQ57" s="73" cm="1">
        <f t="array" ref="AQ57">LOOKUP(2,1/(($Q$9:$AN$9=AQ$9)*($Q$8:$AN$8=AQ$8)),$Q57:$AN57)</f>
        <v>-106615224.54000001</v>
      </c>
      <c r="AR57" s="73" cm="1">
        <f t="array" ref="AR57">LOOKUP(2,1/(($Q$9:$AN$9=AR$9)*($Q$8:$AN$8=AR$8)),$Q57:$AN57)</f>
        <v>-106615224.54000001</v>
      </c>
      <c r="AS57" s="73" cm="1">
        <f t="array" ref="AS57">LOOKUP(2,1/(($Q$9:$AN$9=AS$9)*($Q$8:$AN$8=AS$8)),$Q57:$AN57)</f>
        <v>-106615224.54000001</v>
      </c>
      <c r="AT57" s="73" cm="1">
        <f t="array" ref="AT57">LOOKUP(2,1/(($Q$9:$AN$9=AT$9)*($Q$8:$AN$8=AT$8)),$Q57:$AN57)</f>
        <v>-182733719.72000003</v>
      </c>
      <c r="AU57" s="73" cm="1">
        <f t="array" ref="AU57">LOOKUP(2,1/(($Q$9:$AN$9=AU$9)*($Q$8:$AN$8=AU$8)),$Q57:$AN57)</f>
        <v>0</v>
      </c>
      <c r="AV57" s="73" cm="1">
        <f t="array" ref="AV57">LOOKUP(2,1/(($Q$9:$AN$9=AV$9)*($Q$8:$AN$8=AV$8)),$Q57:$AN57)</f>
        <v>0</v>
      </c>
      <c r="AW57" s="73" cm="1">
        <f t="array" ref="AW57">LOOKUP(2,1/(($Q$9:$AN$9=AW$9)*($Q$8:$AN$8=AW$8)),$Q57:$AN57)</f>
        <v>0</v>
      </c>
      <c r="AY57" s="73" cm="1">
        <f t="array" ref="AY57">LOOKUP(2,1/(($AP$8:$AW$8=AY$8)*ISNUMBER($AP57:$AW57)),$AP57:$AW57)</f>
        <v>-106615224.54000001</v>
      </c>
      <c r="AZ57" s="73" cm="1">
        <f t="array" ref="AZ57">LOOKUP(2,1/(($Q$8:$AN$8=AZ$8)*($Q$10:$AN$10="Actuals")*ISNUMBER($Q57:$AN57)),$Q57:$AN57)</f>
        <v>-182733719.72000003</v>
      </c>
      <c r="BB57" s="73" cm="1">
        <f t="array" ref="BB57">LOOKUP(2,1/(($Q$8:$AN$8=BB$8)*($Q$10:$AN$10="Actuals")*ISNUMBER($Q57:$AN57)),$Q57:$AN57)</f>
        <v>-109950483.47</v>
      </c>
      <c r="BC57" s="73" cm="1">
        <f t="array" ref="BC57">LOOKUP(2,1/(($Q$8:$AN$8=BC$8)*($Q$10:$AN$10="Actuals")*ISNUMBER($Q57:$AN57)),$Q57:$AN57)</f>
        <v>-182733719.72000003</v>
      </c>
    </row>
    <row r="58" spans="1:55" hidden="1" outlineLevel="2" x14ac:dyDescent="0.45">
      <c r="A58" s="258"/>
      <c r="B58" s="72" t="s">
        <v>1101</v>
      </c>
      <c r="C58" s="72"/>
      <c r="D58" s="186"/>
      <c r="E58" s="186"/>
      <c r="F58" s="186"/>
      <c r="G58" s="186"/>
      <c r="H58" s="186"/>
      <c r="I58" s="186"/>
      <c r="J58" s="186"/>
      <c r="K58" s="186"/>
      <c r="L58" s="186"/>
      <c r="M58" s="186"/>
      <c r="N58" s="186"/>
      <c r="O58" s="186"/>
      <c r="P58" s="186"/>
      <c r="Q58" s="73">
        <f>-SUMIFS('Data BASE'!R$13:R$485,'Data BASE'!$J$13:$J$485,$B58,'Data BASE'!$H$13:$H$485,"BS")</f>
        <v>0</v>
      </c>
      <c r="R58" s="73">
        <f>-SUMIFS('Data BASE'!S$13:S$485,'Data BASE'!$J$13:$J$485,$B58,'Data BASE'!$H$13:$H$485,"BS")</f>
        <v>0</v>
      </c>
      <c r="S58" s="73">
        <f>-SUMIFS('Data BASE'!T$13:T$485,'Data BASE'!$J$13:$J$485,$B58,'Data BASE'!$H$13:$H$485,"BS")</f>
        <v>0</v>
      </c>
      <c r="T58" s="73">
        <f>-SUMIFS('Data BASE'!U$13:U$485,'Data BASE'!$J$13:$J$485,$B58,'Data BASE'!$H$13:$H$485,"BS")</f>
        <v>0</v>
      </c>
      <c r="U58" s="73">
        <f>-SUMIFS('Data BASE'!V$13:V$485,'Data BASE'!$J$13:$J$485,$B58,'Data BASE'!$H$13:$H$485,"BS")</f>
        <v>0</v>
      </c>
      <c r="V58" s="73">
        <f>-SUMIFS('Data BASE'!W$13:W$485,'Data BASE'!$J$13:$J$485,$B58,'Data BASE'!$H$13:$H$485,"BS")</f>
        <v>0</v>
      </c>
      <c r="W58" s="73">
        <f>-SUMIFS('Data BASE'!X$13:X$485,'Data BASE'!$J$13:$J$485,$B58,'Data BASE'!$H$13:$H$485,"BS")</f>
        <v>0</v>
      </c>
      <c r="X58" s="73">
        <f>-SUMIFS('Data BASE'!Y$13:Y$485,'Data BASE'!$J$13:$J$485,$B58,'Data BASE'!$H$13:$H$485,"BS")</f>
        <v>0</v>
      </c>
      <c r="Y58" s="73">
        <f>-SUMIFS('Data BASE'!Z$13:Z$485,'Data BASE'!$J$13:$J$485,$B58,'Data BASE'!$H$13:$H$485,"BS")</f>
        <v>0</v>
      </c>
      <c r="Z58" s="73">
        <f>-SUMIFS('Data BASE'!AA$13:AA$485,'Data BASE'!$J$13:$J$485,$B58,'Data BASE'!$H$13:$H$485,"BS")</f>
        <v>0</v>
      </c>
      <c r="AA58" s="73">
        <f>-SUMIFS('Data BASE'!AB$13:AB$485,'Data BASE'!$J$13:$J$485,$B58,'Data BASE'!$H$13:$H$485,"BS")</f>
        <v>0</v>
      </c>
      <c r="AB58" s="73">
        <f>-SUMIFS('Data BASE'!AC$13:AC$485,'Data BASE'!$J$13:$J$485,$B58,'Data BASE'!$H$13:$H$485,"BS")</f>
        <v>0</v>
      </c>
      <c r="AC58" s="73">
        <f>-SUMIFS('Data BASE'!AD$13:AD$485,'Data BASE'!$J$13:$J$485,$B58,'Data BASE'!$H$13:$H$485,"BS")</f>
        <v>0</v>
      </c>
      <c r="AD58" s="73">
        <f>-SUMIFS('Data BASE'!AE$13:AE$485,'Data BASE'!$J$13:$J$485,$B58,'Data BASE'!$H$13:$H$485,"BS")</f>
        <v>0</v>
      </c>
      <c r="AE58" s="73">
        <f>-SUMIFS('Data BASE'!AF$13:AF$485,'Data BASE'!$J$13:$J$485,$B58,'Data BASE'!$H$13:$H$485,"BS")</f>
        <v>0</v>
      </c>
      <c r="AF58" s="73">
        <f>-SUMIFS('Data BASE'!AG$13:AG$485,'Data BASE'!$J$13:$J$485,$B58,'Data BASE'!$H$13:$H$485,"BS")</f>
        <v>0</v>
      </c>
      <c r="AG58" s="73"/>
      <c r="AH58" s="73"/>
      <c r="AI58" s="73"/>
      <c r="AJ58" s="73"/>
      <c r="AK58" s="73"/>
      <c r="AL58" s="73"/>
      <c r="AM58" s="73"/>
      <c r="AN58" s="73"/>
      <c r="AP58" s="73" cm="1">
        <f t="array" ref="AP58">LOOKUP(2,1/(($Q$9:$AN$9=AP$9)*($Q$8:$AN$8=AP$8)),$Q58:$AN58)</f>
        <v>0</v>
      </c>
      <c r="AQ58" s="73" cm="1">
        <f t="array" ref="AQ58">LOOKUP(2,1/(($Q$9:$AN$9=AQ$9)*($Q$8:$AN$8=AQ$8)),$Q58:$AN58)</f>
        <v>0</v>
      </c>
      <c r="AR58" s="73" cm="1">
        <f t="array" ref="AR58">LOOKUP(2,1/(($Q$9:$AN$9=AR$9)*($Q$8:$AN$8=AR$8)),$Q58:$AN58)</f>
        <v>0</v>
      </c>
      <c r="AS58" s="73" cm="1">
        <f t="array" ref="AS58">LOOKUP(2,1/(($Q$9:$AN$9=AS$9)*($Q$8:$AN$8=AS$8)),$Q58:$AN58)</f>
        <v>0</v>
      </c>
      <c r="AT58" s="73" cm="1">
        <f t="array" ref="AT58">LOOKUP(2,1/(($Q$9:$AN$9=AT$9)*($Q$8:$AN$8=AT$8)),$Q58:$AN58)</f>
        <v>0</v>
      </c>
      <c r="AU58" s="73" cm="1">
        <f t="array" ref="AU58">LOOKUP(2,1/(($Q$9:$AN$9=AU$9)*($Q$8:$AN$8=AU$8)),$Q58:$AN58)</f>
        <v>0</v>
      </c>
      <c r="AV58" s="73" cm="1">
        <f t="array" ref="AV58">LOOKUP(2,1/(($Q$9:$AN$9=AV$9)*($Q$8:$AN$8=AV$8)),$Q58:$AN58)</f>
        <v>0</v>
      </c>
      <c r="AW58" s="73" cm="1">
        <f t="array" ref="AW58">LOOKUP(2,1/(($Q$9:$AN$9=AW$9)*($Q$8:$AN$8=AW$8)),$Q58:$AN58)</f>
        <v>0</v>
      </c>
      <c r="AY58" s="73" cm="1">
        <f t="array" ref="AY58">LOOKUP(2,1/(($AP$8:$AW$8=AY$8)*ISNUMBER($AP58:$AW58)),$AP58:$AW58)</f>
        <v>0</v>
      </c>
      <c r="AZ58" s="73" cm="1">
        <f t="array" ref="AZ58">LOOKUP(2,1/(($Q$8:$AN$8=AZ$8)*($Q$10:$AN$10="Actuals")*ISNUMBER($Q58:$AN58)),$Q58:$AN58)</f>
        <v>0</v>
      </c>
      <c r="BB58" s="73" cm="1">
        <f t="array" ref="BB58">LOOKUP(2,1/(($Q$8:$AN$8=BB$8)*($Q$10:$AN$10="Actuals")*ISNUMBER($Q58:$AN58)),$Q58:$AN58)</f>
        <v>0</v>
      </c>
      <c r="BC58" s="73" cm="1">
        <f t="array" ref="BC58">LOOKUP(2,1/(($Q$8:$AN$8=BC$8)*($Q$10:$AN$10="Actuals")*ISNUMBER($Q58:$AN58)),$Q58:$AN58)</f>
        <v>0</v>
      </c>
    </row>
    <row r="59" spans="1:55" hidden="1" outlineLevel="1" x14ac:dyDescent="0.45">
      <c r="A59" s="258"/>
      <c r="B59" s="49" t="s">
        <v>1102</v>
      </c>
      <c r="C59" s="439"/>
      <c r="D59" s="440"/>
      <c r="E59" s="440"/>
      <c r="F59" s="440"/>
      <c r="G59" s="440"/>
      <c r="H59" s="440"/>
      <c r="I59" s="440"/>
      <c r="J59" s="440"/>
      <c r="K59" s="440"/>
      <c r="L59" s="440"/>
      <c r="M59" s="440"/>
      <c r="N59" s="440"/>
      <c r="O59" s="440"/>
      <c r="P59" s="440"/>
      <c r="Q59" s="441">
        <f t="shared" ref="Q59:AN59" si="56">SUM(Q55:Q58)</f>
        <v>52331548.829999983</v>
      </c>
      <c r="R59" s="441">
        <f t="shared" ref="R59:AF59" si="57">SUM(R55:R58)</f>
        <v>55807855.859999985</v>
      </c>
      <c r="S59" s="441">
        <f t="shared" si="57"/>
        <v>74599493.108063519</v>
      </c>
      <c r="T59" s="441">
        <f t="shared" si="57"/>
        <v>68273365.400000066</v>
      </c>
      <c r="U59" s="441">
        <f t="shared" si="57"/>
        <v>82943280.279999867</v>
      </c>
      <c r="V59" s="441">
        <f t="shared" si="57"/>
        <v>78199782.060000047</v>
      </c>
      <c r="W59" s="441">
        <f t="shared" si="57"/>
        <v>71627159.089999989</v>
      </c>
      <c r="X59" s="441">
        <f t="shared" si="57"/>
        <v>66408340.10999994</v>
      </c>
      <c r="Y59" s="441">
        <f t="shared" si="57"/>
        <v>114537511.61999996</v>
      </c>
      <c r="Z59" s="441">
        <f t="shared" si="57"/>
        <v>157953976.0999999</v>
      </c>
      <c r="AA59" s="441">
        <f t="shared" si="57"/>
        <v>198147993.93000001</v>
      </c>
      <c r="AB59" s="441">
        <f t="shared" si="57"/>
        <v>282274765.28000003</v>
      </c>
      <c r="AC59" s="441">
        <f t="shared" si="57"/>
        <v>222226527.11000007</v>
      </c>
      <c r="AD59" s="441">
        <f t="shared" si="57"/>
        <v>250994157.27614486</v>
      </c>
      <c r="AE59" s="441">
        <f t="shared" si="57"/>
        <v>359907274.23437476</v>
      </c>
      <c r="AF59" s="441">
        <f t="shared" si="57"/>
        <v>398260680.49999988</v>
      </c>
      <c r="AG59" s="441">
        <f t="shared" si="56"/>
        <v>0</v>
      </c>
      <c r="AH59" s="441">
        <f t="shared" si="56"/>
        <v>0</v>
      </c>
      <c r="AI59" s="441">
        <f t="shared" si="56"/>
        <v>0</v>
      </c>
      <c r="AJ59" s="441">
        <f t="shared" si="56"/>
        <v>0</v>
      </c>
      <c r="AK59" s="441">
        <f t="shared" si="56"/>
        <v>0</v>
      </c>
      <c r="AL59" s="441">
        <f t="shared" si="56"/>
        <v>0</v>
      </c>
      <c r="AM59" s="441">
        <f t="shared" si="56"/>
        <v>0</v>
      </c>
      <c r="AN59" s="441">
        <f t="shared" si="56"/>
        <v>0</v>
      </c>
      <c r="AP59" s="441">
        <f>SUM(AP55:AP58)</f>
        <v>74599493.108063519</v>
      </c>
      <c r="AQ59" s="441">
        <f t="shared" ref="AP59:AW59" si="58">SUM(AQ55:AQ58)</f>
        <v>78199782.060000047</v>
      </c>
      <c r="AR59" s="441">
        <f t="shared" si="58"/>
        <v>114537511.61999996</v>
      </c>
      <c r="AS59" s="441">
        <f t="shared" si="58"/>
        <v>282274765.28000003</v>
      </c>
      <c r="AT59" s="441">
        <f t="shared" si="58"/>
        <v>359907274.23437476</v>
      </c>
      <c r="AU59" s="441">
        <f t="shared" si="58"/>
        <v>0</v>
      </c>
      <c r="AV59" s="441">
        <f t="shared" si="58"/>
        <v>0</v>
      </c>
      <c r="AW59" s="441">
        <f t="shared" si="58"/>
        <v>0</v>
      </c>
      <c r="AY59" s="441">
        <f>SUM(AY55:AY58)</f>
        <v>282274765.28000003</v>
      </c>
      <c r="AZ59" s="441">
        <f>SUM(AZ55:AZ58)</f>
        <v>398260680.49999988</v>
      </c>
      <c r="BB59" s="441">
        <f>SUM(BB55:BB58)</f>
        <v>68273365.400000066</v>
      </c>
      <c r="BC59" s="441">
        <f>SUM(BC55:BC58)</f>
        <v>398260680.49999988</v>
      </c>
    </row>
    <row r="60" spans="1:55" hidden="1" outlineLevel="1" x14ac:dyDescent="0.45">
      <c r="A60" s="258"/>
      <c r="B60" s="72"/>
      <c r="C60" s="72"/>
      <c r="D60" s="186"/>
      <c r="E60" s="186"/>
      <c r="F60" s="186"/>
      <c r="G60" s="186"/>
      <c r="H60" s="186"/>
      <c r="I60" s="186"/>
      <c r="J60" s="186"/>
      <c r="K60" s="186"/>
      <c r="L60" s="186"/>
      <c r="M60" s="186"/>
      <c r="N60" s="186"/>
      <c r="O60" s="186"/>
      <c r="P60" s="186"/>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P60" s="73"/>
      <c r="AQ60" s="73"/>
      <c r="AR60" s="73"/>
      <c r="AS60" s="73"/>
      <c r="AT60" s="73"/>
      <c r="AU60" s="73"/>
      <c r="AV60" s="73"/>
      <c r="AW60" s="73"/>
      <c r="AY60" s="73"/>
      <c r="AZ60" s="73"/>
      <c r="BB60" s="73"/>
      <c r="BC60" s="73"/>
    </row>
    <row r="61" spans="1:55" hidden="1" outlineLevel="1" x14ac:dyDescent="0.45">
      <c r="A61" s="258"/>
      <c r="B61" s="49" t="s">
        <v>1103</v>
      </c>
      <c r="C61" s="439"/>
      <c r="D61" s="440"/>
      <c r="E61" s="440"/>
      <c r="F61" s="440"/>
      <c r="G61" s="440"/>
      <c r="H61" s="440"/>
      <c r="I61" s="440"/>
      <c r="J61" s="440"/>
      <c r="K61" s="440"/>
      <c r="L61" s="440"/>
      <c r="M61" s="440"/>
      <c r="N61" s="440"/>
      <c r="O61" s="440"/>
      <c r="P61" s="440"/>
      <c r="Q61" s="441">
        <f>Q59+Q53</f>
        <v>243501656.72</v>
      </c>
      <c r="R61" s="441">
        <f t="shared" ref="R61:AN61" si="59">R59+R53</f>
        <v>238291098.97999999</v>
      </c>
      <c r="S61" s="441">
        <f t="shared" si="59"/>
        <v>272016981.34806353</v>
      </c>
      <c r="T61" s="441">
        <f t="shared" si="59"/>
        <v>310639282.97000003</v>
      </c>
      <c r="U61" s="441">
        <f t="shared" si="59"/>
        <v>392390299.56999987</v>
      </c>
      <c r="V61" s="441">
        <f t="shared" si="59"/>
        <v>494176521.08000004</v>
      </c>
      <c r="W61" s="441">
        <f t="shared" si="59"/>
        <v>431775787.94999993</v>
      </c>
      <c r="X61" s="441">
        <f t="shared" si="59"/>
        <v>434929749.89999992</v>
      </c>
      <c r="Y61" s="441">
        <f t="shared" si="59"/>
        <v>474162899.09999996</v>
      </c>
      <c r="Z61" s="441">
        <f t="shared" si="59"/>
        <v>503851102.12999994</v>
      </c>
      <c r="AA61" s="441">
        <f t="shared" si="59"/>
        <v>553671762.22000003</v>
      </c>
      <c r="AB61" s="441">
        <f t="shared" si="59"/>
        <v>775191560.02999997</v>
      </c>
      <c r="AC61" s="441">
        <f t="shared" si="59"/>
        <v>777009945.82000017</v>
      </c>
      <c r="AD61" s="441">
        <f t="shared" si="59"/>
        <v>794150148.73614502</v>
      </c>
      <c r="AE61" s="441">
        <f t="shared" si="59"/>
        <v>896036608.87437463</v>
      </c>
      <c r="AF61" s="441">
        <f t="shared" si="59"/>
        <v>936571116.00999987</v>
      </c>
      <c r="AG61" s="441">
        <f t="shared" si="59"/>
        <v>0</v>
      </c>
      <c r="AH61" s="441">
        <f t="shared" si="59"/>
        <v>0</v>
      </c>
      <c r="AI61" s="441">
        <f t="shared" si="59"/>
        <v>0</v>
      </c>
      <c r="AJ61" s="441">
        <f t="shared" si="59"/>
        <v>0</v>
      </c>
      <c r="AK61" s="441">
        <f t="shared" si="59"/>
        <v>0</v>
      </c>
      <c r="AL61" s="441">
        <f t="shared" si="59"/>
        <v>0</v>
      </c>
      <c r="AM61" s="441">
        <f t="shared" si="59"/>
        <v>0</v>
      </c>
      <c r="AN61" s="441">
        <f t="shared" si="59"/>
        <v>0</v>
      </c>
      <c r="AP61" s="441">
        <f>AP59+AP53</f>
        <v>272016981.34806353</v>
      </c>
      <c r="AQ61" s="441">
        <f t="shared" ref="AQ61:BC61" si="60">AQ59+AQ53</f>
        <v>494176521.08000004</v>
      </c>
      <c r="AR61" s="441">
        <f t="shared" si="60"/>
        <v>474162899.09999996</v>
      </c>
      <c r="AS61" s="441">
        <f t="shared" si="60"/>
        <v>775191560.02999997</v>
      </c>
      <c r="AT61" s="441">
        <f t="shared" si="60"/>
        <v>896036608.87437463</v>
      </c>
      <c r="AU61" s="441">
        <f t="shared" si="60"/>
        <v>0</v>
      </c>
      <c r="AV61" s="441">
        <f t="shared" si="60"/>
        <v>0</v>
      </c>
      <c r="AW61" s="441">
        <f t="shared" si="60"/>
        <v>0</v>
      </c>
      <c r="AY61" s="441">
        <f t="shared" si="60"/>
        <v>775191560.02999997</v>
      </c>
      <c r="AZ61" s="441">
        <f t="shared" si="60"/>
        <v>936571116.00999987</v>
      </c>
      <c r="BB61" s="441">
        <f t="shared" si="60"/>
        <v>310639282.97000003</v>
      </c>
      <c r="BC61" s="441">
        <f t="shared" si="60"/>
        <v>936571116.00999987</v>
      </c>
    </row>
    <row r="62" spans="1:55" hidden="1" outlineLevel="1" x14ac:dyDescent="0.45">
      <c r="A62" s="258"/>
      <c r="B62" s="72"/>
      <c r="C62" s="72"/>
      <c r="D62" s="186"/>
      <c r="E62" s="186"/>
      <c r="F62" s="186"/>
      <c r="G62" s="186"/>
      <c r="H62" s="186"/>
      <c r="I62" s="186"/>
      <c r="J62" s="186"/>
      <c r="K62" s="186"/>
      <c r="L62" s="186"/>
      <c r="M62" s="186"/>
      <c r="N62" s="186"/>
      <c r="O62" s="186"/>
      <c r="P62" s="186"/>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P62" s="73"/>
      <c r="AQ62" s="73"/>
      <c r="AR62" s="73"/>
      <c r="AS62" s="73"/>
      <c r="AT62" s="73"/>
      <c r="AU62" s="73"/>
      <c r="AV62" s="73"/>
      <c r="AW62" s="73"/>
      <c r="AY62" s="73"/>
      <c r="AZ62" s="73"/>
      <c r="BB62" s="73"/>
      <c r="BC62" s="73"/>
    </row>
    <row r="63" spans="1:55" hidden="1" outlineLevel="1" x14ac:dyDescent="0.45">
      <c r="A63" s="258"/>
      <c r="B63" s="442" t="s">
        <v>1094</v>
      </c>
      <c r="C63" s="72"/>
      <c r="D63" s="186"/>
      <c r="E63" s="186"/>
      <c r="F63" s="186"/>
      <c r="G63" s="186"/>
      <c r="H63" s="186"/>
      <c r="I63" s="186"/>
      <c r="J63" s="186"/>
      <c r="K63" s="186"/>
      <c r="L63" s="186"/>
      <c r="M63" s="186"/>
      <c r="N63" s="186"/>
      <c r="O63" s="186"/>
      <c r="P63" s="186"/>
      <c r="Q63" s="443">
        <f>Q61-Q43</f>
        <v>0</v>
      </c>
      <c r="R63" s="443">
        <f t="shared" ref="R63:BC63" si="61">R61-R43</f>
        <v>0</v>
      </c>
      <c r="S63" s="443">
        <f t="shared" si="61"/>
        <v>-1.1936426162719727E-2</v>
      </c>
      <c r="T63" s="443">
        <f t="shared" si="61"/>
        <v>0</v>
      </c>
      <c r="U63" s="443">
        <f t="shared" si="61"/>
        <v>0</v>
      </c>
      <c r="V63" s="443">
        <f t="shared" si="61"/>
        <v>0</v>
      </c>
      <c r="W63" s="443">
        <f t="shared" si="61"/>
        <v>0</v>
      </c>
      <c r="X63" s="443">
        <f t="shared" si="61"/>
        <v>0</v>
      </c>
      <c r="Y63" s="443">
        <f t="shared" si="61"/>
        <v>0</v>
      </c>
      <c r="Z63" s="443">
        <f t="shared" si="61"/>
        <v>0</v>
      </c>
      <c r="AA63" s="443">
        <f t="shared" si="61"/>
        <v>0</v>
      </c>
      <c r="AB63" s="443">
        <f t="shared" si="61"/>
        <v>0</v>
      </c>
      <c r="AC63" s="443">
        <f t="shared" si="61"/>
        <v>0</v>
      </c>
      <c r="AD63" s="449">
        <f t="shared" si="61"/>
        <v>6.1451196670532227E-3</v>
      </c>
      <c r="AE63" s="449">
        <f t="shared" si="61"/>
        <v>1.4374613761901855E-2</v>
      </c>
      <c r="AF63" s="443">
        <f t="shared" si="61"/>
        <v>0</v>
      </c>
      <c r="AG63" s="443">
        <f t="shared" si="61"/>
        <v>0</v>
      </c>
      <c r="AH63" s="443">
        <f t="shared" si="61"/>
        <v>0</v>
      </c>
      <c r="AI63" s="443">
        <f t="shared" si="61"/>
        <v>0</v>
      </c>
      <c r="AJ63" s="443">
        <f t="shared" si="61"/>
        <v>0</v>
      </c>
      <c r="AK63" s="443">
        <f t="shared" si="61"/>
        <v>0</v>
      </c>
      <c r="AL63" s="443">
        <f t="shared" si="61"/>
        <v>0</v>
      </c>
      <c r="AM63" s="443">
        <f t="shared" si="61"/>
        <v>0</v>
      </c>
      <c r="AN63" s="443">
        <f t="shared" si="61"/>
        <v>0</v>
      </c>
      <c r="AP63" s="443">
        <f t="shared" si="61"/>
        <v>-1.1936426162719727E-2</v>
      </c>
      <c r="AQ63" s="443">
        <f t="shared" si="61"/>
        <v>0</v>
      </c>
      <c r="AR63" s="443">
        <f t="shared" si="61"/>
        <v>0</v>
      </c>
      <c r="AS63" s="443">
        <f t="shared" si="61"/>
        <v>0</v>
      </c>
      <c r="AT63" s="443">
        <f t="shared" si="61"/>
        <v>1.4374613761901855E-2</v>
      </c>
      <c r="AU63" s="443">
        <f t="shared" si="61"/>
        <v>0</v>
      </c>
      <c r="AV63" s="443">
        <f t="shared" si="61"/>
        <v>0</v>
      </c>
      <c r="AW63" s="443">
        <f t="shared" si="61"/>
        <v>0</v>
      </c>
      <c r="AY63" s="443">
        <f t="shared" si="61"/>
        <v>0</v>
      </c>
      <c r="AZ63" s="443">
        <f t="shared" si="61"/>
        <v>0</v>
      </c>
      <c r="BB63" s="443">
        <f t="shared" si="61"/>
        <v>0</v>
      </c>
      <c r="BC63" s="443">
        <f t="shared" si="61"/>
        <v>0</v>
      </c>
    </row>
    <row r="64" spans="1:55" hidden="1" outlineLevel="1" x14ac:dyDescent="0.45"/>
    <row r="65" spans="2:55" hidden="1" outlineLevel="2" x14ac:dyDescent="0.45">
      <c r="B65" s="450" t="s">
        <v>393</v>
      </c>
      <c r="C65" s="453"/>
      <c r="D65" s="453">
        <v>10</v>
      </c>
      <c r="E65" s="453"/>
      <c r="F65" s="453"/>
      <c r="G65" s="453"/>
      <c r="H65" s="453"/>
      <c r="I65" s="453"/>
      <c r="J65" s="453"/>
      <c r="K65" s="453"/>
      <c r="L65" s="453"/>
      <c r="M65" s="453"/>
      <c r="N65" s="453"/>
      <c r="O65" s="453"/>
      <c r="P65" s="453"/>
      <c r="Q65" s="71">
        <v>-465621.00999999046</v>
      </c>
      <c r="R65" s="70">
        <f>+Q32-R32</f>
        <v>-1542363.9499999583</v>
      </c>
      <c r="S65" s="70">
        <f t="shared" ref="S65:AE65" si="62">+R32-S32</f>
        <v>-26144563.810000002</v>
      </c>
      <c r="T65" s="70">
        <f t="shared" si="62"/>
        <v>-54787414.25999999</v>
      </c>
      <c r="U65" s="70">
        <f t="shared" si="62"/>
        <v>82695.229999989271</v>
      </c>
      <c r="V65" s="70">
        <f t="shared" si="62"/>
        <v>1966979.2399999499</v>
      </c>
      <c r="W65" s="70">
        <f t="shared" si="62"/>
        <v>-8024128.4599999785</v>
      </c>
      <c r="X65" s="70">
        <f t="shared" si="62"/>
        <v>988690.99000000954</v>
      </c>
      <c r="Y65" s="70">
        <f t="shared" si="62"/>
        <v>51188.780000001192</v>
      </c>
      <c r="Z65" s="70">
        <f t="shared" si="62"/>
        <v>-25609960.059999973</v>
      </c>
      <c r="AA65" s="70">
        <f t="shared" si="62"/>
        <v>-21482278.900000095</v>
      </c>
      <c r="AB65" s="70">
        <f t="shared" si="62"/>
        <v>-251055269.75999975</v>
      </c>
      <c r="AC65" s="70">
        <f t="shared" si="62"/>
        <v>-5982477.4500001669</v>
      </c>
      <c r="AD65" s="70">
        <f t="shared" si="62"/>
        <v>3923698.3600000143</v>
      </c>
      <c r="AE65" s="70">
        <f t="shared" si="62"/>
        <v>-103443882.06000006</v>
      </c>
      <c r="AF65" s="70">
        <f t="shared" ref="AF65:AF75" si="63">+AE32-AF32</f>
        <v>-72587893.630000114</v>
      </c>
      <c r="AG65" s="70"/>
      <c r="AH65" s="70"/>
      <c r="AI65" s="70"/>
      <c r="AJ65" s="70"/>
      <c r="AK65" s="70"/>
      <c r="AL65" s="70"/>
      <c r="AM65" s="70"/>
      <c r="AN65" s="70"/>
      <c r="AP65" s="70">
        <f>SUMIFS($Q65:$AN65,$Q$9:$AN$9,AP$9,$Q$8:$AN$8,AP$8)</f>
        <v>-28152548.769999951</v>
      </c>
      <c r="AQ65" s="70">
        <f t="shared" ref="AQ65:AW75" si="64">SUMIFS($Q65:$AN65,$Q$9:$AN$9,AQ$9,$Q$8:$AN$8,AQ$8)</f>
        <v>-52737739.790000051</v>
      </c>
      <c r="AR65" s="70">
        <f t="shared" si="64"/>
        <v>-6984248.6899999678</v>
      </c>
      <c r="AS65" s="70">
        <f t="shared" si="64"/>
        <v>-298147508.71999979</v>
      </c>
      <c r="AT65" s="70">
        <f t="shared" si="64"/>
        <v>-105502661.15000021</v>
      </c>
      <c r="AU65" s="70">
        <f t="shared" si="64"/>
        <v>-72587893.630000114</v>
      </c>
      <c r="AV65" s="70">
        <f t="shared" si="64"/>
        <v>0</v>
      </c>
      <c r="AW65" s="70">
        <f t="shared" si="64"/>
        <v>0</v>
      </c>
      <c r="AY65" s="70">
        <f>SUMIF($Q$8:$AN$8,AY$8,$Q65:$AN65)</f>
        <v>-386022045.96999979</v>
      </c>
      <c r="AZ65" s="70">
        <f>SUMIF($Q$8:$AN$8,AZ$8,$Q65:$AN65)</f>
        <v>-178090554.78000033</v>
      </c>
      <c r="BB65" s="70">
        <f>SUMIFS($Q65:$AN65,$Q$8:$AN$8,BB$8,$Q$10:$AN$10,"Actuals")</f>
        <v>-82939963.029999942</v>
      </c>
      <c r="BC65" s="70">
        <f>SUMIFS($Q65:$AN65,$Q$8:$AN$8,BC$8,$Q$10:$AN$10,"Actuals")</f>
        <v>-178090554.78000033</v>
      </c>
    </row>
    <row r="66" spans="2:55" hidden="1" outlineLevel="2" x14ac:dyDescent="0.45">
      <c r="B66" s="450" t="s">
        <v>113</v>
      </c>
      <c r="C66" s="454"/>
      <c r="D66" s="454">
        <v>3</v>
      </c>
      <c r="E66" s="454"/>
      <c r="F66" s="454"/>
      <c r="G66" s="454"/>
      <c r="H66" s="454"/>
      <c r="I66" s="454"/>
      <c r="J66" s="454"/>
      <c r="K66" s="454"/>
      <c r="L66" s="454"/>
      <c r="M66" s="454"/>
      <c r="N66" s="454"/>
      <c r="O66" s="454"/>
      <c r="P66" s="454"/>
      <c r="Q66" s="71">
        <v>712474.45000000298</v>
      </c>
      <c r="R66" s="70">
        <f t="shared" ref="R66:AE75" si="65">+Q33-R33</f>
        <v>0</v>
      </c>
      <c r="S66" s="70">
        <f t="shared" si="65"/>
        <v>0</v>
      </c>
      <c r="T66" s="70">
        <f t="shared" si="65"/>
        <v>0</v>
      </c>
      <c r="U66" s="70">
        <f t="shared" si="65"/>
        <v>0</v>
      </c>
      <c r="V66" s="70">
        <f t="shared" si="65"/>
        <v>0</v>
      </c>
      <c r="W66" s="70">
        <f t="shared" si="65"/>
        <v>0</v>
      </c>
      <c r="X66" s="70">
        <f t="shared" si="65"/>
        <v>0</v>
      </c>
      <c r="Y66" s="70">
        <f t="shared" si="65"/>
        <v>0</v>
      </c>
      <c r="Z66" s="70">
        <f t="shared" si="65"/>
        <v>0</v>
      </c>
      <c r="AA66" s="70">
        <f t="shared" si="65"/>
        <v>0</v>
      </c>
      <c r="AB66" s="70">
        <f t="shared" si="65"/>
        <v>0</v>
      </c>
      <c r="AC66" s="70">
        <f t="shared" si="65"/>
        <v>0</v>
      </c>
      <c r="AD66" s="70">
        <f t="shared" si="65"/>
        <v>0</v>
      </c>
      <c r="AE66" s="70">
        <f t="shared" si="65"/>
        <v>0</v>
      </c>
      <c r="AF66" s="70">
        <f t="shared" si="63"/>
        <v>0</v>
      </c>
      <c r="AG66" s="70"/>
      <c r="AH66" s="70"/>
      <c r="AI66" s="70"/>
      <c r="AJ66" s="70"/>
      <c r="AK66" s="70"/>
      <c r="AL66" s="70"/>
      <c r="AM66" s="70"/>
      <c r="AN66" s="70"/>
      <c r="AP66" s="70">
        <f t="shared" ref="AP66:AP75" si="66">SUMIFS($Q66:$AN66,$Q$9:$AN$9,AP$9,$Q$8:$AN$8,AP$8)</f>
        <v>712474.45000000298</v>
      </c>
      <c r="AQ66" s="70">
        <f t="shared" si="64"/>
        <v>0</v>
      </c>
      <c r="AR66" s="70">
        <f t="shared" si="64"/>
        <v>0</v>
      </c>
      <c r="AS66" s="70">
        <f t="shared" si="64"/>
        <v>0</v>
      </c>
      <c r="AT66" s="70">
        <f t="shared" si="64"/>
        <v>0</v>
      </c>
      <c r="AU66" s="70">
        <f t="shared" si="64"/>
        <v>0</v>
      </c>
      <c r="AV66" s="70">
        <f t="shared" si="64"/>
        <v>0</v>
      </c>
      <c r="AW66" s="70">
        <f t="shared" si="64"/>
        <v>0</v>
      </c>
      <c r="AY66" s="70">
        <f t="shared" ref="AY66:AZ75" si="67">SUMIF($Q$8:$AN$8,AY$8,$Q66:$AN66)</f>
        <v>712474.45000000298</v>
      </c>
      <c r="AZ66" s="70">
        <f t="shared" si="67"/>
        <v>0</v>
      </c>
      <c r="BB66" s="70">
        <f t="shared" ref="BB66:BC75" si="68">SUMIFS($Q66:$AN66,$Q$8:$AN$8,BB$8,$Q$10:$AN$10,"Actuals")</f>
        <v>712474.45000000298</v>
      </c>
      <c r="BC66" s="70">
        <f t="shared" si="68"/>
        <v>0</v>
      </c>
    </row>
    <row r="67" spans="2:55" hidden="1" outlineLevel="2" x14ac:dyDescent="0.45">
      <c r="B67" s="450" t="s">
        <v>379</v>
      </c>
      <c r="C67" s="454"/>
      <c r="D67" s="454">
        <v>2</v>
      </c>
      <c r="E67" s="454"/>
      <c r="F67" s="454"/>
      <c r="G67" s="454"/>
      <c r="H67" s="454"/>
      <c r="I67" s="454"/>
      <c r="J67" s="454"/>
      <c r="K67" s="454"/>
      <c r="L67" s="454"/>
      <c r="M67" s="454"/>
      <c r="N67" s="454"/>
      <c r="O67" s="454"/>
      <c r="P67" s="454"/>
      <c r="Q67" s="71">
        <v>1902155.1099999994</v>
      </c>
      <c r="R67" s="70">
        <f t="shared" si="65"/>
        <v>4331024.0100000016</v>
      </c>
      <c r="S67" s="70">
        <f t="shared" si="65"/>
        <v>-4048347.5300000049</v>
      </c>
      <c r="T67" s="70">
        <f t="shared" si="65"/>
        <v>981027.10000000149</v>
      </c>
      <c r="U67" s="70">
        <f t="shared" si="65"/>
        <v>-11569085.18999999</v>
      </c>
      <c r="V67" s="70">
        <f t="shared" si="65"/>
        <v>-6875564.3300000057</v>
      </c>
      <c r="W67" s="70">
        <f t="shared" si="65"/>
        <v>-346688.14999999851</v>
      </c>
      <c r="X67" s="70">
        <f t="shared" si="65"/>
        <v>-3543036.8700000122</v>
      </c>
      <c r="Y67" s="70">
        <f t="shared" si="65"/>
        <v>-5003259.8299999982</v>
      </c>
      <c r="Z67" s="70">
        <f t="shared" si="65"/>
        <v>-3525881.5900000036</v>
      </c>
      <c r="AA67" s="70">
        <f t="shared" si="65"/>
        <v>-5632061.4099999964</v>
      </c>
      <c r="AB67" s="70">
        <f t="shared" si="65"/>
        <v>-19506500.159999982</v>
      </c>
      <c r="AC67" s="70">
        <f t="shared" si="65"/>
        <v>7853690.799999997</v>
      </c>
      <c r="AD67" s="70">
        <f t="shared" si="65"/>
        <v>-2280659.7900000215</v>
      </c>
      <c r="AE67" s="70">
        <f t="shared" si="65"/>
        <v>-16904831.189999968</v>
      </c>
      <c r="AF67" s="70">
        <f t="shared" si="63"/>
        <v>-5424989.4799999893</v>
      </c>
      <c r="AG67" s="70"/>
      <c r="AH67" s="70"/>
      <c r="AI67" s="70"/>
      <c r="AJ67" s="70"/>
      <c r="AK67" s="70"/>
      <c r="AL67" s="70"/>
      <c r="AM67" s="70"/>
      <c r="AN67" s="70"/>
      <c r="AP67" s="70">
        <f t="shared" si="66"/>
        <v>2184831.5899999961</v>
      </c>
      <c r="AQ67" s="70">
        <f t="shared" si="64"/>
        <v>-17463622.419999994</v>
      </c>
      <c r="AR67" s="70">
        <f t="shared" si="64"/>
        <v>-8892984.8500000089</v>
      </c>
      <c r="AS67" s="70">
        <f t="shared" si="64"/>
        <v>-28664443.159999982</v>
      </c>
      <c r="AT67" s="70">
        <f t="shared" si="64"/>
        <v>-11331800.179999992</v>
      </c>
      <c r="AU67" s="70">
        <f t="shared" si="64"/>
        <v>-5424989.4799999893</v>
      </c>
      <c r="AV67" s="70">
        <f t="shared" si="64"/>
        <v>0</v>
      </c>
      <c r="AW67" s="70">
        <f t="shared" si="64"/>
        <v>0</v>
      </c>
      <c r="AY67" s="70">
        <f t="shared" si="67"/>
        <v>-52836218.839999989</v>
      </c>
      <c r="AZ67" s="70">
        <f t="shared" si="67"/>
        <v>-16756789.659999982</v>
      </c>
      <c r="BB67" s="70">
        <f t="shared" si="68"/>
        <v>3165858.6899999976</v>
      </c>
      <c r="BC67" s="70">
        <f t="shared" si="68"/>
        <v>-16756789.659999982</v>
      </c>
    </row>
    <row r="68" spans="2:55" hidden="1" outlineLevel="2" x14ac:dyDescent="0.45">
      <c r="B68" s="450" t="s">
        <v>56</v>
      </c>
      <c r="C68" s="454"/>
      <c r="D68" s="454">
        <v>3</v>
      </c>
      <c r="E68" s="454"/>
      <c r="F68" s="454"/>
      <c r="G68" s="454"/>
      <c r="H68" s="454"/>
      <c r="I68" s="454"/>
      <c r="J68" s="454"/>
      <c r="K68" s="454"/>
      <c r="L68" s="454"/>
      <c r="M68" s="454"/>
      <c r="N68" s="454"/>
      <c r="O68" s="454"/>
      <c r="P68" s="454"/>
      <c r="Q68" s="71">
        <v>-617333.15000000037</v>
      </c>
      <c r="R68" s="70">
        <f t="shared" si="65"/>
        <v>2675407.67</v>
      </c>
      <c r="S68" s="70">
        <f t="shared" si="65"/>
        <v>1066771.6300000018</v>
      </c>
      <c r="T68" s="70">
        <f t="shared" si="65"/>
        <v>-1888399.9900000012</v>
      </c>
      <c r="U68" s="70">
        <f t="shared" si="65"/>
        <v>-1772016.7500000019</v>
      </c>
      <c r="V68" s="70">
        <f t="shared" si="65"/>
        <v>-315672.41999999806</v>
      </c>
      <c r="W68" s="70">
        <f t="shared" si="65"/>
        <v>-240232.92000000179</v>
      </c>
      <c r="X68" s="70">
        <f t="shared" si="65"/>
        <v>162823.40000000224</v>
      </c>
      <c r="Y68" s="70">
        <f t="shared" si="65"/>
        <v>2808940.790000001</v>
      </c>
      <c r="Z68" s="70">
        <f t="shared" si="65"/>
        <v>-113738.75999999978</v>
      </c>
      <c r="AA68" s="70">
        <f t="shared" si="65"/>
        <v>606240.01999999955</v>
      </c>
      <c r="AB68" s="70">
        <f t="shared" si="65"/>
        <v>436169.87999999896</v>
      </c>
      <c r="AC68" s="70">
        <f t="shared" si="65"/>
        <v>-905847.15999999829</v>
      </c>
      <c r="AD68" s="70">
        <f t="shared" si="65"/>
        <v>-2899620.59</v>
      </c>
      <c r="AE68" s="70">
        <f t="shared" si="65"/>
        <v>-92229.870000001043</v>
      </c>
      <c r="AF68" s="70">
        <f t="shared" si="63"/>
        <v>2433057.1399999969</v>
      </c>
      <c r="AG68" s="70"/>
      <c r="AH68" s="70"/>
      <c r="AI68" s="70"/>
      <c r="AJ68" s="70"/>
      <c r="AK68" s="70"/>
      <c r="AL68" s="70"/>
      <c r="AM68" s="70"/>
      <c r="AN68" s="70"/>
      <c r="AP68" s="70">
        <f t="shared" si="66"/>
        <v>3124846.1500000013</v>
      </c>
      <c r="AQ68" s="70">
        <f t="shared" si="64"/>
        <v>-3976089.1600000011</v>
      </c>
      <c r="AR68" s="70">
        <f t="shared" si="64"/>
        <v>2731531.2700000014</v>
      </c>
      <c r="AS68" s="70">
        <f t="shared" si="64"/>
        <v>928671.13999999873</v>
      </c>
      <c r="AT68" s="70">
        <f t="shared" si="64"/>
        <v>-3897697.6199999992</v>
      </c>
      <c r="AU68" s="70">
        <f t="shared" si="64"/>
        <v>2433057.1399999969</v>
      </c>
      <c r="AV68" s="70">
        <f t="shared" si="64"/>
        <v>0</v>
      </c>
      <c r="AW68" s="70">
        <f t="shared" si="64"/>
        <v>0</v>
      </c>
      <c r="AY68" s="70">
        <f t="shared" si="67"/>
        <v>2808959.4000000004</v>
      </c>
      <c r="AZ68" s="70">
        <f t="shared" si="67"/>
        <v>-1464640.4800000023</v>
      </c>
      <c r="BB68" s="70">
        <f t="shared" si="68"/>
        <v>1236446.1600000001</v>
      </c>
      <c r="BC68" s="70">
        <f t="shared" si="68"/>
        <v>-1464640.4800000023</v>
      </c>
    </row>
    <row r="69" spans="2:55" hidden="1" outlineLevel="2" x14ac:dyDescent="0.45">
      <c r="B69" s="72" t="s">
        <v>383</v>
      </c>
      <c r="C69" s="454"/>
      <c r="D69" s="454">
        <v>10</v>
      </c>
      <c r="E69" s="454"/>
      <c r="F69" s="454"/>
      <c r="G69" s="454"/>
      <c r="H69" s="454"/>
      <c r="I69" s="454"/>
      <c r="J69" s="454"/>
      <c r="K69" s="454"/>
      <c r="L69" s="454"/>
      <c r="M69" s="454"/>
      <c r="N69" s="454"/>
      <c r="O69" s="454"/>
      <c r="P69" s="454"/>
      <c r="Q69" s="71">
        <v>-162384.47999999672</v>
      </c>
      <c r="R69" s="70">
        <f t="shared" si="65"/>
        <v>-2965462.6199999973</v>
      </c>
      <c r="S69" s="70">
        <f t="shared" si="65"/>
        <v>14463651.339999996</v>
      </c>
      <c r="T69" s="70">
        <f t="shared" si="65"/>
        <v>-1737582.6999999993</v>
      </c>
      <c r="U69" s="70">
        <f t="shared" si="65"/>
        <v>-39346338.18</v>
      </c>
      <c r="V69" s="70">
        <f t="shared" si="65"/>
        <v>-8498148.9100000039</v>
      </c>
      <c r="W69" s="70">
        <f t="shared" si="65"/>
        <v>-5468783.1300000101</v>
      </c>
      <c r="X69" s="70">
        <f t="shared" si="65"/>
        <v>-7558560.7499999851</v>
      </c>
      <c r="Y69" s="70">
        <f t="shared" si="65"/>
        <v>-29414629.819999993</v>
      </c>
      <c r="Z69" s="70">
        <f t="shared" si="65"/>
        <v>3791452.799999997</v>
      </c>
      <c r="AA69" s="70">
        <f t="shared" si="65"/>
        <v>-23109274.280000031</v>
      </c>
      <c r="AB69" s="70">
        <f t="shared" si="65"/>
        <v>40750665.700000018</v>
      </c>
      <c r="AC69" s="70">
        <f t="shared" si="65"/>
        <v>-9444676.2199999988</v>
      </c>
      <c r="AD69" s="70">
        <f t="shared" si="65"/>
        <v>-17329890.219999984</v>
      </c>
      <c r="AE69" s="70">
        <f t="shared" si="65"/>
        <v>19193922.289999977</v>
      </c>
      <c r="AF69" s="70">
        <f t="shared" si="63"/>
        <v>41854686.500000015</v>
      </c>
      <c r="AG69" s="70"/>
      <c r="AH69" s="70"/>
      <c r="AI69" s="70"/>
      <c r="AJ69" s="70"/>
      <c r="AK69" s="70"/>
      <c r="AL69" s="70"/>
      <c r="AM69" s="70"/>
      <c r="AN69" s="70"/>
      <c r="AP69" s="70">
        <f t="shared" si="66"/>
        <v>11335804.240000002</v>
      </c>
      <c r="AQ69" s="70">
        <f t="shared" si="64"/>
        <v>-49582069.789999999</v>
      </c>
      <c r="AR69" s="70">
        <f t="shared" si="64"/>
        <v>-42441973.699999988</v>
      </c>
      <c r="AS69" s="70">
        <f t="shared" si="64"/>
        <v>21432844.219999984</v>
      </c>
      <c r="AT69" s="70">
        <f t="shared" si="64"/>
        <v>-7580644.150000006</v>
      </c>
      <c r="AU69" s="70">
        <f t="shared" si="64"/>
        <v>41854686.500000015</v>
      </c>
      <c r="AV69" s="70">
        <f t="shared" si="64"/>
        <v>0</v>
      </c>
      <c r="AW69" s="70">
        <f t="shared" si="64"/>
        <v>0</v>
      </c>
      <c r="AY69" s="70">
        <f t="shared" si="67"/>
        <v>-59255395.030000001</v>
      </c>
      <c r="AZ69" s="70">
        <f t="shared" si="67"/>
        <v>34274042.350000009</v>
      </c>
      <c r="BB69" s="70">
        <f t="shared" si="68"/>
        <v>9598221.5400000028</v>
      </c>
      <c r="BC69" s="70">
        <f t="shared" si="68"/>
        <v>34274042.350000009</v>
      </c>
    </row>
    <row r="70" spans="2:55" hidden="1" outlineLevel="2" x14ac:dyDescent="0.45">
      <c r="B70" s="450" t="s">
        <v>89</v>
      </c>
      <c r="C70" s="454"/>
      <c r="D70" s="454">
        <v>3</v>
      </c>
      <c r="E70" s="454"/>
      <c r="F70" s="454"/>
      <c r="G70" s="454"/>
      <c r="H70" s="454"/>
      <c r="I70" s="454"/>
      <c r="J70" s="454"/>
      <c r="K70" s="454"/>
      <c r="L70" s="454"/>
      <c r="M70" s="454"/>
      <c r="N70" s="454"/>
      <c r="O70" s="454"/>
      <c r="P70" s="454"/>
      <c r="Q70" s="71">
        <v>6129970.6000000015</v>
      </c>
      <c r="R70" s="70">
        <f t="shared" si="65"/>
        <v>1588817.33</v>
      </c>
      <c r="S70" s="70">
        <f t="shared" si="65"/>
        <v>39703.719999999972</v>
      </c>
      <c r="T70" s="70">
        <f t="shared" si="65"/>
        <v>1581765.2600000005</v>
      </c>
      <c r="U70" s="70">
        <f t="shared" si="65"/>
        <v>-1075196.46</v>
      </c>
      <c r="V70" s="70">
        <f t="shared" si="65"/>
        <v>-4811634.87</v>
      </c>
      <c r="W70" s="70">
        <f t="shared" si="65"/>
        <v>206006.8599999994</v>
      </c>
      <c r="X70" s="70">
        <f t="shared" si="65"/>
        <v>-9347093.0700000022</v>
      </c>
      <c r="Y70" s="70">
        <f t="shared" si="65"/>
        <v>-13204234.959999993</v>
      </c>
      <c r="Z70" s="70">
        <f t="shared" si="65"/>
        <v>-11733251.190000005</v>
      </c>
      <c r="AA70" s="70">
        <f t="shared" si="65"/>
        <v>1138906.5799999982</v>
      </c>
      <c r="AB70" s="70">
        <f t="shared" si="65"/>
        <v>21115928.110000003</v>
      </c>
      <c r="AC70" s="70">
        <f t="shared" si="65"/>
        <v>-6814537.6700000018</v>
      </c>
      <c r="AD70" s="70">
        <f t="shared" si="65"/>
        <v>6411304.070000004</v>
      </c>
      <c r="AE70" s="70">
        <f t="shared" si="65"/>
        <v>-6246098.150000006</v>
      </c>
      <c r="AF70" s="70">
        <f t="shared" si="63"/>
        <v>-1072494.5099999979</v>
      </c>
      <c r="AG70" s="70"/>
      <c r="AH70" s="70"/>
      <c r="AI70" s="70"/>
      <c r="AJ70" s="70"/>
      <c r="AK70" s="70"/>
      <c r="AL70" s="70"/>
      <c r="AM70" s="70"/>
      <c r="AN70" s="70"/>
      <c r="AP70" s="70">
        <f t="shared" si="66"/>
        <v>7758491.6500000013</v>
      </c>
      <c r="AQ70" s="70">
        <f t="shared" si="64"/>
        <v>-4305066.0699999994</v>
      </c>
      <c r="AR70" s="70">
        <f t="shared" si="64"/>
        <v>-22345321.169999994</v>
      </c>
      <c r="AS70" s="70">
        <f t="shared" si="64"/>
        <v>10521583.499999996</v>
      </c>
      <c r="AT70" s="70">
        <f t="shared" si="64"/>
        <v>-6649331.7500000037</v>
      </c>
      <c r="AU70" s="70">
        <f t="shared" si="64"/>
        <v>-1072494.5099999979</v>
      </c>
      <c r="AV70" s="70">
        <f t="shared" si="64"/>
        <v>0</v>
      </c>
      <c r="AW70" s="70">
        <f t="shared" si="64"/>
        <v>0</v>
      </c>
      <c r="AY70" s="70">
        <f t="shared" si="67"/>
        <v>-8370312.0899999999</v>
      </c>
      <c r="AZ70" s="70">
        <f t="shared" si="67"/>
        <v>-7721826.2600000016</v>
      </c>
      <c r="BB70" s="70">
        <f t="shared" si="68"/>
        <v>9340256.910000002</v>
      </c>
      <c r="BC70" s="70">
        <f t="shared" si="68"/>
        <v>-7721826.2600000016</v>
      </c>
    </row>
    <row r="71" spans="2:55" hidden="1" outlineLevel="2" x14ac:dyDescent="0.45">
      <c r="B71" s="450" t="s">
        <v>101</v>
      </c>
      <c r="C71" s="454"/>
      <c r="D71" s="454">
        <v>3</v>
      </c>
      <c r="E71" s="454"/>
      <c r="F71" s="454"/>
      <c r="G71" s="454"/>
      <c r="H71" s="454"/>
      <c r="I71" s="454"/>
      <c r="J71" s="454"/>
      <c r="K71" s="454"/>
      <c r="L71" s="454"/>
      <c r="M71" s="454"/>
      <c r="N71" s="454"/>
      <c r="O71" s="454"/>
      <c r="P71" s="454"/>
      <c r="Q71" s="71">
        <v>28823.960000000079</v>
      </c>
      <c r="R71" s="70">
        <f t="shared" si="65"/>
        <v>-207353.21999999997</v>
      </c>
      <c r="S71" s="70">
        <f t="shared" si="65"/>
        <v>-241780.49000000022</v>
      </c>
      <c r="T71" s="70">
        <f t="shared" si="65"/>
        <v>-40590.089999999851</v>
      </c>
      <c r="U71" s="70">
        <f t="shared" si="65"/>
        <v>-874310.43000000017</v>
      </c>
      <c r="V71" s="70">
        <f t="shared" si="65"/>
        <v>-1694667.4</v>
      </c>
      <c r="W71" s="70">
        <f t="shared" si="65"/>
        <v>1382392.2800000003</v>
      </c>
      <c r="X71" s="70">
        <f t="shared" si="65"/>
        <v>-673846.25</v>
      </c>
      <c r="Y71" s="70">
        <f t="shared" si="65"/>
        <v>256174.58999999985</v>
      </c>
      <c r="Z71" s="70">
        <f t="shared" si="65"/>
        <v>-109006.55999999959</v>
      </c>
      <c r="AA71" s="70">
        <f t="shared" si="65"/>
        <v>269211.4599999995</v>
      </c>
      <c r="AB71" s="70">
        <f t="shared" si="65"/>
        <v>1154267.31</v>
      </c>
      <c r="AC71" s="70">
        <f t="shared" si="65"/>
        <v>-3046660.2199999993</v>
      </c>
      <c r="AD71" s="70">
        <f t="shared" si="65"/>
        <v>-1527068.7599999988</v>
      </c>
      <c r="AE71" s="70">
        <f t="shared" si="65"/>
        <v>3626590.4599999981</v>
      </c>
      <c r="AF71" s="70">
        <f t="shared" si="63"/>
        <v>-2060271.58</v>
      </c>
      <c r="AG71" s="70"/>
      <c r="AH71" s="70"/>
      <c r="AI71" s="70"/>
      <c r="AJ71" s="70"/>
      <c r="AK71" s="70"/>
      <c r="AL71" s="70"/>
      <c r="AM71" s="70"/>
      <c r="AN71" s="70"/>
      <c r="AP71" s="70">
        <f t="shared" si="66"/>
        <v>-420309.75000000012</v>
      </c>
      <c r="AQ71" s="70">
        <f t="shared" si="64"/>
        <v>-2609567.92</v>
      </c>
      <c r="AR71" s="70">
        <f t="shared" si="64"/>
        <v>964720.62000000011</v>
      </c>
      <c r="AS71" s="70">
        <f t="shared" si="64"/>
        <v>1314472.21</v>
      </c>
      <c r="AT71" s="70">
        <f t="shared" si="64"/>
        <v>-947138.52000000048</v>
      </c>
      <c r="AU71" s="70">
        <f t="shared" si="64"/>
        <v>-2060271.58</v>
      </c>
      <c r="AV71" s="70">
        <f t="shared" si="64"/>
        <v>0</v>
      </c>
      <c r="AW71" s="70">
        <f t="shared" si="64"/>
        <v>0</v>
      </c>
      <c r="AY71" s="70">
        <f t="shared" si="67"/>
        <v>-750684.83999999985</v>
      </c>
      <c r="AZ71" s="70">
        <f t="shared" si="67"/>
        <v>-3007410.1000000006</v>
      </c>
      <c r="BB71" s="70">
        <f t="shared" si="68"/>
        <v>-460899.83999999997</v>
      </c>
      <c r="BC71" s="70">
        <f t="shared" si="68"/>
        <v>-3007410.1000000006</v>
      </c>
    </row>
    <row r="72" spans="2:55" hidden="1" outlineLevel="2" x14ac:dyDescent="0.45">
      <c r="B72" s="450" t="s">
        <v>821</v>
      </c>
      <c r="C72" s="454"/>
      <c r="D72" s="454">
        <v>6</v>
      </c>
      <c r="E72" s="454"/>
      <c r="F72" s="454"/>
      <c r="G72" s="454"/>
      <c r="H72" s="454"/>
      <c r="I72" s="454"/>
      <c r="J72" s="454"/>
      <c r="K72" s="454"/>
      <c r="L72" s="454"/>
      <c r="M72" s="454"/>
      <c r="N72" s="454"/>
      <c r="O72" s="454"/>
      <c r="P72" s="454"/>
      <c r="Q72" s="71">
        <v>0</v>
      </c>
      <c r="R72" s="70">
        <f t="shared" si="65"/>
        <v>0</v>
      </c>
      <c r="S72" s="70">
        <f t="shared" si="65"/>
        <v>0</v>
      </c>
      <c r="T72" s="70">
        <f t="shared" si="65"/>
        <v>0</v>
      </c>
      <c r="U72" s="70">
        <f t="shared" si="65"/>
        <v>0</v>
      </c>
      <c r="V72" s="70">
        <f t="shared" si="65"/>
        <v>0</v>
      </c>
      <c r="W72" s="70">
        <f t="shared" si="65"/>
        <v>0</v>
      </c>
      <c r="X72" s="70">
        <f t="shared" si="65"/>
        <v>0</v>
      </c>
      <c r="Y72" s="70">
        <f t="shared" si="65"/>
        <v>0</v>
      </c>
      <c r="Z72" s="70">
        <f t="shared" si="65"/>
        <v>0</v>
      </c>
      <c r="AA72" s="70">
        <f t="shared" si="65"/>
        <v>0</v>
      </c>
      <c r="AB72" s="70">
        <f t="shared" si="65"/>
        <v>0</v>
      </c>
      <c r="AC72" s="70">
        <f t="shared" si="65"/>
        <v>0</v>
      </c>
      <c r="AD72" s="70">
        <f t="shared" si="65"/>
        <v>0</v>
      </c>
      <c r="AE72" s="70">
        <f t="shared" si="65"/>
        <v>0</v>
      </c>
      <c r="AF72" s="70">
        <f t="shared" si="63"/>
        <v>0</v>
      </c>
      <c r="AG72" s="70"/>
      <c r="AH72" s="70"/>
      <c r="AI72" s="70"/>
      <c r="AJ72" s="70"/>
      <c r="AK72" s="70"/>
      <c r="AL72" s="70"/>
      <c r="AM72" s="70"/>
      <c r="AN72" s="70"/>
      <c r="AP72" s="70">
        <f t="shared" si="66"/>
        <v>0</v>
      </c>
      <c r="AQ72" s="70">
        <f t="shared" si="64"/>
        <v>0</v>
      </c>
      <c r="AR72" s="70">
        <f t="shared" si="64"/>
        <v>0</v>
      </c>
      <c r="AS72" s="70">
        <f t="shared" si="64"/>
        <v>0</v>
      </c>
      <c r="AT72" s="70">
        <f t="shared" si="64"/>
        <v>0</v>
      </c>
      <c r="AU72" s="70">
        <f t="shared" si="64"/>
        <v>0</v>
      </c>
      <c r="AV72" s="70">
        <f t="shared" si="64"/>
        <v>0</v>
      </c>
      <c r="AW72" s="70">
        <f t="shared" si="64"/>
        <v>0</v>
      </c>
      <c r="AY72" s="70">
        <f t="shared" si="67"/>
        <v>0</v>
      </c>
      <c r="AZ72" s="70">
        <f t="shared" si="67"/>
        <v>0</v>
      </c>
      <c r="BB72" s="70">
        <f t="shared" si="68"/>
        <v>0</v>
      </c>
      <c r="BC72" s="70">
        <f t="shared" si="68"/>
        <v>0</v>
      </c>
    </row>
    <row r="73" spans="2:55" hidden="1" outlineLevel="2" x14ac:dyDescent="0.45">
      <c r="B73" s="450" t="s">
        <v>822</v>
      </c>
      <c r="C73" s="454"/>
      <c r="D73" s="454">
        <v>4</v>
      </c>
      <c r="E73" s="454"/>
      <c r="F73" s="454"/>
      <c r="G73" s="454"/>
      <c r="H73" s="454"/>
      <c r="I73" s="454"/>
      <c r="J73" s="454"/>
      <c r="K73" s="454"/>
      <c r="L73" s="454"/>
      <c r="M73" s="454"/>
      <c r="N73" s="454"/>
      <c r="O73" s="454"/>
      <c r="P73" s="454"/>
      <c r="Q73" s="71">
        <v>0</v>
      </c>
      <c r="R73" s="70">
        <f t="shared" si="65"/>
        <v>0</v>
      </c>
      <c r="S73" s="70">
        <f t="shared" si="65"/>
        <v>0</v>
      </c>
      <c r="T73" s="70">
        <f t="shared" si="65"/>
        <v>0</v>
      </c>
      <c r="U73" s="70">
        <f t="shared" si="65"/>
        <v>0</v>
      </c>
      <c r="V73" s="70">
        <f t="shared" si="65"/>
        <v>0</v>
      </c>
      <c r="W73" s="70">
        <f t="shared" si="65"/>
        <v>0</v>
      </c>
      <c r="X73" s="70">
        <f t="shared" si="65"/>
        <v>0</v>
      </c>
      <c r="Y73" s="70">
        <f t="shared" si="65"/>
        <v>0</v>
      </c>
      <c r="Z73" s="70">
        <f t="shared" si="65"/>
        <v>0</v>
      </c>
      <c r="AA73" s="70">
        <f t="shared" si="65"/>
        <v>0</v>
      </c>
      <c r="AB73" s="70">
        <f t="shared" si="65"/>
        <v>0</v>
      </c>
      <c r="AC73" s="70">
        <f t="shared" si="65"/>
        <v>0</v>
      </c>
      <c r="AD73" s="70">
        <f t="shared" si="65"/>
        <v>0</v>
      </c>
      <c r="AE73" s="70">
        <f t="shared" si="65"/>
        <v>0</v>
      </c>
      <c r="AF73" s="70">
        <f t="shared" si="63"/>
        <v>0</v>
      </c>
      <c r="AG73" s="70"/>
      <c r="AH73" s="70"/>
      <c r="AI73" s="70"/>
      <c r="AJ73" s="70"/>
      <c r="AK73" s="70"/>
      <c r="AL73" s="70"/>
      <c r="AM73" s="70"/>
      <c r="AN73" s="70"/>
      <c r="AP73" s="70">
        <f t="shared" si="66"/>
        <v>0</v>
      </c>
      <c r="AQ73" s="70">
        <f t="shared" si="64"/>
        <v>0</v>
      </c>
      <c r="AR73" s="70">
        <f t="shared" si="64"/>
        <v>0</v>
      </c>
      <c r="AS73" s="70">
        <f t="shared" si="64"/>
        <v>0</v>
      </c>
      <c r="AT73" s="70">
        <f t="shared" si="64"/>
        <v>0</v>
      </c>
      <c r="AU73" s="70">
        <f t="shared" si="64"/>
        <v>0</v>
      </c>
      <c r="AV73" s="70">
        <f t="shared" si="64"/>
        <v>0</v>
      </c>
      <c r="AW73" s="70">
        <f t="shared" si="64"/>
        <v>0</v>
      </c>
      <c r="AY73" s="70">
        <f t="shared" si="67"/>
        <v>0</v>
      </c>
      <c r="AZ73" s="70">
        <f t="shared" si="67"/>
        <v>0</v>
      </c>
      <c r="BB73" s="70">
        <f t="shared" si="68"/>
        <v>0</v>
      </c>
      <c r="BC73" s="70">
        <f t="shared" si="68"/>
        <v>0</v>
      </c>
    </row>
    <row r="74" spans="2:55" hidden="1" outlineLevel="2" x14ac:dyDescent="0.45">
      <c r="B74" s="450" t="s">
        <v>581</v>
      </c>
      <c r="C74" s="454"/>
      <c r="D74" s="454">
        <v>5</v>
      </c>
      <c r="E74" s="454"/>
      <c r="F74" s="454"/>
      <c r="G74" s="454"/>
      <c r="H74" s="454"/>
      <c r="I74" s="454"/>
      <c r="J74" s="454"/>
      <c r="K74" s="454"/>
      <c r="L74" s="454"/>
      <c r="M74" s="454"/>
      <c r="N74" s="454"/>
      <c r="O74" s="454"/>
      <c r="P74" s="454"/>
      <c r="Q74" s="71">
        <v>0</v>
      </c>
      <c r="R74" s="70">
        <f t="shared" si="65"/>
        <v>0</v>
      </c>
      <c r="S74" s="70">
        <f t="shared" si="65"/>
        <v>0</v>
      </c>
      <c r="T74" s="70">
        <f t="shared" si="65"/>
        <v>0</v>
      </c>
      <c r="U74" s="70">
        <f t="shared" si="65"/>
        <v>0</v>
      </c>
      <c r="V74" s="70">
        <f t="shared" si="65"/>
        <v>0</v>
      </c>
      <c r="W74" s="70">
        <f t="shared" si="65"/>
        <v>0</v>
      </c>
      <c r="X74" s="70">
        <f t="shared" si="65"/>
        <v>0</v>
      </c>
      <c r="Y74" s="70">
        <f t="shared" si="65"/>
        <v>0</v>
      </c>
      <c r="Z74" s="70">
        <f t="shared" si="65"/>
        <v>0</v>
      </c>
      <c r="AA74" s="70">
        <f t="shared" si="65"/>
        <v>0</v>
      </c>
      <c r="AB74" s="70">
        <f t="shared" si="65"/>
        <v>0</v>
      </c>
      <c r="AC74" s="70">
        <f t="shared" si="65"/>
        <v>0</v>
      </c>
      <c r="AD74" s="70">
        <f t="shared" si="65"/>
        <v>0</v>
      </c>
      <c r="AE74" s="70">
        <f t="shared" si="65"/>
        <v>0</v>
      </c>
      <c r="AF74" s="70">
        <f t="shared" si="63"/>
        <v>0</v>
      </c>
      <c r="AG74" s="70"/>
      <c r="AH74" s="70"/>
      <c r="AI74" s="70"/>
      <c r="AJ74" s="70"/>
      <c r="AK74" s="70"/>
      <c r="AL74" s="70"/>
      <c r="AM74" s="70"/>
      <c r="AN74" s="70"/>
      <c r="AP74" s="70">
        <f t="shared" si="66"/>
        <v>0</v>
      </c>
      <c r="AQ74" s="70">
        <f t="shared" si="64"/>
        <v>0</v>
      </c>
      <c r="AR74" s="70">
        <f t="shared" si="64"/>
        <v>0</v>
      </c>
      <c r="AS74" s="70">
        <f t="shared" si="64"/>
        <v>0</v>
      </c>
      <c r="AT74" s="70">
        <f t="shared" si="64"/>
        <v>0</v>
      </c>
      <c r="AU74" s="70">
        <f t="shared" si="64"/>
        <v>0</v>
      </c>
      <c r="AV74" s="70">
        <f t="shared" si="64"/>
        <v>0</v>
      </c>
      <c r="AW74" s="70">
        <f t="shared" si="64"/>
        <v>0</v>
      </c>
      <c r="AY74" s="70">
        <f t="shared" si="67"/>
        <v>0</v>
      </c>
      <c r="AZ74" s="70">
        <f t="shared" si="67"/>
        <v>0</v>
      </c>
      <c r="BB74" s="70">
        <f t="shared" si="68"/>
        <v>0</v>
      </c>
      <c r="BC74" s="70">
        <f t="shared" si="68"/>
        <v>0</v>
      </c>
    </row>
    <row r="75" spans="2:55" hidden="1" outlineLevel="2" x14ac:dyDescent="0.45">
      <c r="B75" s="450" t="s">
        <v>1100</v>
      </c>
      <c r="C75" s="454"/>
      <c r="D75" s="454">
        <v>3</v>
      </c>
      <c r="E75" s="454"/>
      <c r="F75" s="454"/>
      <c r="G75" s="454"/>
      <c r="H75" s="454"/>
      <c r="I75" s="454"/>
      <c r="J75" s="454"/>
      <c r="K75" s="454"/>
      <c r="L75" s="454"/>
      <c r="M75" s="454"/>
      <c r="N75" s="454"/>
      <c r="O75" s="454"/>
      <c r="P75" s="454"/>
      <c r="Q75" s="71">
        <v>0</v>
      </c>
      <c r="R75" s="70">
        <f t="shared" si="65"/>
        <v>0</v>
      </c>
      <c r="S75" s="70">
        <f t="shared" si="65"/>
        <v>0</v>
      </c>
      <c r="T75" s="70">
        <f t="shared" si="65"/>
        <v>0</v>
      </c>
      <c r="U75" s="70">
        <f t="shared" si="65"/>
        <v>0</v>
      </c>
      <c r="V75" s="70">
        <f t="shared" si="65"/>
        <v>0</v>
      </c>
      <c r="W75" s="70">
        <f t="shared" si="65"/>
        <v>0</v>
      </c>
      <c r="X75" s="70">
        <f t="shared" si="65"/>
        <v>0</v>
      </c>
      <c r="Y75" s="70">
        <f t="shared" si="65"/>
        <v>0</v>
      </c>
      <c r="Z75" s="70">
        <f t="shared" si="65"/>
        <v>0</v>
      </c>
      <c r="AA75" s="70">
        <f t="shared" si="65"/>
        <v>0</v>
      </c>
      <c r="AB75" s="70">
        <f t="shared" si="65"/>
        <v>0</v>
      </c>
      <c r="AC75" s="70">
        <f t="shared" si="65"/>
        <v>0</v>
      </c>
      <c r="AD75" s="70">
        <f t="shared" si="65"/>
        <v>0</v>
      </c>
      <c r="AE75" s="70">
        <f t="shared" si="65"/>
        <v>0</v>
      </c>
      <c r="AF75" s="70">
        <f t="shared" si="63"/>
        <v>0</v>
      </c>
      <c r="AG75" s="70"/>
      <c r="AH75" s="70"/>
      <c r="AI75" s="70"/>
      <c r="AJ75" s="70"/>
      <c r="AK75" s="70"/>
      <c r="AL75" s="70"/>
      <c r="AM75" s="70"/>
      <c r="AN75" s="70"/>
      <c r="AP75" s="70">
        <f t="shared" si="66"/>
        <v>0</v>
      </c>
      <c r="AQ75" s="70">
        <f t="shared" si="64"/>
        <v>0</v>
      </c>
      <c r="AR75" s="70">
        <f t="shared" si="64"/>
        <v>0</v>
      </c>
      <c r="AS75" s="70">
        <f t="shared" si="64"/>
        <v>0</v>
      </c>
      <c r="AT75" s="70">
        <f t="shared" si="64"/>
        <v>0</v>
      </c>
      <c r="AU75" s="70">
        <f t="shared" si="64"/>
        <v>0</v>
      </c>
      <c r="AV75" s="70">
        <f t="shared" si="64"/>
        <v>0</v>
      </c>
      <c r="AW75" s="70">
        <f t="shared" si="64"/>
        <v>0</v>
      </c>
      <c r="AY75" s="70">
        <f t="shared" si="67"/>
        <v>0</v>
      </c>
      <c r="AZ75" s="70">
        <f t="shared" si="67"/>
        <v>0</v>
      </c>
      <c r="BB75" s="70">
        <f t="shared" si="68"/>
        <v>0</v>
      </c>
      <c r="BC75" s="70">
        <f t="shared" si="68"/>
        <v>0</v>
      </c>
    </row>
    <row r="76" spans="2:55" hidden="1" outlineLevel="1" x14ac:dyDescent="0.45">
      <c r="B76" s="451" t="s">
        <v>816</v>
      </c>
      <c r="C76" s="455"/>
      <c r="D76" s="455"/>
      <c r="E76" s="455"/>
      <c r="F76" s="455"/>
      <c r="G76" s="455"/>
      <c r="H76" s="455"/>
      <c r="I76" s="455"/>
      <c r="J76" s="455"/>
      <c r="K76" s="455"/>
      <c r="L76" s="455"/>
      <c r="M76" s="455"/>
      <c r="N76" s="455"/>
      <c r="O76" s="455"/>
      <c r="P76" s="455"/>
      <c r="Q76" s="457">
        <f>SUM(Q65:Q75)</f>
        <v>7528085.4800000163</v>
      </c>
      <c r="R76" s="457">
        <f t="shared" ref="R76:AD76" si="69">SUM(R65:R75)</f>
        <v>3880069.2200000463</v>
      </c>
      <c r="S76" s="457">
        <f t="shared" si="69"/>
        <v>-14864565.140000008</v>
      </c>
      <c r="T76" s="457">
        <f t="shared" si="69"/>
        <v>-55891194.679999992</v>
      </c>
      <c r="U76" s="457">
        <f t="shared" si="69"/>
        <v>-54554251.780000001</v>
      </c>
      <c r="V76" s="457">
        <f t="shared" si="69"/>
        <v>-20228708.690000057</v>
      </c>
      <c r="W76" s="457">
        <f t="shared" si="69"/>
        <v>-12491433.519999988</v>
      </c>
      <c r="X76" s="457">
        <f t="shared" si="69"/>
        <v>-19971022.54999999</v>
      </c>
      <c r="Y76" s="457">
        <f t="shared" si="69"/>
        <v>-44505820.449999988</v>
      </c>
      <c r="Z76" s="457">
        <f t="shared" si="69"/>
        <v>-37300385.359999985</v>
      </c>
      <c r="AA76" s="457">
        <f t="shared" si="69"/>
        <v>-48209256.530000128</v>
      </c>
      <c r="AB76" s="457">
        <f t="shared" si="69"/>
        <v>-207104738.91999969</v>
      </c>
      <c r="AC76" s="457">
        <f t="shared" si="69"/>
        <v>-18340507.920000169</v>
      </c>
      <c r="AD76" s="457">
        <f t="shared" si="69"/>
        <v>-13702236.929999985</v>
      </c>
      <c r="AE76" s="457">
        <f t="shared" ref="AE76:AF76" si="70">SUM(AE65:AE75)</f>
        <v>-103866528.52000007</v>
      </c>
      <c r="AF76" s="457">
        <f t="shared" si="70"/>
        <v>-36857905.560000084</v>
      </c>
      <c r="AG76" s="457"/>
      <c r="AH76" s="457"/>
      <c r="AI76" s="457"/>
      <c r="AJ76" s="457"/>
      <c r="AK76" s="457"/>
      <c r="AL76" s="457"/>
      <c r="AM76" s="457"/>
      <c r="AN76" s="457"/>
      <c r="AP76" s="457">
        <f t="shared" ref="AP76:BC76" si="71">SUM(AP65:AP75)</f>
        <v>-3456410.4399999464</v>
      </c>
      <c r="AQ76" s="457">
        <f t="shared" si="71"/>
        <v>-130674155.15000002</v>
      </c>
      <c r="AR76" s="457">
        <f t="shared" si="71"/>
        <v>-76968276.519999951</v>
      </c>
      <c r="AS76" s="457">
        <f t="shared" si="71"/>
        <v>-292614380.80999982</v>
      </c>
      <c r="AT76" s="457">
        <f t="shared" si="71"/>
        <v>-135909273.37000024</v>
      </c>
      <c r="AU76" s="457">
        <f t="shared" si="71"/>
        <v>-36857905.560000084</v>
      </c>
      <c r="AV76" s="457">
        <f t="shared" si="71"/>
        <v>0</v>
      </c>
      <c r="AW76" s="457">
        <f t="shared" si="71"/>
        <v>0</v>
      </c>
      <c r="AY76" s="457">
        <f t="shared" si="71"/>
        <v>-503713222.91999972</v>
      </c>
      <c r="AZ76" s="457">
        <f t="shared" si="71"/>
        <v>-172767178.93000028</v>
      </c>
      <c r="BB76" s="457">
        <f t="shared" si="71"/>
        <v>-59347605.119999938</v>
      </c>
      <c r="BC76" s="457">
        <f t="shared" si="71"/>
        <v>-172767178.93000028</v>
      </c>
    </row>
    <row r="77" spans="2:55" hidden="1" outlineLevel="1" x14ac:dyDescent="0.45">
      <c r="B77" s="452"/>
      <c r="C77" s="456"/>
      <c r="D77" s="456"/>
      <c r="E77" s="456"/>
      <c r="F77" s="456"/>
      <c r="G77" s="456"/>
      <c r="H77" s="456"/>
      <c r="I77" s="456"/>
      <c r="J77" s="456"/>
      <c r="K77" s="456"/>
      <c r="L77" s="456"/>
      <c r="M77" s="456"/>
      <c r="N77" s="456"/>
      <c r="O77" s="456"/>
      <c r="P77" s="456"/>
      <c r="Q77" s="456"/>
      <c r="R77" s="456"/>
      <c r="S77" s="456"/>
      <c r="T77" s="456"/>
      <c r="U77" s="456"/>
      <c r="V77" s="456"/>
      <c r="W77" s="456"/>
      <c r="X77" s="456"/>
      <c r="Y77" s="456"/>
      <c r="Z77" s="456"/>
      <c r="AA77" s="456"/>
      <c r="AB77" s="456"/>
      <c r="AC77" s="456"/>
      <c r="AD77" s="456"/>
      <c r="AE77" s="456"/>
      <c r="AF77" s="456"/>
      <c r="AG77" s="456"/>
      <c r="AH77" s="456"/>
      <c r="AI77" s="456"/>
      <c r="AJ77" s="456"/>
      <c r="AK77" s="456"/>
      <c r="AL77" s="456"/>
      <c r="AM77" s="456"/>
      <c r="AN77" s="456"/>
      <c r="AP77" s="456"/>
      <c r="AQ77" s="456"/>
      <c r="AR77" s="456"/>
      <c r="AS77" s="456"/>
      <c r="AT77" s="456"/>
      <c r="AU77" s="456"/>
      <c r="AV77" s="456"/>
      <c r="AW77" s="456"/>
      <c r="AY77" s="456"/>
      <c r="AZ77" s="456"/>
      <c r="BB77" s="456"/>
      <c r="BC77" s="456"/>
    </row>
    <row r="78" spans="2:55" hidden="1" outlineLevel="2" x14ac:dyDescent="0.45">
      <c r="B78" s="450" t="s">
        <v>781</v>
      </c>
      <c r="C78" s="453"/>
      <c r="D78" s="453">
        <v>7</v>
      </c>
      <c r="E78" s="453"/>
      <c r="F78" s="453"/>
      <c r="G78" s="453"/>
      <c r="H78" s="453"/>
      <c r="I78" s="453"/>
      <c r="J78" s="453"/>
      <c r="K78" s="453"/>
      <c r="L78" s="453"/>
      <c r="M78" s="453"/>
      <c r="N78" s="453"/>
      <c r="O78" s="453"/>
      <c r="P78" s="453"/>
      <c r="Q78" s="71">
        <v>0</v>
      </c>
      <c r="R78" s="70">
        <f>+R45-Q45</f>
        <v>0</v>
      </c>
      <c r="S78" s="70">
        <f t="shared" ref="S78:AF78" si="72">+S45-R45</f>
        <v>0</v>
      </c>
      <c r="T78" s="70">
        <f t="shared" si="72"/>
        <v>0</v>
      </c>
      <c r="U78" s="70">
        <f t="shared" si="72"/>
        <v>0</v>
      </c>
      <c r="V78" s="70">
        <f t="shared" si="72"/>
        <v>98023550</v>
      </c>
      <c r="W78" s="70">
        <f t="shared" si="72"/>
        <v>1631346.1899999976</v>
      </c>
      <c r="X78" s="70">
        <f t="shared" si="72"/>
        <v>1686346.1899999976</v>
      </c>
      <c r="Y78" s="70">
        <f t="shared" si="72"/>
        <v>2190016.8500000089</v>
      </c>
      <c r="Z78" s="70">
        <f t="shared" si="72"/>
        <v>-3284467.0300000012</v>
      </c>
      <c r="AA78" s="70">
        <f t="shared" si="72"/>
        <v>1625044.799999997</v>
      </c>
      <c r="AB78" s="70">
        <f t="shared" si="72"/>
        <v>-2326743</v>
      </c>
      <c r="AC78" s="70">
        <f t="shared" si="72"/>
        <v>1307457.099999994</v>
      </c>
      <c r="AD78" s="70">
        <f t="shared" si="72"/>
        <v>1530169.8000000119</v>
      </c>
      <c r="AE78" s="70">
        <f t="shared" si="72"/>
        <v>-2231867.5</v>
      </c>
      <c r="AF78" s="70">
        <f t="shared" si="72"/>
        <v>1625044.799999997</v>
      </c>
      <c r="AG78" s="70"/>
      <c r="AH78" s="70"/>
      <c r="AI78" s="70"/>
      <c r="AJ78" s="70"/>
      <c r="AK78" s="70"/>
      <c r="AL78" s="70"/>
      <c r="AM78" s="70"/>
      <c r="AN78" s="70"/>
      <c r="AP78" s="70">
        <f t="shared" ref="AP78:AW85" si="73">SUMIFS($Q78:$AN78,$Q$9:$AN$9,AP$9,$Q$8:$AN$8,AP$8)</f>
        <v>0</v>
      </c>
      <c r="AQ78" s="70">
        <f t="shared" si="73"/>
        <v>98023550</v>
      </c>
      <c r="AR78" s="70">
        <f t="shared" si="73"/>
        <v>5507709.2300000042</v>
      </c>
      <c r="AS78" s="70">
        <f t="shared" si="73"/>
        <v>-3986165.2300000042</v>
      </c>
      <c r="AT78" s="70">
        <f t="shared" si="73"/>
        <v>605759.40000000596</v>
      </c>
      <c r="AU78" s="70">
        <f t="shared" si="73"/>
        <v>1625044.799999997</v>
      </c>
      <c r="AV78" s="70">
        <f t="shared" si="73"/>
        <v>0</v>
      </c>
      <c r="AW78" s="70">
        <f t="shared" si="73"/>
        <v>0</v>
      </c>
      <c r="AY78" s="70">
        <f t="shared" ref="AY78:AZ85" si="74">SUMIF($Q$8:$AN$8,AY$8,$Q78:$AN78)</f>
        <v>99545094</v>
      </c>
      <c r="AZ78" s="70">
        <f t="shared" si="74"/>
        <v>2230804.200000003</v>
      </c>
      <c r="BB78" s="70">
        <f t="shared" ref="BB78:BC85" si="75">SUMIFS($Q78:$AN78,$Q$8:$AN$8,BB$8,$Q$10:$AN$10,"Actuals")</f>
        <v>0</v>
      </c>
      <c r="BC78" s="70">
        <f t="shared" si="75"/>
        <v>2230804.200000003</v>
      </c>
    </row>
    <row r="79" spans="2:55" hidden="1" outlineLevel="2" x14ac:dyDescent="0.45">
      <c r="B79" s="450" t="s">
        <v>180</v>
      </c>
      <c r="C79" s="454"/>
      <c r="D79" s="454">
        <v>3</v>
      </c>
      <c r="E79" s="454"/>
      <c r="F79" s="454"/>
      <c r="G79" s="454"/>
      <c r="H79" s="454"/>
      <c r="I79" s="454"/>
      <c r="J79" s="454"/>
      <c r="K79" s="454"/>
      <c r="L79" s="454"/>
      <c r="M79" s="454"/>
      <c r="N79" s="454"/>
      <c r="O79" s="454"/>
      <c r="P79" s="454"/>
      <c r="Q79" s="71">
        <v>-11717257.36999999</v>
      </c>
      <c r="R79" s="70">
        <f t="shared" ref="R79:AF85" si="76">+R46-Q46</f>
        <v>-9042537.25</v>
      </c>
      <c r="S79" s="70">
        <f t="shared" si="76"/>
        <v>8284285.0700000077</v>
      </c>
      <c r="T79" s="70">
        <f t="shared" si="76"/>
        <v>-9765497.9900000244</v>
      </c>
      <c r="U79" s="70">
        <f t="shared" si="76"/>
        <v>17403727.650000006</v>
      </c>
      <c r="V79" s="70">
        <f t="shared" si="76"/>
        <v>8852020.799999997</v>
      </c>
      <c r="W79" s="70">
        <f t="shared" si="76"/>
        <v>-63122934.519999996</v>
      </c>
      <c r="X79" s="70">
        <f t="shared" si="76"/>
        <v>10041008.780000001</v>
      </c>
      <c r="Y79" s="70">
        <f t="shared" si="76"/>
        <v>-9969466.2100000009</v>
      </c>
      <c r="Z79" s="70">
        <f t="shared" si="76"/>
        <v>-12263288.189999994</v>
      </c>
      <c r="AA79" s="70">
        <f t="shared" si="76"/>
        <v>-11325774.230000004</v>
      </c>
      <c r="AB79" s="70">
        <f t="shared" si="76"/>
        <v>23185386.329999994</v>
      </c>
      <c r="AC79" s="70">
        <f t="shared" si="76"/>
        <v>976564.3200000003</v>
      </c>
      <c r="AD79" s="70">
        <f t="shared" si="76"/>
        <v>-17684641.489999991</v>
      </c>
      <c r="AE79" s="70">
        <f t="shared" si="76"/>
        <v>-10272207.490000004</v>
      </c>
      <c r="AF79" s="70">
        <f t="shared" si="76"/>
        <v>-7660179.9499999993</v>
      </c>
      <c r="AG79" s="70"/>
      <c r="AH79" s="70"/>
      <c r="AI79" s="70"/>
      <c r="AJ79" s="70"/>
      <c r="AK79" s="70"/>
      <c r="AL79" s="70"/>
      <c r="AM79" s="70"/>
      <c r="AN79" s="70"/>
      <c r="AP79" s="70">
        <f t="shared" si="73"/>
        <v>-12475509.549999982</v>
      </c>
      <c r="AQ79" s="70">
        <f t="shared" si="73"/>
        <v>16490250.459999979</v>
      </c>
      <c r="AR79" s="70">
        <f t="shared" si="73"/>
        <v>-63051391.949999996</v>
      </c>
      <c r="AS79" s="70">
        <f t="shared" si="73"/>
        <v>-403676.09000000358</v>
      </c>
      <c r="AT79" s="70">
        <f t="shared" si="73"/>
        <v>-26980284.659999996</v>
      </c>
      <c r="AU79" s="70">
        <f t="shared" si="73"/>
        <v>-7660179.9499999993</v>
      </c>
      <c r="AV79" s="70">
        <f t="shared" si="73"/>
        <v>0</v>
      </c>
      <c r="AW79" s="70">
        <f t="shared" si="73"/>
        <v>0</v>
      </c>
      <c r="AY79" s="70">
        <f t="shared" si="74"/>
        <v>-59440327.129999995</v>
      </c>
      <c r="AZ79" s="70">
        <f t="shared" si="74"/>
        <v>-34640464.609999999</v>
      </c>
      <c r="BB79" s="70">
        <f t="shared" si="75"/>
        <v>-22241007.540000007</v>
      </c>
      <c r="BC79" s="70">
        <f t="shared" si="75"/>
        <v>-34640464.609999999</v>
      </c>
    </row>
    <row r="80" spans="2:55" hidden="1" outlineLevel="2" x14ac:dyDescent="0.45">
      <c r="B80" s="450" t="s">
        <v>156</v>
      </c>
      <c r="C80" s="454"/>
      <c r="D80" s="454">
        <v>3</v>
      </c>
      <c r="E80" s="454"/>
      <c r="F80" s="454"/>
      <c r="G80" s="454"/>
      <c r="H80" s="454"/>
      <c r="I80" s="454"/>
      <c r="J80" s="454"/>
      <c r="K80" s="454"/>
      <c r="L80" s="454"/>
      <c r="M80" s="454"/>
      <c r="N80" s="454"/>
      <c r="O80" s="454"/>
      <c r="P80" s="454"/>
      <c r="Q80" s="71">
        <v>-623152.12999999523</v>
      </c>
      <c r="R80" s="70">
        <f t="shared" si="76"/>
        <v>113238.73999999464</v>
      </c>
      <c r="S80" s="70">
        <f t="shared" si="76"/>
        <v>-1430399.0600000024</v>
      </c>
      <c r="T80" s="70">
        <f t="shared" si="76"/>
        <v>55137447.210000023</v>
      </c>
      <c r="U80" s="70">
        <f t="shared" si="76"/>
        <v>-615487.3900000304</v>
      </c>
      <c r="V80" s="70">
        <f t="shared" si="76"/>
        <v>-625661.12999998033</v>
      </c>
      <c r="W80" s="70">
        <f t="shared" si="76"/>
        <v>11793140.609999985</v>
      </c>
      <c r="X80" s="70">
        <f t="shared" si="76"/>
        <v>-664975.8599999845</v>
      </c>
      <c r="Y80" s="70">
        <f t="shared" si="76"/>
        <v>-464172.72999998927</v>
      </c>
      <c r="Z80" s="70">
        <f t="shared" si="76"/>
        <v>565728.62999996543</v>
      </c>
      <c r="AA80" s="70">
        <f t="shared" si="76"/>
        <v>17870887.330000013</v>
      </c>
      <c r="AB80" s="70">
        <f t="shared" si="76"/>
        <v>164709039.43000004</v>
      </c>
      <c r="AC80" s="70">
        <f t="shared" si="76"/>
        <v>9000051.2999999523</v>
      </c>
      <c r="AD80" s="70">
        <f t="shared" si="76"/>
        <v>-18696.239999890327</v>
      </c>
      <c r="AE80" s="70">
        <f t="shared" si="76"/>
        <v>58926174.999999821</v>
      </c>
      <c r="AF80" s="70">
        <f t="shared" si="76"/>
        <v>1422867.7300000787</v>
      </c>
      <c r="AG80" s="70"/>
      <c r="AH80" s="70"/>
      <c r="AI80" s="70"/>
      <c r="AJ80" s="70"/>
      <c r="AK80" s="70"/>
      <c r="AL80" s="70"/>
      <c r="AM80" s="70"/>
      <c r="AN80" s="70"/>
      <c r="AP80" s="70">
        <f t="shared" si="73"/>
        <v>-1940312.450000003</v>
      </c>
      <c r="AQ80" s="70">
        <f t="shared" si="73"/>
        <v>53896298.690000013</v>
      </c>
      <c r="AR80" s="70">
        <f t="shared" si="73"/>
        <v>10663992.020000011</v>
      </c>
      <c r="AS80" s="70">
        <f t="shared" si="73"/>
        <v>183145655.39000002</v>
      </c>
      <c r="AT80" s="70">
        <f t="shared" si="73"/>
        <v>67907530.059999883</v>
      </c>
      <c r="AU80" s="70">
        <f t="shared" si="73"/>
        <v>1422867.7300000787</v>
      </c>
      <c r="AV80" s="70">
        <f t="shared" si="73"/>
        <v>0</v>
      </c>
      <c r="AW80" s="70">
        <f t="shared" si="73"/>
        <v>0</v>
      </c>
      <c r="AY80" s="70">
        <f t="shared" si="74"/>
        <v>245765633.65000004</v>
      </c>
      <c r="AZ80" s="70">
        <f t="shared" si="74"/>
        <v>69330397.789999962</v>
      </c>
      <c r="BB80" s="70">
        <f t="shared" si="75"/>
        <v>53197134.76000002</v>
      </c>
      <c r="BC80" s="70">
        <f t="shared" si="75"/>
        <v>69330397.789999962</v>
      </c>
    </row>
    <row r="81" spans="2:55" hidden="1" outlineLevel="2" x14ac:dyDescent="0.45">
      <c r="B81" s="450" t="s">
        <v>197</v>
      </c>
      <c r="C81" s="454"/>
      <c r="D81" s="454">
        <v>3</v>
      </c>
      <c r="E81" s="454"/>
      <c r="F81" s="454"/>
      <c r="G81" s="454"/>
      <c r="H81" s="454"/>
      <c r="I81" s="454"/>
      <c r="J81" s="454"/>
      <c r="K81" s="454"/>
      <c r="L81" s="454"/>
      <c r="M81" s="454"/>
      <c r="N81" s="454"/>
      <c r="O81" s="454"/>
      <c r="P81" s="454"/>
      <c r="Q81" s="71">
        <v>10607615.350000001</v>
      </c>
      <c r="R81" s="70">
        <f t="shared" si="76"/>
        <v>2897592.8599999994</v>
      </c>
      <c r="S81" s="70">
        <f t="shared" si="76"/>
        <v>-320878.99000000209</v>
      </c>
      <c r="T81" s="70">
        <f t="shared" si="76"/>
        <v>-1136828.7299999986</v>
      </c>
      <c r="U81" s="70">
        <f t="shared" si="76"/>
        <v>-3731519.25</v>
      </c>
      <c r="V81" s="70">
        <f t="shared" si="76"/>
        <v>-2904651.8100000005</v>
      </c>
      <c r="W81" s="70">
        <f t="shared" si="76"/>
        <v>-4979218.6399999987</v>
      </c>
      <c r="X81" s="70">
        <f t="shared" si="76"/>
        <v>750399.33000000007</v>
      </c>
      <c r="Y81" s="70">
        <f t="shared" si="76"/>
        <v>3672795.3499999996</v>
      </c>
      <c r="Z81" s="70">
        <f t="shared" si="76"/>
        <v>572136.58999999985</v>
      </c>
      <c r="AA81" s="70">
        <f t="shared" si="76"/>
        <v>-179824.11999999918</v>
      </c>
      <c r="AB81" s="70">
        <f t="shared" si="76"/>
        <v>6265428.0099999998</v>
      </c>
      <c r="AC81" s="70">
        <f t="shared" si="76"/>
        <v>-6201081.7699999996</v>
      </c>
      <c r="AD81" s="70">
        <f t="shared" si="76"/>
        <v>3604616.2600000016</v>
      </c>
      <c r="AE81" s="70">
        <f t="shared" si="76"/>
        <v>-979430.82000000216</v>
      </c>
      <c r="AF81" s="70">
        <f t="shared" si="76"/>
        <v>7271680.6799999997</v>
      </c>
      <c r="AG81" s="70"/>
      <c r="AH81" s="70"/>
      <c r="AI81" s="70"/>
      <c r="AJ81" s="70"/>
      <c r="AK81" s="70"/>
      <c r="AL81" s="70"/>
      <c r="AM81" s="70"/>
      <c r="AN81" s="70"/>
      <c r="AP81" s="70">
        <f t="shared" si="73"/>
        <v>13184329.219999999</v>
      </c>
      <c r="AQ81" s="70">
        <f t="shared" si="73"/>
        <v>-7772999.7899999991</v>
      </c>
      <c r="AR81" s="70">
        <f t="shared" si="73"/>
        <v>-556023.95999999903</v>
      </c>
      <c r="AS81" s="70">
        <f t="shared" si="73"/>
        <v>6657740.4800000004</v>
      </c>
      <c r="AT81" s="70">
        <f t="shared" si="73"/>
        <v>-3575896.33</v>
      </c>
      <c r="AU81" s="70">
        <f t="shared" si="73"/>
        <v>7271680.6799999997</v>
      </c>
      <c r="AV81" s="70">
        <f t="shared" si="73"/>
        <v>0</v>
      </c>
      <c r="AW81" s="70">
        <f t="shared" si="73"/>
        <v>0</v>
      </c>
      <c r="AY81" s="70">
        <f t="shared" si="74"/>
        <v>11513045.950000001</v>
      </c>
      <c r="AZ81" s="70">
        <f t="shared" si="74"/>
        <v>3695784.3499999996</v>
      </c>
      <c r="BB81" s="70">
        <f t="shared" si="75"/>
        <v>12047500.49</v>
      </c>
      <c r="BC81" s="70">
        <f t="shared" si="75"/>
        <v>3695784.3499999996</v>
      </c>
    </row>
    <row r="82" spans="2:55" hidden="1" outlineLevel="2" x14ac:dyDescent="0.45">
      <c r="B82" s="450" t="s">
        <v>143</v>
      </c>
      <c r="C82" s="454"/>
      <c r="D82" s="454">
        <v>3</v>
      </c>
      <c r="E82" s="454"/>
      <c r="F82" s="454"/>
      <c r="G82" s="454"/>
      <c r="H82" s="454"/>
      <c r="I82" s="454"/>
      <c r="J82" s="454"/>
      <c r="K82" s="454"/>
      <c r="L82" s="454"/>
      <c r="M82" s="454"/>
      <c r="N82" s="454"/>
      <c r="O82" s="454"/>
      <c r="P82" s="454"/>
      <c r="Q82" s="71">
        <v>489560.52000000048</v>
      </c>
      <c r="R82" s="70">
        <f t="shared" si="76"/>
        <v>1804666.6800000034</v>
      </c>
      <c r="S82" s="70">
        <f t="shared" si="76"/>
        <v>7127776.5899999999</v>
      </c>
      <c r="T82" s="70">
        <f t="shared" si="76"/>
        <v>2381196.9799999967</v>
      </c>
      <c r="U82" s="70">
        <f t="shared" si="76"/>
        <v>53258884.010000005</v>
      </c>
      <c r="V82" s="70">
        <f t="shared" si="76"/>
        <v>1661883.0099999905</v>
      </c>
      <c r="W82" s="70">
        <f t="shared" si="76"/>
        <v>142306.37999999523</v>
      </c>
      <c r="X82" s="70">
        <f t="shared" si="76"/>
        <v>-5053968.3699999899</v>
      </c>
      <c r="Y82" s="70">
        <f t="shared" si="76"/>
        <v>-5298275.57</v>
      </c>
      <c r="Z82" s="70">
        <f t="shared" si="76"/>
        <v>834171.64999999851</v>
      </c>
      <c r="AA82" s="70">
        <f t="shared" si="76"/>
        <v>886241.18999999762</v>
      </c>
      <c r="AB82" s="70">
        <f t="shared" si="76"/>
        <v>-53767233.450000003</v>
      </c>
      <c r="AC82" s="70">
        <f t="shared" si="76"/>
        <v>56069308.019999996</v>
      </c>
      <c r="AD82" s="70">
        <f t="shared" si="76"/>
        <v>1136121.4099999964</v>
      </c>
      <c r="AE82" s="70">
        <f t="shared" si="76"/>
        <v>-53123741.75999999</v>
      </c>
      <c r="AF82" s="70">
        <f t="shared" si="76"/>
        <v>-787724.79000000283</v>
      </c>
      <c r="AG82" s="70"/>
      <c r="AH82" s="70"/>
      <c r="AI82" s="70"/>
      <c r="AJ82" s="70"/>
      <c r="AK82" s="70"/>
      <c r="AL82" s="70"/>
      <c r="AM82" s="70"/>
      <c r="AN82" s="70"/>
      <c r="AP82" s="70">
        <f t="shared" si="73"/>
        <v>9422003.7900000028</v>
      </c>
      <c r="AQ82" s="70">
        <f t="shared" si="73"/>
        <v>57301963.999999993</v>
      </c>
      <c r="AR82" s="70">
        <f t="shared" si="73"/>
        <v>-10209937.559999995</v>
      </c>
      <c r="AS82" s="70">
        <f t="shared" si="73"/>
        <v>-52046820.610000007</v>
      </c>
      <c r="AT82" s="70">
        <f t="shared" si="73"/>
        <v>4081687.6700000018</v>
      </c>
      <c r="AU82" s="70">
        <f t="shared" si="73"/>
        <v>-787724.79000000283</v>
      </c>
      <c r="AV82" s="70">
        <f t="shared" si="73"/>
        <v>0</v>
      </c>
      <c r="AW82" s="70">
        <f t="shared" si="73"/>
        <v>0</v>
      </c>
      <c r="AY82" s="70">
        <f t="shared" si="74"/>
        <v>4467209.6199999899</v>
      </c>
      <c r="AZ82" s="70">
        <f t="shared" si="74"/>
        <v>3293962.879999999</v>
      </c>
      <c r="BB82" s="70">
        <f t="shared" si="75"/>
        <v>11803200.77</v>
      </c>
      <c r="BC82" s="70">
        <f t="shared" si="75"/>
        <v>3293962.879999999</v>
      </c>
    </row>
    <row r="83" spans="2:55" hidden="1" outlineLevel="2" x14ac:dyDescent="0.45">
      <c r="B83" s="450" t="s">
        <v>436</v>
      </c>
      <c r="C83" s="454"/>
      <c r="D83" s="454">
        <v>2</v>
      </c>
      <c r="E83" s="454"/>
      <c r="F83" s="454"/>
      <c r="G83" s="454"/>
      <c r="H83" s="454"/>
      <c r="I83" s="454"/>
      <c r="J83" s="454"/>
      <c r="K83" s="454"/>
      <c r="L83" s="454"/>
      <c r="M83" s="454"/>
      <c r="N83" s="454"/>
      <c r="O83" s="454"/>
      <c r="P83" s="454"/>
      <c r="Q83" s="71">
        <v>2927951.9299999992</v>
      </c>
      <c r="R83" s="70">
        <f t="shared" si="76"/>
        <v>-4468809.4600000009</v>
      </c>
      <c r="S83" s="70">
        <f t="shared" si="76"/>
        <v>1267118.6799999997</v>
      </c>
      <c r="T83" s="70">
        <f t="shared" si="76"/>
        <v>-1674230.9699999997</v>
      </c>
      <c r="U83" s="70">
        <f t="shared" si="76"/>
        <v>908673.72999999975</v>
      </c>
      <c r="V83" s="70">
        <f t="shared" si="76"/>
        <v>1509893.2</v>
      </c>
      <c r="W83" s="70">
        <f t="shared" si="76"/>
        <v>-1304301.18</v>
      </c>
      <c r="X83" s="70">
        <f t="shared" si="76"/>
        <v>1602419.5499999996</v>
      </c>
      <c r="Y83" s="70">
        <f t="shared" si="76"/>
        <v>961633.80000000028</v>
      </c>
      <c r="Z83" s="70">
        <f t="shared" si="76"/>
        <v>-112835.99999999907</v>
      </c>
      <c r="AA83" s="70">
        <f t="shared" si="76"/>
        <v>737381.62999999896</v>
      </c>
      <c r="AB83" s="70">
        <f t="shared" si="76"/>
        <v>-1313665.8399999999</v>
      </c>
      <c r="AC83" s="70">
        <f t="shared" si="76"/>
        <v>692900.99000000115</v>
      </c>
      <c r="AD83" s="70">
        <f t="shared" si="76"/>
        <v>-216420.99000000115</v>
      </c>
      <c r="AE83" s="70">
        <f t="shared" si="76"/>
        <v>632991.75</v>
      </c>
      <c r="AF83" s="70">
        <f t="shared" si="76"/>
        <v>287988.40000000037</v>
      </c>
      <c r="AG83" s="70"/>
      <c r="AH83" s="70"/>
      <c r="AI83" s="70"/>
      <c r="AJ83" s="70"/>
      <c r="AK83" s="70"/>
      <c r="AL83" s="70"/>
      <c r="AM83" s="70"/>
      <c r="AN83" s="70"/>
      <c r="AP83" s="70">
        <f t="shared" si="73"/>
        <v>-273738.85000000196</v>
      </c>
      <c r="AQ83" s="70">
        <f t="shared" si="73"/>
        <v>744335.96</v>
      </c>
      <c r="AR83" s="70">
        <f t="shared" si="73"/>
        <v>1259752.17</v>
      </c>
      <c r="AS83" s="70">
        <f t="shared" si="73"/>
        <v>-689120.21</v>
      </c>
      <c r="AT83" s="70">
        <f t="shared" si="73"/>
        <v>1109471.75</v>
      </c>
      <c r="AU83" s="70">
        <f t="shared" si="73"/>
        <v>287988.40000000037</v>
      </c>
      <c r="AV83" s="70">
        <f t="shared" si="73"/>
        <v>0</v>
      </c>
      <c r="AW83" s="70">
        <f t="shared" si="73"/>
        <v>0</v>
      </c>
      <c r="AY83" s="70">
        <f t="shared" si="74"/>
        <v>1041229.069999998</v>
      </c>
      <c r="AZ83" s="70">
        <f t="shared" si="74"/>
        <v>1397460.1500000004</v>
      </c>
      <c r="BB83" s="70">
        <f t="shared" si="75"/>
        <v>-1947969.8200000017</v>
      </c>
      <c r="BC83" s="70">
        <f t="shared" si="75"/>
        <v>1397460.1500000004</v>
      </c>
    </row>
    <row r="84" spans="2:55" hidden="1" outlineLevel="2" x14ac:dyDescent="0.45">
      <c r="B84" s="450" t="s">
        <v>697</v>
      </c>
      <c r="C84" s="454"/>
      <c r="D84" s="454">
        <v>3</v>
      </c>
      <c r="E84" s="454"/>
      <c r="F84" s="454"/>
      <c r="G84" s="454"/>
      <c r="H84" s="454"/>
      <c r="I84" s="454"/>
      <c r="J84" s="454"/>
      <c r="K84" s="454"/>
      <c r="L84" s="454"/>
      <c r="M84" s="454"/>
      <c r="N84" s="454"/>
      <c r="O84" s="454"/>
      <c r="P84" s="454"/>
      <c r="Q84" s="71">
        <v>0</v>
      </c>
      <c r="R84" s="70">
        <f t="shared" si="76"/>
        <v>0</v>
      </c>
      <c r="S84" s="70">
        <f t="shared" si="76"/>
        <v>0</v>
      </c>
      <c r="T84" s="70">
        <f t="shared" si="76"/>
        <v>0</v>
      </c>
      <c r="U84" s="70">
        <f t="shared" si="76"/>
        <v>0</v>
      </c>
      <c r="V84" s="70">
        <f t="shared" si="76"/>
        <v>0</v>
      </c>
      <c r="W84" s="70">
        <f t="shared" si="76"/>
        <v>0</v>
      </c>
      <c r="X84" s="70">
        <f t="shared" si="76"/>
        <v>0</v>
      </c>
      <c r="Y84" s="70">
        <f t="shared" si="76"/>
        <v>0</v>
      </c>
      <c r="Z84" s="70">
        <f t="shared" si="76"/>
        <v>0</v>
      </c>
      <c r="AA84" s="70">
        <f t="shared" si="76"/>
        <v>0</v>
      </c>
      <c r="AB84" s="70">
        <f t="shared" si="76"/>
        <v>0</v>
      </c>
      <c r="AC84" s="70">
        <f t="shared" si="76"/>
        <v>0</v>
      </c>
      <c r="AD84" s="70">
        <f t="shared" si="76"/>
        <v>0</v>
      </c>
      <c r="AE84" s="70">
        <f t="shared" si="76"/>
        <v>0</v>
      </c>
      <c r="AF84" s="70">
        <f t="shared" si="76"/>
        <v>0</v>
      </c>
      <c r="AG84" s="70"/>
      <c r="AH84" s="70"/>
      <c r="AI84" s="70"/>
      <c r="AJ84" s="70"/>
      <c r="AK84" s="70"/>
      <c r="AL84" s="70"/>
      <c r="AM84" s="70"/>
      <c r="AN84" s="70"/>
      <c r="AP84" s="70">
        <f t="shared" si="73"/>
        <v>0</v>
      </c>
      <c r="AQ84" s="70">
        <f t="shared" si="73"/>
        <v>0</v>
      </c>
      <c r="AR84" s="70">
        <f t="shared" si="73"/>
        <v>0</v>
      </c>
      <c r="AS84" s="70">
        <f t="shared" si="73"/>
        <v>0</v>
      </c>
      <c r="AT84" s="70">
        <f t="shared" si="73"/>
        <v>0</v>
      </c>
      <c r="AU84" s="70">
        <f t="shared" si="73"/>
        <v>0</v>
      </c>
      <c r="AV84" s="70">
        <f t="shared" si="73"/>
        <v>0</v>
      </c>
      <c r="AW84" s="70">
        <f t="shared" si="73"/>
        <v>0</v>
      </c>
      <c r="AY84" s="70">
        <f t="shared" si="74"/>
        <v>0</v>
      </c>
      <c r="AZ84" s="70">
        <f t="shared" si="74"/>
        <v>0</v>
      </c>
      <c r="BB84" s="70">
        <f t="shared" si="75"/>
        <v>0</v>
      </c>
      <c r="BC84" s="70">
        <f t="shared" si="75"/>
        <v>0</v>
      </c>
    </row>
    <row r="85" spans="2:55" hidden="1" outlineLevel="2" x14ac:dyDescent="0.45">
      <c r="B85" s="450" t="s">
        <v>438</v>
      </c>
      <c r="C85" s="454"/>
      <c r="D85" s="454">
        <v>1</v>
      </c>
      <c r="E85" s="454"/>
      <c r="F85" s="454"/>
      <c r="G85" s="454"/>
      <c r="H85" s="454"/>
      <c r="I85" s="454"/>
      <c r="J85" s="454"/>
      <c r="K85" s="454"/>
      <c r="L85" s="454"/>
      <c r="M85" s="454"/>
      <c r="N85" s="454"/>
      <c r="O85" s="454"/>
      <c r="P85" s="454"/>
      <c r="Q85" s="71">
        <v>-43800</v>
      </c>
      <c r="R85" s="70">
        <f t="shared" si="76"/>
        <v>8983.6600000000035</v>
      </c>
      <c r="S85" s="70">
        <f t="shared" si="76"/>
        <v>6342.8299999999872</v>
      </c>
      <c r="T85" s="70">
        <f t="shared" si="76"/>
        <v>6342.8300000000163</v>
      </c>
      <c r="U85" s="70">
        <f t="shared" si="76"/>
        <v>-143177.03</v>
      </c>
      <c r="V85" s="70">
        <f t="shared" si="76"/>
        <v>12685.659999999996</v>
      </c>
      <c r="W85" s="70">
        <f t="shared" si="76"/>
        <v>11551</v>
      </c>
      <c r="X85" s="70">
        <f t="shared" si="76"/>
        <v>11551.309999999998</v>
      </c>
      <c r="Y85" s="70">
        <f t="shared" si="76"/>
        <v>11446.200000000012</v>
      </c>
      <c r="Z85" s="70">
        <f t="shared" si="76"/>
        <v>-39707.100000000006</v>
      </c>
      <c r="AA85" s="70">
        <f t="shared" si="76"/>
        <v>12685.660000000003</v>
      </c>
      <c r="AB85" s="70">
        <f t="shared" si="76"/>
        <v>640814.98</v>
      </c>
      <c r="AC85" s="70">
        <f t="shared" si="76"/>
        <v>21424</v>
      </c>
      <c r="AD85" s="70">
        <f t="shared" si="76"/>
        <v>21424</v>
      </c>
      <c r="AE85" s="70">
        <f t="shared" si="76"/>
        <v>21424</v>
      </c>
      <c r="AF85" s="70">
        <f t="shared" si="76"/>
        <v>21424</v>
      </c>
      <c r="AG85" s="70"/>
      <c r="AH85" s="70"/>
      <c r="AI85" s="70"/>
      <c r="AJ85" s="70"/>
      <c r="AK85" s="70"/>
      <c r="AL85" s="70"/>
      <c r="AM85" s="70"/>
      <c r="AN85" s="70"/>
      <c r="AP85" s="70">
        <f t="shared" si="73"/>
        <v>-28473.510000000009</v>
      </c>
      <c r="AQ85" s="70">
        <f t="shared" si="73"/>
        <v>-124148.53999999998</v>
      </c>
      <c r="AR85" s="70">
        <f t="shared" si="73"/>
        <v>34548.510000000009</v>
      </c>
      <c r="AS85" s="70">
        <f t="shared" si="73"/>
        <v>613793.54</v>
      </c>
      <c r="AT85" s="70">
        <f t="shared" si="73"/>
        <v>64272</v>
      </c>
      <c r="AU85" s="70">
        <f t="shared" si="73"/>
        <v>21424</v>
      </c>
      <c r="AV85" s="70">
        <f t="shared" si="73"/>
        <v>0</v>
      </c>
      <c r="AW85" s="70">
        <f t="shared" si="73"/>
        <v>0</v>
      </c>
      <c r="AY85" s="70">
        <f t="shared" si="74"/>
        <v>495720</v>
      </c>
      <c r="AZ85" s="70">
        <f t="shared" si="74"/>
        <v>85696</v>
      </c>
      <c r="BB85" s="70">
        <f t="shared" si="75"/>
        <v>-22130.679999999993</v>
      </c>
      <c r="BC85" s="70">
        <f t="shared" si="75"/>
        <v>85696</v>
      </c>
    </row>
    <row r="86" spans="2:55" hidden="1" outlineLevel="1" x14ac:dyDescent="0.45">
      <c r="B86" s="451" t="s">
        <v>142</v>
      </c>
      <c r="C86" s="455"/>
      <c r="D86" s="455"/>
      <c r="E86" s="455"/>
      <c r="F86" s="455"/>
      <c r="G86" s="455"/>
      <c r="H86" s="455"/>
      <c r="I86" s="455"/>
      <c r="J86" s="455"/>
      <c r="K86" s="455"/>
      <c r="L86" s="455"/>
      <c r="M86" s="455"/>
      <c r="N86" s="455"/>
      <c r="O86" s="455"/>
      <c r="P86" s="455"/>
      <c r="Q86" s="457">
        <f>SUM(Q78:Q85)</f>
        <v>1640918.3000000161</v>
      </c>
      <c r="R86" s="457">
        <f t="shared" ref="R86:AD86" si="77">SUM(R78:R85)</f>
        <v>-8686864.7700000033</v>
      </c>
      <c r="S86" s="457">
        <f t="shared" si="77"/>
        <v>14934245.120000003</v>
      </c>
      <c r="T86" s="457">
        <f t="shared" si="77"/>
        <v>44948429.329999998</v>
      </c>
      <c r="U86" s="457">
        <f t="shared" si="77"/>
        <v>67081101.719999984</v>
      </c>
      <c r="V86" s="457">
        <f t="shared" si="77"/>
        <v>106529719.73</v>
      </c>
      <c r="W86" s="457">
        <f t="shared" si="77"/>
        <v>-55828110.160000019</v>
      </c>
      <c r="X86" s="457">
        <f t="shared" si="77"/>
        <v>8372780.9300000239</v>
      </c>
      <c r="Y86" s="457">
        <f t="shared" si="77"/>
        <v>-8896022.3099999819</v>
      </c>
      <c r="Z86" s="457">
        <f t="shared" si="77"/>
        <v>-13728261.450000031</v>
      </c>
      <c r="AA86" s="457">
        <f t="shared" si="77"/>
        <v>9626642.2600000035</v>
      </c>
      <c r="AB86" s="457">
        <f t="shared" si="77"/>
        <v>137393026.45999998</v>
      </c>
      <c r="AC86" s="457">
        <f t="shared" si="77"/>
        <v>61866623.959999941</v>
      </c>
      <c r="AD86" s="457">
        <f t="shared" si="77"/>
        <v>-11627427.249999873</v>
      </c>
      <c r="AE86" s="457">
        <f t="shared" ref="AE86:AF86" si="78">SUM(AE78:AE85)</f>
        <v>-7026656.8200001717</v>
      </c>
      <c r="AF86" s="457">
        <f t="shared" si="78"/>
        <v>2181100.8700000737</v>
      </c>
      <c r="AG86" s="457"/>
      <c r="AH86" s="457"/>
      <c r="AI86" s="457"/>
      <c r="AJ86" s="457"/>
      <c r="AK86" s="457"/>
      <c r="AL86" s="457"/>
      <c r="AM86" s="457"/>
      <c r="AN86" s="457"/>
      <c r="AP86" s="457">
        <f t="shared" ref="AP86:BC86" si="79">SUM(AP78:AP85)</f>
        <v>7888298.6500000153</v>
      </c>
      <c r="AQ86" s="457">
        <f t="shared" si="79"/>
        <v>218559250.78</v>
      </c>
      <c r="AR86" s="457">
        <f t="shared" si="79"/>
        <v>-56351351.539999977</v>
      </c>
      <c r="AS86" s="457">
        <f t="shared" si="79"/>
        <v>133291407.26999998</v>
      </c>
      <c r="AT86" s="457">
        <f t="shared" si="79"/>
        <v>43212539.889999896</v>
      </c>
      <c r="AU86" s="457">
        <f t="shared" si="79"/>
        <v>2181100.8700000737</v>
      </c>
      <c r="AV86" s="457">
        <f t="shared" si="79"/>
        <v>0</v>
      </c>
      <c r="AW86" s="457">
        <f t="shared" si="79"/>
        <v>0</v>
      </c>
      <c r="AY86" s="457">
        <f t="shared" si="79"/>
        <v>303387605.16000003</v>
      </c>
      <c r="AZ86" s="457">
        <f t="shared" si="79"/>
        <v>45393640.759999968</v>
      </c>
      <c r="BB86" s="457">
        <f t="shared" si="79"/>
        <v>52836727.980000019</v>
      </c>
      <c r="BC86" s="457">
        <f t="shared" si="79"/>
        <v>45393640.759999968</v>
      </c>
    </row>
    <row r="87" spans="2:55" hidden="1" outlineLevel="1" x14ac:dyDescent="0.45">
      <c r="B87" s="452"/>
      <c r="C87" s="456"/>
      <c r="D87" s="456"/>
      <c r="E87" s="456"/>
      <c r="F87" s="456"/>
      <c r="G87" s="456"/>
      <c r="H87" s="456"/>
      <c r="I87" s="456"/>
      <c r="J87" s="456"/>
      <c r="K87" s="456"/>
      <c r="L87" s="456"/>
      <c r="M87" s="456"/>
      <c r="N87" s="456"/>
      <c r="O87" s="456"/>
      <c r="P87" s="456"/>
      <c r="Q87" s="456"/>
      <c r="R87" s="456"/>
      <c r="S87" s="456"/>
      <c r="T87" s="456"/>
      <c r="U87" s="456"/>
      <c r="V87" s="456"/>
      <c r="W87" s="456"/>
      <c r="X87" s="456"/>
      <c r="Y87" s="456"/>
      <c r="Z87" s="456"/>
      <c r="AA87" s="456"/>
      <c r="AB87" s="456"/>
      <c r="AC87" s="456"/>
      <c r="AD87" s="456"/>
      <c r="AE87" s="456"/>
      <c r="AF87" s="456"/>
      <c r="AG87" s="456"/>
      <c r="AH87" s="456"/>
      <c r="AI87" s="456"/>
      <c r="AJ87" s="456"/>
      <c r="AK87" s="456"/>
      <c r="AL87" s="456"/>
      <c r="AM87" s="456"/>
      <c r="AN87" s="456"/>
      <c r="AP87" s="456"/>
      <c r="AQ87" s="456"/>
      <c r="AR87" s="456"/>
      <c r="AS87" s="456"/>
      <c r="AT87" s="456"/>
      <c r="AU87" s="456"/>
      <c r="AV87" s="456"/>
      <c r="AW87" s="456"/>
      <c r="AY87" s="456"/>
      <c r="AZ87" s="456"/>
      <c r="BB87" s="456"/>
      <c r="BC87" s="456"/>
    </row>
    <row r="88" spans="2:55" hidden="1" outlineLevel="2" x14ac:dyDescent="0.45">
      <c r="B88" s="452" t="s">
        <v>441</v>
      </c>
      <c r="C88" s="456"/>
      <c r="D88" s="456">
        <v>8</v>
      </c>
      <c r="E88" s="456"/>
      <c r="F88" s="456"/>
      <c r="G88" s="456"/>
      <c r="H88" s="456"/>
      <c r="I88" s="456"/>
      <c r="J88" s="456"/>
      <c r="K88" s="456"/>
      <c r="L88" s="456"/>
      <c r="M88" s="456"/>
      <c r="N88" s="456"/>
      <c r="O88" s="456"/>
      <c r="P88" s="456"/>
      <c r="Q88" s="71">
        <v>0</v>
      </c>
      <c r="R88" s="70">
        <f>+R55-Q55</f>
        <v>10000000</v>
      </c>
      <c r="S88" s="70">
        <f t="shared" ref="S88:AF88" si="80">+S55-R55</f>
        <v>25200000</v>
      </c>
      <c r="T88" s="70">
        <f t="shared" si="80"/>
        <v>0</v>
      </c>
      <c r="U88" s="70">
        <f t="shared" si="80"/>
        <v>16133348</v>
      </c>
      <c r="V88" s="70">
        <f t="shared" si="80"/>
        <v>1333333</v>
      </c>
      <c r="W88" s="70">
        <f t="shared" si="80"/>
        <v>1333333</v>
      </c>
      <c r="X88" s="70">
        <f t="shared" si="80"/>
        <v>1333333</v>
      </c>
      <c r="Y88" s="70">
        <f t="shared" si="80"/>
        <v>51599812.99999997</v>
      </c>
      <c r="Z88" s="70">
        <f t="shared" si="80"/>
        <v>52595397.210000038</v>
      </c>
      <c r="AA88" s="70">
        <f t="shared" si="80"/>
        <v>50450870</v>
      </c>
      <c r="AB88" s="70">
        <f t="shared" si="80"/>
        <v>87741179</v>
      </c>
      <c r="AC88" s="70">
        <f t="shared" si="80"/>
        <v>-26545114</v>
      </c>
      <c r="AD88" s="70">
        <f t="shared" si="80"/>
        <v>41912492.50999999</v>
      </c>
      <c r="AE88" s="70">
        <f t="shared" si="80"/>
        <v>99695537</v>
      </c>
      <c r="AF88" s="70">
        <f t="shared" si="80"/>
        <v>50930958</v>
      </c>
      <c r="AG88" s="70"/>
      <c r="AH88" s="70"/>
      <c r="AI88" s="70"/>
      <c r="AJ88" s="70"/>
      <c r="AK88" s="70"/>
      <c r="AL88" s="70"/>
      <c r="AM88" s="70"/>
      <c r="AN88" s="70"/>
      <c r="AP88" s="70">
        <f t="shared" ref="AP88:AW91" si="81">SUMIFS($Q88:$AN88,$Q$9:$AN$9,AP$9,$Q$8:$AN$8,AP$8)</f>
        <v>35200000</v>
      </c>
      <c r="AQ88" s="70">
        <f t="shared" si="81"/>
        <v>17466681</v>
      </c>
      <c r="AR88" s="70">
        <f t="shared" si="81"/>
        <v>54266478.99999997</v>
      </c>
      <c r="AS88" s="70">
        <f t="shared" si="81"/>
        <v>190787446.21000004</v>
      </c>
      <c r="AT88" s="70">
        <f t="shared" si="81"/>
        <v>115062915.50999999</v>
      </c>
      <c r="AU88" s="70">
        <f t="shared" si="81"/>
        <v>50930958</v>
      </c>
      <c r="AV88" s="70">
        <f t="shared" si="81"/>
        <v>0</v>
      </c>
      <c r="AW88" s="70">
        <f t="shared" si="81"/>
        <v>0</v>
      </c>
      <c r="AY88" s="70">
        <f t="shared" ref="AY88:AZ91" si="82">SUMIF($Q$8:$AN$8,AY$8,$Q88:$AN88)</f>
        <v>297720606.21000004</v>
      </c>
      <c r="AZ88" s="70">
        <f t="shared" si="82"/>
        <v>165993873.50999999</v>
      </c>
      <c r="BB88" s="70">
        <f t="shared" ref="BB88:BC91" si="83">SUMIFS($Q88:$AN88,$Q$8:$AN$8,BB$8,$Q$10:$AN$10,"Actuals")</f>
        <v>35200000</v>
      </c>
      <c r="BC88" s="70">
        <f t="shared" si="83"/>
        <v>165993873.50999999</v>
      </c>
    </row>
    <row r="89" spans="2:55" hidden="1" outlineLevel="2" x14ac:dyDescent="0.45">
      <c r="B89" s="452" t="s">
        <v>448</v>
      </c>
      <c r="C89" s="456"/>
      <c r="D89" s="456"/>
      <c r="E89" s="456"/>
      <c r="F89" s="456"/>
      <c r="G89" s="456"/>
      <c r="H89" s="456"/>
      <c r="I89" s="456"/>
      <c r="J89" s="456"/>
      <c r="K89" s="456"/>
      <c r="L89" s="456"/>
      <c r="M89" s="456"/>
      <c r="N89" s="456"/>
      <c r="O89" s="456"/>
      <c r="P89" s="456"/>
      <c r="Q89" s="71">
        <v>38071826.350000046</v>
      </c>
      <c r="R89" s="70">
        <f t="shared" ref="R89:AF91" si="84">+R56-Q56</f>
        <v>-6523692.9700000053</v>
      </c>
      <c r="S89" s="70">
        <f t="shared" si="84"/>
        <v>-6408362.7519364785</v>
      </c>
      <c r="T89" s="70">
        <f t="shared" si="84"/>
        <v>-6326127.7080634534</v>
      </c>
      <c r="U89" s="70">
        <f t="shared" si="84"/>
        <v>-4798692.0500001907</v>
      </c>
      <c r="V89" s="70">
        <f t="shared" si="84"/>
        <v>-6076831.2199998163</v>
      </c>
      <c r="W89" s="70">
        <f t="shared" si="84"/>
        <v>-7905955.9700000584</v>
      </c>
      <c r="X89" s="70">
        <f t="shared" si="84"/>
        <v>-6552151.9800000489</v>
      </c>
      <c r="Y89" s="70">
        <f t="shared" si="84"/>
        <v>-3470641.4899999425</v>
      </c>
      <c r="Z89" s="70">
        <f t="shared" si="84"/>
        <v>-9178932.730000101</v>
      </c>
      <c r="AA89" s="70">
        <f t="shared" si="84"/>
        <v>-10256852.169999905</v>
      </c>
      <c r="AB89" s="70">
        <f t="shared" si="84"/>
        <v>-3614407.6499999464</v>
      </c>
      <c r="AC89" s="70">
        <f t="shared" si="84"/>
        <v>65107031.359999992</v>
      </c>
      <c r="AD89" s="70">
        <f t="shared" si="84"/>
        <v>-13144862.343855185</v>
      </c>
      <c r="AE89" s="70">
        <f t="shared" si="84"/>
        <v>-13274080.391770042</v>
      </c>
      <c r="AF89" s="70">
        <f t="shared" si="84"/>
        <v>-12577551.734374866</v>
      </c>
      <c r="AG89" s="70"/>
      <c r="AH89" s="70"/>
      <c r="AI89" s="70"/>
      <c r="AJ89" s="70"/>
      <c r="AK89" s="70"/>
      <c r="AL89" s="70"/>
      <c r="AM89" s="70"/>
      <c r="AN89" s="70"/>
      <c r="AP89" s="70">
        <f t="shared" si="81"/>
        <v>25139770.62806356</v>
      </c>
      <c r="AQ89" s="70">
        <f t="shared" si="81"/>
        <v>-17201650.97806346</v>
      </c>
      <c r="AR89" s="70">
        <f t="shared" si="81"/>
        <v>-17928749.44000005</v>
      </c>
      <c r="AS89" s="70">
        <f t="shared" si="81"/>
        <v>-23050192.549999952</v>
      </c>
      <c r="AT89" s="70">
        <f t="shared" si="81"/>
        <v>38688088.624374762</v>
      </c>
      <c r="AU89" s="70">
        <f t="shared" si="81"/>
        <v>-12577551.734374866</v>
      </c>
      <c r="AV89" s="70">
        <f t="shared" si="81"/>
        <v>0</v>
      </c>
      <c r="AW89" s="70">
        <f t="shared" si="81"/>
        <v>0</v>
      </c>
      <c r="AY89" s="70">
        <f t="shared" si="82"/>
        <v>-33040822.339999903</v>
      </c>
      <c r="AZ89" s="70">
        <f t="shared" si="82"/>
        <v>26110536.889999896</v>
      </c>
      <c r="BB89" s="70">
        <f t="shared" si="83"/>
        <v>18813642.920000106</v>
      </c>
      <c r="BC89" s="70">
        <f t="shared" si="83"/>
        <v>26110536.889999896</v>
      </c>
    </row>
    <row r="90" spans="2:55" hidden="1" outlineLevel="2" x14ac:dyDescent="0.45">
      <c r="B90" s="452" t="s">
        <v>443</v>
      </c>
      <c r="C90" s="456"/>
      <c r="D90" s="456">
        <v>1</v>
      </c>
      <c r="E90" s="456"/>
      <c r="F90" s="456"/>
      <c r="G90" s="456"/>
      <c r="H90" s="456"/>
      <c r="I90" s="456"/>
      <c r="J90" s="456"/>
      <c r="K90" s="456"/>
      <c r="L90" s="456"/>
      <c r="M90" s="456"/>
      <c r="N90" s="456"/>
      <c r="O90" s="456"/>
      <c r="P90" s="456"/>
      <c r="Q90" s="71">
        <v>-46412931.769999996</v>
      </c>
      <c r="R90" s="70">
        <f t="shared" si="84"/>
        <v>0</v>
      </c>
      <c r="S90" s="70">
        <f t="shared" si="84"/>
        <v>0</v>
      </c>
      <c r="T90" s="70">
        <f t="shared" si="84"/>
        <v>0</v>
      </c>
      <c r="U90" s="70">
        <f t="shared" si="84"/>
        <v>3335258.9299999923</v>
      </c>
      <c r="V90" s="70">
        <f t="shared" si="84"/>
        <v>0</v>
      </c>
      <c r="W90" s="70">
        <f t="shared" si="84"/>
        <v>0</v>
      </c>
      <c r="X90" s="70">
        <f t="shared" si="84"/>
        <v>0</v>
      </c>
      <c r="Y90" s="70">
        <f t="shared" si="84"/>
        <v>0</v>
      </c>
      <c r="Z90" s="70">
        <f t="shared" si="84"/>
        <v>0</v>
      </c>
      <c r="AA90" s="70">
        <f t="shared" si="84"/>
        <v>0</v>
      </c>
      <c r="AB90" s="70">
        <f t="shared" si="84"/>
        <v>0</v>
      </c>
      <c r="AC90" s="70">
        <f t="shared" si="84"/>
        <v>-98610155.529999986</v>
      </c>
      <c r="AD90" s="70">
        <f t="shared" si="84"/>
        <v>0</v>
      </c>
      <c r="AE90" s="70">
        <f t="shared" si="84"/>
        <v>22491660.349999964</v>
      </c>
      <c r="AF90" s="70">
        <f t="shared" si="84"/>
        <v>0</v>
      </c>
      <c r="AG90" s="70"/>
      <c r="AH90" s="70"/>
      <c r="AI90" s="70"/>
      <c r="AJ90" s="70"/>
      <c r="AK90" s="70"/>
      <c r="AL90" s="70"/>
      <c r="AM90" s="70"/>
      <c r="AN90" s="70"/>
      <c r="AP90" s="70">
        <f t="shared" si="81"/>
        <v>-46412931.769999996</v>
      </c>
      <c r="AQ90" s="70">
        <f t="shared" si="81"/>
        <v>3335258.9299999923</v>
      </c>
      <c r="AR90" s="70">
        <f t="shared" si="81"/>
        <v>0</v>
      </c>
      <c r="AS90" s="70">
        <f t="shared" si="81"/>
        <v>0</v>
      </c>
      <c r="AT90" s="70">
        <f t="shared" si="81"/>
        <v>-76118495.180000022</v>
      </c>
      <c r="AU90" s="70">
        <f t="shared" si="81"/>
        <v>0</v>
      </c>
      <c r="AV90" s="70">
        <f t="shared" si="81"/>
        <v>0</v>
      </c>
      <c r="AW90" s="70">
        <f t="shared" si="81"/>
        <v>0</v>
      </c>
      <c r="AY90" s="70">
        <f t="shared" si="82"/>
        <v>-43077672.840000004</v>
      </c>
      <c r="AZ90" s="70">
        <f t="shared" si="82"/>
        <v>-76118495.180000022</v>
      </c>
      <c r="BB90" s="70">
        <f t="shared" si="83"/>
        <v>-46412931.769999996</v>
      </c>
      <c r="BC90" s="70">
        <f t="shared" si="83"/>
        <v>-76118495.180000022</v>
      </c>
    </row>
    <row r="91" spans="2:55" hidden="1" outlineLevel="2" x14ac:dyDescent="0.45">
      <c r="B91" s="452" t="s">
        <v>1101</v>
      </c>
      <c r="C91" s="456"/>
      <c r="D91" s="456">
        <v>1</v>
      </c>
      <c r="E91" s="456"/>
      <c r="F91" s="456"/>
      <c r="G91" s="456"/>
      <c r="H91" s="456"/>
      <c r="I91" s="456"/>
      <c r="J91" s="456"/>
      <c r="K91" s="456"/>
      <c r="L91" s="456"/>
      <c r="M91" s="456"/>
      <c r="N91" s="456"/>
      <c r="O91" s="456"/>
      <c r="P91" s="456"/>
      <c r="Q91" s="71">
        <v>0</v>
      </c>
      <c r="R91" s="70">
        <f t="shared" si="84"/>
        <v>0</v>
      </c>
      <c r="S91" s="70">
        <f t="shared" si="84"/>
        <v>0</v>
      </c>
      <c r="T91" s="70">
        <f t="shared" si="84"/>
        <v>0</v>
      </c>
      <c r="U91" s="70">
        <f t="shared" si="84"/>
        <v>0</v>
      </c>
      <c r="V91" s="70">
        <f t="shared" si="84"/>
        <v>0</v>
      </c>
      <c r="W91" s="70">
        <f t="shared" si="84"/>
        <v>0</v>
      </c>
      <c r="X91" s="70">
        <f t="shared" si="84"/>
        <v>0</v>
      </c>
      <c r="Y91" s="70">
        <f t="shared" si="84"/>
        <v>0</v>
      </c>
      <c r="Z91" s="70">
        <f t="shared" si="84"/>
        <v>0</v>
      </c>
      <c r="AA91" s="70">
        <f t="shared" si="84"/>
        <v>0</v>
      </c>
      <c r="AB91" s="70">
        <f t="shared" si="84"/>
        <v>0</v>
      </c>
      <c r="AC91" s="70">
        <f t="shared" si="84"/>
        <v>0</v>
      </c>
      <c r="AD91" s="70">
        <f t="shared" si="84"/>
        <v>0</v>
      </c>
      <c r="AE91" s="70">
        <f t="shared" si="84"/>
        <v>0</v>
      </c>
      <c r="AF91" s="70">
        <f t="shared" si="84"/>
        <v>0</v>
      </c>
      <c r="AG91" s="70"/>
      <c r="AH91" s="70"/>
      <c r="AI91" s="70"/>
      <c r="AJ91" s="70"/>
      <c r="AK91" s="70"/>
      <c r="AL91" s="70"/>
      <c r="AM91" s="70"/>
      <c r="AN91" s="70"/>
      <c r="AP91" s="70">
        <f t="shared" si="81"/>
        <v>0</v>
      </c>
      <c r="AQ91" s="70">
        <f t="shared" si="81"/>
        <v>0</v>
      </c>
      <c r="AR91" s="70">
        <f t="shared" si="81"/>
        <v>0</v>
      </c>
      <c r="AS91" s="70">
        <f t="shared" si="81"/>
        <v>0</v>
      </c>
      <c r="AT91" s="70">
        <f t="shared" si="81"/>
        <v>0</v>
      </c>
      <c r="AU91" s="70">
        <f t="shared" si="81"/>
        <v>0</v>
      </c>
      <c r="AV91" s="70">
        <f t="shared" si="81"/>
        <v>0</v>
      </c>
      <c r="AW91" s="70">
        <f t="shared" si="81"/>
        <v>0</v>
      </c>
      <c r="AY91" s="70">
        <f t="shared" si="82"/>
        <v>0</v>
      </c>
      <c r="AZ91" s="70">
        <f t="shared" si="82"/>
        <v>0</v>
      </c>
      <c r="BB91" s="70">
        <f t="shared" si="83"/>
        <v>0</v>
      </c>
      <c r="BC91" s="70">
        <f t="shared" si="83"/>
        <v>0</v>
      </c>
    </row>
    <row r="92" spans="2:55" hidden="1" outlineLevel="1" x14ac:dyDescent="0.45">
      <c r="B92" s="451" t="s">
        <v>1102</v>
      </c>
      <c r="C92" s="455"/>
      <c r="D92" s="455"/>
      <c r="E92" s="455"/>
      <c r="F92" s="455"/>
      <c r="G92" s="455"/>
      <c r="H92" s="455"/>
      <c r="I92" s="455"/>
      <c r="J92" s="455"/>
      <c r="K92" s="455"/>
      <c r="L92" s="455"/>
      <c r="M92" s="455"/>
      <c r="N92" s="455"/>
      <c r="O92" s="455"/>
      <c r="P92" s="455"/>
      <c r="Q92" s="457">
        <f>SUM(Q88:Q91)</f>
        <v>-8341105.4199999496</v>
      </c>
      <c r="R92" s="457">
        <f t="shared" ref="R92:AD92" si="85">SUM(R88:R91)</f>
        <v>3476307.0299999947</v>
      </c>
      <c r="S92" s="457">
        <f t="shared" si="85"/>
        <v>18791637.24806352</v>
      </c>
      <c r="T92" s="457">
        <f t="shared" si="85"/>
        <v>-6326127.7080634534</v>
      </c>
      <c r="U92" s="457">
        <f t="shared" si="85"/>
        <v>14669914.879999802</v>
      </c>
      <c r="V92" s="457">
        <f t="shared" si="85"/>
        <v>-4743498.2199998163</v>
      </c>
      <c r="W92" s="457">
        <f t="shared" si="85"/>
        <v>-6572622.9700000584</v>
      </c>
      <c r="X92" s="457">
        <f t="shared" si="85"/>
        <v>-5218818.9800000489</v>
      </c>
      <c r="Y92" s="457">
        <f t="shared" si="85"/>
        <v>48129171.510000028</v>
      </c>
      <c r="Z92" s="457">
        <f t="shared" si="85"/>
        <v>43416464.479999937</v>
      </c>
      <c r="AA92" s="457">
        <f t="shared" si="85"/>
        <v>40194017.830000095</v>
      </c>
      <c r="AB92" s="457">
        <f t="shared" si="85"/>
        <v>84126771.350000054</v>
      </c>
      <c r="AC92" s="457">
        <f t="shared" si="85"/>
        <v>-60048238.169999994</v>
      </c>
      <c r="AD92" s="457">
        <f t="shared" si="85"/>
        <v>28767630.166144803</v>
      </c>
      <c r="AE92" s="457">
        <f t="shared" ref="AE92:AF92" si="86">SUM(AE88:AE91)</f>
        <v>108913116.95822993</v>
      </c>
      <c r="AF92" s="457">
        <f t="shared" si="86"/>
        <v>38353406.265625134</v>
      </c>
      <c r="AG92" s="457"/>
      <c r="AH92" s="457"/>
      <c r="AI92" s="457"/>
      <c r="AJ92" s="457"/>
      <c r="AK92" s="457"/>
      <c r="AL92" s="457"/>
      <c r="AM92" s="457"/>
      <c r="AN92" s="457"/>
      <c r="AP92" s="457">
        <f t="shared" ref="AP92:BC92" si="87">SUM(AP88:AP91)</f>
        <v>13926838.858063564</v>
      </c>
      <c r="AQ92" s="457">
        <f t="shared" si="87"/>
        <v>3600288.9519365318</v>
      </c>
      <c r="AR92" s="457">
        <f t="shared" si="87"/>
        <v>36337729.55999992</v>
      </c>
      <c r="AS92" s="457">
        <f t="shared" si="87"/>
        <v>167737253.66000009</v>
      </c>
      <c r="AT92" s="457">
        <f t="shared" si="87"/>
        <v>77632508.954374716</v>
      </c>
      <c r="AU92" s="457">
        <f t="shared" si="87"/>
        <v>38353406.265625134</v>
      </c>
      <c r="AV92" s="457">
        <f t="shared" si="87"/>
        <v>0</v>
      </c>
      <c r="AW92" s="457">
        <f t="shared" si="87"/>
        <v>0</v>
      </c>
      <c r="AY92" s="457">
        <f t="shared" si="87"/>
        <v>221602111.03000012</v>
      </c>
      <c r="AZ92" s="457">
        <f t="shared" si="87"/>
        <v>115985915.21999986</v>
      </c>
      <c r="BB92" s="457">
        <f t="shared" si="87"/>
        <v>7600711.1500001103</v>
      </c>
      <c r="BC92" s="457">
        <f t="shared" si="87"/>
        <v>115985915.21999986</v>
      </c>
    </row>
    <row r="93" spans="2:55" collapsed="1" x14ac:dyDescent="0.45">
      <c r="B93" s="43"/>
    </row>
    <row r="94" spans="2:55" x14ac:dyDescent="0.45">
      <c r="B94" s="55" t="s">
        <v>823</v>
      </c>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P94" s="55"/>
      <c r="AQ94" s="55"/>
      <c r="AR94" s="55"/>
      <c r="AS94" s="55"/>
      <c r="AT94" s="55"/>
      <c r="AU94" s="55"/>
      <c r="AV94" s="55"/>
      <c r="AW94" s="55"/>
      <c r="AY94" s="55"/>
      <c r="AZ94" s="55"/>
      <c r="BB94" s="55"/>
      <c r="BC94" s="55"/>
    </row>
    <row r="95" spans="2:55" hidden="1" outlineLevel="1" x14ac:dyDescent="0.45"/>
    <row r="96" spans="2:55" hidden="1" outlineLevel="2" x14ac:dyDescent="0.45">
      <c r="B96" s="72" t="s">
        <v>815</v>
      </c>
      <c r="C96" s="72"/>
      <c r="D96" s="463"/>
      <c r="E96" s="72"/>
      <c r="F96" s="72"/>
      <c r="G96" s="72"/>
      <c r="H96" s="72"/>
      <c r="I96" s="72"/>
      <c r="J96" s="72"/>
      <c r="K96" s="72"/>
      <c r="L96" s="72"/>
      <c r="M96" s="72"/>
      <c r="N96" s="72"/>
      <c r="O96" s="72"/>
      <c r="P96" s="72"/>
      <c r="Q96" s="71">
        <v>-5005846.4860000601</v>
      </c>
      <c r="R96" s="462">
        <f>+R89+R90</f>
        <v>-6523692.9700000053</v>
      </c>
      <c r="S96" s="462">
        <f t="shared" ref="S96:AB96" si="88">+S89</f>
        <v>-6408362.7519364785</v>
      </c>
      <c r="T96" s="462">
        <f t="shared" si="88"/>
        <v>-6326127.7080634534</v>
      </c>
      <c r="U96" s="462">
        <f t="shared" si="88"/>
        <v>-4798692.0500001907</v>
      </c>
      <c r="V96" s="462">
        <f t="shared" si="88"/>
        <v>-6076831.2199998163</v>
      </c>
      <c r="W96" s="462">
        <f t="shared" si="88"/>
        <v>-7905955.9700000584</v>
      </c>
      <c r="X96" s="462">
        <f t="shared" si="88"/>
        <v>-6552151.9800000489</v>
      </c>
      <c r="Y96" s="462">
        <f t="shared" si="88"/>
        <v>-3470641.4899999425</v>
      </c>
      <c r="Z96" s="462">
        <f t="shared" si="88"/>
        <v>-9178932.730000101</v>
      </c>
      <c r="AA96" s="462">
        <f t="shared" si="88"/>
        <v>-10256852.169999905</v>
      </c>
      <c r="AB96" s="462">
        <f t="shared" si="88"/>
        <v>-3614407.6499999464</v>
      </c>
      <c r="AC96" s="71">
        <v>-11011463.8199999</v>
      </c>
      <c r="AD96" s="462">
        <f t="shared" ref="AD96" si="89">+AD89</f>
        <v>-13144862.343855185</v>
      </c>
      <c r="AE96" s="462">
        <f t="shared" ref="AE96:AF96" si="90">+AE89</f>
        <v>-13274080.391770042</v>
      </c>
      <c r="AF96" s="462">
        <f t="shared" si="90"/>
        <v>-12577551.734374866</v>
      </c>
      <c r="AG96" s="462"/>
      <c r="AH96" s="462"/>
      <c r="AI96" s="462"/>
      <c r="AJ96" s="462"/>
      <c r="AK96" s="462"/>
      <c r="AL96" s="462"/>
      <c r="AM96" s="462"/>
      <c r="AN96" s="462"/>
      <c r="AP96" s="70">
        <f t="shared" ref="AP96:AW101" si="91">SUMIFS($Q96:$AN96,$Q$9:$AN$9,AP$9,$Q$8:$AN$8,AP$8)</f>
        <v>-17937902.207936544</v>
      </c>
      <c r="AQ96" s="70">
        <f t="shared" si="91"/>
        <v>-17201650.97806346</v>
      </c>
      <c r="AR96" s="70">
        <f t="shared" si="91"/>
        <v>-17928749.44000005</v>
      </c>
      <c r="AS96" s="70">
        <f t="shared" si="91"/>
        <v>-23050192.549999952</v>
      </c>
      <c r="AT96" s="70">
        <f t="shared" si="91"/>
        <v>-37430406.555625126</v>
      </c>
      <c r="AU96" s="70">
        <f t="shared" si="91"/>
        <v>-12577551.734374866</v>
      </c>
      <c r="AV96" s="70">
        <f t="shared" si="91"/>
        <v>0</v>
      </c>
      <c r="AW96" s="70">
        <f t="shared" si="91"/>
        <v>0</v>
      </c>
      <c r="AY96" s="462">
        <f t="shared" ref="AY96:AZ101" si="92">SUMIF($Q$8:$AN$8,AY$8,$Q96:$AN96)</f>
        <v>-76118495.175999999</v>
      </c>
      <c r="AZ96" s="462">
        <f t="shared" si="92"/>
        <v>-50007958.289999992</v>
      </c>
      <c r="BB96" s="70">
        <f t="shared" ref="BB96:BC101" si="93">SUMIFS($Q96:$AN96,$Q$8:$AN$8,BB$8,$Q$10:$AN$10,"Actuals")</f>
        <v>-24264029.915999997</v>
      </c>
      <c r="BC96" s="70">
        <f t="shared" si="93"/>
        <v>-50007958.289999992</v>
      </c>
    </row>
    <row r="97" spans="2:55" hidden="1" outlineLevel="2" x14ac:dyDescent="0.45">
      <c r="B97" s="72" t="s">
        <v>1104</v>
      </c>
      <c r="C97" s="72"/>
      <c r="D97" s="463"/>
      <c r="E97" s="72"/>
      <c r="F97" s="72"/>
      <c r="G97" s="72"/>
      <c r="H97" s="72"/>
      <c r="I97" s="72"/>
      <c r="J97" s="72"/>
      <c r="K97" s="72"/>
      <c r="L97" s="72"/>
      <c r="M97" s="72"/>
      <c r="N97" s="72"/>
      <c r="O97" s="72"/>
      <c r="P97" s="72"/>
      <c r="Q97" s="462">
        <f t="shared" ref="Q97:AE97" si="94">-Q21</f>
        <v>1714955.5899999999</v>
      </c>
      <c r="R97" s="462">
        <f t="shared" si="94"/>
        <v>1840310.28</v>
      </c>
      <c r="S97" s="462">
        <f t="shared" si="94"/>
        <v>1830631.21</v>
      </c>
      <c r="T97" s="462">
        <f t="shared" si="94"/>
        <v>2474407.290000001</v>
      </c>
      <c r="U97" s="462">
        <f t="shared" si="94"/>
        <v>2424952.6300000008</v>
      </c>
      <c r="V97" s="462">
        <f t="shared" si="94"/>
        <v>2384325.7799999998</v>
      </c>
      <c r="W97" s="462">
        <f t="shared" si="94"/>
        <v>2890391.2999999993</v>
      </c>
      <c r="X97" s="462">
        <f t="shared" si="94"/>
        <v>2545876.4899999998</v>
      </c>
      <c r="Y97" s="462">
        <f t="shared" si="94"/>
        <v>2736711.8700000015</v>
      </c>
      <c r="Z97" s="462">
        <f t="shared" si="94"/>
        <v>2636109.1299999994</v>
      </c>
      <c r="AA97" s="462">
        <f t="shared" si="94"/>
        <v>3049047.2199999988</v>
      </c>
      <c r="AB97" s="462">
        <f t="shared" si="94"/>
        <v>9971241.0199999996</v>
      </c>
      <c r="AC97" s="462">
        <f t="shared" si="94"/>
        <v>5110921.4399999985</v>
      </c>
      <c r="AD97" s="462">
        <f t="shared" si="94"/>
        <v>5023333.3099999996</v>
      </c>
      <c r="AE97" s="462">
        <f t="shared" si="94"/>
        <v>5605386.7800000003</v>
      </c>
      <c r="AF97" s="462">
        <f t="shared" ref="AF97" si="95">-AF21</f>
        <v>5548251.7300000004</v>
      </c>
      <c r="AG97" s="462"/>
      <c r="AH97" s="462"/>
      <c r="AI97" s="462"/>
      <c r="AJ97" s="462"/>
      <c r="AK97" s="462"/>
      <c r="AL97" s="462"/>
      <c r="AM97" s="462"/>
      <c r="AN97" s="462"/>
      <c r="AP97" s="70">
        <f t="shared" si="91"/>
        <v>5385897.0800000001</v>
      </c>
      <c r="AQ97" s="70">
        <f t="shared" si="91"/>
        <v>7283685.7000000011</v>
      </c>
      <c r="AR97" s="70">
        <f t="shared" si="91"/>
        <v>8172979.6600000001</v>
      </c>
      <c r="AS97" s="70">
        <f t="shared" si="91"/>
        <v>15656397.369999997</v>
      </c>
      <c r="AT97" s="70">
        <f t="shared" si="91"/>
        <v>15739641.529999997</v>
      </c>
      <c r="AU97" s="70">
        <f t="shared" si="91"/>
        <v>5548251.7300000004</v>
      </c>
      <c r="AV97" s="70">
        <f t="shared" si="91"/>
        <v>0</v>
      </c>
      <c r="AW97" s="70">
        <f t="shared" si="91"/>
        <v>0</v>
      </c>
      <c r="AY97" s="462">
        <f t="shared" si="92"/>
        <v>36498959.810000002</v>
      </c>
      <c r="AZ97" s="462">
        <f t="shared" si="92"/>
        <v>21287893.259999998</v>
      </c>
      <c r="BB97" s="70">
        <f t="shared" si="93"/>
        <v>7860304.370000001</v>
      </c>
      <c r="BC97" s="70">
        <f t="shared" si="93"/>
        <v>21287893.259999998</v>
      </c>
    </row>
    <row r="98" spans="2:55" hidden="1" outlineLevel="2" x14ac:dyDescent="0.45">
      <c r="B98" s="72" t="s">
        <v>1105</v>
      </c>
      <c r="C98" s="72"/>
      <c r="D98" s="463">
        <v>1</v>
      </c>
      <c r="E98" s="72"/>
      <c r="F98" s="72"/>
      <c r="G98" s="72"/>
      <c r="H98" s="72"/>
      <c r="I98" s="72"/>
      <c r="J98" s="72"/>
      <c r="K98" s="72"/>
      <c r="L98" s="72"/>
      <c r="M98" s="72"/>
      <c r="N98" s="72"/>
      <c r="O98" s="72"/>
      <c r="P98" s="72"/>
      <c r="Q98" s="73">
        <f t="shared" ref="Q98:AE98" si="96">+SUMIF($D$65:$D$92,$D98,Q$65:Q$92)-Q27+Q89</f>
        <v>-3379058.9299999475</v>
      </c>
      <c r="R98" s="73">
        <f t="shared" si="96"/>
        <v>8983.660000000149</v>
      </c>
      <c r="S98" s="73">
        <f t="shared" si="96"/>
        <v>6342.8299999916926</v>
      </c>
      <c r="T98" s="73">
        <f t="shared" si="96"/>
        <v>6342.8300000233576</v>
      </c>
      <c r="U98" s="73">
        <f t="shared" si="96"/>
        <v>3192081.8999999892</v>
      </c>
      <c r="V98" s="73">
        <f t="shared" si="96"/>
        <v>12685.659999978729</v>
      </c>
      <c r="W98" s="73">
        <f t="shared" si="96"/>
        <v>11551.000000005588</v>
      </c>
      <c r="X98" s="73">
        <f t="shared" si="96"/>
        <v>11551.310000003316</v>
      </c>
      <c r="Y98" s="73">
        <f t="shared" si="96"/>
        <v>11446.200000007637</v>
      </c>
      <c r="Z98" s="73">
        <f t="shared" si="96"/>
        <v>-39707.099999954924</v>
      </c>
      <c r="AA98" s="73">
        <f t="shared" si="96"/>
        <v>12685.659999966621</v>
      </c>
      <c r="AB98" s="73">
        <f t="shared" si="96"/>
        <v>640814.97999997996</v>
      </c>
      <c r="AC98" s="73">
        <f t="shared" si="96"/>
        <v>-22470236.350000046</v>
      </c>
      <c r="AD98" s="73">
        <f t="shared" si="96"/>
        <v>21424.000000001863</v>
      </c>
      <c r="AE98" s="73">
        <f t="shared" si="96"/>
        <v>22513084.349999964</v>
      </c>
      <c r="AF98" s="73">
        <f t="shared" ref="AF98" si="97">+SUMIF($D$65:$D$92,$D98,AF$65:AF$92)-AF27+AF89</f>
        <v>21423.999999994412</v>
      </c>
      <c r="AG98" s="73"/>
      <c r="AH98" s="73"/>
      <c r="AI98" s="73"/>
      <c r="AJ98" s="73"/>
      <c r="AK98" s="73"/>
      <c r="AL98" s="73"/>
      <c r="AM98" s="73"/>
      <c r="AN98" s="73"/>
      <c r="AP98" s="70">
        <f t="shared" si="91"/>
        <v>-3363732.4399999557</v>
      </c>
      <c r="AQ98" s="70">
        <f t="shared" si="91"/>
        <v>3211110.3899999913</v>
      </c>
      <c r="AR98" s="70">
        <f t="shared" si="91"/>
        <v>34548.51000001654</v>
      </c>
      <c r="AS98" s="70">
        <f t="shared" si="91"/>
        <v>613793.53999999166</v>
      </c>
      <c r="AT98" s="70">
        <f t="shared" si="91"/>
        <v>64271.999999918044</v>
      </c>
      <c r="AU98" s="70">
        <f t="shared" si="91"/>
        <v>21423.999999994412</v>
      </c>
      <c r="AV98" s="70">
        <f t="shared" si="91"/>
        <v>0</v>
      </c>
      <c r="AW98" s="70">
        <f t="shared" si="91"/>
        <v>0</v>
      </c>
      <c r="AY98" s="73">
        <f t="shared" si="92"/>
        <v>495720.00000004377</v>
      </c>
      <c r="AZ98" s="73">
        <f t="shared" si="92"/>
        <v>85695.999999912456</v>
      </c>
      <c r="BB98" s="70">
        <f t="shared" si="93"/>
        <v>-3357389.6099999323</v>
      </c>
      <c r="BC98" s="70">
        <f t="shared" si="93"/>
        <v>85695.999999912456</v>
      </c>
    </row>
    <row r="99" spans="2:55" hidden="1" outlineLevel="2" x14ac:dyDescent="0.45">
      <c r="B99" s="72" t="s">
        <v>820</v>
      </c>
      <c r="C99" s="72"/>
      <c r="D99" s="463">
        <v>2</v>
      </c>
      <c r="E99" s="72"/>
      <c r="F99" s="72"/>
      <c r="G99" s="72"/>
      <c r="H99" s="72"/>
      <c r="I99" s="72"/>
      <c r="J99" s="72"/>
      <c r="K99" s="72"/>
      <c r="L99" s="72"/>
      <c r="M99" s="72"/>
      <c r="N99" s="72"/>
      <c r="O99" s="72"/>
      <c r="P99" s="72"/>
      <c r="Q99" s="73">
        <f t="shared" ref="Q99:AF101" si="98">+SUMIF($D$65:$D$92,$D99,Q$65:Q$92)</f>
        <v>4830107.0399999991</v>
      </c>
      <c r="R99" s="73">
        <f t="shared" si="98"/>
        <v>-137785.44999999925</v>
      </c>
      <c r="S99" s="73">
        <f t="shared" si="98"/>
        <v>-2781228.8500000052</v>
      </c>
      <c r="T99" s="73">
        <f t="shared" si="98"/>
        <v>-693203.86999999825</v>
      </c>
      <c r="U99" s="73">
        <f t="shared" si="98"/>
        <v>-10660411.45999999</v>
      </c>
      <c r="V99" s="73">
        <f t="shared" si="98"/>
        <v>-5365671.1300000055</v>
      </c>
      <c r="W99" s="73">
        <f t="shared" si="98"/>
        <v>-1650989.3299999984</v>
      </c>
      <c r="X99" s="73">
        <f t="shared" si="98"/>
        <v>-1940617.3200000126</v>
      </c>
      <c r="Y99" s="73">
        <f t="shared" si="98"/>
        <v>-4041626.0299999979</v>
      </c>
      <c r="Z99" s="73">
        <f t="shared" si="98"/>
        <v>-3638717.5900000026</v>
      </c>
      <c r="AA99" s="73">
        <f t="shared" si="98"/>
        <v>-4894679.7799999975</v>
      </c>
      <c r="AB99" s="73">
        <f t="shared" si="98"/>
        <v>-20820165.999999981</v>
      </c>
      <c r="AC99" s="73">
        <f t="shared" si="98"/>
        <v>8546591.7899999991</v>
      </c>
      <c r="AD99" s="73">
        <f t="shared" si="98"/>
        <v>-2497080.7800000226</v>
      </c>
      <c r="AE99" s="73">
        <f t="shared" si="98"/>
        <v>-16271839.439999968</v>
      </c>
      <c r="AF99" s="73">
        <f t="shared" si="98"/>
        <v>-5137001.0799999889</v>
      </c>
      <c r="AG99" s="73"/>
      <c r="AH99" s="73"/>
      <c r="AI99" s="73"/>
      <c r="AJ99" s="73"/>
      <c r="AK99" s="73"/>
      <c r="AL99" s="73"/>
      <c r="AM99" s="73"/>
      <c r="AN99" s="73"/>
      <c r="AP99" s="70">
        <f t="shared" si="91"/>
        <v>1911092.7399999946</v>
      </c>
      <c r="AQ99" s="70">
        <f t="shared" si="91"/>
        <v>-16719286.459999993</v>
      </c>
      <c r="AR99" s="70">
        <f t="shared" si="91"/>
        <v>-7633232.680000009</v>
      </c>
      <c r="AS99" s="70">
        <f t="shared" si="91"/>
        <v>-29353563.369999982</v>
      </c>
      <c r="AT99" s="70">
        <f t="shared" si="91"/>
        <v>-10222328.429999992</v>
      </c>
      <c r="AU99" s="70">
        <f t="shared" si="91"/>
        <v>-5137001.0799999889</v>
      </c>
      <c r="AV99" s="70">
        <f t="shared" si="91"/>
        <v>0</v>
      </c>
      <c r="AW99" s="70">
        <f t="shared" si="91"/>
        <v>0</v>
      </c>
      <c r="AY99" s="73">
        <f t="shared" si="92"/>
        <v>-51794989.769999988</v>
      </c>
      <c r="AZ99" s="73">
        <f t="shared" si="92"/>
        <v>-15359329.509999981</v>
      </c>
      <c r="BB99" s="70">
        <f t="shared" si="93"/>
        <v>1217888.8699999964</v>
      </c>
      <c r="BC99" s="70">
        <f t="shared" si="93"/>
        <v>-15359329.509999981</v>
      </c>
    </row>
    <row r="100" spans="2:55" hidden="1" outlineLevel="2" x14ac:dyDescent="0.45">
      <c r="B100" s="72" t="s">
        <v>1106</v>
      </c>
      <c r="C100" s="72"/>
      <c r="D100" s="463">
        <v>3</v>
      </c>
      <c r="E100" s="72"/>
      <c r="F100" s="72"/>
      <c r="G100" s="72"/>
      <c r="H100" s="72"/>
      <c r="I100" s="72"/>
      <c r="J100" s="72"/>
      <c r="K100" s="72"/>
      <c r="L100" s="72"/>
      <c r="M100" s="72"/>
      <c r="N100" s="72"/>
      <c r="O100" s="72"/>
      <c r="P100" s="72"/>
      <c r="Q100" s="73">
        <f t="shared" si="98"/>
        <v>5010702.2300000209</v>
      </c>
      <c r="R100" s="73">
        <f>+SUMIF($D$65:$D$92,$D100,R$65:R$92)</f>
        <v>-170167.19000000227</v>
      </c>
      <c r="S100" s="73">
        <f t="shared" si="98"/>
        <v>14525478.470000004</v>
      </c>
      <c r="T100" s="73">
        <f t="shared" si="98"/>
        <v>46269092.649999999</v>
      </c>
      <c r="U100" s="73">
        <f t="shared" si="98"/>
        <v>62594081.37999998</v>
      </c>
      <c r="V100" s="73">
        <f t="shared" si="98"/>
        <v>161616.18000000902</v>
      </c>
      <c r="W100" s="73">
        <f>+SUMIF($D$65:$D$92,$D100,W$65:W$92)</f>
        <v>-54818539.950000018</v>
      </c>
      <c r="X100" s="73">
        <f t="shared" si="98"/>
        <v>-4785652.039999973</v>
      </c>
      <c r="Y100" s="73">
        <f>+SUMIF($D$65:$D$92,$D100,Y$65:Y$92)</f>
        <v>-22198238.73999998</v>
      </c>
      <c r="Z100" s="73">
        <f>+SUMIF($D$65:$D$92,$D100,Z$65:Z$92)</f>
        <v>-22247247.830000035</v>
      </c>
      <c r="AA100" s="73">
        <f t="shared" si="98"/>
        <v>9265888.2300000042</v>
      </c>
      <c r="AB100" s="73">
        <f t="shared" si="98"/>
        <v>163098985.62</v>
      </c>
      <c r="AC100" s="73">
        <f>+SUMIF($D$65:$D$92,$D100,AC$65:AC$92)</f>
        <v>49077796.819999948</v>
      </c>
      <c r="AD100" s="73">
        <f t="shared" si="98"/>
        <v>-10977985.339999877</v>
      </c>
      <c r="AE100" s="73">
        <f t="shared" si="98"/>
        <v>-8160942.6300001815</v>
      </c>
      <c r="AF100" s="73">
        <f t="shared" si="98"/>
        <v>-453065.27999992482</v>
      </c>
      <c r="AG100" s="73"/>
      <c r="AH100" s="73"/>
      <c r="AI100" s="73"/>
      <c r="AJ100" s="73"/>
      <c r="AK100" s="73"/>
      <c r="AL100" s="73"/>
      <c r="AM100" s="73"/>
      <c r="AN100" s="73"/>
      <c r="AP100" s="70">
        <f t="shared" si="91"/>
        <v>19366013.510000024</v>
      </c>
      <c r="AQ100" s="70">
        <f t="shared" si="91"/>
        <v>109024790.20999998</v>
      </c>
      <c r="AR100" s="70">
        <f t="shared" si="91"/>
        <v>-81802430.729999974</v>
      </c>
      <c r="AS100" s="70">
        <f t="shared" si="91"/>
        <v>150117626.01999998</v>
      </c>
      <c r="AT100" s="70">
        <f t="shared" si="91"/>
        <v>29938868.84999989</v>
      </c>
      <c r="AU100" s="70">
        <f t="shared" si="91"/>
        <v>-453065.27999992482</v>
      </c>
      <c r="AV100" s="70">
        <f t="shared" si="91"/>
        <v>0</v>
      </c>
      <c r="AW100" s="70">
        <f t="shared" si="91"/>
        <v>0</v>
      </c>
      <c r="AY100" s="73">
        <f t="shared" si="92"/>
        <v>196705999.01000002</v>
      </c>
      <c r="AZ100" s="73">
        <f t="shared" si="92"/>
        <v>29485803.569999963</v>
      </c>
      <c r="BB100" s="70">
        <f t="shared" si="93"/>
        <v>65635106.160000026</v>
      </c>
      <c r="BC100" s="70">
        <f t="shared" si="93"/>
        <v>29485803.569999963</v>
      </c>
    </row>
    <row r="101" spans="2:55" hidden="1" outlineLevel="2" x14ac:dyDescent="0.45">
      <c r="B101" s="72" t="s">
        <v>822</v>
      </c>
      <c r="C101" s="72"/>
      <c r="D101" s="463">
        <v>4</v>
      </c>
      <c r="E101" s="72"/>
      <c r="F101" s="72"/>
      <c r="G101" s="72"/>
      <c r="H101" s="72"/>
      <c r="I101" s="72"/>
      <c r="J101" s="72"/>
      <c r="K101" s="72"/>
      <c r="L101" s="72"/>
      <c r="M101" s="72"/>
      <c r="N101" s="72"/>
      <c r="O101" s="72"/>
      <c r="P101" s="72"/>
      <c r="Q101" s="73">
        <f t="shared" si="98"/>
        <v>0</v>
      </c>
      <c r="R101" s="73">
        <f t="shared" si="98"/>
        <v>0</v>
      </c>
      <c r="S101" s="73">
        <f t="shared" si="98"/>
        <v>0</v>
      </c>
      <c r="T101" s="73">
        <f t="shared" si="98"/>
        <v>0</v>
      </c>
      <c r="U101" s="73">
        <f t="shared" si="98"/>
        <v>0</v>
      </c>
      <c r="V101" s="73">
        <f t="shared" si="98"/>
        <v>0</v>
      </c>
      <c r="W101" s="73">
        <f t="shared" si="98"/>
        <v>0</v>
      </c>
      <c r="X101" s="73">
        <f t="shared" si="98"/>
        <v>0</v>
      </c>
      <c r="Y101" s="73">
        <f t="shared" si="98"/>
        <v>0</v>
      </c>
      <c r="Z101" s="73">
        <f t="shared" si="98"/>
        <v>0</v>
      </c>
      <c r="AA101" s="73">
        <f t="shared" si="98"/>
        <v>0</v>
      </c>
      <c r="AB101" s="73">
        <f t="shared" si="98"/>
        <v>0</v>
      </c>
      <c r="AC101" s="73">
        <f t="shared" si="98"/>
        <v>0</v>
      </c>
      <c r="AD101" s="73">
        <f t="shared" si="98"/>
        <v>0</v>
      </c>
      <c r="AE101" s="73">
        <f t="shared" si="98"/>
        <v>0</v>
      </c>
      <c r="AF101" s="73">
        <f t="shared" si="98"/>
        <v>0</v>
      </c>
      <c r="AG101" s="73"/>
      <c r="AH101" s="73"/>
      <c r="AI101" s="73"/>
      <c r="AJ101" s="73"/>
      <c r="AK101" s="73"/>
      <c r="AL101" s="73"/>
      <c r="AM101" s="73"/>
      <c r="AN101" s="73"/>
      <c r="AP101" s="70">
        <f t="shared" si="91"/>
        <v>0</v>
      </c>
      <c r="AQ101" s="70">
        <f t="shared" si="91"/>
        <v>0</v>
      </c>
      <c r="AR101" s="70">
        <f t="shared" si="91"/>
        <v>0</v>
      </c>
      <c r="AS101" s="70">
        <f t="shared" si="91"/>
        <v>0</v>
      </c>
      <c r="AT101" s="70">
        <f t="shared" si="91"/>
        <v>0</v>
      </c>
      <c r="AU101" s="70">
        <f t="shared" si="91"/>
        <v>0</v>
      </c>
      <c r="AV101" s="70">
        <f t="shared" si="91"/>
        <v>0</v>
      </c>
      <c r="AW101" s="70">
        <f t="shared" si="91"/>
        <v>0</v>
      </c>
      <c r="AY101" s="73">
        <f t="shared" si="92"/>
        <v>0</v>
      </c>
      <c r="AZ101" s="73">
        <f t="shared" si="92"/>
        <v>0</v>
      </c>
      <c r="BB101" s="70">
        <f t="shared" si="93"/>
        <v>0</v>
      </c>
      <c r="BC101" s="70">
        <f t="shared" si="93"/>
        <v>0</v>
      </c>
    </row>
    <row r="102" spans="2:55" hidden="1" outlineLevel="1" x14ac:dyDescent="0.45">
      <c r="B102" s="49" t="s">
        <v>1107</v>
      </c>
      <c r="C102" s="49"/>
      <c r="D102" s="187"/>
      <c r="E102" s="49"/>
      <c r="F102" s="49"/>
      <c r="G102" s="49"/>
      <c r="H102" s="49"/>
      <c r="I102" s="49"/>
      <c r="J102" s="49"/>
      <c r="K102" s="49"/>
      <c r="L102" s="49"/>
      <c r="M102" s="49"/>
      <c r="N102" s="49"/>
      <c r="O102" s="49"/>
      <c r="P102" s="49"/>
      <c r="Q102" s="457">
        <f>SUM(Q96:Q101)</f>
        <v>3170859.4440000122</v>
      </c>
      <c r="R102" s="457">
        <f t="shared" ref="R102:AD102" si="99">SUM(R96:R101)</f>
        <v>-4982351.6700000064</v>
      </c>
      <c r="S102" s="457">
        <f t="shared" si="99"/>
        <v>7172860.9080635123</v>
      </c>
      <c r="T102" s="457">
        <f t="shared" si="99"/>
        <v>41730511.191936567</v>
      </c>
      <c r="U102" s="457">
        <f t="shared" si="99"/>
        <v>52752012.39999979</v>
      </c>
      <c r="V102" s="457">
        <f t="shared" si="99"/>
        <v>-8883874.7299998347</v>
      </c>
      <c r="W102" s="457">
        <f t="shared" si="99"/>
        <v>-61473542.95000007</v>
      </c>
      <c r="X102" s="457">
        <f t="shared" si="99"/>
        <v>-10720993.540000033</v>
      </c>
      <c r="Y102" s="457">
        <f t="shared" si="99"/>
        <v>-26962348.189999912</v>
      </c>
      <c r="Z102" s="457">
        <f t="shared" si="99"/>
        <v>-32468496.120000094</v>
      </c>
      <c r="AA102" s="457">
        <f t="shared" si="99"/>
        <v>-2823910.8399999328</v>
      </c>
      <c r="AB102" s="457">
        <f t="shared" si="99"/>
        <v>149276467.97000006</v>
      </c>
      <c r="AC102" s="457">
        <f t="shared" si="99"/>
        <v>29253609.879999999</v>
      </c>
      <c r="AD102" s="457">
        <f t="shared" si="99"/>
        <v>-21575171.153855085</v>
      </c>
      <c r="AE102" s="457">
        <f t="shared" ref="AE102:AF102" si="100">SUM(AE96:AE101)</f>
        <v>-9588391.3317702264</v>
      </c>
      <c r="AF102" s="457">
        <f t="shared" si="100"/>
        <v>-12597942.364374785</v>
      </c>
      <c r="AG102" s="457"/>
      <c r="AH102" s="457"/>
      <c r="AI102" s="457"/>
      <c r="AJ102" s="457"/>
      <c r="AK102" s="457"/>
      <c r="AL102" s="457"/>
      <c r="AM102" s="457"/>
      <c r="AN102" s="457"/>
      <c r="AP102" s="457">
        <f t="shared" ref="AP102:BC102" si="101">SUM(AP96:AP101)</f>
        <v>5361368.68206352</v>
      </c>
      <c r="AQ102" s="457">
        <f t="shared" si="101"/>
        <v>85598648.86193651</v>
      </c>
      <c r="AR102" s="457">
        <f t="shared" si="101"/>
        <v>-99156884.680000007</v>
      </c>
      <c r="AS102" s="457">
        <f t="shared" si="101"/>
        <v>113984061.01000004</v>
      </c>
      <c r="AT102" s="457">
        <f t="shared" si="101"/>
        <v>-1909952.6056253128</v>
      </c>
      <c r="AU102" s="457">
        <f t="shared" si="101"/>
        <v>-12597942.364374785</v>
      </c>
      <c r="AV102" s="457">
        <f t="shared" si="101"/>
        <v>0</v>
      </c>
      <c r="AW102" s="457">
        <f t="shared" si="101"/>
        <v>0</v>
      </c>
      <c r="AY102" s="457">
        <f t="shared" si="101"/>
        <v>105787193.87400007</v>
      </c>
      <c r="AZ102" s="457">
        <f t="shared" si="101"/>
        <v>-14507894.970000103</v>
      </c>
      <c r="BB102" s="457">
        <f t="shared" si="101"/>
        <v>47091879.874000095</v>
      </c>
      <c r="BC102" s="457">
        <f t="shared" si="101"/>
        <v>-14507894.970000103</v>
      </c>
    </row>
    <row r="103" spans="2:55" hidden="1" outlineLevel="1" x14ac:dyDescent="0.45">
      <c r="B103" s="43"/>
      <c r="C103" s="43"/>
      <c r="D103" s="188"/>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P103" s="43"/>
      <c r="AQ103" s="43"/>
      <c r="AR103" s="43"/>
      <c r="AS103" s="43"/>
      <c r="AT103" s="43"/>
      <c r="AU103" s="43"/>
      <c r="AV103" s="43"/>
      <c r="AW103" s="43"/>
      <c r="AY103" s="43"/>
      <c r="AZ103" s="43"/>
      <c r="BB103" s="43"/>
      <c r="BC103" s="43"/>
    </row>
    <row r="104" spans="2:55" hidden="1" outlineLevel="2" x14ac:dyDescent="0.45">
      <c r="B104" s="72" t="s">
        <v>1108</v>
      </c>
      <c r="C104" s="72"/>
      <c r="D104" s="463">
        <v>5</v>
      </c>
      <c r="E104" s="72"/>
      <c r="F104" s="72"/>
      <c r="G104" s="72"/>
      <c r="H104" s="72"/>
      <c r="I104" s="72"/>
      <c r="J104" s="72"/>
      <c r="K104" s="72"/>
      <c r="L104" s="72"/>
      <c r="M104" s="72"/>
      <c r="N104" s="72"/>
      <c r="O104" s="72"/>
      <c r="P104" s="72"/>
      <c r="Q104" s="73">
        <f t="shared" ref="Q104:AF104" si="102">+SUMIF($D$65:$D$92,$D104,Q$65:Q$92)</f>
        <v>0</v>
      </c>
      <c r="R104" s="73">
        <f t="shared" si="102"/>
        <v>0</v>
      </c>
      <c r="S104" s="73">
        <f t="shared" si="102"/>
        <v>0</v>
      </c>
      <c r="T104" s="73">
        <f t="shared" si="102"/>
        <v>0</v>
      </c>
      <c r="U104" s="73">
        <f t="shared" si="102"/>
        <v>0</v>
      </c>
      <c r="V104" s="73">
        <f t="shared" si="102"/>
        <v>0</v>
      </c>
      <c r="W104" s="73">
        <f t="shared" si="102"/>
        <v>0</v>
      </c>
      <c r="X104" s="73">
        <f t="shared" si="102"/>
        <v>0</v>
      </c>
      <c r="Y104" s="73">
        <f t="shared" si="102"/>
        <v>0</v>
      </c>
      <c r="Z104" s="73">
        <f t="shared" si="102"/>
        <v>0</v>
      </c>
      <c r="AA104" s="73">
        <f t="shared" si="102"/>
        <v>0</v>
      </c>
      <c r="AB104" s="73">
        <f t="shared" si="102"/>
        <v>0</v>
      </c>
      <c r="AC104" s="73">
        <f t="shared" si="102"/>
        <v>0</v>
      </c>
      <c r="AD104" s="73">
        <f t="shared" si="102"/>
        <v>0</v>
      </c>
      <c r="AE104" s="73">
        <f t="shared" si="102"/>
        <v>0</v>
      </c>
      <c r="AF104" s="73">
        <f t="shared" si="102"/>
        <v>0</v>
      </c>
      <c r="AG104" s="73"/>
      <c r="AH104" s="73"/>
      <c r="AI104" s="73"/>
      <c r="AJ104" s="73"/>
      <c r="AK104" s="73"/>
      <c r="AL104" s="73"/>
      <c r="AM104" s="73"/>
      <c r="AN104" s="73"/>
      <c r="AP104" s="70">
        <f t="shared" ref="AP104:AW106" si="103">SUMIFS($Q104:$AN104,$Q$9:$AN$9,AP$9,$Q$8:$AN$8,AP$8)</f>
        <v>0</v>
      </c>
      <c r="AQ104" s="70">
        <f t="shared" si="103"/>
        <v>0</v>
      </c>
      <c r="AR104" s="70">
        <f t="shared" si="103"/>
        <v>0</v>
      </c>
      <c r="AS104" s="70">
        <f t="shared" si="103"/>
        <v>0</v>
      </c>
      <c r="AT104" s="70">
        <f t="shared" si="103"/>
        <v>0</v>
      </c>
      <c r="AU104" s="70">
        <f t="shared" si="103"/>
        <v>0</v>
      </c>
      <c r="AV104" s="70">
        <f t="shared" si="103"/>
        <v>0</v>
      </c>
      <c r="AW104" s="70">
        <f t="shared" si="103"/>
        <v>0</v>
      </c>
      <c r="AY104" s="73">
        <f t="shared" ref="AY104:AZ106" si="104">SUMIF($Q$8:$AN$8,AY$8,$Q104:$AN104)</f>
        <v>0</v>
      </c>
      <c r="AZ104" s="73">
        <f t="shared" si="104"/>
        <v>0</v>
      </c>
      <c r="BB104" s="70">
        <f t="shared" ref="BB104:BC106" si="105">SUMIFS($Q104:$AN104,$Q$8:$AN$8,BB$8,$Q$10:$AN$10,"Actuals")</f>
        <v>0</v>
      </c>
      <c r="BC104" s="70">
        <f t="shared" si="105"/>
        <v>0</v>
      </c>
    </row>
    <row r="105" spans="2:55" hidden="1" outlineLevel="2" x14ac:dyDescent="0.45">
      <c r="B105" s="72" t="s">
        <v>1109</v>
      </c>
      <c r="C105" s="72"/>
      <c r="D105" s="463">
        <v>10</v>
      </c>
      <c r="E105" s="72"/>
      <c r="F105" s="72"/>
      <c r="G105" s="72"/>
      <c r="H105" s="72"/>
      <c r="I105" s="72"/>
      <c r="J105" s="72"/>
      <c r="K105" s="72"/>
      <c r="L105" s="72"/>
      <c r="M105" s="72"/>
      <c r="N105" s="72"/>
      <c r="O105" s="72"/>
      <c r="P105" s="72"/>
      <c r="Q105" s="73">
        <f>+SUMIF($D$65:$D$92,$D105,Q$65:Q$92)-Q97</f>
        <v>-2342961.079999987</v>
      </c>
      <c r="R105" s="73">
        <f>+SUMIF($D$65:$D$92,$D105,R$65:R$92)-R97</f>
        <v>-6348136.8499999559</v>
      </c>
      <c r="S105" s="73">
        <f t="shared" ref="S105:AD105" si="106">+SUMIF($D$65:$D$92,$D105,S$65:S$92)-S97</f>
        <v>-13511543.680000007</v>
      </c>
      <c r="T105" s="73">
        <f t="shared" si="106"/>
        <v>-58999404.249999993</v>
      </c>
      <c r="U105" s="73">
        <f t="shared" si="106"/>
        <v>-41688595.580000013</v>
      </c>
      <c r="V105" s="73">
        <f t="shared" si="106"/>
        <v>-8915495.4500000533</v>
      </c>
      <c r="W105" s="73">
        <f t="shared" si="106"/>
        <v>-16383302.889999988</v>
      </c>
      <c r="X105" s="73">
        <f>+SUMIF($D$65:$D$92,$D105,X$65:X$92)-X97</f>
        <v>-9115746.2499999758</v>
      </c>
      <c r="Y105" s="73">
        <f t="shared" si="106"/>
        <v>-32100152.909999993</v>
      </c>
      <c r="Z105" s="73">
        <f t="shared" si="106"/>
        <v>-24454616.389999975</v>
      </c>
      <c r="AA105" s="73">
        <f>+SUMIF($D$65:$D$92,$D105,AA$65:AA$92)-AA97</f>
        <v>-47640600.400000125</v>
      </c>
      <c r="AB105" s="73">
        <f t="shared" si="106"/>
        <v>-220275845.07999974</v>
      </c>
      <c r="AC105" s="73">
        <f t="shared" si="106"/>
        <v>-20538075.110000163</v>
      </c>
      <c r="AD105" s="73">
        <f t="shared" si="106"/>
        <v>-18429525.169999968</v>
      </c>
      <c r="AE105" s="73">
        <f t="shared" ref="AE105:AF105" si="107">+SUMIF($D$65:$D$92,$D105,AE$65:AE$92)-AE97</f>
        <v>-89855346.550000086</v>
      </c>
      <c r="AF105" s="73">
        <f t="shared" si="107"/>
        <v>-36281458.860000104</v>
      </c>
      <c r="AG105" s="73"/>
      <c r="AH105" s="73"/>
      <c r="AI105" s="73"/>
      <c r="AJ105" s="73"/>
      <c r="AK105" s="73"/>
      <c r="AL105" s="73"/>
      <c r="AM105" s="73"/>
      <c r="AN105" s="73"/>
      <c r="AP105" s="70">
        <f t="shared" si="103"/>
        <v>-22202641.609999951</v>
      </c>
      <c r="AQ105" s="70">
        <f t="shared" si="103"/>
        <v>-109603495.28000006</v>
      </c>
      <c r="AR105" s="70">
        <f t="shared" si="103"/>
        <v>-57599202.049999952</v>
      </c>
      <c r="AS105" s="70">
        <f t="shared" si="103"/>
        <v>-292371061.86999983</v>
      </c>
      <c r="AT105" s="70">
        <f t="shared" si="103"/>
        <v>-128822946.83000022</v>
      </c>
      <c r="AU105" s="70">
        <f t="shared" si="103"/>
        <v>-36281458.860000104</v>
      </c>
      <c r="AV105" s="70">
        <f t="shared" si="103"/>
        <v>0</v>
      </c>
      <c r="AW105" s="70">
        <f t="shared" si="103"/>
        <v>0</v>
      </c>
      <c r="AY105" s="73">
        <f t="shared" si="104"/>
        <v>-481776400.80999982</v>
      </c>
      <c r="AZ105" s="73">
        <f t="shared" si="104"/>
        <v>-165104405.69000033</v>
      </c>
      <c r="BB105" s="70">
        <f t="shared" si="105"/>
        <v>-81202045.85999994</v>
      </c>
      <c r="BC105" s="70">
        <f t="shared" si="105"/>
        <v>-165104405.69000033</v>
      </c>
    </row>
    <row r="106" spans="2:55" hidden="1" outlineLevel="2" x14ac:dyDescent="0.45">
      <c r="B106" s="72" t="s">
        <v>1110</v>
      </c>
      <c r="C106" s="72"/>
      <c r="D106" s="463">
        <v>6</v>
      </c>
      <c r="E106" s="72"/>
      <c r="F106" s="72"/>
      <c r="G106" s="72"/>
      <c r="H106" s="72"/>
      <c r="I106" s="72"/>
      <c r="J106" s="72"/>
      <c r="K106" s="72"/>
      <c r="L106" s="72"/>
      <c r="M106" s="72"/>
      <c r="N106" s="72"/>
      <c r="O106" s="72"/>
      <c r="P106" s="72"/>
      <c r="Q106" s="73">
        <f>+SUMIF($D$65:$D$92,$D106,Q$65:Q$92)</f>
        <v>0</v>
      </c>
      <c r="R106" s="73">
        <f t="shared" ref="R106:AF106" si="108">+SUMIF($D$65:$D$92,$D106,R$65:R$92)</f>
        <v>0</v>
      </c>
      <c r="S106" s="73">
        <f t="shared" si="108"/>
        <v>0</v>
      </c>
      <c r="T106" s="73">
        <f t="shared" si="108"/>
        <v>0</v>
      </c>
      <c r="U106" s="73">
        <f t="shared" si="108"/>
        <v>0</v>
      </c>
      <c r="V106" s="73">
        <f t="shared" si="108"/>
        <v>0</v>
      </c>
      <c r="W106" s="73">
        <f t="shared" si="108"/>
        <v>0</v>
      </c>
      <c r="X106" s="73">
        <f t="shared" si="108"/>
        <v>0</v>
      </c>
      <c r="Y106" s="73">
        <f t="shared" si="108"/>
        <v>0</v>
      </c>
      <c r="Z106" s="73">
        <f t="shared" si="108"/>
        <v>0</v>
      </c>
      <c r="AA106" s="73">
        <f t="shared" si="108"/>
        <v>0</v>
      </c>
      <c r="AB106" s="73">
        <f t="shared" si="108"/>
        <v>0</v>
      </c>
      <c r="AC106" s="73">
        <f t="shared" si="108"/>
        <v>0</v>
      </c>
      <c r="AD106" s="73">
        <f t="shared" si="108"/>
        <v>0</v>
      </c>
      <c r="AE106" s="73">
        <f t="shared" si="108"/>
        <v>0</v>
      </c>
      <c r="AF106" s="73">
        <f t="shared" si="108"/>
        <v>0</v>
      </c>
      <c r="AG106" s="73"/>
      <c r="AH106" s="73"/>
      <c r="AI106" s="73"/>
      <c r="AJ106" s="73"/>
      <c r="AK106" s="73"/>
      <c r="AL106" s="73"/>
      <c r="AM106" s="73"/>
      <c r="AN106" s="73"/>
      <c r="AP106" s="70">
        <f t="shared" si="103"/>
        <v>0</v>
      </c>
      <c r="AQ106" s="70">
        <f t="shared" si="103"/>
        <v>0</v>
      </c>
      <c r="AR106" s="70">
        <f t="shared" si="103"/>
        <v>0</v>
      </c>
      <c r="AS106" s="70">
        <f t="shared" si="103"/>
        <v>0</v>
      </c>
      <c r="AT106" s="70">
        <f t="shared" si="103"/>
        <v>0</v>
      </c>
      <c r="AU106" s="70">
        <f t="shared" si="103"/>
        <v>0</v>
      </c>
      <c r="AV106" s="70">
        <f t="shared" si="103"/>
        <v>0</v>
      </c>
      <c r="AW106" s="70">
        <f t="shared" si="103"/>
        <v>0</v>
      </c>
      <c r="AY106" s="73">
        <f t="shared" si="104"/>
        <v>0</v>
      </c>
      <c r="AZ106" s="73">
        <f t="shared" si="104"/>
        <v>0</v>
      </c>
      <c r="BB106" s="70">
        <f t="shared" si="105"/>
        <v>0</v>
      </c>
      <c r="BC106" s="70">
        <f t="shared" si="105"/>
        <v>0</v>
      </c>
    </row>
    <row r="107" spans="2:55" hidden="1" outlineLevel="1" x14ac:dyDescent="0.45">
      <c r="B107" s="49" t="s">
        <v>1111</v>
      </c>
      <c r="C107" s="49"/>
      <c r="D107" s="187"/>
      <c r="E107" s="49"/>
      <c r="F107" s="49"/>
      <c r="G107" s="49"/>
      <c r="H107" s="49"/>
      <c r="I107" s="49"/>
      <c r="J107" s="49"/>
      <c r="K107" s="49"/>
      <c r="L107" s="49"/>
      <c r="M107" s="49"/>
      <c r="N107" s="49"/>
      <c r="O107" s="49"/>
      <c r="P107" s="49"/>
      <c r="Q107" s="62">
        <f t="shared" ref="Q107:AD107" si="109">SUM(Q104:Q106)</f>
        <v>-2342961.079999987</v>
      </c>
      <c r="R107" s="62">
        <f t="shared" si="109"/>
        <v>-6348136.8499999559</v>
      </c>
      <c r="S107" s="62">
        <f t="shared" si="109"/>
        <v>-13511543.680000007</v>
      </c>
      <c r="T107" s="62">
        <f t="shared" si="109"/>
        <v>-58999404.249999993</v>
      </c>
      <c r="U107" s="62">
        <f t="shared" si="109"/>
        <v>-41688595.580000013</v>
      </c>
      <c r="V107" s="62">
        <f t="shared" si="109"/>
        <v>-8915495.4500000533</v>
      </c>
      <c r="W107" s="62">
        <f t="shared" si="109"/>
        <v>-16383302.889999988</v>
      </c>
      <c r="X107" s="62">
        <f t="shared" si="109"/>
        <v>-9115746.2499999758</v>
      </c>
      <c r="Y107" s="62">
        <f t="shared" si="109"/>
        <v>-32100152.909999993</v>
      </c>
      <c r="Z107" s="62">
        <f t="shared" si="109"/>
        <v>-24454616.389999975</v>
      </c>
      <c r="AA107" s="62">
        <f t="shared" si="109"/>
        <v>-47640600.400000125</v>
      </c>
      <c r="AB107" s="62">
        <f t="shared" si="109"/>
        <v>-220275845.07999974</v>
      </c>
      <c r="AC107" s="62">
        <f t="shared" si="109"/>
        <v>-20538075.110000163</v>
      </c>
      <c r="AD107" s="62">
        <f t="shared" si="109"/>
        <v>-18429525.169999968</v>
      </c>
      <c r="AE107" s="62">
        <f t="shared" ref="AE107:AF107" si="110">SUM(AE104:AE106)</f>
        <v>-89855346.550000086</v>
      </c>
      <c r="AF107" s="62">
        <f t="shared" si="110"/>
        <v>-36281458.860000104</v>
      </c>
      <c r="AG107" s="62"/>
      <c r="AH107" s="62"/>
      <c r="AI107" s="62"/>
      <c r="AJ107" s="62"/>
      <c r="AK107" s="62"/>
      <c r="AL107" s="62"/>
      <c r="AM107" s="62"/>
      <c r="AN107" s="62"/>
      <c r="AP107" s="62">
        <f t="shared" ref="AP107:AW107" si="111">SUM(AP104:AP106)</f>
        <v>-22202641.609999951</v>
      </c>
      <c r="AQ107" s="62">
        <f t="shared" si="111"/>
        <v>-109603495.28000006</v>
      </c>
      <c r="AR107" s="62">
        <f t="shared" si="111"/>
        <v>-57599202.049999952</v>
      </c>
      <c r="AS107" s="62">
        <f t="shared" si="111"/>
        <v>-292371061.86999983</v>
      </c>
      <c r="AT107" s="62">
        <f t="shared" si="111"/>
        <v>-128822946.83000022</v>
      </c>
      <c r="AU107" s="62">
        <f t="shared" si="111"/>
        <v>-36281458.860000104</v>
      </c>
      <c r="AV107" s="62">
        <f t="shared" si="111"/>
        <v>0</v>
      </c>
      <c r="AW107" s="62">
        <f t="shared" si="111"/>
        <v>0</v>
      </c>
      <c r="AY107" s="62">
        <f t="shared" ref="AY107:BC107" si="112">SUM(AY104:AY106)</f>
        <v>-481776400.80999982</v>
      </c>
      <c r="AZ107" s="62">
        <f t="shared" si="112"/>
        <v>-165104405.69000033</v>
      </c>
      <c r="BB107" s="62">
        <f t="shared" si="112"/>
        <v>-81202045.85999994</v>
      </c>
      <c r="BC107" s="62">
        <f t="shared" si="112"/>
        <v>-165104405.69000033</v>
      </c>
    </row>
    <row r="108" spans="2:55" hidden="1" outlineLevel="1" x14ac:dyDescent="0.45">
      <c r="B108" s="43"/>
      <c r="C108" s="43"/>
      <c r="D108" s="188"/>
      <c r="E108" s="43"/>
      <c r="F108" s="43"/>
      <c r="G108" s="43"/>
      <c r="H108" s="43"/>
      <c r="I108" s="43"/>
      <c r="J108" s="43"/>
      <c r="K108" s="43"/>
      <c r="L108" s="43"/>
      <c r="M108" s="43"/>
      <c r="N108" s="43"/>
      <c r="O108" s="43"/>
      <c r="P108" s="43"/>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464"/>
      <c r="AL108" s="464"/>
      <c r="AM108" s="464"/>
      <c r="AN108" s="464"/>
      <c r="AP108" s="464"/>
      <c r="AQ108" s="464"/>
      <c r="AR108" s="464"/>
      <c r="AS108" s="464"/>
      <c r="AT108" s="464"/>
      <c r="AU108" s="464"/>
      <c r="AV108" s="464"/>
      <c r="AW108" s="464"/>
      <c r="AY108" s="464"/>
      <c r="AZ108" s="464"/>
      <c r="BB108" s="464"/>
      <c r="BC108" s="464"/>
    </row>
    <row r="109" spans="2:55" hidden="1" outlineLevel="1" x14ac:dyDescent="0.45">
      <c r="B109" s="49" t="s">
        <v>1112</v>
      </c>
      <c r="C109" s="49"/>
      <c r="D109" s="187"/>
      <c r="E109" s="49"/>
      <c r="F109" s="49"/>
      <c r="G109" s="49"/>
      <c r="H109" s="49"/>
      <c r="I109" s="49"/>
      <c r="J109" s="49"/>
      <c r="K109" s="49"/>
      <c r="L109" s="49"/>
      <c r="M109" s="49"/>
      <c r="N109" s="49"/>
      <c r="O109" s="49"/>
      <c r="P109" s="49"/>
      <c r="Q109" s="62">
        <f t="shared" ref="Q109:AD109" si="113">Q107+Q102</f>
        <v>827898.36400002521</v>
      </c>
      <c r="R109" s="62">
        <f t="shared" si="113"/>
        <v>-11330488.519999962</v>
      </c>
      <c r="S109" s="62">
        <f t="shared" si="113"/>
        <v>-6338682.7719364949</v>
      </c>
      <c r="T109" s="62">
        <f t="shared" si="113"/>
        <v>-17268893.058063425</v>
      </c>
      <c r="U109" s="62">
        <f t="shared" si="113"/>
        <v>11063416.819999777</v>
      </c>
      <c r="V109" s="62">
        <f t="shared" si="113"/>
        <v>-17799370.179999888</v>
      </c>
      <c r="W109" s="62">
        <f t="shared" si="113"/>
        <v>-77856845.840000063</v>
      </c>
      <c r="X109" s="62">
        <f t="shared" si="113"/>
        <v>-19836739.790000007</v>
      </c>
      <c r="Y109" s="62">
        <f t="shared" si="113"/>
        <v>-59062501.099999905</v>
      </c>
      <c r="Z109" s="62">
        <f t="shared" si="113"/>
        <v>-56923112.510000065</v>
      </c>
      <c r="AA109" s="62">
        <f t="shared" si="113"/>
        <v>-50464511.240000054</v>
      </c>
      <c r="AB109" s="62">
        <f t="shared" si="113"/>
        <v>-70999377.109999686</v>
      </c>
      <c r="AC109" s="62">
        <f t="shared" si="113"/>
        <v>8715534.7699998356</v>
      </c>
      <c r="AD109" s="62">
        <f t="shared" si="113"/>
        <v>-40004696.323855057</v>
      </c>
      <c r="AE109" s="62">
        <f t="shared" ref="AE109:AF109" si="114">AE107+AE102</f>
        <v>-99443737.881770313</v>
      </c>
      <c r="AF109" s="62">
        <f t="shared" si="114"/>
        <v>-48879401.22437489</v>
      </c>
      <c r="AG109" s="62"/>
      <c r="AH109" s="62"/>
      <c r="AI109" s="62"/>
      <c r="AJ109" s="62"/>
      <c r="AK109" s="62"/>
      <c r="AL109" s="62"/>
      <c r="AM109" s="62"/>
      <c r="AN109" s="62"/>
      <c r="AP109" s="62">
        <f t="shared" ref="AP109:AW109" si="115">AP107+AP102</f>
        <v>-16841272.927936431</v>
      </c>
      <c r="AQ109" s="62">
        <f t="shared" si="115"/>
        <v>-24004846.418063551</v>
      </c>
      <c r="AR109" s="62">
        <f t="shared" si="115"/>
        <v>-156756086.72999996</v>
      </c>
      <c r="AS109" s="62">
        <f t="shared" si="115"/>
        <v>-178387000.85999978</v>
      </c>
      <c r="AT109" s="62">
        <f t="shared" si="115"/>
        <v>-130732899.43562554</v>
      </c>
      <c r="AU109" s="62">
        <f t="shared" si="115"/>
        <v>-48879401.22437489</v>
      </c>
      <c r="AV109" s="62">
        <f t="shared" si="115"/>
        <v>0</v>
      </c>
      <c r="AW109" s="62">
        <f t="shared" si="115"/>
        <v>0</v>
      </c>
      <c r="AY109" s="62">
        <f t="shared" ref="AY109:BC109" si="116">AY107+AY102</f>
        <v>-375989206.93599975</v>
      </c>
      <c r="AZ109" s="62">
        <f t="shared" si="116"/>
        <v>-179612300.66000044</v>
      </c>
      <c r="BB109" s="62">
        <f t="shared" si="116"/>
        <v>-34110165.985999845</v>
      </c>
      <c r="BC109" s="62">
        <f t="shared" si="116"/>
        <v>-179612300.66000044</v>
      </c>
    </row>
    <row r="110" spans="2:55" hidden="1" outlineLevel="1" x14ac:dyDescent="0.45">
      <c r="B110" s="43"/>
      <c r="C110" s="43"/>
      <c r="D110" s="188"/>
      <c r="E110" s="43"/>
      <c r="F110" s="43"/>
      <c r="G110" s="43"/>
      <c r="H110" s="43"/>
      <c r="I110" s="43"/>
      <c r="J110" s="43"/>
      <c r="K110" s="43"/>
      <c r="L110" s="43"/>
      <c r="M110" s="43"/>
      <c r="N110" s="43"/>
      <c r="O110" s="43"/>
      <c r="P110" s="43"/>
      <c r="Q110" s="464"/>
      <c r="R110" s="464"/>
      <c r="S110" s="464"/>
      <c r="T110" s="464"/>
      <c r="U110" s="464"/>
      <c r="V110" s="464"/>
      <c r="W110" s="464"/>
      <c r="X110" s="464"/>
      <c r="Y110" s="464"/>
      <c r="Z110" s="464"/>
      <c r="AA110" s="464"/>
      <c r="AB110" s="464"/>
      <c r="AC110" s="464"/>
      <c r="AD110" s="464"/>
      <c r="AE110" s="464"/>
      <c r="AF110" s="464"/>
      <c r="AG110" s="464"/>
      <c r="AH110" s="464"/>
      <c r="AI110" s="464"/>
      <c r="AJ110" s="464"/>
      <c r="AK110" s="464"/>
      <c r="AL110" s="464"/>
      <c r="AM110" s="464"/>
      <c r="AN110" s="464"/>
      <c r="AP110" s="464"/>
      <c r="AQ110" s="464"/>
      <c r="AR110" s="464"/>
      <c r="AS110" s="464"/>
      <c r="AT110" s="464"/>
      <c r="AU110" s="464"/>
      <c r="AV110" s="464"/>
      <c r="AW110" s="464"/>
      <c r="AY110" s="464"/>
      <c r="AZ110" s="464"/>
      <c r="BB110" s="464"/>
      <c r="BC110" s="464"/>
    </row>
    <row r="111" spans="2:55" hidden="1" outlineLevel="2" x14ac:dyDescent="0.45">
      <c r="B111" s="72" t="s">
        <v>1113</v>
      </c>
      <c r="C111" s="72"/>
      <c r="D111" s="463">
        <v>7</v>
      </c>
      <c r="E111" s="72"/>
      <c r="F111" s="72"/>
      <c r="G111" s="72"/>
      <c r="H111" s="72"/>
      <c r="I111" s="72"/>
      <c r="J111" s="72"/>
      <c r="K111" s="72"/>
      <c r="L111" s="72"/>
      <c r="M111" s="72"/>
      <c r="N111" s="72"/>
      <c r="O111" s="72"/>
      <c r="P111" s="72"/>
      <c r="Q111" s="73">
        <f t="shared" ref="Q111:AF113" si="117">+SUMIF($D$65:$D$92,$D111,Q$65:Q$92)</f>
        <v>0</v>
      </c>
      <c r="R111" s="73">
        <f t="shared" si="117"/>
        <v>0</v>
      </c>
      <c r="S111" s="73">
        <f t="shared" si="117"/>
        <v>0</v>
      </c>
      <c r="T111" s="73">
        <f t="shared" si="117"/>
        <v>0</v>
      </c>
      <c r="U111" s="73">
        <f t="shared" si="117"/>
        <v>0</v>
      </c>
      <c r="V111" s="73">
        <f t="shared" si="117"/>
        <v>98023550</v>
      </c>
      <c r="W111" s="73">
        <f t="shared" si="117"/>
        <v>1631346.1899999976</v>
      </c>
      <c r="X111" s="73">
        <f t="shared" si="117"/>
        <v>1686346.1899999976</v>
      </c>
      <c r="Y111" s="73">
        <f t="shared" si="117"/>
        <v>2190016.8500000089</v>
      </c>
      <c r="Z111" s="73">
        <f t="shared" si="117"/>
        <v>-3284467.0300000012</v>
      </c>
      <c r="AA111" s="73">
        <f>+SUMIF($D$65:$D$92,$D111,AA$65:AA$92)</f>
        <v>1625044.799999997</v>
      </c>
      <c r="AB111" s="73">
        <f t="shared" si="117"/>
        <v>-2326743</v>
      </c>
      <c r="AC111" s="73">
        <f t="shared" si="117"/>
        <v>1307457.099999994</v>
      </c>
      <c r="AD111" s="73">
        <f t="shared" si="117"/>
        <v>1530169.8000000119</v>
      </c>
      <c r="AE111" s="73">
        <f t="shared" si="117"/>
        <v>-2231867.5</v>
      </c>
      <c r="AF111" s="73">
        <f t="shared" si="117"/>
        <v>1625044.799999997</v>
      </c>
      <c r="AG111" s="73"/>
      <c r="AH111" s="73"/>
      <c r="AI111" s="73"/>
      <c r="AJ111" s="73"/>
      <c r="AK111" s="73"/>
      <c r="AL111" s="73"/>
      <c r="AM111" s="73"/>
      <c r="AN111" s="73"/>
      <c r="AP111" s="70">
        <f t="shared" ref="AP111:AW113" si="118">SUMIFS($Q111:$AN111,$Q$9:$AN$9,AP$9,$Q$8:$AN$8,AP$8)</f>
        <v>0</v>
      </c>
      <c r="AQ111" s="70">
        <f t="shared" si="118"/>
        <v>98023550</v>
      </c>
      <c r="AR111" s="70">
        <f t="shared" si="118"/>
        <v>5507709.2300000042</v>
      </c>
      <c r="AS111" s="70">
        <f t="shared" si="118"/>
        <v>-3986165.2300000042</v>
      </c>
      <c r="AT111" s="70">
        <f t="shared" si="118"/>
        <v>605759.40000000596</v>
      </c>
      <c r="AU111" s="70">
        <f t="shared" si="118"/>
        <v>1625044.799999997</v>
      </c>
      <c r="AV111" s="70">
        <f t="shared" si="118"/>
        <v>0</v>
      </c>
      <c r="AW111" s="70">
        <f t="shared" si="118"/>
        <v>0</v>
      </c>
      <c r="AY111" s="73">
        <f t="shared" ref="AY111:AZ113" si="119">SUMIF($Q$8:$AN$8,AY$8,$Q111:$AN111)</f>
        <v>99545094</v>
      </c>
      <c r="AZ111" s="73">
        <f t="shared" si="119"/>
        <v>2230804.200000003</v>
      </c>
      <c r="BB111" s="70">
        <f t="shared" ref="BB111:BC113" si="120">SUMIFS($Q111:$AN111,$Q$8:$AN$8,BB$8,$Q$10:$AN$10,"Actuals")</f>
        <v>0</v>
      </c>
      <c r="BC111" s="70">
        <f t="shared" si="120"/>
        <v>2230804.200000003</v>
      </c>
    </row>
    <row r="112" spans="2:55" hidden="1" outlineLevel="2" x14ac:dyDescent="0.45">
      <c r="B112" s="72" t="s">
        <v>1114</v>
      </c>
      <c r="C112" s="72"/>
      <c r="D112" s="463">
        <v>8</v>
      </c>
      <c r="E112" s="72"/>
      <c r="F112" s="72"/>
      <c r="G112" s="72"/>
      <c r="H112" s="72"/>
      <c r="I112" s="72"/>
      <c r="J112" s="72"/>
      <c r="K112" s="72"/>
      <c r="L112" s="72"/>
      <c r="M112" s="72"/>
      <c r="N112" s="72"/>
      <c r="O112" s="72"/>
      <c r="P112" s="72"/>
      <c r="Q112" s="73">
        <f>+SUMIF($D$65:$D$92,$D112,Q$65:Q$92)</f>
        <v>0</v>
      </c>
      <c r="R112" s="73">
        <f t="shared" si="117"/>
        <v>10000000</v>
      </c>
      <c r="S112" s="73">
        <f t="shared" si="117"/>
        <v>25200000</v>
      </c>
      <c r="T112" s="73">
        <f t="shared" si="117"/>
        <v>0</v>
      </c>
      <c r="U112" s="73">
        <f t="shared" si="117"/>
        <v>16133348</v>
      </c>
      <c r="V112" s="73">
        <f t="shared" si="117"/>
        <v>1333333</v>
      </c>
      <c r="W112" s="73">
        <f>+SUMIF($D$65:$D$92,$D112,W$65:W$92)</f>
        <v>1333333</v>
      </c>
      <c r="X112" s="73">
        <f t="shared" si="117"/>
        <v>1333333</v>
      </c>
      <c r="Y112" s="73">
        <f t="shared" si="117"/>
        <v>51599812.99999997</v>
      </c>
      <c r="Z112" s="73">
        <f t="shared" si="117"/>
        <v>52595397.210000038</v>
      </c>
      <c r="AA112" s="73">
        <f t="shared" si="117"/>
        <v>50450870</v>
      </c>
      <c r="AB112" s="73">
        <f t="shared" si="117"/>
        <v>87741179</v>
      </c>
      <c r="AC112" s="73">
        <f t="shared" si="117"/>
        <v>-26545114</v>
      </c>
      <c r="AD112" s="73">
        <f t="shared" si="117"/>
        <v>41912492.50999999</v>
      </c>
      <c r="AE112" s="73">
        <f t="shared" si="117"/>
        <v>99695537</v>
      </c>
      <c r="AF112" s="73">
        <f t="shared" si="117"/>
        <v>50930958</v>
      </c>
      <c r="AG112" s="73"/>
      <c r="AH112" s="73"/>
      <c r="AI112" s="73"/>
      <c r="AJ112" s="73"/>
      <c r="AK112" s="73"/>
      <c r="AL112" s="73"/>
      <c r="AM112" s="73"/>
      <c r="AN112" s="73"/>
      <c r="AP112" s="70">
        <f t="shared" si="118"/>
        <v>35200000</v>
      </c>
      <c r="AQ112" s="70">
        <f t="shared" si="118"/>
        <v>17466681</v>
      </c>
      <c r="AR112" s="70">
        <f t="shared" si="118"/>
        <v>54266478.99999997</v>
      </c>
      <c r="AS112" s="70">
        <f t="shared" si="118"/>
        <v>190787446.21000004</v>
      </c>
      <c r="AT112" s="70">
        <f t="shared" si="118"/>
        <v>115062915.50999999</v>
      </c>
      <c r="AU112" s="70">
        <f t="shared" si="118"/>
        <v>50930958</v>
      </c>
      <c r="AV112" s="70">
        <f t="shared" si="118"/>
        <v>0</v>
      </c>
      <c r="AW112" s="70">
        <f t="shared" si="118"/>
        <v>0</v>
      </c>
      <c r="AY112" s="73">
        <f t="shared" si="119"/>
        <v>297720606.21000004</v>
      </c>
      <c r="AZ112" s="73">
        <f t="shared" si="119"/>
        <v>165993873.50999999</v>
      </c>
      <c r="BB112" s="70">
        <f t="shared" si="120"/>
        <v>35200000</v>
      </c>
      <c r="BC112" s="70">
        <f t="shared" si="120"/>
        <v>165993873.50999999</v>
      </c>
    </row>
    <row r="113" spans="2:55" hidden="1" outlineLevel="2" x14ac:dyDescent="0.45">
      <c r="B113" s="72" t="s">
        <v>1115</v>
      </c>
      <c r="C113" s="72"/>
      <c r="D113" s="463">
        <v>9</v>
      </c>
      <c r="E113" s="72"/>
      <c r="F113" s="72"/>
      <c r="G113" s="72"/>
      <c r="H113" s="72"/>
      <c r="I113" s="72"/>
      <c r="J113" s="72"/>
      <c r="K113" s="72"/>
      <c r="L113" s="72"/>
      <c r="M113" s="72"/>
      <c r="N113" s="72"/>
      <c r="O113" s="72"/>
      <c r="P113" s="72"/>
      <c r="Q113" s="73">
        <f t="shared" ref="Q113" si="121">+SUMIF($D$65:$D$92,$D113,Q$65:Q$92)</f>
        <v>0</v>
      </c>
      <c r="R113" s="73">
        <f t="shared" si="117"/>
        <v>0</v>
      </c>
      <c r="S113" s="73">
        <f t="shared" si="117"/>
        <v>0</v>
      </c>
      <c r="T113" s="73">
        <f t="shared" si="117"/>
        <v>0</v>
      </c>
      <c r="U113" s="73">
        <f t="shared" si="117"/>
        <v>0</v>
      </c>
      <c r="V113" s="73">
        <f t="shared" si="117"/>
        <v>0</v>
      </c>
      <c r="W113" s="73">
        <f t="shared" si="117"/>
        <v>0</v>
      </c>
      <c r="X113" s="73">
        <f t="shared" si="117"/>
        <v>0</v>
      </c>
      <c r="Y113" s="73">
        <f t="shared" si="117"/>
        <v>0</v>
      </c>
      <c r="Z113" s="73">
        <f t="shared" si="117"/>
        <v>0</v>
      </c>
      <c r="AA113" s="73">
        <f t="shared" si="117"/>
        <v>0</v>
      </c>
      <c r="AB113" s="73">
        <f t="shared" si="117"/>
        <v>0</v>
      </c>
      <c r="AC113" s="73">
        <f t="shared" si="117"/>
        <v>0</v>
      </c>
      <c r="AD113" s="73">
        <f t="shared" si="117"/>
        <v>0</v>
      </c>
      <c r="AE113" s="73">
        <f t="shared" si="117"/>
        <v>0</v>
      </c>
      <c r="AF113" s="73">
        <f t="shared" si="117"/>
        <v>0</v>
      </c>
      <c r="AG113" s="73"/>
      <c r="AH113" s="73"/>
      <c r="AI113" s="73"/>
      <c r="AJ113" s="73"/>
      <c r="AK113" s="73"/>
      <c r="AL113" s="73"/>
      <c r="AM113" s="73"/>
      <c r="AN113" s="73"/>
      <c r="AP113" s="70">
        <f t="shared" si="118"/>
        <v>0</v>
      </c>
      <c r="AQ113" s="70">
        <f t="shared" si="118"/>
        <v>0</v>
      </c>
      <c r="AR113" s="70">
        <f t="shared" si="118"/>
        <v>0</v>
      </c>
      <c r="AS113" s="70">
        <f t="shared" si="118"/>
        <v>0</v>
      </c>
      <c r="AT113" s="70">
        <f t="shared" si="118"/>
        <v>0</v>
      </c>
      <c r="AU113" s="70">
        <f t="shared" si="118"/>
        <v>0</v>
      </c>
      <c r="AV113" s="70">
        <f t="shared" si="118"/>
        <v>0</v>
      </c>
      <c r="AW113" s="70">
        <f t="shared" si="118"/>
        <v>0</v>
      </c>
      <c r="AY113" s="73">
        <f t="shared" si="119"/>
        <v>0</v>
      </c>
      <c r="AZ113" s="73">
        <f t="shared" si="119"/>
        <v>0</v>
      </c>
      <c r="BB113" s="70">
        <f t="shared" si="120"/>
        <v>0</v>
      </c>
      <c r="BC113" s="70">
        <f t="shared" si="120"/>
        <v>0</v>
      </c>
    </row>
    <row r="114" spans="2:55" hidden="1" outlineLevel="1" x14ac:dyDescent="0.45">
      <c r="B114" s="49" t="s">
        <v>1116</v>
      </c>
      <c r="C114" s="49"/>
      <c r="D114" s="187"/>
      <c r="E114" s="49"/>
      <c r="F114" s="49"/>
      <c r="G114" s="49"/>
      <c r="H114" s="49"/>
      <c r="I114" s="49"/>
      <c r="J114" s="49"/>
      <c r="K114" s="49"/>
      <c r="L114" s="49"/>
      <c r="M114" s="49"/>
      <c r="N114" s="49"/>
      <c r="O114" s="49"/>
      <c r="P114" s="49"/>
      <c r="Q114" s="62">
        <f t="shared" ref="Q114:AD114" si="122">SUM(Q111:Q113)</f>
        <v>0</v>
      </c>
      <c r="R114" s="62">
        <f t="shared" si="122"/>
        <v>10000000</v>
      </c>
      <c r="S114" s="62">
        <f t="shared" si="122"/>
        <v>25200000</v>
      </c>
      <c r="T114" s="62">
        <f t="shared" si="122"/>
        <v>0</v>
      </c>
      <c r="U114" s="62">
        <f t="shared" si="122"/>
        <v>16133348</v>
      </c>
      <c r="V114" s="62">
        <f t="shared" si="122"/>
        <v>99356883</v>
      </c>
      <c r="W114" s="62">
        <f t="shared" si="122"/>
        <v>2964679.1899999976</v>
      </c>
      <c r="X114" s="62">
        <f t="shared" si="122"/>
        <v>3019679.1899999976</v>
      </c>
      <c r="Y114" s="62">
        <f t="shared" si="122"/>
        <v>53789829.849999979</v>
      </c>
      <c r="Z114" s="62">
        <f t="shared" si="122"/>
        <v>49310930.180000037</v>
      </c>
      <c r="AA114" s="62">
        <f t="shared" si="122"/>
        <v>52075914.799999997</v>
      </c>
      <c r="AB114" s="62">
        <f t="shared" si="122"/>
        <v>85414436</v>
      </c>
      <c r="AC114" s="62">
        <f t="shared" si="122"/>
        <v>-25237656.900000006</v>
      </c>
      <c r="AD114" s="62">
        <f t="shared" si="122"/>
        <v>43442662.310000002</v>
      </c>
      <c r="AE114" s="62">
        <f t="shared" ref="AE114:AF114" si="123">SUM(AE111:AE113)</f>
        <v>97463669.5</v>
      </c>
      <c r="AF114" s="62">
        <f t="shared" si="123"/>
        <v>52556002.799999997</v>
      </c>
      <c r="AG114" s="62"/>
      <c r="AH114" s="62"/>
      <c r="AI114" s="62"/>
      <c r="AJ114" s="62"/>
      <c r="AK114" s="62"/>
      <c r="AL114" s="62"/>
      <c r="AM114" s="62"/>
      <c r="AN114" s="62"/>
      <c r="AP114" s="62">
        <f t="shared" ref="AP114:AW114" si="124">SUM(AP111:AP113)</f>
        <v>35200000</v>
      </c>
      <c r="AQ114" s="62">
        <f t="shared" si="124"/>
        <v>115490231</v>
      </c>
      <c r="AR114" s="62">
        <f t="shared" si="124"/>
        <v>59774188.229999974</v>
      </c>
      <c r="AS114" s="62">
        <f t="shared" si="124"/>
        <v>186801280.98000002</v>
      </c>
      <c r="AT114" s="62">
        <f t="shared" si="124"/>
        <v>115668674.91</v>
      </c>
      <c r="AU114" s="62">
        <f t="shared" si="124"/>
        <v>52556002.799999997</v>
      </c>
      <c r="AV114" s="62">
        <f t="shared" si="124"/>
        <v>0</v>
      </c>
      <c r="AW114" s="62">
        <f t="shared" si="124"/>
        <v>0</v>
      </c>
      <c r="AY114" s="62">
        <f t="shared" ref="AY114:AZ114" si="125">SUM(AY111:AY113)</f>
        <v>397265700.21000004</v>
      </c>
      <c r="AZ114" s="62">
        <f t="shared" si="125"/>
        <v>168224677.70999998</v>
      </c>
      <c r="BB114" s="62">
        <f t="shared" ref="BB114:BC114" si="126">SUM(BB111:BB113)</f>
        <v>35200000</v>
      </c>
      <c r="BC114" s="62">
        <f t="shared" si="126"/>
        <v>168224677.70999998</v>
      </c>
    </row>
    <row r="115" spans="2:55" hidden="1" outlineLevel="1" x14ac:dyDescent="0.45">
      <c r="E115" s="46"/>
      <c r="F115" s="46"/>
      <c r="G115" s="46"/>
      <c r="H115" s="46"/>
      <c r="I115" s="46"/>
      <c r="J115" s="46"/>
      <c r="K115" s="46"/>
      <c r="L115" s="46"/>
      <c r="M115" s="46"/>
      <c r="N115" s="46"/>
      <c r="O115" s="46"/>
      <c r="P115" s="46"/>
    </row>
    <row r="116" spans="2:55" hidden="1" outlineLevel="1" x14ac:dyDescent="0.45">
      <c r="B116" s="49" t="s">
        <v>1117</v>
      </c>
      <c r="C116" s="49"/>
      <c r="D116" s="187"/>
      <c r="E116" s="49"/>
      <c r="F116" s="49"/>
      <c r="G116" s="49"/>
      <c r="H116" s="49"/>
      <c r="I116" s="49"/>
      <c r="J116" s="49"/>
      <c r="K116" s="49"/>
      <c r="L116" s="49"/>
      <c r="M116" s="49"/>
      <c r="N116" s="49"/>
      <c r="O116" s="49"/>
      <c r="P116" s="49"/>
      <c r="Q116" s="62">
        <f t="shared" ref="Q116:AD116" si="127">Q109+Q114</f>
        <v>827898.36400002521</v>
      </c>
      <c r="R116" s="62">
        <f t="shared" si="127"/>
        <v>-1330488.5199999623</v>
      </c>
      <c r="S116" s="62">
        <f t="shared" si="127"/>
        <v>18861317.228063505</v>
      </c>
      <c r="T116" s="62">
        <f t="shared" si="127"/>
        <v>-17268893.058063425</v>
      </c>
      <c r="U116" s="62">
        <f t="shared" si="127"/>
        <v>27196764.819999777</v>
      </c>
      <c r="V116" s="62">
        <f t="shared" si="127"/>
        <v>81557512.820000112</v>
      </c>
      <c r="W116" s="62">
        <f t="shared" si="127"/>
        <v>-74892166.650000066</v>
      </c>
      <c r="X116" s="62">
        <f t="shared" si="127"/>
        <v>-16817060.600000009</v>
      </c>
      <c r="Y116" s="62">
        <f t="shared" si="127"/>
        <v>-5272671.2499999255</v>
      </c>
      <c r="Z116" s="62">
        <f t="shared" si="127"/>
        <v>-7612182.330000028</v>
      </c>
      <c r="AA116" s="62">
        <f t="shared" si="127"/>
        <v>1611403.5599999428</v>
      </c>
      <c r="AB116" s="62">
        <f t="shared" si="127"/>
        <v>14415058.890000314</v>
      </c>
      <c r="AC116" s="62">
        <f t="shared" si="127"/>
        <v>-16522122.13000017</v>
      </c>
      <c r="AD116" s="62">
        <f t="shared" si="127"/>
        <v>3437965.986144945</v>
      </c>
      <c r="AE116" s="62">
        <f t="shared" ref="AE116:AF116" si="128">AE109+AE114</f>
        <v>-1980068.3817703128</v>
      </c>
      <c r="AF116" s="62">
        <f t="shared" si="128"/>
        <v>3676601.5756251067</v>
      </c>
      <c r="AG116" s="62"/>
      <c r="AH116" s="62"/>
      <c r="AI116" s="62"/>
      <c r="AJ116" s="62"/>
      <c r="AK116" s="62"/>
      <c r="AL116" s="62"/>
      <c r="AM116" s="62"/>
      <c r="AN116" s="62"/>
      <c r="AP116" s="62">
        <f t="shared" ref="AP116:AW116" si="129">AP109+AP114</f>
        <v>18358727.072063569</v>
      </c>
      <c r="AQ116" s="62">
        <f t="shared" si="129"/>
        <v>91485384.581936449</v>
      </c>
      <c r="AR116" s="62">
        <f t="shared" si="129"/>
        <v>-96981898.499999985</v>
      </c>
      <c r="AS116" s="62">
        <f t="shared" si="129"/>
        <v>8414280.1200002432</v>
      </c>
      <c r="AT116" s="62">
        <f t="shared" si="129"/>
        <v>-15064224.525625542</v>
      </c>
      <c r="AU116" s="62">
        <f t="shared" si="129"/>
        <v>3676601.5756251067</v>
      </c>
      <c r="AV116" s="62">
        <f t="shared" si="129"/>
        <v>0</v>
      </c>
      <c r="AW116" s="62">
        <f t="shared" si="129"/>
        <v>0</v>
      </c>
      <c r="AY116" s="62">
        <f t="shared" ref="AY116:AZ116" si="130">AY109+AY114</f>
        <v>21276493.274000287</v>
      </c>
      <c r="AZ116" s="62">
        <f t="shared" si="130"/>
        <v>-11387622.950000465</v>
      </c>
      <c r="BB116" s="62">
        <f t="shared" ref="BB116:BC116" si="131">BB109+BB114</f>
        <v>1089834.014000155</v>
      </c>
      <c r="BC116" s="62">
        <f t="shared" si="131"/>
        <v>-11387622.950000465</v>
      </c>
    </row>
    <row r="117" spans="2:55" collapsed="1" x14ac:dyDescent="0.45">
      <c r="D117" s="46"/>
      <c r="E117" s="46"/>
      <c r="F117" s="46"/>
      <c r="G117" s="46"/>
      <c r="H117" s="46"/>
      <c r="I117" s="46"/>
      <c r="J117" s="46"/>
      <c r="K117" s="46"/>
      <c r="L117" s="46"/>
      <c r="M117" s="46"/>
      <c r="N117" s="46"/>
      <c r="O117" s="46"/>
      <c r="P117" s="46"/>
    </row>
    <row r="118" spans="2:55" x14ac:dyDescent="0.45">
      <c r="B118" s="55" t="s">
        <v>1118</v>
      </c>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P118" s="55"/>
      <c r="AQ118" s="55"/>
      <c r="AR118" s="55"/>
      <c r="AS118" s="55"/>
      <c r="AT118" s="55"/>
      <c r="AU118" s="55"/>
      <c r="AV118" s="55"/>
      <c r="AW118" s="55"/>
      <c r="AY118" s="55"/>
      <c r="AZ118" s="55"/>
      <c r="BB118" s="55"/>
      <c r="BC118" s="55"/>
    </row>
    <row r="119" spans="2:55" hidden="1" outlineLevel="1" x14ac:dyDescent="0.45">
      <c r="D119" s="46"/>
      <c r="E119" s="46"/>
      <c r="F119" s="46"/>
      <c r="G119" s="46"/>
      <c r="H119" s="46"/>
      <c r="I119" s="46"/>
      <c r="J119" s="46"/>
      <c r="K119" s="46"/>
      <c r="L119" s="46"/>
      <c r="M119" s="46"/>
      <c r="N119" s="46"/>
      <c r="O119" s="46"/>
      <c r="P119" s="46"/>
    </row>
    <row r="120" spans="2:55" hidden="1" outlineLevel="1" x14ac:dyDescent="0.45">
      <c r="B120" s="458" t="s">
        <v>1119</v>
      </c>
      <c r="C120" s="458"/>
      <c r="D120" s="458"/>
      <c r="E120" s="458"/>
      <c r="F120" s="458"/>
      <c r="G120" s="458"/>
      <c r="H120" s="458"/>
      <c r="I120" s="458"/>
      <c r="J120" s="458"/>
      <c r="K120" s="458"/>
      <c r="L120" s="458"/>
      <c r="M120" s="458"/>
      <c r="N120" s="458"/>
      <c r="O120" s="458"/>
      <c r="P120" s="458"/>
      <c r="Q120" s="465">
        <v>1039405.5059999721</v>
      </c>
      <c r="R120" s="467">
        <f t="shared" ref="R120" si="132">Q122</f>
        <v>1867303.8699999973</v>
      </c>
      <c r="S120" s="467">
        <f t="shared" ref="S120" si="133">R122</f>
        <v>536815.35000003502</v>
      </c>
      <c r="T120" s="467">
        <f t="shared" ref="T120" si="134">S122</f>
        <v>19398132.57806354</v>
      </c>
      <c r="U120" s="467">
        <f t="shared" ref="U120" si="135">T122</f>
        <v>2129239.520000115</v>
      </c>
      <c r="V120" s="467">
        <f t="shared" ref="V120" si="136">U122</f>
        <v>29326004.339999892</v>
      </c>
      <c r="W120" s="467">
        <f t="shared" ref="W120" si="137">V122</f>
        <v>110883517.16</v>
      </c>
      <c r="X120" s="467">
        <f t="shared" ref="X120" si="138">W122</f>
        <v>35991350.509999931</v>
      </c>
      <c r="Y120" s="467">
        <f t="shared" ref="Y120" si="139">X122</f>
        <v>19174289.909999922</v>
      </c>
      <c r="Z120" s="467">
        <f t="shared" ref="Z120" si="140">Y122</f>
        <v>13901618.659999996</v>
      </c>
      <c r="AA120" s="467">
        <f t="shared" ref="AA120" si="141">Z122</f>
        <v>6289436.3299999684</v>
      </c>
      <c r="AB120" s="467">
        <f t="shared" ref="AB120" si="142">AA122</f>
        <v>7900839.8899999112</v>
      </c>
      <c r="AC120" s="467">
        <f t="shared" ref="AC120" si="143">AB122</f>
        <v>22315898.780000225</v>
      </c>
      <c r="AD120" s="467">
        <f t="shared" ref="AD120:AF120" si="144">AC122</f>
        <v>5793776.6500000544</v>
      </c>
      <c r="AE120" s="467">
        <f t="shared" si="144"/>
        <v>9231742.6361449994</v>
      </c>
      <c r="AF120" s="467">
        <f t="shared" si="144"/>
        <v>7251674.2543746866</v>
      </c>
      <c r="AG120" s="467"/>
      <c r="AH120" s="467"/>
      <c r="AI120" s="467"/>
      <c r="AJ120" s="467"/>
      <c r="AK120" s="467"/>
      <c r="AL120" s="467"/>
      <c r="AM120" s="467"/>
      <c r="AN120" s="467"/>
      <c r="AP120" s="465">
        <v>1039405.5059999721</v>
      </c>
      <c r="AQ120" s="467">
        <f>AP122</f>
        <v>19398132.57806354</v>
      </c>
      <c r="AR120" s="467">
        <f t="shared" ref="AR120:AW120" si="145">AQ122</f>
        <v>110883517.16</v>
      </c>
      <c r="AS120" s="467">
        <f t="shared" si="145"/>
        <v>13901618.660000011</v>
      </c>
      <c r="AT120" s="467">
        <f t="shared" si="145"/>
        <v>22315898.780000255</v>
      </c>
      <c r="AU120" s="467">
        <f t="shared" si="145"/>
        <v>7251674.2543747127</v>
      </c>
      <c r="AV120" s="467">
        <f t="shared" si="145"/>
        <v>10928275.829999819</v>
      </c>
      <c r="AW120" s="467">
        <f t="shared" si="145"/>
        <v>10928275.829999819</v>
      </c>
      <c r="AY120" s="465">
        <v>1039405.5059999721</v>
      </c>
      <c r="AZ120" s="467">
        <f>AY122</f>
        <v>22315898.780000258</v>
      </c>
      <c r="BB120" s="465">
        <v>1039405.5059999721</v>
      </c>
      <c r="BC120" s="467">
        <f>BB122</f>
        <v>2129239.5200001271</v>
      </c>
    </row>
    <row r="121" spans="2:55" hidden="1" outlineLevel="1" x14ac:dyDescent="0.45">
      <c r="B121" s="459" t="s">
        <v>1117</v>
      </c>
      <c r="C121" s="459"/>
      <c r="D121" s="459"/>
      <c r="E121" s="459"/>
      <c r="F121" s="459"/>
      <c r="G121" s="459"/>
      <c r="H121" s="459"/>
      <c r="I121" s="459"/>
      <c r="J121" s="459"/>
      <c r="K121" s="459"/>
      <c r="L121" s="459"/>
      <c r="M121" s="459"/>
      <c r="N121" s="459"/>
      <c r="O121" s="459"/>
      <c r="P121" s="459"/>
      <c r="Q121" s="462">
        <f>Q116</f>
        <v>827898.36400002521</v>
      </c>
      <c r="R121" s="462">
        <f t="shared" ref="R121:AD121" si="146">R116</f>
        <v>-1330488.5199999623</v>
      </c>
      <c r="S121" s="462">
        <f t="shared" si="146"/>
        <v>18861317.228063505</v>
      </c>
      <c r="T121" s="462">
        <f t="shared" si="146"/>
        <v>-17268893.058063425</v>
      </c>
      <c r="U121" s="462">
        <f t="shared" si="146"/>
        <v>27196764.819999777</v>
      </c>
      <c r="V121" s="462">
        <f t="shared" si="146"/>
        <v>81557512.820000112</v>
      </c>
      <c r="W121" s="462">
        <f t="shared" si="146"/>
        <v>-74892166.650000066</v>
      </c>
      <c r="X121" s="462">
        <f t="shared" si="146"/>
        <v>-16817060.600000009</v>
      </c>
      <c r="Y121" s="462">
        <f t="shared" si="146"/>
        <v>-5272671.2499999255</v>
      </c>
      <c r="Z121" s="462">
        <f t="shared" si="146"/>
        <v>-7612182.330000028</v>
      </c>
      <c r="AA121" s="462">
        <f t="shared" si="146"/>
        <v>1611403.5599999428</v>
      </c>
      <c r="AB121" s="462">
        <f t="shared" si="146"/>
        <v>14415058.890000314</v>
      </c>
      <c r="AC121" s="462">
        <f t="shared" si="146"/>
        <v>-16522122.13000017</v>
      </c>
      <c r="AD121" s="462">
        <f t="shared" si="146"/>
        <v>3437965.986144945</v>
      </c>
      <c r="AE121" s="462">
        <f t="shared" ref="AE121:AF121" si="147">AE116</f>
        <v>-1980068.3817703128</v>
      </c>
      <c r="AF121" s="462">
        <f t="shared" si="147"/>
        <v>3676601.5756251067</v>
      </c>
      <c r="AG121" s="462"/>
      <c r="AH121" s="462"/>
      <c r="AI121" s="462"/>
      <c r="AJ121" s="462"/>
      <c r="AK121" s="462"/>
      <c r="AL121" s="462"/>
      <c r="AM121" s="462"/>
      <c r="AN121" s="462"/>
      <c r="AP121" s="462">
        <f t="shared" ref="AP121:AW121" si="148">AP116</f>
        <v>18358727.072063569</v>
      </c>
      <c r="AQ121" s="462">
        <f t="shared" si="148"/>
        <v>91485384.581936449</v>
      </c>
      <c r="AR121" s="462">
        <f t="shared" si="148"/>
        <v>-96981898.499999985</v>
      </c>
      <c r="AS121" s="462">
        <f t="shared" si="148"/>
        <v>8414280.1200002432</v>
      </c>
      <c r="AT121" s="462">
        <f t="shared" si="148"/>
        <v>-15064224.525625542</v>
      </c>
      <c r="AU121" s="462">
        <f t="shared" si="148"/>
        <v>3676601.5756251067</v>
      </c>
      <c r="AV121" s="462">
        <f t="shared" si="148"/>
        <v>0</v>
      </c>
      <c r="AW121" s="462">
        <f t="shared" si="148"/>
        <v>0</v>
      </c>
      <c r="AY121" s="462">
        <f t="shared" ref="AY121:AZ121" si="149">AY116</f>
        <v>21276493.274000287</v>
      </c>
      <c r="AZ121" s="462">
        <f t="shared" si="149"/>
        <v>-11387622.950000465</v>
      </c>
      <c r="BB121" s="462">
        <f t="shared" ref="BB121:BC121" si="150">BB116</f>
        <v>1089834.014000155</v>
      </c>
      <c r="BC121" s="462">
        <f t="shared" si="150"/>
        <v>-11387622.950000465</v>
      </c>
    </row>
    <row r="122" spans="2:55" hidden="1" outlineLevel="1" x14ac:dyDescent="0.45">
      <c r="B122" s="460" t="s">
        <v>1120</v>
      </c>
      <c r="C122" s="460"/>
      <c r="D122" s="460"/>
      <c r="E122" s="460"/>
      <c r="F122" s="460"/>
      <c r="G122" s="460"/>
      <c r="H122" s="460"/>
      <c r="I122" s="460"/>
      <c r="J122" s="460"/>
      <c r="K122" s="460"/>
      <c r="L122" s="460"/>
      <c r="M122" s="460"/>
      <c r="N122" s="460"/>
      <c r="O122" s="460"/>
      <c r="P122" s="460"/>
      <c r="Q122" s="466">
        <f>Q120+Q121</f>
        <v>1867303.8699999973</v>
      </c>
      <c r="R122" s="466">
        <f t="shared" ref="R122:AD122" si="151">R120+R121</f>
        <v>536815.35000003502</v>
      </c>
      <c r="S122" s="466">
        <f t="shared" si="151"/>
        <v>19398132.57806354</v>
      </c>
      <c r="T122" s="466">
        <f t="shared" si="151"/>
        <v>2129239.520000115</v>
      </c>
      <c r="U122" s="466">
        <f t="shared" si="151"/>
        <v>29326004.339999892</v>
      </c>
      <c r="V122" s="466">
        <f t="shared" si="151"/>
        <v>110883517.16</v>
      </c>
      <c r="W122" s="466">
        <f t="shared" si="151"/>
        <v>35991350.509999931</v>
      </c>
      <c r="X122" s="466">
        <f t="shared" si="151"/>
        <v>19174289.909999922</v>
      </c>
      <c r="Y122" s="466">
        <f t="shared" si="151"/>
        <v>13901618.659999996</v>
      </c>
      <c r="Z122" s="466">
        <f t="shared" si="151"/>
        <v>6289436.3299999684</v>
      </c>
      <c r="AA122" s="466">
        <f t="shared" si="151"/>
        <v>7900839.8899999112</v>
      </c>
      <c r="AB122" s="466">
        <f t="shared" si="151"/>
        <v>22315898.780000225</v>
      </c>
      <c r="AC122" s="466">
        <f t="shared" si="151"/>
        <v>5793776.6500000544</v>
      </c>
      <c r="AD122" s="466">
        <f t="shared" si="151"/>
        <v>9231742.6361449994</v>
      </c>
      <c r="AE122" s="466">
        <f t="shared" ref="AE122:AF122" si="152">AE120+AE121</f>
        <v>7251674.2543746866</v>
      </c>
      <c r="AF122" s="466">
        <f t="shared" si="152"/>
        <v>10928275.829999793</v>
      </c>
      <c r="AG122" s="466"/>
      <c r="AH122" s="466"/>
      <c r="AI122" s="466"/>
      <c r="AJ122" s="466"/>
      <c r="AK122" s="466"/>
      <c r="AL122" s="466"/>
      <c r="AM122" s="466"/>
      <c r="AN122" s="466"/>
      <c r="AP122" s="466">
        <f>AP120+AP121</f>
        <v>19398132.57806354</v>
      </c>
      <c r="AQ122" s="466">
        <f t="shared" ref="AQ122:BC122" si="153">AQ120+AQ121</f>
        <v>110883517.16</v>
      </c>
      <c r="AR122" s="466">
        <f t="shared" si="153"/>
        <v>13901618.660000011</v>
      </c>
      <c r="AS122" s="466">
        <f t="shared" si="153"/>
        <v>22315898.780000255</v>
      </c>
      <c r="AT122" s="466">
        <f t="shared" si="153"/>
        <v>7251674.2543747127</v>
      </c>
      <c r="AU122" s="466">
        <f t="shared" si="153"/>
        <v>10928275.829999819</v>
      </c>
      <c r="AV122" s="466">
        <f t="shared" si="153"/>
        <v>10928275.829999819</v>
      </c>
      <c r="AW122" s="466">
        <f t="shared" si="153"/>
        <v>10928275.829999819</v>
      </c>
      <c r="AY122" s="466">
        <f t="shared" si="153"/>
        <v>22315898.780000258</v>
      </c>
      <c r="AZ122" s="466">
        <f t="shared" si="153"/>
        <v>10928275.829999793</v>
      </c>
      <c r="BB122" s="466">
        <f t="shared" si="153"/>
        <v>2129239.5200001271</v>
      </c>
      <c r="BC122" s="466">
        <f t="shared" si="153"/>
        <v>-9258383.4300003387</v>
      </c>
    </row>
    <row r="123" spans="2:55" hidden="1" outlineLevel="1" x14ac:dyDescent="0.45">
      <c r="B123" s="461" t="s">
        <v>1</v>
      </c>
      <c r="C123" s="461"/>
      <c r="D123" s="461"/>
      <c r="E123" s="461"/>
      <c r="F123" s="461"/>
      <c r="G123" s="461"/>
      <c r="H123" s="461"/>
      <c r="I123" s="461"/>
      <c r="J123" s="461"/>
      <c r="K123" s="461"/>
      <c r="L123" s="461"/>
      <c r="M123" s="461"/>
      <c r="N123" s="461"/>
      <c r="O123" s="461"/>
      <c r="P123" s="461"/>
      <c r="Q123" s="461">
        <f>Q122-Q31</f>
        <v>-2.7939677238464355E-9</v>
      </c>
      <c r="R123" s="461">
        <f t="shared" ref="R123:AD123" si="154">R122-R31</f>
        <v>3.5041011869907379E-8</v>
      </c>
      <c r="S123" s="461">
        <f t="shared" si="154"/>
        <v>-1.1936463415622711E-2</v>
      </c>
      <c r="T123" s="461">
        <f t="shared" si="154"/>
        <v>1.1175870895385742E-7</v>
      </c>
      <c r="U123" s="461">
        <f t="shared" si="154"/>
        <v>-1.0430812835693359E-7</v>
      </c>
      <c r="V123" s="461">
        <f t="shared" si="154"/>
        <v>0</v>
      </c>
      <c r="W123" s="461">
        <f t="shared" si="154"/>
        <v>-7.4505805969238281E-8</v>
      </c>
      <c r="X123" s="461">
        <f t="shared" si="154"/>
        <v>-7.8231096267700195E-8</v>
      </c>
      <c r="Y123" s="461">
        <f t="shared" si="154"/>
        <v>0</v>
      </c>
      <c r="Z123" s="461">
        <f t="shared" si="154"/>
        <v>-3.166496753692627E-8</v>
      </c>
      <c r="AA123" s="461">
        <f t="shared" si="154"/>
        <v>-8.8475644588470459E-8</v>
      </c>
      <c r="AB123" s="461">
        <f t="shared" si="154"/>
        <v>2.2351741790771484E-7</v>
      </c>
      <c r="AC123" s="461">
        <f t="shared" si="154"/>
        <v>5.4016709327697754E-8</v>
      </c>
      <c r="AD123" s="461">
        <f t="shared" si="154"/>
        <v>6.1450004577636719E-3</v>
      </c>
      <c r="AE123" s="461">
        <f t="shared" ref="AE123:AF123" si="155">AE122-AE31</f>
        <v>1.4374686405062675E-2</v>
      </c>
      <c r="AF123" s="461">
        <f t="shared" si="155"/>
        <v>-2.0675361156463623E-7</v>
      </c>
      <c r="AG123" s="461"/>
      <c r="AH123" s="461"/>
      <c r="AI123" s="461"/>
      <c r="AJ123" s="461"/>
      <c r="AK123" s="461"/>
      <c r="AL123" s="461"/>
      <c r="AM123" s="461"/>
      <c r="AN123" s="461"/>
      <c r="AP123" s="461">
        <f>AP122-AP31</f>
        <v>-1.1936463415622711E-2</v>
      </c>
      <c r="AQ123" s="461">
        <f>AQ122-AQ31</f>
        <v>0</v>
      </c>
      <c r="AR123" s="461">
        <f>AR122-AR31</f>
        <v>0</v>
      </c>
      <c r="AS123" s="461">
        <f>AS122-AS31</f>
        <v>2.5331974029541016E-7</v>
      </c>
      <c r="AT123" s="461">
        <f>AT122-AT31</f>
        <v>1.4374712482094765E-2</v>
      </c>
      <c r="AU123" s="461">
        <f>AU122-AU31</f>
        <v>10928275.829999819</v>
      </c>
      <c r="AV123" s="461">
        <f>AV122-AV31</f>
        <v>10928275.829999819</v>
      </c>
      <c r="AW123" s="461">
        <f>AW122-AW31</f>
        <v>10928275.829999819</v>
      </c>
      <c r="AY123" s="461">
        <f>AY122-AY31</f>
        <v>2.5704503059387207E-7</v>
      </c>
      <c r="AZ123" s="461">
        <f>AZ122-AZ31</f>
        <v>-2.0675361156463623E-7</v>
      </c>
      <c r="BB123" s="461">
        <f>BB122-BB31</f>
        <v>1.2386590242385864E-7</v>
      </c>
      <c r="BC123" s="461">
        <f>BC122-BC31</f>
        <v>-20186659.260000341</v>
      </c>
    </row>
    <row r="124" spans="2:55" collapsed="1" x14ac:dyDescent="0.45"/>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C40EF-10A6-4628-990A-F1D880EB3349}">
  <sheetPr codeName="Sheet9">
    <tabColor rgb="FF83D9BE"/>
  </sheetPr>
  <dimension ref="A1:BE77"/>
  <sheetViews>
    <sheetView tabSelected="1" workbookViewId="0">
      <selection activeCell="V144" sqref="V144:X144"/>
    </sheetView>
    <sheetView workbookViewId="1">
      <selection activeCell="C89" sqref="C89"/>
    </sheetView>
  </sheetViews>
  <sheetFormatPr baseColWidth="10" defaultColWidth="8.54296875" defaultRowHeight="15.5" outlineLevelRow="2" outlineLevelCol="1" x14ac:dyDescent="0.45"/>
  <cols>
    <col min="1" max="1" width="1.54296875" style="46" customWidth="1"/>
    <col min="2" max="2" width="41.54296875" style="46" customWidth="1"/>
    <col min="3" max="3" width="34.54296875" style="46" customWidth="1"/>
    <col min="4" max="4" width="8.81640625" style="46" customWidth="1"/>
    <col min="5" max="17" width="3.453125" style="46" hidden="1" customWidth="1"/>
    <col min="18" max="18" width="16.453125" style="46" hidden="1" customWidth="1" outlineLevel="1"/>
    <col min="19" max="20" width="15.81640625" style="46" hidden="1" customWidth="1" outlineLevel="1"/>
    <col min="21" max="21" width="17.1796875" style="46" hidden="1" customWidth="1" outlineLevel="1"/>
    <col min="22" max="29" width="15.453125" style="46" hidden="1" customWidth="1" outlineLevel="1"/>
    <col min="30" max="30" width="15.453125" style="46" customWidth="1" collapsed="1"/>
    <col min="31" max="41" width="15.453125" style="46" customWidth="1"/>
    <col min="42" max="42" width="1.54296875" style="46" customWidth="1"/>
    <col min="43" max="50" width="12.453125" style="46" customWidth="1" outlineLevel="1"/>
    <col min="51" max="51" width="1.54296875" style="46" customWidth="1"/>
    <col min="52" max="53" width="12.453125" style="46" customWidth="1" outlineLevel="1"/>
    <col min="54" max="54" width="1.54296875" style="46" customWidth="1"/>
    <col min="55" max="56" width="14.453125" style="46" bestFit="1" customWidth="1" outlineLevel="1"/>
    <col min="57" max="57" width="13.1796875" bestFit="1" customWidth="1"/>
  </cols>
  <sheetData>
    <row r="1" spans="2:56" x14ac:dyDescent="0.45">
      <c r="B1" s="25" t="s">
        <v>339</v>
      </c>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Q1" s="25"/>
      <c r="AR1" s="25"/>
      <c r="AS1" s="25"/>
      <c r="AT1" s="25"/>
      <c r="AU1" s="25"/>
      <c r="AV1" s="25"/>
      <c r="AW1" s="25"/>
      <c r="AX1" s="25"/>
      <c r="AZ1" s="25"/>
      <c r="BA1" s="25"/>
      <c r="BC1" s="25"/>
      <c r="BD1" s="25"/>
    </row>
    <row r="2" spans="2:56" x14ac:dyDescent="0.45">
      <c r="B2" s="25" t="s">
        <v>824</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Q2" s="94"/>
      <c r="AR2" s="94"/>
      <c r="AS2" s="94"/>
      <c r="AT2" s="94"/>
      <c r="AU2" s="94"/>
      <c r="AV2" s="94"/>
      <c r="AW2" s="94"/>
      <c r="AX2" s="94"/>
      <c r="AZ2" s="94"/>
      <c r="BA2" s="94"/>
      <c r="BC2" s="94"/>
      <c r="BD2" s="94"/>
    </row>
    <row r="3" spans="2:56" x14ac:dyDescent="0.45">
      <c r="B3" s="93"/>
      <c r="C3" s="93"/>
      <c r="D3" s="93"/>
      <c r="E3" s="93"/>
      <c r="F3" s="93"/>
      <c r="G3" s="93"/>
      <c r="H3" s="93"/>
      <c r="I3" s="93"/>
      <c r="J3" s="93"/>
      <c r="K3" s="93"/>
      <c r="L3" s="93"/>
      <c r="M3" s="93"/>
      <c r="N3" s="93"/>
      <c r="O3" s="93"/>
      <c r="P3" s="93"/>
      <c r="Q3" s="93"/>
      <c r="R3" s="265"/>
      <c r="S3" s="96"/>
      <c r="T3" s="96"/>
      <c r="U3" s="96"/>
      <c r="V3" s="96"/>
      <c r="W3" s="96"/>
      <c r="X3" s="96"/>
      <c r="Y3" s="96"/>
      <c r="Z3" s="96"/>
      <c r="AA3" s="96"/>
      <c r="AB3" s="96"/>
      <c r="AC3" s="96"/>
      <c r="AD3" s="96"/>
      <c r="AE3" s="96"/>
      <c r="AF3" s="96"/>
      <c r="AG3" s="96"/>
      <c r="AH3" s="96"/>
      <c r="AI3" s="96"/>
      <c r="AJ3" s="96"/>
      <c r="AK3" s="96"/>
      <c r="AL3" s="96"/>
      <c r="AM3" s="96"/>
      <c r="AN3" s="96"/>
      <c r="AO3" s="96"/>
      <c r="AQ3" s="93"/>
      <c r="AR3" s="93"/>
      <c r="AS3" s="93"/>
      <c r="AT3" s="93"/>
      <c r="AU3" s="93"/>
      <c r="AV3" s="93"/>
      <c r="AW3" s="93"/>
      <c r="AX3" s="93"/>
      <c r="AZ3" s="93"/>
      <c r="BA3" s="93"/>
      <c r="BC3" s="93"/>
      <c r="BD3" s="93"/>
    </row>
    <row r="4" spans="2:56" x14ac:dyDescent="0.45">
      <c r="B4" s="91"/>
      <c r="C4" s="91"/>
      <c r="D4" s="91"/>
      <c r="E4" s="91"/>
      <c r="F4" s="91"/>
      <c r="G4" s="91"/>
      <c r="H4" s="91"/>
      <c r="I4" s="91"/>
      <c r="J4" s="91"/>
      <c r="K4" s="91"/>
      <c r="L4" s="91"/>
      <c r="M4" s="91"/>
      <c r="N4" s="91"/>
      <c r="O4" s="91"/>
      <c r="P4" s="91"/>
      <c r="Q4" s="91"/>
      <c r="R4" s="92"/>
      <c r="S4" s="92"/>
      <c r="T4" s="92"/>
      <c r="U4" s="92"/>
      <c r="V4" s="92"/>
      <c r="W4" s="92"/>
      <c r="X4" s="92"/>
      <c r="Y4" s="92"/>
      <c r="Z4" s="92"/>
      <c r="AA4" s="92"/>
      <c r="AB4" s="92"/>
      <c r="AC4" s="92"/>
      <c r="AD4" s="92"/>
      <c r="AE4" s="92"/>
      <c r="AF4" s="92"/>
      <c r="AG4" s="92"/>
      <c r="AH4" s="92"/>
      <c r="AI4" s="92"/>
      <c r="AJ4" s="92"/>
      <c r="AK4" s="92"/>
      <c r="AL4" s="92"/>
      <c r="AM4" s="92"/>
      <c r="AN4" s="92"/>
      <c r="AO4" s="92"/>
      <c r="AQ4" s="92"/>
      <c r="AR4" s="92"/>
      <c r="AS4" s="92"/>
      <c r="AT4" s="92"/>
      <c r="AU4" s="92"/>
      <c r="AV4" s="92"/>
      <c r="AW4" s="92"/>
      <c r="AX4" s="92"/>
      <c r="AZ4" s="92" t="s">
        <v>31</v>
      </c>
      <c r="BA4" s="92"/>
      <c r="BC4" s="114" t="s">
        <v>809</v>
      </c>
      <c r="BD4" s="114" t="s">
        <v>818</v>
      </c>
    </row>
    <row r="5" spans="2:56" x14ac:dyDescent="0.45">
      <c r="B5" s="90"/>
      <c r="C5" s="90"/>
      <c r="D5" s="90"/>
      <c r="E5" s="90"/>
      <c r="F5" s="90"/>
      <c r="G5" s="90"/>
      <c r="H5" s="90"/>
      <c r="I5" s="90"/>
      <c r="J5" s="90"/>
      <c r="K5" s="90"/>
      <c r="L5" s="90"/>
      <c r="M5" s="90"/>
      <c r="N5" s="90"/>
      <c r="O5" s="90"/>
      <c r="P5" s="90"/>
      <c r="Q5" s="90"/>
      <c r="R5" s="96"/>
      <c r="S5" s="96"/>
      <c r="T5" s="96"/>
      <c r="U5" s="96"/>
      <c r="V5" s="96"/>
      <c r="W5" s="96"/>
      <c r="X5" s="96"/>
      <c r="Y5" s="96"/>
      <c r="Z5" s="96"/>
      <c r="AA5" s="96"/>
      <c r="AB5" s="96"/>
      <c r="AC5" s="96"/>
      <c r="AD5" s="96"/>
      <c r="AE5" s="96"/>
      <c r="AF5" s="96"/>
      <c r="AG5" s="96"/>
      <c r="AH5" s="96"/>
      <c r="AI5" s="96"/>
      <c r="AJ5" s="96"/>
      <c r="AK5" s="96"/>
      <c r="AL5" s="96"/>
      <c r="AM5" s="96"/>
      <c r="AN5" s="96"/>
      <c r="AO5" s="96"/>
    </row>
    <row r="6" spans="2:56" x14ac:dyDescent="0.45">
      <c r="B6" s="89" t="s">
        <v>358</v>
      </c>
      <c r="C6" s="89"/>
      <c r="D6" s="89"/>
      <c r="E6" s="89"/>
      <c r="F6" s="89"/>
      <c r="G6" s="89"/>
      <c r="H6" s="89"/>
      <c r="I6" s="89"/>
      <c r="J6" s="89"/>
      <c r="K6" s="89"/>
      <c r="L6" s="89"/>
      <c r="M6" s="89"/>
      <c r="N6" s="89"/>
      <c r="O6" s="89"/>
      <c r="P6" s="89"/>
      <c r="Q6" s="89"/>
      <c r="R6" s="88">
        <v>45658</v>
      </c>
      <c r="S6" s="88">
        <v>45689</v>
      </c>
      <c r="T6" s="88">
        <v>45717</v>
      </c>
      <c r="U6" s="88">
        <v>45748</v>
      </c>
      <c r="V6" s="88">
        <v>45778</v>
      </c>
      <c r="W6" s="88">
        <v>45809</v>
      </c>
      <c r="X6" s="88">
        <v>45839</v>
      </c>
      <c r="Y6" s="88">
        <v>45870</v>
      </c>
      <c r="Z6" s="88">
        <v>45901</v>
      </c>
      <c r="AA6" s="88">
        <v>45931</v>
      </c>
      <c r="AB6" s="88">
        <v>45962</v>
      </c>
      <c r="AC6" s="88">
        <v>45992</v>
      </c>
      <c r="AD6" s="283">
        <v>46023</v>
      </c>
      <c r="AE6" s="283">
        <v>46054</v>
      </c>
      <c r="AF6" s="283">
        <v>46082</v>
      </c>
      <c r="AG6" s="283">
        <v>46113</v>
      </c>
      <c r="AH6" s="283">
        <v>46143</v>
      </c>
      <c r="AI6" s="283">
        <v>46174</v>
      </c>
      <c r="AJ6" s="283">
        <v>46204</v>
      </c>
      <c r="AK6" s="283">
        <v>46235</v>
      </c>
      <c r="AL6" s="283">
        <v>46266</v>
      </c>
      <c r="AM6" s="283">
        <v>46296</v>
      </c>
      <c r="AN6" s="283">
        <v>46327</v>
      </c>
      <c r="AO6" s="283">
        <v>46357</v>
      </c>
      <c r="AQ6" s="88">
        <v>45658</v>
      </c>
      <c r="AR6" s="88">
        <v>45748</v>
      </c>
      <c r="AS6" s="88">
        <f>+AR7+1</f>
        <v>45839</v>
      </c>
      <c r="AT6" s="88">
        <f>+AS7+1</f>
        <v>45931</v>
      </c>
      <c r="AU6" s="88">
        <v>46023</v>
      </c>
      <c r="AV6" s="88">
        <v>46113</v>
      </c>
      <c r="AW6" s="88">
        <f>+AV7+1</f>
        <v>46204</v>
      </c>
      <c r="AX6" s="88">
        <f>+AW7+1</f>
        <v>46296</v>
      </c>
      <c r="AZ6" s="88">
        <v>45658</v>
      </c>
      <c r="BA6" s="88">
        <v>46023</v>
      </c>
      <c r="BC6" s="88">
        <v>45292</v>
      </c>
      <c r="BD6" s="88">
        <v>45658</v>
      </c>
    </row>
    <row r="7" spans="2:56" x14ac:dyDescent="0.45">
      <c r="B7" s="89" t="s">
        <v>359</v>
      </c>
      <c r="C7" s="89"/>
      <c r="D7" s="89"/>
      <c r="E7" s="89"/>
      <c r="F7" s="89"/>
      <c r="G7" s="89"/>
      <c r="H7" s="89"/>
      <c r="I7" s="89"/>
      <c r="J7" s="89"/>
      <c r="K7" s="89"/>
      <c r="L7" s="89"/>
      <c r="M7" s="89"/>
      <c r="N7" s="89"/>
      <c r="O7" s="89"/>
      <c r="P7" s="89"/>
      <c r="Q7" s="89"/>
      <c r="R7" s="88">
        <v>45688</v>
      </c>
      <c r="S7" s="88">
        <v>45716</v>
      </c>
      <c r="T7" s="88">
        <v>45747</v>
      </c>
      <c r="U7" s="88">
        <v>45777</v>
      </c>
      <c r="V7" s="88">
        <v>45808</v>
      </c>
      <c r="W7" s="88">
        <v>45838</v>
      </c>
      <c r="X7" s="88">
        <v>45869</v>
      </c>
      <c r="Y7" s="88">
        <v>45900</v>
      </c>
      <c r="Z7" s="88">
        <v>45930</v>
      </c>
      <c r="AA7" s="88">
        <v>45961</v>
      </c>
      <c r="AB7" s="88">
        <v>45991</v>
      </c>
      <c r="AC7" s="88">
        <v>46022</v>
      </c>
      <c r="AD7" s="283">
        <v>46053</v>
      </c>
      <c r="AE7" s="283">
        <v>46081</v>
      </c>
      <c r="AF7" s="283">
        <v>46112</v>
      </c>
      <c r="AG7" s="283">
        <v>46142</v>
      </c>
      <c r="AH7" s="283">
        <v>46173</v>
      </c>
      <c r="AI7" s="283">
        <v>46203</v>
      </c>
      <c r="AJ7" s="283">
        <v>46234</v>
      </c>
      <c r="AK7" s="283">
        <v>46265</v>
      </c>
      <c r="AL7" s="283">
        <v>46295</v>
      </c>
      <c r="AM7" s="283">
        <v>46326</v>
      </c>
      <c r="AN7" s="283">
        <v>46356</v>
      </c>
      <c r="AO7" s="283">
        <v>46387</v>
      </c>
      <c r="AQ7" s="88">
        <v>45747</v>
      </c>
      <c r="AR7" s="88">
        <v>45838</v>
      </c>
      <c r="AS7" s="88">
        <v>45930</v>
      </c>
      <c r="AT7" s="88">
        <v>46022</v>
      </c>
      <c r="AU7" s="88">
        <v>46112</v>
      </c>
      <c r="AV7" s="88">
        <v>46203</v>
      </c>
      <c r="AW7" s="88">
        <v>46295</v>
      </c>
      <c r="AX7" s="88">
        <v>46387</v>
      </c>
      <c r="AZ7" s="88">
        <v>46022</v>
      </c>
      <c r="BA7" s="88">
        <v>46387</v>
      </c>
      <c r="BC7" s="88">
        <v>45657</v>
      </c>
      <c r="BD7" s="88">
        <v>46022</v>
      </c>
    </row>
    <row r="8" spans="2:56" x14ac:dyDescent="0.45">
      <c r="B8" s="84" t="s">
        <v>360</v>
      </c>
      <c r="C8" s="84"/>
      <c r="D8" s="84"/>
      <c r="E8" s="84"/>
      <c r="F8" s="84"/>
      <c r="G8" s="84"/>
      <c r="H8" s="84"/>
      <c r="I8" s="84"/>
      <c r="J8" s="84"/>
      <c r="K8" s="84"/>
      <c r="L8" s="84"/>
      <c r="M8" s="84"/>
      <c r="N8" s="84"/>
      <c r="O8" s="84"/>
      <c r="P8" s="84"/>
      <c r="Q8" s="84"/>
      <c r="R8" s="87">
        <v>2025</v>
      </c>
      <c r="S8" s="87">
        <v>2025</v>
      </c>
      <c r="T8" s="87">
        <v>2025</v>
      </c>
      <c r="U8" s="87">
        <v>2025</v>
      </c>
      <c r="V8" s="87">
        <v>2025</v>
      </c>
      <c r="W8" s="87">
        <v>2025</v>
      </c>
      <c r="X8" s="87">
        <v>2025</v>
      </c>
      <c r="Y8" s="87">
        <v>2025</v>
      </c>
      <c r="Z8" s="87">
        <v>2025</v>
      </c>
      <c r="AA8" s="87">
        <v>2025</v>
      </c>
      <c r="AB8" s="87">
        <v>2025</v>
      </c>
      <c r="AC8" s="87">
        <v>2025</v>
      </c>
      <c r="AD8" s="285">
        <v>2026</v>
      </c>
      <c r="AE8" s="285">
        <v>2026</v>
      </c>
      <c r="AF8" s="285">
        <v>2026</v>
      </c>
      <c r="AG8" s="285">
        <v>2026</v>
      </c>
      <c r="AH8" s="285">
        <v>2026</v>
      </c>
      <c r="AI8" s="285">
        <v>2026</v>
      </c>
      <c r="AJ8" s="285">
        <v>2026</v>
      </c>
      <c r="AK8" s="285">
        <v>2026</v>
      </c>
      <c r="AL8" s="285">
        <v>2026</v>
      </c>
      <c r="AM8" s="285">
        <v>2026</v>
      </c>
      <c r="AN8" s="285">
        <v>2026</v>
      </c>
      <c r="AO8" s="285">
        <v>2026</v>
      </c>
      <c r="AQ8" s="86">
        <v>2025</v>
      </c>
      <c r="AR8" s="86">
        <v>2025</v>
      </c>
      <c r="AS8" s="86">
        <v>2025</v>
      </c>
      <c r="AT8" s="86">
        <v>2025</v>
      </c>
      <c r="AU8" s="86">
        <v>2026</v>
      </c>
      <c r="AV8" s="86">
        <v>2026</v>
      </c>
      <c r="AW8" s="86">
        <v>2026</v>
      </c>
      <c r="AX8" s="86">
        <v>2026</v>
      </c>
      <c r="AZ8" s="86">
        <v>2025</v>
      </c>
      <c r="BA8" s="86">
        <v>2026</v>
      </c>
      <c r="BC8" s="86">
        <v>2024</v>
      </c>
      <c r="BD8" s="86">
        <v>2025</v>
      </c>
    </row>
    <row r="9" spans="2:56" x14ac:dyDescent="0.45">
      <c r="B9" s="84" t="s">
        <v>361</v>
      </c>
      <c r="C9" s="84"/>
      <c r="D9" s="84"/>
      <c r="E9" s="84"/>
      <c r="F9" s="84"/>
      <c r="G9" s="84"/>
      <c r="H9" s="84"/>
      <c r="I9" s="84"/>
      <c r="J9" s="84"/>
      <c r="K9" s="84"/>
      <c r="L9" s="84"/>
      <c r="M9" s="84"/>
      <c r="N9" s="84"/>
      <c r="O9" s="84"/>
      <c r="P9" s="84"/>
      <c r="Q9" s="84"/>
      <c r="R9" s="83" t="s">
        <v>7</v>
      </c>
      <c r="S9" s="83" t="s">
        <v>7</v>
      </c>
      <c r="T9" s="83" t="s">
        <v>7</v>
      </c>
      <c r="U9" s="83" t="s">
        <v>13</v>
      </c>
      <c r="V9" s="83" t="s">
        <v>13</v>
      </c>
      <c r="W9" s="83" t="s">
        <v>13</v>
      </c>
      <c r="X9" s="83" t="s">
        <v>20</v>
      </c>
      <c r="Y9" s="83" t="s">
        <v>20</v>
      </c>
      <c r="Z9" s="83" t="s">
        <v>20</v>
      </c>
      <c r="AA9" s="83" t="s">
        <v>26</v>
      </c>
      <c r="AB9" s="83" t="s">
        <v>26</v>
      </c>
      <c r="AC9" s="83" t="s">
        <v>26</v>
      </c>
      <c r="AD9" s="286" t="s">
        <v>7</v>
      </c>
      <c r="AE9" s="286" t="s">
        <v>7</v>
      </c>
      <c r="AF9" s="286" t="s">
        <v>7</v>
      </c>
      <c r="AG9" s="286" t="s">
        <v>13</v>
      </c>
      <c r="AH9" s="286" t="s">
        <v>13</v>
      </c>
      <c r="AI9" s="286" t="s">
        <v>13</v>
      </c>
      <c r="AJ9" s="286" t="s">
        <v>20</v>
      </c>
      <c r="AK9" s="286" t="s">
        <v>20</v>
      </c>
      <c r="AL9" s="286" t="s">
        <v>20</v>
      </c>
      <c r="AM9" s="286" t="s">
        <v>26</v>
      </c>
      <c r="AN9" s="286" t="s">
        <v>26</v>
      </c>
      <c r="AO9" s="286" t="s">
        <v>26</v>
      </c>
      <c r="AQ9" s="85" t="s">
        <v>7</v>
      </c>
      <c r="AR9" s="85" t="s">
        <v>13</v>
      </c>
      <c r="AS9" s="85" t="s">
        <v>20</v>
      </c>
      <c r="AT9" s="85" t="s">
        <v>26</v>
      </c>
      <c r="AU9" s="85" t="s">
        <v>7</v>
      </c>
      <c r="AV9" s="85" t="s">
        <v>13</v>
      </c>
      <c r="AW9" s="85" t="s">
        <v>20</v>
      </c>
      <c r="AX9" s="85" t="s">
        <v>26</v>
      </c>
      <c r="AZ9" s="85" t="s">
        <v>26</v>
      </c>
      <c r="BA9" s="85" t="s">
        <v>26</v>
      </c>
      <c r="BC9" s="85" t="s">
        <v>26</v>
      </c>
      <c r="BD9" s="85" t="s">
        <v>26</v>
      </c>
    </row>
    <row r="10" spans="2:56" x14ac:dyDescent="0.45">
      <c r="B10" s="84" t="s">
        <v>826</v>
      </c>
      <c r="C10" s="84"/>
      <c r="D10" s="84"/>
      <c r="E10" s="84"/>
      <c r="F10" s="84"/>
      <c r="G10" s="84"/>
      <c r="H10" s="84"/>
      <c r="I10" s="84"/>
      <c r="J10" s="84"/>
      <c r="K10" s="84"/>
      <c r="L10" s="84"/>
      <c r="M10" s="84"/>
      <c r="N10" s="84"/>
      <c r="O10" s="84"/>
      <c r="P10" s="84"/>
      <c r="Q10" s="84"/>
      <c r="R10" s="87">
        <f t="shared" ref="R10:AG10" si="0">+(R7-R6+1)-NETWORKDAYS.INTL(R6,R7,16)</f>
        <v>5</v>
      </c>
      <c r="S10" s="87">
        <f t="shared" si="0"/>
        <v>4</v>
      </c>
      <c r="T10" s="87">
        <f t="shared" si="0"/>
        <v>4</v>
      </c>
      <c r="U10" s="87">
        <f t="shared" si="0"/>
        <v>4</v>
      </c>
      <c r="V10" s="87">
        <f t="shared" si="0"/>
        <v>5</v>
      </c>
      <c r="W10" s="87">
        <f t="shared" si="0"/>
        <v>4</v>
      </c>
      <c r="X10" s="87">
        <f t="shared" si="0"/>
        <v>4</v>
      </c>
      <c r="Y10" s="87">
        <f t="shared" si="0"/>
        <v>5</v>
      </c>
      <c r="Z10" s="87">
        <f t="shared" si="0"/>
        <v>4</v>
      </c>
      <c r="AA10" s="87">
        <f t="shared" si="0"/>
        <v>5</v>
      </c>
      <c r="AB10" s="87">
        <f t="shared" si="0"/>
        <v>4</v>
      </c>
      <c r="AC10" s="87">
        <f t="shared" si="0"/>
        <v>4</v>
      </c>
      <c r="AD10" s="285">
        <f t="shared" si="0"/>
        <v>5</v>
      </c>
      <c r="AE10" s="285">
        <f t="shared" si="0"/>
        <v>4</v>
      </c>
      <c r="AF10" s="285">
        <f t="shared" si="0"/>
        <v>4</v>
      </c>
      <c r="AG10" s="285">
        <f t="shared" si="0"/>
        <v>4</v>
      </c>
      <c r="AH10" s="285">
        <f>+(AH7-AH6+1)-NETWORKDAYS.INTL(AH6,AH7,16)</f>
        <v>5</v>
      </c>
      <c r="AI10" s="285">
        <f t="shared" ref="AI10:AN10" si="1">+(AI7-AI6+1)-NETWORKDAYS.INTL(AI6,AI7,16)</f>
        <v>4</v>
      </c>
      <c r="AJ10" s="285">
        <f t="shared" si="1"/>
        <v>5</v>
      </c>
      <c r="AK10" s="285">
        <f t="shared" si="1"/>
        <v>4</v>
      </c>
      <c r="AL10" s="285">
        <f t="shared" si="1"/>
        <v>4</v>
      </c>
      <c r="AM10" s="285">
        <f t="shared" si="1"/>
        <v>5</v>
      </c>
      <c r="AN10" s="285">
        <f t="shared" si="1"/>
        <v>4</v>
      </c>
      <c r="AO10" s="285">
        <f>+(AO7-AO6+1)-NETWORKDAYS.INTL(AO6,AO7,16)</f>
        <v>4</v>
      </c>
      <c r="AQ10" s="85" t="s">
        <v>7</v>
      </c>
      <c r="AR10" s="85" t="s">
        <v>13</v>
      </c>
      <c r="AS10" s="85" t="s">
        <v>20</v>
      </c>
      <c r="AT10" s="85" t="s">
        <v>26</v>
      </c>
      <c r="AU10" s="85" t="s">
        <v>7</v>
      </c>
      <c r="AV10" s="85" t="s">
        <v>13</v>
      </c>
      <c r="AW10" s="85" t="s">
        <v>20</v>
      </c>
      <c r="AX10" s="85" t="s">
        <v>26</v>
      </c>
      <c r="AZ10" s="85" t="s">
        <v>26</v>
      </c>
      <c r="BA10" s="85" t="s">
        <v>26</v>
      </c>
      <c r="BC10" s="85" t="s">
        <v>26</v>
      </c>
      <c r="BD10" s="85" t="s">
        <v>26</v>
      </c>
    </row>
    <row r="11" spans="2:56" x14ac:dyDescent="0.45">
      <c r="B11" s="84" t="s">
        <v>827</v>
      </c>
      <c r="C11" s="84"/>
      <c r="D11" s="84"/>
      <c r="E11" s="84"/>
      <c r="F11" s="84"/>
      <c r="G11" s="84"/>
      <c r="H11" s="84"/>
      <c r="I11" s="84"/>
      <c r="J11" s="84"/>
      <c r="K11" s="84"/>
      <c r="L11" s="84"/>
      <c r="M11" s="84"/>
      <c r="N11" s="84"/>
      <c r="O11" s="84"/>
      <c r="P11" s="84"/>
      <c r="Q11" s="84"/>
      <c r="R11" s="83" t="s">
        <v>827</v>
      </c>
      <c r="S11" s="83"/>
      <c r="T11" s="83"/>
      <c r="U11" s="83"/>
      <c r="V11" s="83"/>
      <c r="W11" s="83"/>
      <c r="X11" s="83"/>
      <c r="Y11" s="83"/>
      <c r="Z11" s="83"/>
      <c r="AA11" s="83"/>
      <c r="AB11" s="83"/>
      <c r="AC11" s="83"/>
      <c r="AD11" s="83" t="s">
        <v>827</v>
      </c>
      <c r="AE11" s="83" t="s">
        <v>827</v>
      </c>
      <c r="AF11" s="83" t="s">
        <v>827</v>
      </c>
      <c r="AG11" s="83" t="s">
        <v>827</v>
      </c>
      <c r="AH11" s="83"/>
      <c r="AI11" s="83"/>
      <c r="AJ11" s="83"/>
      <c r="AK11" s="83"/>
      <c r="AL11" s="83"/>
      <c r="AM11" s="83"/>
      <c r="AN11" s="83"/>
      <c r="AO11" s="83"/>
      <c r="AQ11" s="85" t="s">
        <v>7</v>
      </c>
      <c r="AR11" s="85" t="s">
        <v>13</v>
      </c>
      <c r="AS11" s="85" t="s">
        <v>20</v>
      </c>
      <c r="AT11" s="85" t="s">
        <v>26</v>
      </c>
      <c r="AU11" s="85" t="s">
        <v>7</v>
      </c>
      <c r="AV11" s="85" t="s">
        <v>13</v>
      </c>
      <c r="AW11" s="85" t="s">
        <v>20</v>
      </c>
      <c r="AX11" s="85" t="s">
        <v>26</v>
      </c>
      <c r="AZ11" s="85" t="s">
        <v>26</v>
      </c>
      <c r="BA11" s="85" t="s">
        <v>26</v>
      </c>
      <c r="BC11" s="85" t="s">
        <v>827</v>
      </c>
      <c r="BD11" s="85" t="s">
        <v>827</v>
      </c>
    </row>
    <row r="12" spans="2:56" x14ac:dyDescent="0.45">
      <c r="AQ12" s="74"/>
      <c r="AR12" s="224"/>
      <c r="AS12" s="224"/>
      <c r="AT12" s="224"/>
      <c r="AU12" s="224"/>
      <c r="AV12" s="224"/>
      <c r="AW12" s="224"/>
      <c r="AX12" s="224"/>
      <c r="AZ12" s="224"/>
      <c r="BA12" s="224"/>
    </row>
    <row r="13" spans="2:56" x14ac:dyDescent="0.45">
      <c r="AQ13" s="74"/>
      <c r="AR13" s="224"/>
      <c r="AS13" s="224"/>
      <c r="AT13" s="224"/>
      <c r="AU13" s="224"/>
      <c r="AV13" s="224"/>
      <c r="AW13" s="224"/>
      <c r="AX13" s="224"/>
      <c r="AZ13" s="224"/>
      <c r="BA13" s="224"/>
    </row>
    <row r="14" spans="2:56" x14ac:dyDescent="0.45">
      <c r="B14" s="112" t="s">
        <v>830</v>
      </c>
      <c r="C14" s="112"/>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Q14" s="225"/>
      <c r="AR14" s="225"/>
      <c r="AS14" s="225"/>
      <c r="AT14" s="225"/>
      <c r="AU14" s="225"/>
      <c r="AV14" s="225"/>
      <c r="AW14" s="225"/>
      <c r="AX14" s="225"/>
      <c r="AZ14" s="225"/>
      <c r="BA14" s="225"/>
      <c r="BC14" s="54"/>
      <c r="BD14" s="54"/>
    </row>
    <row r="15" spans="2:56" hidden="1" outlineLevel="1" x14ac:dyDescent="0.45">
      <c r="B15"/>
      <c r="C15"/>
      <c r="D15"/>
      <c r="E15"/>
      <c r="F15"/>
      <c r="G15"/>
      <c r="H15"/>
      <c r="I15"/>
      <c r="J15"/>
      <c r="K15"/>
      <c r="L15"/>
      <c r="M15"/>
      <c r="N15"/>
      <c r="O15"/>
      <c r="P15"/>
      <c r="Q15"/>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c r="AQ15" s="221"/>
      <c r="AR15" s="221"/>
      <c r="AS15" s="221"/>
      <c r="AT15" s="221"/>
      <c r="AU15" s="221"/>
      <c r="AV15" s="221"/>
      <c r="AW15" s="221"/>
      <c r="AX15" s="221"/>
      <c r="AY15"/>
      <c r="AZ15" s="221"/>
      <c r="BA15" s="221"/>
      <c r="BB15"/>
      <c r="BC15"/>
      <c r="BD15"/>
    </row>
    <row r="16" spans="2:56" ht="14.9" hidden="1" customHeight="1" outlineLevel="2" x14ac:dyDescent="0.45">
      <c r="B16" s="81" t="s">
        <v>595</v>
      </c>
      <c r="C16" s="81"/>
      <c r="D16" s="227"/>
      <c r="E16" s="227"/>
      <c r="F16" s="227"/>
      <c r="G16" s="227"/>
      <c r="H16" s="227"/>
      <c r="I16" s="227"/>
      <c r="J16" s="227"/>
      <c r="K16" s="227"/>
      <c r="L16" s="227"/>
      <c r="M16" s="227"/>
      <c r="N16" s="227"/>
      <c r="O16" s="227"/>
      <c r="P16" s="227"/>
      <c r="Q16" s="227"/>
      <c r="R16" s="196">
        <v>2081191.38</v>
      </c>
      <c r="S16" s="196">
        <v>1422852.08</v>
      </c>
      <c r="T16" s="196">
        <v>2142882.54</v>
      </c>
      <c r="U16" s="196">
        <v>3356309</v>
      </c>
      <c r="V16" s="196">
        <v>3707917.4522346659</v>
      </c>
      <c r="W16" s="196">
        <v>3959070.5460799998</v>
      </c>
      <c r="X16" s="196">
        <v>4553428.3202026663</v>
      </c>
      <c r="Y16" s="196">
        <v>5081872.6126826657</v>
      </c>
      <c r="Z16" s="196">
        <v>5489002.0057599992</v>
      </c>
      <c r="AA16" s="196">
        <v>6323716.7000106666</v>
      </c>
      <c r="AB16" s="196">
        <v>6814374.3844800005</v>
      </c>
      <c r="AC16" s="196">
        <v>6256780.4229632001</v>
      </c>
      <c r="AD16" s="196">
        <v>5871253.2806722838</v>
      </c>
      <c r="AE16" s="196">
        <v>5622391.9726951243</v>
      </c>
      <c r="AF16" s="196">
        <v>7171767.4482190479</v>
      </c>
      <c r="AG16" s="196">
        <v>7794717.2129783258</v>
      </c>
      <c r="AH16" s="196">
        <v>9008044.2965719905</v>
      </c>
      <c r="AI16" s="196">
        <v>9700190.0548818447</v>
      </c>
      <c r="AJ16" s="196">
        <v>11092606.145749811</v>
      </c>
      <c r="AK16" s="196">
        <v>12213334.443381324</v>
      </c>
      <c r="AL16" s="196">
        <v>12938193.759360423</v>
      </c>
      <c r="AM16" s="196">
        <v>14611685.784729566</v>
      </c>
      <c r="AN16" s="196">
        <v>15570028.463983994</v>
      </c>
      <c r="AO16" s="196">
        <v>17632768.309652716</v>
      </c>
      <c r="AP16" s="65"/>
      <c r="AQ16" s="79">
        <f t="shared" ref="AQ16:AX24" si="2">+SUMIFS($G16:$AO16,$G$9:$AO$9,AQ$9,$G$8:$AO$8,AQ$8)</f>
        <v>5646926</v>
      </c>
      <c r="AR16" s="79">
        <f t="shared" si="2"/>
        <v>11023296.998314666</v>
      </c>
      <c r="AS16" s="79">
        <f t="shared" si="2"/>
        <v>15124302.938645331</v>
      </c>
      <c r="AT16" s="79">
        <f t="shared" si="2"/>
        <v>19394871.507453866</v>
      </c>
      <c r="AU16" s="79">
        <f t="shared" si="2"/>
        <v>18665412.701586455</v>
      </c>
      <c r="AV16" s="79">
        <f t="shared" si="2"/>
        <v>26502951.564432163</v>
      </c>
      <c r="AW16" s="79">
        <f t="shared" si="2"/>
        <v>36244134.348491557</v>
      </c>
      <c r="AX16" s="79">
        <f t="shared" si="2"/>
        <v>47814482.558366276</v>
      </c>
      <c r="AY16" s="65"/>
      <c r="AZ16" s="79">
        <f t="shared" ref="AZ16:BA24" si="3">+SUMIF($F$8:$AO$8,AZ$8,$F16:$AO16)</f>
        <v>51189397.444413871</v>
      </c>
      <c r="BA16" s="79">
        <f t="shared" si="3"/>
        <v>129226981.17287645</v>
      </c>
      <c r="BB16" s="65"/>
      <c r="BC16" s="79">
        <f t="shared" ref="BC16:BC24" si="4">SUMIF($R$11:$AC$11, "Actual", $R16:$AC16)</f>
        <v>2081191.38</v>
      </c>
      <c r="BD16" s="79">
        <f t="shared" ref="BD16:BD24" si="5">SUMIF($AD$11:$AO$11, "Actual", $AD16:$AO16)</f>
        <v>26460129.914564781</v>
      </c>
    </row>
    <row r="17" spans="2:56" hidden="1" outlineLevel="2" x14ac:dyDescent="0.45">
      <c r="B17" s="81" t="s">
        <v>472</v>
      </c>
      <c r="C17" s="81"/>
      <c r="D17" s="81"/>
      <c r="E17" s="80"/>
      <c r="F17" s="196"/>
      <c r="G17" s="196"/>
      <c r="H17" s="196"/>
      <c r="I17" s="196"/>
      <c r="J17" s="196"/>
      <c r="K17" s="196"/>
      <c r="L17" s="196"/>
      <c r="M17" s="196"/>
      <c r="N17" s="197"/>
      <c r="O17" s="196"/>
      <c r="P17" s="196"/>
      <c r="Q17" s="196"/>
      <c r="R17" s="196">
        <v>1664129.74</v>
      </c>
      <c r="S17" s="196">
        <v>2110640.2699999996</v>
      </c>
      <c r="T17" s="196">
        <v>1920029.8899999997</v>
      </c>
      <c r="U17" s="196">
        <v>2446127.0999999959</v>
      </c>
      <c r="V17" s="196">
        <v>2170546.89724633</v>
      </c>
      <c r="W17" s="196">
        <v>2628655.8715556944</v>
      </c>
      <c r="X17" s="196">
        <v>2827150.5295026801</v>
      </c>
      <c r="Y17" s="196">
        <v>3206449.0542763365</v>
      </c>
      <c r="Z17" s="196">
        <v>3980738.2104460327</v>
      </c>
      <c r="AA17" s="196">
        <v>4227935.8558442518</v>
      </c>
      <c r="AB17" s="196">
        <v>4508452.1206306545</v>
      </c>
      <c r="AC17" s="196">
        <v>5989616.2768988479</v>
      </c>
      <c r="AD17" s="196">
        <v>4662865.052280711</v>
      </c>
      <c r="AE17" s="196">
        <v>4399686.5281168828</v>
      </c>
      <c r="AF17" s="196">
        <v>5161669.836271422</v>
      </c>
      <c r="AG17" s="196">
        <v>5537485.9479048196</v>
      </c>
      <c r="AH17" s="196">
        <v>6335464.9918104755</v>
      </c>
      <c r="AI17" s="196">
        <v>6822512.3218296319</v>
      </c>
      <c r="AJ17" s="196">
        <v>7829921.2227862943</v>
      </c>
      <c r="AK17" s="196">
        <v>8701493.2776520513</v>
      </c>
      <c r="AL17" s="196">
        <v>9405942.0092935711</v>
      </c>
      <c r="AM17" s="196">
        <v>10770512.224207632</v>
      </c>
      <c r="AN17" s="196">
        <v>11613770.469685702</v>
      </c>
      <c r="AO17" s="196">
        <v>13153930.745885821</v>
      </c>
      <c r="AP17" s="65"/>
      <c r="AQ17" s="79">
        <f t="shared" si="2"/>
        <v>5694799.8999999994</v>
      </c>
      <c r="AR17" s="79">
        <f t="shared" si="2"/>
        <v>7245329.8688020203</v>
      </c>
      <c r="AS17" s="79">
        <f t="shared" si="2"/>
        <v>10014337.794225048</v>
      </c>
      <c r="AT17" s="79">
        <f t="shared" si="2"/>
        <v>14726004.253373755</v>
      </c>
      <c r="AU17" s="79">
        <f t="shared" si="2"/>
        <v>14224221.416669017</v>
      </c>
      <c r="AV17" s="79">
        <f t="shared" si="2"/>
        <v>18695463.261544928</v>
      </c>
      <c r="AW17" s="79">
        <f t="shared" si="2"/>
        <v>25937356.509731919</v>
      </c>
      <c r="AX17" s="79">
        <f t="shared" si="2"/>
        <v>35538213.439779155</v>
      </c>
      <c r="AY17" s="65"/>
      <c r="AZ17" s="79">
        <f t="shared" si="3"/>
        <v>37680471.816400826</v>
      </c>
      <c r="BA17" s="79">
        <f t="shared" si="3"/>
        <v>94395254.627725005</v>
      </c>
      <c r="BB17" s="65"/>
      <c r="BC17" s="79">
        <f t="shared" si="4"/>
        <v>1664129.74</v>
      </c>
      <c r="BD17" s="79">
        <f t="shared" si="5"/>
        <v>19761707.364573836</v>
      </c>
    </row>
    <row r="18" spans="2:56" ht="14.9" hidden="1" customHeight="1" outlineLevel="2" x14ac:dyDescent="0.45">
      <c r="B18" s="81" t="s">
        <v>1035</v>
      </c>
      <c r="C18" s="104"/>
      <c r="D18" s="227"/>
      <c r="E18" s="227"/>
      <c r="F18" s="227"/>
      <c r="G18" s="227"/>
      <c r="H18" s="227"/>
      <c r="I18" s="227"/>
      <c r="J18" s="227"/>
      <c r="K18" s="227"/>
      <c r="L18" s="227"/>
      <c r="M18" s="227"/>
      <c r="N18" s="227"/>
      <c r="O18" s="227"/>
      <c r="P18" s="227"/>
      <c r="Q18" s="227"/>
      <c r="R18" s="198"/>
      <c r="S18" s="198"/>
      <c r="T18" s="198"/>
      <c r="U18" s="198"/>
      <c r="V18" s="198"/>
      <c r="W18" s="198"/>
      <c r="X18" s="198"/>
      <c r="Y18" s="198"/>
      <c r="Z18" s="198"/>
      <c r="AA18" s="198"/>
      <c r="AB18" s="198"/>
      <c r="AC18" s="198"/>
      <c r="AD18" s="198">
        <v>264164.11129881546</v>
      </c>
      <c r="AE18" s="198">
        <v>252710.21639675176</v>
      </c>
      <c r="AF18" s="198">
        <v>317994.76845124178</v>
      </c>
      <c r="AG18" s="198">
        <v>340773.40793710912</v>
      </c>
      <c r="AH18" s="198">
        <v>391663.42319471797</v>
      </c>
      <c r="AI18" s="198">
        <v>419719.19204240479</v>
      </c>
      <c r="AJ18" s="198">
        <v>476946.75398692524</v>
      </c>
      <c r="AK18" s="198">
        <v>522085.30983604863</v>
      </c>
      <c r="AL18" s="198">
        <v>550339.53209794802</v>
      </c>
      <c r="AM18" s="198">
        <v>615712.30231875007</v>
      </c>
      <c r="AN18" s="198">
        <v>646764.54859902454</v>
      </c>
      <c r="AO18" s="198">
        <v>725022.59476063587</v>
      </c>
      <c r="AP18" s="65"/>
      <c r="AQ18" s="127">
        <f t="shared" si="2"/>
        <v>0</v>
      </c>
      <c r="AR18" s="127">
        <f t="shared" si="2"/>
        <v>0</v>
      </c>
      <c r="AS18" s="127">
        <f t="shared" si="2"/>
        <v>0</v>
      </c>
      <c r="AT18" s="127">
        <f t="shared" si="2"/>
        <v>0</v>
      </c>
      <c r="AU18" s="127">
        <f t="shared" si="2"/>
        <v>834869.09614680894</v>
      </c>
      <c r="AV18" s="127">
        <f t="shared" si="2"/>
        <v>1152156.0231742319</v>
      </c>
      <c r="AW18" s="127">
        <f t="shared" si="2"/>
        <v>1549371.5959209218</v>
      </c>
      <c r="AX18" s="127">
        <f t="shared" si="2"/>
        <v>1987499.4456784106</v>
      </c>
      <c r="AY18" s="65"/>
      <c r="AZ18" s="127">
        <f t="shared" si="3"/>
        <v>0</v>
      </c>
      <c r="BA18" s="127">
        <f t="shared" si="3"/>
        <v>5523896.1609203732</v>
      </c>
      <c r="BB18" s="65"/>
      <c r="BC18" s="127">
        <f t="shared" si="4"/>
        <v>0</v>
      </c>
      <c r="BD18" s="127">
        <f t="shared" si="5"/>
        <v>1175642.5040839179</v>
      </c>
    </row>
    <row r="19" spans="2:56" ht="14.9" hidden="1" customHeight="1" outlineLevel="2" x14ac:dyDescent="0.45">
      <c r="B19" s="81" t="s">
        <v>938</v>
      </c>
      <c r="C19" s="104"/>
      <c r="D19" s="227"/>
      <c r="E19" s="227"/>
      <c r="F19" s="227"/>
      <c r="G19" s="227"/>
      <c r="H19" s="227"/>
      <c r="I19" s="227"/>
      <c r="J19" s="227"/>
      <c r="K19" s="227"/>
      <c r="L19" s="227"/>
      <c r="M19" s="227"/>
      <c r="N19" s="227"/>
      <c r="O19" s="227"/>
      <c r="P19" s="227"/>
      <c r="Q19" s="227"/>
      <c r="R19" s="198"/>
      <c r="S19" s="198"/>
      <c r="T19" s="198"/>
      <c r="U19" s="198"/>
      <c r="V19" s="198"/>
      <c r="W19" s="198"/>
      <c r="X19" s="198"/>
      <c r="Y19" s="198"/>
      <c r="Z19" s="198"/>
      <c r="AA19" s="198"/>
      <c r="AB19" s="198"/>
      <c r="AC19" s="198"/>
      <c r="AD19" s="198">
        <v>245885.93288474283</v>
      </c>
      <c r="AE19" s="198">
        <v>242280.56729992258</v>
      </c>
      <c r="AF19" s="198">
        <v>290592.46613651427</v>
      </c>
      <c r="AG19" s="198">
        <v>302850.70912490325</v>
      </c>
      <c r="AH19" s="198">
        <v>335298.99938828568</v>
      </c>
      <c r="AI19" s="198">
        <v>346115.09614274662</v>
      </c>
      <c r="AJ19" s="198">
        <v>387456.6215153524</v>
      </c>
      <c r="AK19" s="198">
        <v>417260.97701653338</v>
      </c>
      <c r="AL19" s="198">
        <v>432643.87017843325</v>
      </c>
      <c r="AM19" s="198">
        <v>476869.68801889516</v>
      </c>
      <c r="AN19" s="198">
        <v>490329.71953555767</v>
      </c>
      <c r="AO19" s="198">
        <v>536478.39902125695</v>
      </c>
      <c r="AP19" s="65"/>
      <c r="AQ19" s="127">
        <f t="shared" si="2"/>
        <v>0</v>
      </c>
      <c r="AR19" s="127">
        <f t="shared" si="2"/>
        <v>0</v>
      </c>
      <c r="AS19" s="127">
        <f t="shared" si="2"/>
        <v>0</v>
      </c>
      <c r="AT19" s="127">
        <f t="shared" si="2"/>
        <v>0</v>
      </c>
      <c r="AU19" s="127">
        <f t="shared" si="2"/>
        <v>778758.96632117964</v>
      </c>
      <c r="AV19" s="127">
        <f t="shared" si="2"/>
        <v>984264.8046559355</v>
      </c>
      <c r="AW19" s="127">
        <f t="shared" si="2"/>
        <v>1237361.4687103191</v>
      </c>
      <c r="AX19" s="127">
        <f t="shared" si="2"/>
        <v>1503677.8065757097</v>
      </c>
      <c r="AY19" s="65"/>
      <c r="AZ19" s="127">
        <f t="shared" si="3"/>
        <v>0</v>
      </c>
      <c r="BA19" s="127">
        <f t="shared" si="3"/>
        <v>4504063.0462631434</v>
      </c>
      <c r="BB19" s="65"/>
      <c r="BC19" s="127">
        <f t="shared" si="4"/>
        <v>0</v>
      </c>
      <c r="BD19" s="127">
        <f t="shared" si="5"/>
        <v>1081609.6754460828</v>
      </c>
    </row>
    <row r="20" spans="2:56" ht="14.9" hidden="1" customHeight="1" outlineLevel="2" x14ac:dyDescent="0.45">
      <c r="B20" s="226" t="s">
        <v>831</v>
      </c>
      <c r="C20" s="218"/>
      <c r="D20" s="227"/>
      <c r="E20" s="227"/>
      <c r="F20" s="227"/>
      <c r="G20" s="227"/>
      <c r="H20" s="227"/>
      <c r="I20" s="227"/>
      <c r="J20" s="227"/>
      <c r="K20" s="227"/>
      <c r="L20" s="227"/>
      <c r="M20" s="227"/>
      <c r="N20" s="227"/>
      <c r="O20" s="227"/>
      <c r="P20" s="227"/>
      <c r="Q20" s="227"/>
      <c r="R20" s="227">
        <v>1001267.9000000001</v>
      </c>
      <c r="S20" s="227">
        <v>1001267.9000000001</v>
      </c>
      <c r="T20" s="227">
        <v>1001267.9000000001</v>
      </c>
      <c r="U20" s="227">
        <v>1001267.8999999998</v>
      </c>
      <c r="V20" s="227">
        <v>1001267.9000000001</v>
      </c>
      <c r="W20" s="227">
        <v>1084226.5100000002</v>
      </c>
      <c r="X20" s="227">
        <v>1084226.5100000002</v>
      </c>
      <c r="Y20" s="227">
        <v>1084226.5100000002</v>
      </c>
      <c r="Z20" s="227">
        <v>1084226.5100000002</v>
      </c>
      <c r="AA20" s="227">
        <v>1084226.5100000002</v>
      </c>
      <c r="AB20" s="227">
        <v>1084226.5100000002</v>
      </c>
      <c r="AC20" s="227">
        <v>1084226.5100000002</v>
      </c>
      <c r="AD20" s="227">
        <v>1084226.5100000002</v>
      </c>
      <c r="AE20" s="227">
        <v>1084226.5100000002</v>
      </c>
      <c r="AF20" s="227">
        <v>1084226.5100000002</v>
      </c>
      <c r="AG20" s="227">
        <v>1084226.5100000002</v>
      </c>
      <c r="AH20" s="227">
        <v>1084226.5100000002</v>
      </c>
      <c r="AI20" s="227">
        <v>1084226.5100000002</v>
      </c>
      <c r="AJ20" s="227">
        <v>1084226.5100000002</v>
      </c>
      <c r="AK20" s="227">
        <v>1084226.5100000002</v>
      </c>
      <c r="AL20" s="227">
        <v>1084226.5100000002</v>
      </c>
      <c r="AM20" s="227">
        <v>1084226.5100000002</v>
      </c>
      <c r="AN20" s="227">
        <v>1084226.5100000002</v>
      </c>
      <c r="AO20" s="227">
        <v>1084226.5100000002</v>
      </c>
      <c r="AP20" s="65"/>
      <c r="AQ20" s="380">
        <f t="shared" si="2"/>
        <v>3003803.7</v>
      </c>
      <c r="AR20" s="380">
        <f t="shared" si="2"/>
        <v>3086762.31</v>
      </c>
      <c r="AS20" s="380">
        <f t="shared" si="2"/>
        <v>3252679.5300000007</v>
      </c>
      <c r="AT20" s="380">
        <f t="shared" si="2"/>
        <v>3252679.5300000007</v>
      </c>
      <c r="AU20" s="380">
        <f t="shared" si="2"/>
        <v>3252679.5300000007</v>
      </c>
      <c r="AV20" s="380">
        <f t="shared" si="2"/>
        <v>3252679.5300000007</v>
      </c>
      <c r="AW20" s="380">
        <f t="shared" si="2"/>
        <v>3252679.5300000007</v>
      </c>
      <c r="AX20" s="380">
        <f t="shared" si="2"/>
        <v>3252679.5300000007</v>
      </c>
      <c r="AY20" s="65"/>
      <c r="AZ20" s="380">
        <f t="shared" si="3"/>
        <v>12595925.069999998</v>
      </c>
      <c r="BA20" s="380">
        <f t="shared" si="3"/>
        <v>13010718.119999999</v>
      </c>
      <c r="BB20" s="65"/>
      <c r="BC20" s="380">
        <f t="shared" si="4"/>
        <v>1001267.9000000001</v>
      </c>
      <c r="BD20" s="380">
        <f t="shared" si="5"/>
        <v>4336906.040000001</v>
      </c>
    </row>
    <row r="21" spans="2:56" ht="14.9" hidden="1" customHeight="1" outlineLevel="2" x14ac:dyDescent="0.45">
      <c r="B21" s="67" t="s">
        <v>661</v>
      </c>
      <c r="C21" s="104"/>
      <c r="D21" s="227"/>
      <c r="E21" s="227"/>
      <c r="F21" s="227"/>
      <c r="G21" s="227"/>
      <c r="H21" s="227"/>
      <c r="I21" s="227"/>
      <c r="J21" s="227"/>
      <c r="K21" s="227"/>
      <c r="L21" s="227"/>
      <c r="M21" s="227"/>
      <c r="N21" s="227"/>
      <c r="O21" s="227"/>
      <c r="P21" s="227"/>
      <c r="Q21" s="227"/>
      <c r="R21" s="198">
        <v>59388</v>
      </c>
      <c r="S21" s="198">
        <v>59388</v>
      </c>
      <c r="T21" s="198">
        <v>59388</v>
      </c>
      <c r="U21" s="198">
        <v>59388</v>
      </c>
      <c r="V21" s="198">
        <v>0</v>
      </c>
      <c r="W21" s="198">
        <v>157824.35456318973</v>
      </c>
      <c r="X21" s="198">
        <v>157824.35456318973</v>
      </c>
      <c r="Y21" s="198">
        <v>157824.35456318973</v>
      </c>
      <c r="Z21" s="198">
        <v>157824.35456318973</v>
      </c>
      <c r="AA21" s="198">
        <v>157824.35456318973</v>
      </c>
      <c r="AB21" s="198">
        <v>157824.35456318973</v>
      </c>
      <c r="AC21" s="198">
        <v>157824.35456318973</v>
      </c>
      <c r="AD21" s="198">
        <v>0</v>
      </c>
      <c r="AE21" s="198">
        <v>0</v>
      </c>
      <c r="AF21" s="198">
        <v>0</v>
      </c>
      <c r="AG21" s="198">
        <v>0</v>
      </c>
      <c r="AH21" s="198">
        <v>0</v>
      </c>
      <c r="AI21" s="198">
        <v>0</v>
      </c>
      <c r="AJ21" s="198">
        <v>0</v>
      </c>
      <c r="AK21" s="198">
        <v>0</v>
      </c>
      <c r="AL21" s="198">
        <v>0</v>
      </c>
      <c r="AM21" s="198">
        <v>0</v>
      </c>
      <c r="AN21" s="198">
        <v>0</v>
      </c>
      <c r="AO21" s="198">
        <v>0</v>
      </c>
      <c r="AP21" s="65"/>
      <c r="AQ21" s="127">
        <f t="shared" si="2"/>
        <v>178164</v>
      </c>
      <c r="AR21" s="127">
        <f t="shared" si="2"/>
        <v>217212.35456318973</v>
      </c>
      <c r="AS21" s="127">
        <f t="shared" si="2"/>
        <v>473473.06368956919</v>
      </c>
      <c r="AT21" s="127">
        <f t="shared" si="2"/>
        <v>473473.06368956919</v>
      </c>
      <c r="AU21" s="127">
        <f t="shared" si="2"/>
        <v>0</v>
      </c>
      <c r="AV21" s="127">
        <f t="shared" si="2"/>
        <v>0</v>
      </c>
      <c r="AW21" s="127">
        <f t="shared" si="2"/>
        <v>0</v>
      </c>
      <c r="AX21" s="127">
        <f t="shared" si="2"/>
        <v>0</v>
      </c>
      <c r="AY21" s="65"/>
      <c r="AZ21" s="127">
        <f t="shared" si="3"/>
        <v>1342322.4819423279</v>
      </c>
      <c r="BA21" s="127">
        <f t="shared" si="3"/>
        <v>0</v>
      </c>
      <c r="BB21" s="65"/>
      <c r="BC21" s="127">
        <f t="shared" si="4"/>
        <v>59388</v>
      </c>
      <c r="BD21" s="127">
        <f t="shared" si="5"/>
        <v>0</v>
      </c>
    </row>
    <row r="22" spans="2:56" hidden="1" outlineLevel="2" x14ac:dyDescent="0.45">
      <c r="B22" s="218" t="s">
        <v>463</v>
      </c>
      <c r="C22" s="218"/>
      <c r="D22" s="198"/>
      <c r="E22" s="198"/>
      <c r="F22" s="198"/>
      <c r="G22" s="198"/>
      <c r="H22" s="198"/>
      <c r="I22" s="198"/>
      <c r="J22" s="198"/>
      <c r="K22" s="198"/>
      <c r="L22" s="198"/>
      <c r="M22" s="198"/>
      <c r="N22" s="198"/>
      <c r="O22" s="198"/>
      <c r="P22" s="198"/>
      <c r="Q22" s="198"/>
      <c r="R22" s="227">
        <v>2373677.44</v>
      </c>
      <c r="S22" s="227">
        <v>2441475.8299999996</v>
      </c>
      <c r="T22" s="227">
        <v>2432997.04</v>
      </c>
      <c r="U22" s="227">
        <v>2654567.9300000006</v>
      </c>
      <c r="V22" s="227">
        <v>2133292.391994501</v>
      </c>
      <c r="W22" s="227">
        <v>2076367.0175672441</v>
      </c>
      <c r="X22" s="227">
        <v>2157947.6779739251</v>
      </c>
      <c r="Y22" s="227">
        <v>2170398.3145818035</v>
      </c>
      <c r="Z22" s="227">
        <v>2112514.6553768441</v>
      </c>
      <c r="AA22" s="227">
        <v>2195548.8213355704</v>
      </c>
      <c r="AB22" s="227">
        <v>2137016.1373770097</v>
      </c>
      <c r="AC22" s="227">
        <v>2221036.0404566629</v>
      </c>
      <c r="AD22" s="227">
        <v>0</v>
      </c>
      <c r="AE22" s="227">
        <v>0</v>
      </c>
      <c r="AF22" s="227">
        <v>0</v>
      </c>
      <c r="AG22" s="227">
        <v>0</v>
      </c>
      <c r="AH22" s="227">
        <v>0</v>
      </c>
      <c r="AI22" s="227">
        <v>0</v>
      </c>
      <c r="AJ22" s="227">
        <v>0</v>
      </c>
      <c r="AK22" s="227">
        <v>0</v>
      </c>
      <c r="AL22" s="227">
        <v>0</v>
      </c>
      <c r="AM22" s="227">
        <v>0</v>
      </c>
      <c r="AN22" s="227">
        <v>0</v>
      </c>
      <c r="AO22" s="227">
        <v>0</v>
      </c>
      <c r="AP22" s="65"/>
      <c r="AQ22" s="380">
        <f t="shared" si="2"/>
        <v>7248150.3099999996</v>
      </c>
      <c r="AR22" s="380">
        <f t="shared" si="2"/>
        <v>6864227.3395617465</v>
      </c>
      <c r="AS22" s="380">
        <f t="shared" si="2"/>
        <v>6440860.6479325723</v>
      </c>
      <c r="AT22" s="380">
        <f t="shared" si="2"/>
        <v>6553600.9991692426</v>
      </c>
      <c r="AU22" s="380">
        <f t="shared" si="2"/>
        <v>0</v>
      </c>
      <c r="AV22" s="380">
        <f t="shared" si="2"/>
        <v>0</v>
      </c>
      <c r="AW22" s="380">
        <f t="shared" si="2"/>
        <v>0</v>
      </c>
      <c r="AX22" s="380">
        <f t="shared" si="2"/>
        <v>0</v>
      </c>
      <c r="AY22" s="65"/>
      <c r="AZ22" s="380">
        <f t="shared" si="3"/>
        <v>27106839.29666356</v>
      </c>
      <c r="BA22" s="380">
        <f t="shared" si="3"/>
        <v>0</v>
      </c>
      <c r="BB22" s="65"/>
      <c r="BC22" s="380">
        <f t="shared" si="4"/>
        <v>2373677.44</v>
      </c>
      <c r="BD22" s="380">
        <f t="shared" si="5"/>
        <v>0</v>
      </c>
    </row>
    <row r="23" spans="2:56" hidden="1" outlineLevel="2" x14ac:dyDescent="0.45">
      <c r="B23" s="218" t="s">
        <v>1036</v>
      </c>
      <c r="C23" s="218"/>
      <c r="D23" s="198"/>
      <c r="E23" s="198"/>
      <c r="F23" s="198"/>
      <c r="G23" s="198"/>
      <c r="H23" s="198"/>
      <c r="I23" s="198"/>
      <c r="J23" s="198"/>
      <c r="K23" s="198"/>
      <c r="L23" s="198"/>
      <c r="M23" s="198"/>
      <c r="N23" s="198"/>
      <c r="O23" s="198"/>
      <c r="P23" s="198"/>
      <c r="Q23" s="198"/>
      <c r="R23" s="227"/>
      <c r="S23" s="227"/>
      <c r="T23" s="227"/>
      <c r="U23" s="227"/>
      <c r="V23" s="227"/>
      <c r="W23" s="227"/>
      <c r="X23" s="227"/>
      <c r="Y23" s="227"/>
      <c r="Z23" s="227"/>
      <c r="AA23" s="227"/>
      <c r="AB23" s="227"/>
      <c r="AC23" s="227"/>
      <c r="AD23" s="227">
        <v>2337316.9735988113</v>
      </c>
      <c r="AE23" s="227">
        <v>2140685.4349792041</v>
      </c>
      <c r="AF23" s="227">
        <v>2347391.87877892</v>
      </c>
      <c r="AG23" s="227">
        <v>2271013.5329720741</v>
      </c>
      <c r="AH23" s="227">
        <v>2357311.0514861722</v>
      </c>
      <c r="AI23" s="227">
        <v>2277516.6457747594</v>
      </c>
      <c r="AJ23" s="227">
        <v>2337633.9347992078</v>
      </c>
      <c r="AK23" s="227">
        <v>2349293.0891839121</v>
      </c>
      <c r="AL23" s="227">
        <v>2268198.8850903236</v>
      </c>
      <c r="AM23" s="227">
        <v>2327630.0270068226</v>
      </c>
      <c r="AN23" s="227">
        <v>2759743.5018529226</v>
      </c>
      <c r="AO23" s="227">
        <v>2835343.7338304473</v>
      </c>
      <c r="AP23" s="65"/>
      <c r="AQ23" s="380">
        <f t="shared" si="2"/>
        <v>0</v>
      </c>
      <c r="AR23" s="380">
        <f t="shared" si="2"/>
        <v>0</v>
      </c>
      <c r="AS23" s="380">
        <f t="shared" si="2"/>
        <v>0</v>
      </c>
      <c r="AT23" s="380">
        <f t="shared" si="2"/>
        <v>0</v>
      </c>
      <c r="AU23" s="380">
        <f t="shared" si="2"/>
        <v>6825394.2873569354</v>
      </c>
      <c r="AV23" s="380">
        <f t="shared" si="2"/>
        <v>6905841.2302330062</v>
      </c>
      <c r="AW23" s="380">
        <f t="shared" si="2"/>
        <v>6955125.9090734441</v>
      </c>
      <c r="AX23" s="380">
        <f t="shared" si="2"/>
        <v>7922717.262690193</v>
      </c>
      <c r="AY23" s="65"/>
      <c r="AZ23" s="380">
        <f t="shared" si="3"/>
        <v>0</v>
      </c>
      <c r="BA23" s="380">
        <f t="shared" si="3"/>
        <v>28609078.689353582</v>
      </c>
      <c r="BB23" s="65"/>
      <c r="BC23" s="380">
        <f t="shared" si="4"/>
        <v>0</v>
      </c>
      <c r="BD23" s="380">
        <f t="shared" si="5"/>
        <v>9096407.8203290105</v>
      </c>
    </row>
    <row r="24" spans="2:56" hidden="1" outlineLevel="1" collapsed="1" x14ac:dyDescent="0.45">
      <c r="B24" s="49" t="s">
        <v>449</v>
      </c>
      <c r="C24" s="49"/>
      <c r="D24" s="49"/>
      <c r="E24" s="78"/>
      <c r="F24" s="77"/>
      <c r="G24" s="77"/>
      <c r="H24" s="77"/>
      <c r="I24" s="77"/>
      <c r="J24" s="77"/>
      <c r="K24" s="77"/>
      <c r="L24" s="77"/>
      <c r="M24" s="77"/>
      <c r="N24" s="77"/>
      <c r="O24" s="77"/>
      <c r="P24" s="77"/>
      <c r="Q24" s="77"/>
      <c r="R24" s="229">
        <f t="shared" ref="R24:AC24" si="6">R17+R20+R16+R22+R21</f>
        <v>7179654.459999999</v>
      </c>
      <c r="S24" s="229">
        <f t="shared" si="6"/>
        <v>7035624.0800000001</v>
      </c>
      <c r="T24" s="229">
        <f t="shared" si="6"/>
        <v>7556565.3700000001</v>
      </c>
      <c r="U24" s="229">
        <f t="shared" si="6"/>
        <v>9517659.929999996</v>
      </c>
      <c r="V24" s="229">
        <f t="shared" si="6"/>
        <v>9013024.6414754968</v>
      </c>
      <c r="W24" s="229">
        <f t="shared" si="6"/>
        <v>9906144.299766127</v>
      </c>
      <c r="X24" s="229">
        <f t="shared" si="6"/>
        <v>10780577.392242463</v>
      </c>
      <c r="Y24" s="229">
        <f t="shared" si="6"/>
        <v>11700770.846103996</v>
      </c>
      <c r="Z24" s="229">
        <f t="shared" si="6"/>
        <v>12824305.736146066</v>
      </c>
      <c r="AA24" s="229">
        <f t="shared" si="6"/>
        <v>13989252.241753679</v>
      </c>
      <c r="AB24" s="229">
        <f t="shared" si="6"/>
        <v>14701893.507050855</v>
      </c>
      <c r="AC24" s="229">
        <f t="shared" si="6"/>
        <v>15709483.604881899</v>
      </c>
      <c r="AD24" s="229">
        <f>SUM(AD16:AD23)</f>
        <v>14465711.860735366</v>
      </c>
      <c r="AE24" s="229">
        <f t="shared" ref="AE24:AO24" si="7">SUM(AE16:AE23)</f>
        <v>13741981.229487885</v>
      </c>
      <c r="AF24" s="229">
        <f t="shared" si="7"/>
        <v>16373642.907857146</v>
      </c>
      <c r="AG24" s="229">
        <f t="shared" si="7"/>
        <v>17331067.320917234</v>
      </c>
      <c r="AH24" s="229">
        <f t="shared" si="7"/>
        <v>19512009.272451643</v>
      </c>
      <c r="AI24" s="229">
        <f t="shared" si="7"/>
        <v>20650279.820671391</v>
      </c>
      <c r="AJ24" s="229">
        <f t="shared" si="7"/>
        <v>23208791.188837595</v>
      </c>
      <c r="AK24" s="229">
        <f t="shared" si="7"/>
        <v>25287693.607069872</v>
      </c>
      <c r="AL24" s="229">
        <f t="shared" si="7"/>
        <v>26679544.566020705</v>
      </c>
      <c r="AM24" s="229">
        <f t="shared" si="7"/>
        <v>29886636.536281671</v>
      </c>
      <c r="AN24" s="229">
        <f t="shared" si="7"/>
        <v>32164863.2136572</v>
      </c>
      <c r="AO24" s="229">
        <f t="shared" si="7"/>
        <v>35967770.293150872</v>
      </c>
      <c r="AP24" s="65"/>
      <c r="AQ24" s="381">
        <f t="shared" si="2"/>
        <v>21771843.91</v>
      </c>
      <c r="AR24" s="381">
        <f t="shared" si="2"/>
        <v>28436828.871241618</v>
      </c>
      <c r="AS24" s="381">
        <f t="shared" si="2"/>
        <v>35305653.97449252</v>
      </c>
      <c r="AT24" s="381">
        <f t="shared" si="2"/>
        <v>44400629.35368643</v>
      </c>
      <c r="AU24" s="381">
        <f t="shared" si="2"/>
        <v>44581335.998080403</v>
      </c>
      <c r="AV24" s="381">
        <f t="shared" si="2"/>
        <v>57493356.414040267</v>
      </c>
      <c r="AW24" s="381">
        <f t="shared" si="2"/>
        <v>75176029.361928165</v>
      </c>
      <c r="AX24" s="381">
        <f t="shared" si="2"/>
        <v>98019270.043089747</v>
      </c>
      <c r="AY24" s="65"/>
      <c r="AZ24" s="381">
        <f t="shared" si="3"/>
        <v>129914956.10942058</v>
      </c>
      <c r="BA24" s="381">
        <f t="shared" si="3"/>
        <v>275269991.81713855</v>
      </c>
      <c r="BB24" s="65"/>
      <c r="BC24" s="381">
        <f t="shared" si="4"/>
        <v>7179654.459999999</v>
      </c>
      <c r="BD24" s="381">
        <f t="shared" si="5"/>
        <v>61912403.318997636</v>
      </c>
    </row>
    <row r="25" spans="2:56" hidden="1" outlineLevel="1" x14ac:dyDescent="0.45">
      <c r="B25"/>
      <c r="C25"/>
      <c r="D25"/>
      <c r="E25"/>
      <c r="F25"/>
      <c r="G25"/>
      <c r="H25"/>
      <c r="I25"/>
      <c r="J25"/>
      <c r="K25"/>
      <c r="L25"/>
      <c r="M25"/>
      <c r="N25"/>
      <c r="O25"/>
      <c r="P25"/>
      <c r="Q25"/>
      <c r="R25" s="231"/>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65"/>
      <c r="AQ25" s="191"/>
      <c r="AR25" s="191"/>
      <c r="AS25" s="191"/>
      <c r="AT25" s="191"/>
      <c r="AU25" s="191"/>
      <c r="AV25" s="191"/>
      <c r="AW25" s="191"/>
      <c r="AX25" s="191"/>
      <c r="AY25" s="65"/>
      <c r="AZ25" s="191"/>
      <c r="BA25" s="191"/>
      <c r="BB25" s="65"/>
      <c r="BC25" s="191"/>
      <c r="BD25" s="191"/>
    </row>
    <row r="26" spans="2:56" hidden="1" outlineLevel="2" x14ac:dyDescent="0.45">
      <c r="B26" s="217" t="s">
        <v>521</v>
      </c>
      <c r="C26" s="217"/>
      <c r="D26" s="81"/>
      <c r="E26" s="80"/>
      <c r="F26" s="196"/>
      <c r="G26" s="196"/>
      <c r="H26" s="196"/>
      <c r="I26" s="196"/>
      <c r="J26" s="196"/>
      <c r="K26" s="196"/>
      <c r="L26" s="196"/>
      <c r="M26" s="196"/>
      <c r="N26" s="196"/>
      <c r="O26" s="196"/>
      <c r="P26" s="196"/>
      <c r="Q26" s="196"/>
      <c r="R26" s="196">
        <v>-1718992.26</v>
      </c>
      <c r="S26" s="196">
        <v>-1749916</v>
      </c>
      <c r="T26" s="196">
        <v>-1871875.9500000002</v>
      </c>
      <c r="U26" s="196">
        <v>-1968141.5400000003</v>
      </c>
      <c r="V26" s="196">
        <v>-2512225.9718399998</v>
      </c>
      <c r="W26" s="196">
        <v>-2816955.9720000001</v>
      </c>
      <c r="X26" s="196">
        <v>-3171733.5723600001</v>
      </c>
      <c r="Y26" s="196">
        <v>-3561258.9991620001</v>
      </c>
      <c r="Z26" s="196">
        <v>-4053105.4229872208</v>
      </c>
      <c r="AA26" s="196">
        <v>-4537817.6148170931</v>
      </c>
      <c r="AB26" s="196">
        <v>-4869877.1395252645</v>
      </c>
      <c r="AC26" s="196">
        <v>-5179578.2293205159</v>
      </c>
      <c r="AD26" s="196">
        <v>-4627106.2324718842</v>
      </c>
      <c r="AE26" s="196">
        <v>-4402357.439904009</v>
      </c>
      <c r="AF26" s="196">
        <v>-5465574.0819244934</v>
      </c>
      <c r="AG26" s="196">
        <v>-5731026.6203967854</v>
      </c>
      <c r="AH26" s="196">
        <v>-6443986.4028454283</v>
      </c>
      <c r="AI26" s="196">
        <v>-6981362.2887012968</v>
      </c>
      <c r="AJ26" s="196">
        <v>-8049977.8639594354</v>
      </c>
      <c r="AK26" s="196">
        <v>-8184454.3979283124</v>
      </c>
      <c r="AL26" s="196">
        <v>-8743866.357442664</v>
      </c>
      <c r="AM26" s="196">
        <v>-9947268.4344403092</v>
      </c>
      <c r="AN26" s="196">
        <v>-11058149.145689216</v>
      </c>
      <c r="AO26" s="196">
        <v>-12323751.291291943</v>
      </c>
      <c r="AP26" s="65"/>
      <c r="AQ26" s="79">
        <f t="shared" ref="AQ26:AX27" si="8">+SUMIFS($G26:$AO26,$G$9:$AO$9,AQ$9,$G$8:$AO$8,AQ$8)</f>
        <v>-5340784.21</v>
      </c>
      <c r="AR26" s="79">
        <f t="shared" si="8"/>
        <v>-7297323.4838399999</v>
      </c>
      <c r="AS26" s="79">
        <f t="shared" si="8"/>
        <v>-10786097.99450922</v>
      </c>
      <c r="AT26" s="79">
        <f t="shared" si="8"/>
        <v>-14587272.983662874</v>
      </c>
      <c r="AU26" s="79">
        <f t="shared" si="8"/>
        <v>-14495037.754300386</v>
      </c>
      <c r="AV26" s="79">
        <f t="shared" si="8"/>
        <v>-19156375.311943509</v>
      </c>
      <c r="AW26" s="79">
        <f t="shared" si="8"/>
        <v>-24978298.619330414</v>
      </c>
      <c r="AX26" s="79">
        <f t="shared" si="8"/>
        <v>-33329168.871421471</v>
      </c>
      <c r="AY26" s="65"/>
      <c r="AZ26" s="79">
        <f>+SUMIF($F$8:$AO$8,AZ$8,$F26:$AO26)</f>
        <v>-38011478.672012098</v>
      </c>
      <c r="BA26" s="79">
        <f>+SUMIF($F$8:$AO$8,BA$8,$F26:$AO26)</f>
        <v>-91958880.556995779</v>
      </c>
      <c r="BB26" s="65"/>
      <c r="BC26" s="79">
        <f>SUMIF($R$11:$AC$11, "Actual", $R26:$AC26)</f>
        <v>-1718992.26</v>
      </c>
      <c r="BD26" s="79">
        <f>SUMIF($AD$11:$AO$11, "Actual", $AD26:$AO26)</f>
        <v>-20226064.374697171</v>
      </c>
    </row>
    <row r="27" spans="2:56" hidden="1" outlineLevel="2" x14ac:dyDescent="0.45">
      <c r="B27" s="217" t="s">
        <v>528</v>
      </c>
      <c r="C27" s="217"/>
      <c r="D27" s="81"/>
      <c r="E27" s="80"/>
      <c r="F27" s="196"/>
      <c r="G27" s="196"/>
      <c r="H27" s="196"/>
      <c r="I27" s="196"/>
      <c r="J27" s="196"/>
      <c r="K27" s="196"/>
      <c r="L27" s="196"/>
      <c r="M27" s="196"/>
      <c r="N27" s="196"/>
      <c r="O27" s="196"/>
      <c r="P27" s="196"/>
      <c r="Q27" s="196"/>
      <c r="R27" s="196">
        <v>0</v>
      </c>
      <c r="S27" s="196">
        <v>0</v>
      </c>
      <c r="T27" s="196">
        <v>0</v>
      </c>
      <c r="U27" s="196">
        <v>0</v>
      </c>
      <c r="V27" s="196">
        <v>0</v>
      </c>
      <c r="W27" s="196">
        <v>0</v>
      </c>
      <c r="X27" s="196">
        <v>0</v>
      </c>
      <c r="Y27" s="196">
        <v>0</v>
      </c>
      <c r="Z27" s="196">
        <v>0</v>
      </c>
      <c r="AA27" s="196">
        <v>0</v>
      </c>
      <c r="AB27" s="196">
        <v>0</v>
      </c>
      <c r="AC27" s="196">
        <v>0</v>
      </c>
      <c r="AD27" s="196">
        <v>0</v>
      </c>
      <c r="AE27" s="196">
        <v>0</v>
      </c>
      <c r="AF27" s="196">
        <v>0</v>
      </c>
      <c r="AG27" s="196">
        <v>0</v>
      </c>
      <c r="AH27" s="196">
        <v>0</v>
      </c>
      <c r="AI27" s="196">
        <v>0</v>
      </c>
      <c r="AJ27" s="196">
        <v>0</v>
      </c>
      <c r="AK27" s="196">
        <v>0</v>
      </c>
      <c r="AL27" s="196">
        <v>0</v>
      </c>
      <c r="AM27" s="196">
        <v>0</v>
      </c>
      <c r="AN27" s="196">
        <v>0</v>
      </c>
      <c r="AO27" s="196">
        <v>0</v>
      </c>
      <c r="AP27" s="65"/>
      <c r="AQ27" s="79">
        <f t="shared" si="8"/>
        <v>0</v>
      </c>
      <c r="AR27" s="79">
        <f t="shared" si="8"/>
        <v>0</v>
      </c>
      <c r="AS27" s="79">
        <f t="shared" si="8"/>
        <v>0</v>
      </c>
      <c r="AT27" s="79">
        <f t="shared" si="8"/>
        <v>0</v>
      </c>
      <c r="AU27" s="79">
        <f t="shared" si="8"/>
        <v>0</v>
      </c>
      <c r="AV27" s="79">
        <f t="shared" si="8"/>
        <v>0</v>
      </c>
      <c r="AW27" s="79">
        <f t="shared" si="8"/>
        <v>0</v>
      </c>
      <c r="AX27" s="79">
        <f t="shared" si="8"/>
        <v>0</v>
      </c>
      <c r="AY27" s="65"/>
      <c r="AZ27" s="79">
        <f>+SUMIF($F$8:$AO$8,AZ$8,$F27:$AO27)</f>
        <v>0</v>
      </c>
      <c r="BA27" s="79">
        <f>+SUMIF($F$8:$AO$8,BA$8,$F27:$AO27)</f>
        <v>0</v>
      </c>
      <c r="BB27" s="65"/>
      <c r="BC27" s="79">
        <f>SUMIF($R$11:$AC$11, "Actual", $R27:$AC27)</f>
        <v>0</v>
      </c>
      <c r="BD27" s="79">
        <f>SUMIF($AD$11:$AO$11, "Actual", $AD27:$AO27)</f>
        <v>0</v>
      </c>
    </row>
    <row r="28" spans="2:56" hidden="1" outlineLevel="2" x14ac:dyDescent="0.45">
      <c r="B28" s="81" t="s">
        <v>839</v>
      </c>
      <c r="C28" s="81"/>
      <c r="D28" s="81"/>
      <c r="E28" s="80"/>
      <c r="F28" s="196"/>
      <c r="G28" s="196"/>
      <c r="H28" s="196"/>
      <c r="I28" s="196"/>
      <c r="J28" s="196"/>
      <c r="K28" s="196"/>
      <c r="L28" s="196"/>
      <c r="M28" s="196"/>
      <c r="N28" s="196"/>
      <c r="O28" s="196"/>
      <c r="P28" s="196"/>
      <c r="Q28" s="196"/>
      <c r="R28" s="196">
        <v>-3327934.65</v>
      </c>
      <c r="S28" s="196">
        <v>-3559867.17</v>
      </c>
      <c r="T28" s="196">
        <v>-3265118.1399999997</v>
      </c>
      <c r="U28" s="196">
        <v>-3255378.2199999997</v>
      </c>
      <c r="V28" s="196">
        <v>-2133292.391994501</v>
      </c>
      <c r="W28" s="196">
        <v>-2076367.0175672441</v>
      </c>
      <c r="X28" s="196">
        <v>-2157947.6779739251</v>
      </c>
      <c r="Y28" s="196">
        <v>-2170398.3145818035</v>
      </c>
      <c r="Z28" s="196">
        <v>-2112514.6553768441</v>
      </c>
      <c r="AA28" s="196">
        <v>-2195548.8213355704</v>
      </c>
      <c r="AB28" s="196">
        <v>-2137016.1373770097</v>
      </c>
      <c r="AC28" s="196">
        <v>-2221036.0404566629</v>
      </c>
      <c r="AD28" s="196">
        <v>-2179492.6190356216</v>
      </c>
      <c r="AE28" s="196">
        <v>-1982861.0804160142</v>
      </c>
      <c r="AF28" s="196">
        <v>-2189567.5242157304</v>
      </c>
      <c r="AG28" s="196">
        <v>-2113189.1784088844</v>
      </c>
      <c r="AH28" s="196">
        <v>-2199486.6969229826</v>
      </c>
      <c r="AI28" s="196">
        <v>-2119692.2912115697</v>
      </c>
      <c r="AJ28" s="196">
        <v>-2179809.5802360182</v>
      </c>
      <c r="AK28" s="196">
        <v>-2191468.7346207225</v>
      </c>
      <c r="AL28" s="196">
        <v>-2110374.530527134</v>
      </c>
      <c r="AM28" s="196">
        <v>-2169805.672443633</v>
      </c>
      <c r="AN28" s="196">
        <v>-2111077.1472897329</v>
      </c>
      <c r="AO28" s="196">
        <v>-2170315.9792672573</v>
      </c>
      <c r="AP28" s="65"/>
      <c r="AQ28" s="79">
        <f t="shared" ref="AQ28:AX37" si="9">+SUMIFS($G28:$AO28,$G$9:$AO$9,AQ$9,$G$8:$AO$8,AQ$8)</f>
        <v>-10152919.960000001</v>
      </c>
      <c r="AR28" s="79">
        <f t="shared" si="9"/>
        <v>-7465037.6295617456</v>
      </c>
      <c r="AS28" s="79">
        <f t="shared" si="9"/>
        <v>-6440860.6479325723</v>
      </c>
      <c r="AT28" s="79">
        <f t="shared" si="9"/>
        <v>-6553600.9991692426</v>
      </c>
      <c r="AU28" s="79">
        <f t="shared" si="9"/>
        <v>-6351921.2236673664</v>
      </c>
      <c r="AV28" s="79">
        <f t="shared" si="9"/>
        <v>-6432368.1665434372</v>
      </c>
      <c r="AW28" s="79">
        <f t="shared" si="9"/>
        <v>-6481652.8453838751</v>
      </c>
      <c r="AX28" s="79">
        <f t="shared" si="9"/>
        <v>-6451198.7990006236</v>
      </c>
      <c r="AY28" s="65"/>
      <c r="AZ28" s="79">
        <f t="shared" ref="AZ28:BA44" si="10">+SUMIF($F$8:$AO$8,AZ$8,$F28:$AO28)</f>
        <v>-30612419.236663561</v>
      </c>
      <c r="BA28" s="79">
        <f t="shared" si="10"/>
        <v>-25717141.034595303</v>
      </c>
      <c r="BB28" s="65"/>
      <c r="BC28" s="79">
        <f t="shared" ref="BC28:BC44" si="11">SUMIF($R$11:$AC$11, "Actual", $R28:$AC28)</f>
        <v>-3327934.65</v>
      </c>
      <c r="BD28" s="79">
        <f t="shared" ref="BD28:BD44" si="12">SUMIF($AD$11:$AO$11, "Actual", $AD28:$AO28)</f>
        <v>-8465110.4020762518</v>
      </c>
    </row>
    <row r="29" spans="2:56" hidden="1" outlineLevel="2" x14ac:dyDescent="0.45">
      <c r="B29" s="81" t="s">
        <v>538</v>
      </c>
      <c r="C29" s="81"/>
      <c r="D29" s="81"/>
      <c r="E29" s="80"/>
      <c r="F29" s="196"/>
      <c r="G29" s="196"/>
      <c r="H29" s="196"/>
      <c r="I29" s="196"/>
      <c r="J29" s="196"/>
      <c r="K29" s="196"/>
      <c r="L29" s="196"/>
      <c r="M29" s="196"/>
      <c r="N29" s="196"/>
      <c r="O29" s="196"/>
      <c r="P29" s="196"/>
      <c r="Q29" s="196"/>
      <c r="R29" s="196">
        <v>-85257.15</v>
      </c>
      <c r="S29" s="196">
        <v>-319164.84999999998</v>
      </c>
      <c r="T29" s="196">
        <v>-300684.20999999996</v>
      </c>
      <c r="U29" s="196">
        <v>-184239.84999999998</v>
      </c>
      <c r="V29" s="196">
        <v>-254034.72064123637</v>
      </c>
      <c r="W29" s="196">
        <v>-261328.12318165367</v>
      </c>
      <c r="X29" s="196">
        <v>-295713.44835435506</v>
      </c>
      <c r="Y29" s="196">
        <v>-344565.3082183376</v>
      </c>
      <c r="Z29" s="196">
        <v>-404255.05295383389</v>
      </c>
      <c r="AA29" s="196">
        <v>-430918.10283808241</v>
      </c>
      <c r="AB29" s="196">
        <v>-474503.16724815062</v>
      </c>
      <c r="AC29" s="196">
        <v>-601219.08369355788</v>
      </c>
      <c r="AD29" s="196">
        <v>-472511.92868728237</v>
      </c>
      <c r="AE29" s="196">
        <v>-463445.92378374055</v>
      </c>
      <c r="AF29" s="196">
        <v>-513229.65763310943</v>
      </c>
      <c r="AG29" s="196">
        <v>-545402.26279591222</v>
      </c>
      <c r="AH29" s="196">
        <v>-615178.52291782433</v>
      </c>
      <c r="AI29" s="196">
        <v>-664395.38497309084</v>
      </c>
      <c r="AJ29" s="196">
        <v>-747986.34154965705</v>
      </c>
      <c r="AK29" s="196">
        <v>-834774.6771166689</v>
      </c>
      <c r="AL29" s="196">
        <v>-918983.64097539638</v>
      </c>
      <c r="AM29" s="196">
        <v>-1052910.5451369463</v>
      </c>
      <c r="AN29" s="196">
        <v>-1131163.0311400429</v>
      </c>
      <c r="AO29" s="196">
        <v>-1252795.6614319168</v>
      </c>
      <c r="AP29" s="65"/>
      <c r="AQ29" s="79">
        <f t="shared" si="9"/>
        <v>-705106.21</v>
      </c>
      <c r="AR29" s="79">
        <f t="shared" si="9"/>
        <v>-699602.69382289005</v>
      </c>
      <c r="AS29" s="79">
        <f t="shared" si="9"/>
        <v>-1044533.8095265266</v>
      </c>
      <c r="AT29" s="79">
        <f t="shared" si="9"/>
        <v>-1506640.3537797909</v>
      </c>
      <c r="AU29" s="79">
        <f t="shared" si="9"/>
        <v>-1449187.5101041324</v>
      </c>
      <c r="AV29" s="79">
        <f t="shared" si="9"/>
        <v>-1824976.1706868273</v>
      </c>
      <c r="AW29" s="79">
        <f t="shared" si="9"/>
        <v>-2501744.6596417222</v>
      </c>
      <c r="AX29" s="79">
        <f t="shared" si="9"/>
        <v>-3436869.2377089057</v>
      </c>
      <c r="AY29" s="65"/>
      <c r="AZ29" s="79">
        <f t="shared" si="10"/>
        <v>-3955883.0671292073</v>
      </c>
      <c r="BA29" s="79">
        <f t="shared" si="10"/>
        <v>-9212777.5781415869</v>
      </c>
      <c r="BB29" s="65"/>
      <c r="BC29" s="79">
        <f t="shared" si="11"/>
        <v>-85257.15</v>
      </c>
      <c r="BD29" s="79">
        <f t="shared" si="12"/>
        <v>-1994589.7729000445</v>
      </c>
    </row>
    <row r="30" spans="2:56" hidden="1" outlineLevel="2" x14ac:dyDescent="0.45">
      <c r="B30" s="81" t="s">
        <v>840</v>
      </c>
      <c r="C30" s="81"/>
      <c r="D30" s="81"/>
      <c r="E30" s="80"/>
      <c r="F30" s="196"/>
      <c r="G30" s="196"/>
      <c r="H30" s="196"/>
      <c r="I30" s="196"/>
      <c r="J30" s="196"/>
      <c r="K30" s="196"/>
      <c r="L30" s="196"/>
      <c r="M30" s="196"/>
      <c r="N30" s="196"/>
      <c r="O30" s="196"/>
      <c r="P30" s="196"/>
      <c r="Q30" s="196"/>
      <c r="R30" s="196">
        <v>0</v>
      </c>
      <c r="S30" s="196">
        <v>-189468.59</v>
      </c>
      <c r="T30" s="196">
        <v>-149272.64999999997</v>
      </c>
      <c r="U30" s="196">
        <v>-162374.44999999998</v>
      </c>
      <c r="V30" s="196">
        <v>-213984.40778656525</v>
      </c>
      <c r="W30" s="196">
        <v>-237848.86887065065</v>
      </c>
      <c r="X30" s="196">
        <v>-266295.43616749556</v>
      </c>
      <c r="Y30" s="196">
        <v>-299167.50305633072</v>
      </c>
      <c r="Z30" s="196">
        <v>-338894.02679854399</v>
      </c>
      <c r="AA30" s="196">
        <v>-377869.25570817268</v>
      </c>
      <c r="AB30" s="196">
        <v>-405406.23240467726</v>
      </c>
      <c r="AC30" s="196">
        <v>-435024.15376742231</v>
      </c>
      <c r="AD30" s="196">
        <v>-341590.76249631302</v>
      </c>
      <c r="AE30" s="196">
        <v>-325664.26527950366</v>
      </c>
      <c r="AF30" s="196">
        <v>-402988.90435882</v>
      </c>
      <c r="AG30" s="196">
        <v>-437368.29008424509</v>
      </c>
      <c r="AH30" s="196">
        <v>-505258.27549002523</v>
      </c>
      <c r="AI30" s="196">
        <v>-545384.72491420317</v>
      </c>
      <c r="AJ30" s="196">
        <v>-625877.32898014435</v>
      </c>
      <c r="AK30" s="196">
        <v>-692549.66086881235</v>
      </c>
      <c r="AL30" s="196">
        <v>-739718.95613065048</v>
      </c>
      <c r="AM30" s="196">
        <v>-840347.67247909133</v>
      </c>
      <c r="AN30" s="196">
        <v>-912583.80065860867</v>
      </c>
      <c r="AO30" s="196">
        <v>-1033093.7100103063</v>
      </c>
      <c r="AP30" s="65"/>
      <c r="AQ30" s="79">
        <f t="shared" si="9"/>
        <v>-338741.24</v>
      </c>
      <c r="AR30" s="79">
        <f t="shared" si="9"/>
        <v>-614207.72665721586</v>
      </c>
      <c r="AS30" s="79">
        <f t="shared" si="9"/>
        <v>-904356.96602237027</v>
      </c>
      <c r="AT30" s="79">
        <f t="shared" si="9"/>
        <v>-1218299.6418802722</v>
      </c>
      <c r="AU30" s="79">
        <f t="shared" si="9"/>
        <v>-1070243.9321346367</v>
      </c>
      <c r="AV30" s="79">
        <f t="shared" si="9"/>
        <v>-1488011.2904884736</v>
      </c>
      <c r="AW30" s="79">
        <f t="shared" si="9"/>
        <v>-2058145.9459796073</v>
      </c>
      <c r="AX30" s="79">
        <f t="shared" si="9"/>
        <v>-2786025.1831480064</v>
      </c>
      <c r="AY30" s="65"/>
      <c r="AZ30" s="79">
        <f t="shared" si="10"/>
        <v>-3075605.5745598585</v>
      </c>
      <c r="BA30" s="79">
        <f t="shared" si="10"/>
        <v>-7402426.351750724</v>
      </c>
      <c r="BB30" s="65"/>
      <c r="BC30" s="79">
        <f t="shared" si="11"/>
        <v>0</v>
      </c>
      <c r="BD30" s="79">
        <f t="shared" si="12"/>
        <v>-1507612.2222188818</v>
      </c>
    </row>
    <row r="31" spans="2:56" hidden="1" outlineLevel="2" x14ac:dyDescent="0.45">
      <c r="B31" s="81" t="s">
        <v>1045</v>
      </c>
      <c r="C31" s="81"/>
      <c r="D31" s="81"/>
      <c r="E31" s="80"/>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v>-2733.8717901015248</v>
      </c>
      <c r="AE31" s="196">
        <v>-2733.8717901015248</v>
      </c>
      <c r="AF31" s="196">
        <v>-5474.3712616489056</v>
      </c>
      <c r="AG31" s="196">
        <v>-31167.100423294567</v>
      </c>
      <c r="AH31" s="196">
        <v>-43818.219798980877</v>
      </c>
      <c r="AI31" s="196">
        <v>-53053.970369419563</v>
      </c>
      <c r="AJ31" s="196">
        <v>-59385.70777371763</v>
      </c>
      <c r="AK31" s="196">
        <v>-110706.72066290896</v>
      </c>
      <c r="AL31" s="196">
        <v>-114287.85418658677</v>
      </c>
      <c r="AM31" s="196">
        <v>-119820.53653732283</v>
      </c>
      <c r="AN31" s="196">
        <v>-140298.42565553245</v>
      </c>
      <c r="AO31" s="196">
        <v>-182361.29881274747</v>
      </c>
      <c r="AP31" s="65"/>
      <c r="AQ31" s="79">
        <f t="shared" si="9"/>
        <v>0</v>
      </c>
      <c r="AR31" s="79">
        <f t="shared" si="9"/>
        <v>0</v>
      </c>
      <c r="AS31" s="79">
        <f t="shared" si="9"/>
        <v>0</v>
      </c>
      <c r="AT31" s="79">
        <f t="shared" si="9"/>
        <v>0</v>
      </c>
      <c r="AU31" s="79">
        <f t="shared" si="9"/>
        <v>-10942.114841851955</v>
      </c>
      <c r="AV31" s="79">
        <f t="shared" si="9"/>
        <v>-128039.29059169501</v>
      </c>
      <c r="AW31" s="79">
        <f t="shared" si="9"/>
        <v>-284380.28262321337</v>
      </c>
      <c r="AX31" s="79">
        <f t="shared" si="9"/>
        <v>-442480.26100560278</v>
      </c>
      <c r="AY31" s="65"/>
      <c r="AZ31" s="79">
        <f t="shared" si="10"/>
        <v>0</v>
      </c>
      <c r="BA31" s="79">
        <f t="shared" si="10"/>
        <v>-865841.94906236301</v>
      </c>
      <c r="BB31" s="65"/>
      <c r="BC31" s="79">
        <f t="shared" si="11"/>
        <v>0</v>
      </c>
      <c r="BD31" s="79">
        <f t="shared" si="12"/>
        <v>-42109.215265146522</v>
      </c>
    </row>
    <row r="32" spans="2:56" hidden="1" outlineLevel="2" x14ac:dyDescent="0.45">
      <c r="B32" s="81" t="s">
        <v>832</v>
      </c>
      <c r="C32" s="81"/>
      <c r="D32" s="81"/>
      <c r="E32" s="80"/>
      <c r="F32" s="196"/>
      <c r="G32" s="196"/>
      <c r="H32" s="196"/>
      <c r="I32" s="196"/>
      <c r="J32" s="196"/>
      <c r="K32" s="196"/>
      <c r="L32" s="196"/>
      <c r="M32" s="196"/>
      <c r="N32" s="196"/>
      <c r="O32" s="196"/>
      <c r="P32" s="196"/>
      <c r="Q32" s="196"/>
      <c r="R32" s="196">
        <v>0</v>
      </c>
      <c r="S32" s="196">
        <v>0</v>
      </c>
      <c r="T32" s="196">
        <v>0</v>
      </c>
      <c r="U32" s="196">
        <v>0</v>
      </c>
      <c r="V32" s="196">
        <v>0</v>
      </c>
      <c r="W32" s="196">
        <v>-62425.397862536061</v>
      </c>
      <c r="X32" s="196">
        <v>-52143.071676203275</v>
      </c>
      <c r="Y32" s="196">
        <v>0</v>
      </c>
      <c r="Z32" s="196">
        <v>0</v>
      </c>
      <c r="AA32" s="196">
        <v>0</v>
      </c>
      <c r="AB32" s="196">
        <v>0</v>
      </c>
      <c r="AC32" s="196">
        <v>0</v>
      </c>
      <c r="AD32" s="196">
        <v>0</v>
      </c>
      <c r="AE32" s="196">
        <v>0</v>
      </c>
      <c r="AF32" s="196">
        <v>0</v>
      </c>
      <c r="AG32" s="196">
        <v>0</v>
      </c>
      <c r="AH32" s="196">
        <v>0</v>
      </c>
      <c r="AI32" s="196">
        <v>-65585.462413005924</v>
      </c>
      <c r="AJ32" s="196">
        <v>-179253.97928694263</v>
      </c>
      <c r="AK32" s="196">
        <v>0</v>
      </c>
      <c r="AL32" s="196">
        <v>0</v>
      </c>
      <c r="AM32" s="196">
        <v>0</v>
      </c>
      <c r="AN32" s="196">
        <v>0</v>
      </c>
      <c r="AO32" s="196">
        <v>0</v>
      </c>
      <c r="AP32" s="65"/>
      <c r="AQ32" s="79">
        <f t="shared" si="9"/>
        <v>0</v>
      </c>
      <c r="AR32" s="79">
        <f t="shared" si="9"/>
        <v>-62425.397862536061</v>
      </c>
      <c r="AS32" s="79">
        <f t="shared" si="9"/>
        <v>-52143.071676203275</v>
      </c>
      <c r="AT32" s="79">
        <f t="shared" si="9"/>
        <v>0</v>
      </c>
      <c r="AU32" s="79">
        <f t="shared" si="9"/>
        <v>0</v>
      </c>
      <c r="AV32" s="79">
        <f t="shared" si="9"/>
        <v>-65585.462413005924</v>
      </c>
      <c r="AW32" s="79">
        <f t="shared" si="9"/>
        <v>-179253.97928694263</v>
      </c>
      <c r="AX32" s="79">
        <f t="shared" si="9"/>
        <v>0</v>
      </c>
      <c r="AY32" s="65"/>
      <c r="AZ32" s="79">
        <f t="shared" si="10"/>
        <v>-114568.46953873933</v>
      </c>
      <c r="BA32" s="79">
        <f t="shared" si="10"/>
        <v>-244839.44169994857</v>
      </c>
      <c r="BB32" s="65"/>
      <c r="BC32" s="79">
        <f t="shared" si="11"/>
        <v>0</v>
      </c>
      <c r="BD32" s="79">
        <f t="shared" si="12"/>
        <v>0</v>
      </c>
    </row>
    <row r="33" spans="2:56" hidden="1" outlineLevel="2" x14ac:dyDescent="0.45">
      <c r="B33" s="81" t="s">
        <v>833</v>
      </c>
      <c r="C33" s="81"/>
      <c r="D33" s="81"/>
      <c r="E33" s="80"/>
      <c r="F33" s="196"/>
      <c r="G33" s="196"/>
      <c r="H33" s="196"/>
      <c r="I33" s="196"/>
      <c r="J33" s="196"/>
      <c r="K33" s="196"/>
      <c r="L33" s="196"/>
      <c r="M33" s="196"/>
      <c r="N33" s="196"/>
      <c r="O33" s="196"/>
      <c r="P33" s="196"/>
      <c r="Q33" s="196"/>
      <c r="R33" s="196">
        <v>0</v>
      </c>
      <c r="S33" s="196">
        <v>0</v>
      </c>
      <c r="T33" s="196">
        <v>0</v>
      </c>
      <c r="U33" s="196">
        <v>0</v>
      </c>
      <c r="V33" s="196">
        <v>-48640</v>
      </c>
      <c r="W33" s="196">
        <v>-49640</v>
      </c>
      <c r="X33" s="196">
        <v>-49640</v>
      </c>
      <c r="Y33" s="196">
        <v>-53920</v>
      </c>
      <c r="Z33" s="196">
        <v>-59359.999999999993</v>
      </c>
      <c r="AA33" s="196">
        <v>-59359.999999999993</v>
      </c>
      <c r="AB33" s="196">
        <v>-62760</v>
      </c>
      <c r="AC33" s="196">
        <v>-71040</v>
      </c>
      <c r="AD33" s="196">
        <v>-48880</v>
      </c>
      <c r="AE33" s="196">
        <v>-49480</v>
      </c>
      <c r="AF33" s="196">
        <v>-55080</v>
      </c>
      <c r="AG33" s="196">
        <v>-61480</v>
      </c>
      <c r="AH33" s="196">
        <v>-68720</v>
      </c>
      <c r="AI33" s="196">
        <v>-70800</v>
      </c>
      <c r="AJ33" s="196">
        <v>-75080</v>
      </c>
      <c r="AK33" s="196">
        <v>-80480</v>
      </c>
      <c r="AL33" s="196">
        <v>-86280</v>
      </c>
      <c r="AM33" s="196">
        <v>-92080</v>
      </c>
      <c r="AN33" s="196">
        <v>-94280</v>
      </c>
      <c r="AO33" s="196">
        <v>-96080</v>
      </c>
      <c r="AP33" s="65"/>
      <c r="AQ33" s="79">
        <f t="shared" si="9"/>
        <v>0</v>
      </c>
      <c r="AR33" s="79">
        <f t="shared" si="9"/>
        <v>-98280</v>
      </c>
      <c r="AS33" s="79">
        <f t="shared" si="9"/>
        <v>-162920</v>
      </c>
      <c r="AT33" s="79">
        <f t="shared" si="9"/>
        <v>-193160</v>
      </c>
      <c r="AU33" s="79">
        <f t="shared" si="9"/>
        <v>-153440</v>
      </c>
      <c r="AV33" s="79">
        <f t="shared" si="9"/>
        <v>-201000</v>
      </c>
      <c r="AW33" s="79">
        <f t="shared" si="9"/>
        <v>-241840</v>
      </c>
      <c r="AX33" s="79">
        <f t="shared" si="9"/>
        <v>-282440</v>
      </c>
      <c r="AY33" s="65"/>
      <c r="AZ33" s="79">
        <f t="shared" si="10"/>
        <v>-454360</v>
      </c>
      <c r="BA33" s="79">
        <f t="shared" si="10"/>
        <v>-878720</v>
      </c>
      <c r="BB33" s="65"/>
      <c r="BC33" s="79">
        <f t="shared" si="11"/>
        <v>0</v>
      </c>
      <c r="BD33" s="79">
        <f t="shared" si="12"/>
        <v>-214920</v>
      </c>
    </row>
    <row r="34" spans="2:56" hidden="1" outlineLevel="2" x14ac:dyDescent="0.45">
      <c r="B34" s="81" t="s">
        <v>841</v>
      </c>
      <c r="C34" s="81"/>
      <c r="D34" s="81"/>
      <c r="E34" s="80"/>
      <c r="F34" s="196"/>
      <c r="G34" s="196"/>
      <c r="H34" s="196"/>
      <c r="I34" s="196"/>
      <c r="J34" s="196"/>
      <c r="K34" s="196"/>
      <c r="L34" s="196"/>
      <c r="M34" s="196"/>
      <c r="N34" s="196"/>
      <c r="O34" s="196"/>
      <c r="P34" s="196"/>
      <c r="Q34" s="196"/>
      <c r="R34" s="263">
        <v>-527434.38</v>
      </c>
      <c r="S34" s="196">
        <v>-369184.66</v>
      </c>
      <c r="T34" s="196">
        <v>-538538.61</v>
      </c>
      <c r="U34" s="196">
        <v>-191164.4</v>
      </c>
      <c r="V34" s="196">
        <v>-268496.97245845228</v>
      </c>
      <c r="W34" s="196">
        <v>-377002.33568752534</v>
      </c>
      <c r="X34" s="196">
        <v>-512350.68787975068</v>
      </c>
      <c r="Y34" s="196">
        <v>-303561.87240947061</v>
      </c>
      <c r="Z34" s="196">
        <v>-337268.32778570574</v>
      </c>
      <c r="AA34" s="196">
        <v>-337677.69087005459</v>
      </c>
      <c r="AB34" s="196">
        <v>-351019.1680095499</v>
      </c>
      <c r="AC34" s="196">
        <v>-399180.02960084711</v>
      </c>
      <c r="AD34" s="196">
        <v>-498163.27522979671</v>
      </c>
      <c r="AE34" s="196">
        <v>-500280.10811978503</v>
      </c>
      <c r="AF34" s="196">
        <v>-554094.40792913386</v>
      </c>
      <c r="AG34" s="196">
        <v>-646352.29857315496</v>
      </c>
      <c r="AH34" s="196">
        <v>-693025.94499259919</v>
      </c>
      <c r="AI34" s="196">
        <v>-732606.06546155608</v>
      </c>
      <c r="AJ34" s="196">
        <v>-786360.45326627791</v>
      </c>
      <c r="AK34" s="196">
        <v>-809545.47658838681</v>
      </c>
      <c r="AL34" s="196">
        <v>-836693.3931476596</v>
      </c>
      <c r="AM34" s="196">
        <v>-863906.07587892446</v>
      </c>
      <c r="AN34" s="196">
        <v>-985735.11812258617</v>
      </c>
      <c r="AO34" s="196">
        <v>-1083824.057013806</v>
      </c>
      <c r="AP34" s="65"/>
      <c r="AQ34" s="79">
        <f t="shared" si="9"/>
        <v>-1435157.65</v>
      </c>
      <c r="AR34" s="79">
        <f t="shared" si="9"/>
        <v>-836663.70814597758</v>
      </c>
      <c r="AS34" s="79">
        <f t="shared" si="9"/>
        <v>-1153180.888074927</v>
      </c>
      <c r="AT34" s="79">
        <f t="shared" si="9"/>
        <v>-1087876.8884804517</v>
      </c>
      <c r="AU34" s="79">
        <f t="shared" si="9"/>
        <v>-1552537.7912787157</v>
      </c>
      <c r="AV34" s="79">
        <f t="shared" si="9"/>
        <v>-2071984.30902731</v>
      </c>
      <c r="AW34" s="79">
        <f t="shared" si="9"/>
        <v>-2432599.3230023244</v>
      </c>
      <c r="AX34" s="79">
        <f t="shared" si="9"/>
        <v>-2933465.2510153167</v>
      </c>
      <c r="AY34" s="65"/>
      <c r="AZ34" s="79">
        <f t="shared" si="10"/>
        <v>-4512879.1347013554</v>
      </c>
      <c r="BA34" s="79">
        <f t="shared" si="10"/>
        <v>-8990586.6743236668</v>
      </c>
      <c r="BB34" s="65"/>
      <c r="BC34" s="79">
        <f t="shared" si="11"/>
        <v>-527434.38</v>
      </c>
      <c r="BD34" s="79">
        <f t="shared" si="12"/>
        <v>-2198890.0898518707</v>
      </c>
    </row>
    <row r="35" spans="2:56" hidden="1" outlineLevel="1" collapsed="1" x14ac:dyDescent="0.45">
      <c r="B35" s="49" t="s">
        <v>867</v>
      </c>
      <c r="C35" s="49"/>
      <c r="D35" s="50"/>
      <c r="E35" s="50">
        <f t="shared" ref="E35:AC35" si="13">+SUM(E19:E34)</f>
        <v>0</v>
      </c>
      <c r="F35" s="50">
        <f t="shared" si="13"/>
        <v>0</v>
      </c>
      <c r="G35" s="50">
        <f t="shared" si="13"/>
        <v>0</v>
      </c>
      <c r="H35" s="50">
        <f t="shared" si="13"/>
        <v>0</v>
      </c>
      <c r="I35" s="50">
        <f t="shared" si="13"/>
        <v>0</v>
      </c>
      <c r="J35" s="50">
        <f t="shared" si="13"/>
        <v>0</v>
      </c>
      <c r="K35" s="50">
        <f t="shared" si="13"/>
        <v>0</v>
      </c>
      <c r="L35" s="50">
        <f t="shared" si="13"/>
        <v>0</v>
      </c>
      <c r="M35" s="50">
        <f t="shared" si="13"/>
        <v>0</v>
      </c>
      <c r="N35" s="50">
        <f t="shared" si="13"/>
        <v>0</v>
      </c>
      <c r="O35" s="50">
        <f t="shared" si="13"/>
        <v>0</v>
      </c>
      <c r="P35" s="50">
        <f t="shared" si="13"/>
        <v>0</v>
      </c>
      <c r="Q35" s="50">
        <f t="shared" si="13"/>
        <v>0</v>
      </c>
      <c r="R35" s="50">
        <f t="shared" si="13"/>
        <v>4954369.3599999985</v>
      </c>
      <c r="S35" s="50">
        <f t="shared" si="13"/>
        <v>4350154.5399999991</v>
      </c>
      <c r="T35" s="50">
        <f t="shared" si="13"/>
        <v>4924728.7499999991</v>
      </c>
      <c r="U35" s="50">
        <f t="shared" si="13"/>
        <v>7471585.2999999952</v>
      </c>
      <c r="V35" s="50">
        <f t="shared" si="13"/>
        <v>6716910.4687492438</v>
      </c>
      <c r="W35" s="50">
        <f t="shared" si="13"/>
        <v>7342994.4667269513</v>
      </c>
      <c r="X35" s="50">
        <f t="shared" si="13"/>
        <v>7674752.0403678482</v>
      </c>
      <c r="Y35" s="50">
        <f t="shared" si="13"/>
        <v>8380348.0278210472</v>
      </c>
      <c r="Z35" s="50">
        <f t="shared" si="13"/>
        <v>8873473.7701839507</v>
      </c>
      <c r="AA35" s="50">
        <f t="shared" si="13"/>
        <v>9487660.4420834668</v>
      </c>
      <c r="AB35" s="50">
        <f t="shared" si="13"/>
        <v>9780378.664426405</v>
      </c>
      <c r="AC35" s="50">
        <f t="shared" si="13"/>
        <v>10265492.973062744</v>
      </c>
      <c r="AD35" s="50">
        <f t="shared" ref="AD35:AO35" si="14">SUM(AD26:AD34)</f>
        <v>-8170478.6897109989</v>
      </c>
      <c r="AE35" s="50">
        <f t="shared" si="14"/>
        <v>-7726822.6892931545</v>
      </c>
      <c r="AF35" s="50">
        <f t="shared" si="14"/>
        <v>-9186008.9473229349</v>
      </c>
      <c r="AG35" s="50">
        <f t="shared" si="14"/>
        <v>-9565985.7506822776</v>
      </c>
      <c r="AH35" s="50">
        <f t="shared" si="14"/>
        <v>-10569474.062967841</v>
      </c>
      <c r="AI35" s="50">
        <f t="shared" si="14"/>
        <v>-11232880.18804414</v>
      </c>
      <c r="AJ35" s="50">
        <f t="shared" si="14"/>
        <v>-12703731.255052192</v>
      </c>
      <c r="AK35" s="50">
        <f t="shared" si="14"/>
        <v>-12903979.667785812</v>
      </c>
      <c r="AL35" s="50">
        <f t="shared" si="14"/>
        <v>-13550204.732410092</v>
      </c>
      <c r="AM35" s="50">
        <f t="shared" si="14"/>
        <v>-15086138.936916228</v>
      </c>
      <c r="AN35" s="50">
        <f t="shared" si="14"/>
        <v>-16433286.668555718</v>
      </c>
      <c r="AO35" s="50">
        <f t="shared" si="14"/>
        <v>-18142221.997827973</v>
      </c>
      <c r="AP35" s="65"/>
      <c r="AQ35" s="62">
        <f t="shared" si="9"/>
        <v>14229252.649999999</v>
      </c>
      <c r="AR35" s="62">
        <f t="shared" si="9"/>
        <v>21531490.235476188</v>
      </c>
      <c r="AS35" s="62">
        <f t="shared" si="9"/>
        <v>24928573.838372845</v>
      </c>
      <c r="AT35" s="62">
        <f t="shared" si="9"/>
        <v>29533532.079572618</v>
      </c>
      <c r="AU35" s="62">
        <f t="shared" si="9"/>
        <v>-25083310.326327089</v>
      </c>
      <c r="AV35" s="62">
        <f t="shared" si="9"/>
        <v>-31368340.001694255</v>
      </c>
      <c r="AW35" s="62">
        <f t="shared" si="9"/>
        <v>-39157915.655248091</v>
      </c>
      <c r="AX35" s="62">
        <f t="shared" si="9"/>
        <v>-49661647.603299916</v>
      </c>
      <c r="AY35" s="65"/>
      <c r="AZ35" s="62">
        <f t="shared" si="10"/>
        <v>90222848.803421646</v>
      </c>
      <c r="BA35" s="62">
        <f t="shared" si="10"/>
        <v>-145271213.58656934</v>
      </c>
      <c r="BB35" s="65"/>
      <c r="BC35" s="62">
        <f t="shared" si="11"/>
        <v>4954369.3599999985</v>
      </c>
      <c r="BD35" s="62">
        <f t="shared" si="12"/>
        <v>-34649296.077009365</v>
      </c>
    </row>
    <row r="36" spans="2:56" hidden="1" outlineLevel="2" x14ac:dyDescent="0.45">
      <c r="B36" s="81" t="s">
        <v>837</v>
      </c>
      <c r="C36" s="81"/>
      <c r="D36" s="81"/>
      <c r="E36" s="80"/>
      <c r="F36" s="196"/>
      <c r="G36" s="196"/>
      <c r="H36" s="196"/>
      <c r="I36" s="196"/>
      <c r="J36" s="196"/>
      <c r="K36" s="196"/>
      <c r="L36" s="196"/>
      <c r="M36" s="196"/>
      <c r="N36" s="196"/>
      <c r="O36" s="196"/>
      <c r="P36" s="196"/>
      <c r="Q36" s="196"/>
      <c r="R36" s="196">
        <v>-79451.8</v>
      </c>
      <c r="S36" s="196">
        <v>-78855.899999999994</v>
      </c>
      <c r="T36" s="196">
        <v>-149211.66</v>
      </c>
      <c r="U36" s="196">
        <v>-178801</v>
      </c>
      <c r="V36" s="196">
        <v>-177560</v>
      </c>
      <c r="W36" s="196">
        <v>-210160</v>
      </c>
      <c r="X36" s="196">
        <v>-210160</v>
      </c>
      <c r="Y36" s="196">
        <v>-210160</v>
      </c>
      <c r="Z36" s="196">
        <v>-210160</v>
      </c>
      <c r="AA36" s="196">
        <v>-210160</v>
      </c>
      <c r="AB36" s="196">
        <v>-210160</v>
      </c>
      <c r="AC36" s="196">
        <v>-242760</v>
      </c>
      <c r="AD36" s="196">
        <v>-147028</v>
      </c>
      <c r="AE36" s="196">
        <v>-147028</v>
      </c>
      <c r="AF36" s="196">
        <v>-168032</v>
      </c>
      <c r="AG36" s="196">
        <v>-210040</v>
      </c>
      <c r="AH36" s="196">
        <v>-231044</v>
      </c>
      <c r="AI36" s="196">
        <v>-252048</v>
      </c>
      <c r="AJ36" s="196">
        <v>-294056</v>
      </c>
      <c r="AK36" s="196">
        <v>-294056</v>
      </c>
      <c r="AL36" s="196">
        <v>-294056</v>
      </c>
      <c r="AM36" s="196">
        <v>-294056</v>
      </c>
      <c r="AN36" s="196">
        <v>-378072</v>
      </c>
      <c r="AO36" s="196">
        <v>-441084</v>
      </c>
      <c r="AP36" s="65"/>
      <c r="AQ36" s="79">
        <f t="shared" si="9"/>
        <v>-307519.35999999999</v>
      </c>
      <c r="AR36" s="79">
        <f t="shared" si="9"/>
        <v>-566521</v>
      </c>
      <c r="AS36" s="79">
        <f t="shared" si="9"/>
        <v>-630480</v>
      </c>
      <c r="AT36" s="79">
        <f t="shared" si="9"/>
        <v>-663080</v>
      </c>
      <c r="AU36" s="79">
        <f t="shared" si="9"/>
        <v>-462088</v>
      </c>
      <c r="AV36" s="79">
        <f t="shared" si="9"/>
        <v>-693132</v>
      </c>
      <c r="AW36" s="79">
        <f t="shared" si="9"/>
        <v>-882168</v>
      </c>
      <c r="AX36" s="79">
        <f t="shared" si="9"/>
        <v>-1113212</v>
      </c>
      <c r="AY36" s="65"/>
      <c r="AZ36" s="79">
        <f t="shared" si="10"/>
        <v>-2167600.36</v>
      </c>
      <c r="BA36" s="79">
        <f t="shared" si="10"/>
        <v>-3150600</v>
      </c>
      <c r="BB36" s="65"/>
      <c r="BC36" s="79">
        <f t="shared" si="11"/>
        <v>-79451.8</v>
      </c>
      <c r="BD36" s="79">
        <f t="shared" si="12"/>
        <v>-672128</v>
      </c>
    </row>
    <row r="37" spans="2:56" hidden="1" outlineLevel="2" x14ac:dyDescent="0.45">
      <c r="B37" s="81" t="s">
        <v>836</v>
      </c>
      <c r="C37" s="81"/>
      <c r="D37" s="81"/>
      <c r="E37" s="80"/>
      <c r="F37" s="196"/>
      <c r="G37" s="196"/>
      <c r="H37" s="196"/>
      <c r="I37" s="196"/>
      <c r="J37" s="196"/>
      <c r="K37" s="196"/>
      <c r="L37" s="196"/>
      <c r="M37" s="196"/>
      <c r="N37" s="196"/>
      <c r="O37" s="196"/>
      <c r="P37" s="196"/>
      <c r="Q37" s="196"/>
      <c r="R37" s="196">
        <v>-121176</v>
      </c>
      <c r="S37" s="196">
        <v>-121176</v>
      </c>
      <c r="T37" s="196">
        <v>-121176</v>
      </c>
      <c r="U37" s="196">
        <v>-113601</v>
      </c>
      <c r="V37" s="196">
        <v>-144800</v>
      </c>
      <c r="W37" s="196">
        <v>-181000</v>
      </c>
      <c r="X37" s="196">
        <v>-181000</v>
      </c>
      <c r="Y37" s="196">
        <v>-181000</v>
      </c>
      <c r="Z37" s="196">
        <v>-217200</v>
      </c>
      <c r="AA37" s="196">
        <v>-217200</v>
      </c>
      <c r="AB37" s="196">
        <v>-217200</v>
      </c>
      <c r="AC37" s="196">
        <v>-253400</v>
      </c>
      <c r="AD37" s="196">
        <v>-253400</v>
      </c>
      <c r="AE37" s="196">
        <v>-253400</v>
      </c>
      <c r="AF37" s="196">
        <v>-289600</v>
      </c>
      <c r="AG37" s="196">
        <v>-181000</v>
      </c>
      <c r="AH37" s="196">
        <v>-199100</v>
      </c>
      <c r="AI37" s="196">
        <v>-217200</v>
      </c>
      <c r="AJ37" s="196">
        <v>-253400</v>
      </c>
      <c r="AK37" s="196">
        <v>-253400</v>
      </c>
      <c r="AL37" s="196">
        <v>-253400</v>
      </c>
      <c r="AM37" s="196">
        <v>-253400</v>
      </c>
      <c r="AN37" s="196">
        <v>-325800</v>
      </c>
      <c r="AO37" s="196">
        <v>-380100</v>
      </c>
      <c r="AP37" s="65"/>
      <c r="AQ37" s="79">
        <f t="shared" si="9"/>
        <v>-363528</v>
      </c>
      <c r="AR37" s="79">
        <f t="shared" si="9"/>
        <v>-439401</v>
      </c>
      <c r="AS37" s="79">
        <f t="shared" si="9"/>
        <v>-579200</v>
      </c>
      <c r="AT37" s="79">
        <f t="shared" si="9"/>
        <v>-687800</v>
      </c>
      <c r="AU37" s="79">
        <f t="shared" si="9"/>
        <v>-796400</v>
      </c>
      <c r="AV37" s="79">
        <f t="shared" si="9"/>
        <v>-597300</v>
      </c>
      <c r="AW37" s="79">
        <f t="shared" si="9"/>
        <v>-760200</v>
      </c>
      <c r="AX37" s="79">
        <f t="shared" si="9"/>
        <v>-959300</v>
      </c>
      <c r="AY37" s="65"/>
      <c r="AZ37" s="79">
        <f t="shared" si="10"/>
        <v>-2069929</v>
      </c>
      <c r="BA37" s="79">
        <f t="shared" si="10"/>
        <v>-3113200</v>
      </c>
      <c r="BB37" s="65"/>
      <c r="BC37" s="79">
        <f t="shared" si="11"/>
        <v>-121176</v>
      </c>
      <c r="BD37" s="79">
        <f t="shared" si="12"/>
        <v>-977400</v>
      </c>
    </row>
    <row r="38" spans="2:56" hidden="1" outlineLevel="2" x14ac:dyDescent="0.45">
      <c r="B38" s="81" t="s">
        <v>838</v>
      </c>
      <c r="C38" s="81"/>
      <c r="D38" s="81"/>
      <c r="E38" s="80"/>
      <c r="F38" s="196"/>
      <c r="G38" s="196"/>
      <c r="H38" s="196"/>
      <c r="I38" s="196"/>
      <c r="J38" s="196"/>
      <c r="K38" s="196"/>
      <c r="L38" s="196"/>
      <c r="M38" s="196"/>
      <c r="N38" s="196"/>
      <c r="O38" s="196"/>
      <c r="P38" s="196"/>
      <c r="Q38" s="196"/>
      <c r="R38" s="196">
        <v>0</v>
      </c>
      <c r="S38" s="196">
        <v>0</v>
      </c>
      <c r="T38" s="196">
        <v>0</v>
      </c>
      <c r="U38" s="196">
        <v>0</v>
      </c>
      <c r="V38" s="196">
        <v>-13200</v>
      </c>
      <c r="W38" s="196">
        <v>-16500</v>
      </c>
      <c r="X38" s="196">
        <v>-16500</v>
      </c>
      <c r="Y38" s="196">
        <v>-16500</v>
      </c>
      <c r="Z38" s="196">
        <v>-19800</v>
      </c>
      <c r="AA38" s="196">
        <v>-19800</v>
      </c>
      <c r="AB38" s="196">
        <v>-19800</v>
      </c>
      <c r="AC38" s="196">
        <v>-23100</v>
      </c>
      <c r="AD38" s="196">
        <v>-84000</v>
      </c>
      <c r="AE38" s="196">
        <v>-84000</v>
      </c>
      <c r="AF38" s="196">
        <v>-96000</v>
      </c>
      <c r="AG38" s="196">
        <v>-120000</v>
      </c>
      <c r="AH38" s="196">
        <v>-132000</v>
      </c>
      <c r="AI38" s="196">
        <v>-144000</v>
      </c>
      <c r="AJ38" s="196">
        <v>-168000</v>
      </c>
      <c r="AK38" s="196">
        <v>-168000</v>
      </c>
      <c r="AL38" s="196">
        <v>-168000</v>
      </c>
      <c r="AM38" s="196">
        <v>-168000</v>
      </c>
      <c r="AN38" s="196">
        <v>-216000</v>
      </c>
      <c r="AO38" s="196">
        <v>-252000</v>
      </c>
      <c r="AP38" s="65"/>
      <c r="AQ38" s="79">
        <f t="shared" ref="AQ38:AX44" si="15">+SUMIFS($G38:$AO38,$G$9:$AO$9,AQ$9,$G$8:$AO$8,AQ$8)</f>
        <v>0</v>
      </c>
      <c r="AR38" s="79">
        <f t="shared" si="15"/>
        <v>-29700</v>
      </c>
      <c r="AS38" s="79">
        <f t="shared" si="15"/>
        <v>-52800</v>
      </c>
      <c r="AT38" s="79">
        <f t="shared" si="15"/>
        <v>-62700</v>
      </c>
      <c r="AU38" s="79">
        <f t="shared" si="15"/>
        <v>-264000</v>
      </c>
      <c r="AV38" s="79">
        <f t="shared" si="15"/>
        <v>-396000</v>
      </c>
      <c r="AW38" s="79">
        <f t="shared" si="15"/>
        <v>-504000</v>
      </c>
      <c r="AX38" s="79">
        <f t="shared" si="15"/>
        <v>-636000</v>
      </c>
      <c r="AY38" s="65"/>
      <c r="AZ38" s="79">
        <f t="shared" si="10"/>
        <v>-145200</v>
      </c>
      <c r="BA38" s="79">
        <f t="shared" si="10"/>
        <v>-1800000</v>
      </c>
      <c r="BB38" s="65"/>
      <c r="BC38" s="79">
        <f t="shared" si="11"/>
        <v>0</v>
      </c>
      <c r="BD38" s="79">
        <f t="shared" si="12"/>
        <v>-384000</v>
      </c>
    </row>
    <row r="39" spans="2:56" hidden="1" outlineLevel="2" x14ac:dyDescent="0.45">
      <c r="B39" s="81" t="s">
        <v>834</v>
      </c>
      <c r="C39" s="81"/>
      <c r="D39" s="81"/>
      <c r="E39" s="80"/>
      <c r="F39" s="196"/>
      <c r="G39" s="196"/>
      <c r="H39" s="196"/>
      <c r="I39" s="196"/>
      <c r="J39" s="196"/>
      <c r="K39" s="196"/>
      <c r="L39" s="196"/>
      <c r="M39" s="196"/>
      <c r="N39" s="196"/>
      <c r="O39" s="196"/>
      <c r="P39" s="196"/>
      <c r="Q39" s="196"/>
      <c r="R39" s="196">
        <v>-201934.25</v>
      </c>
      <c r="S39" s="510">
        <v>-336325.99</v>
      </c>
      <c r="T39" s="510">
        <v>-148103.43</v>
      </c>
      <c r="U39" s="510">
        <v>-980628.21</v>
      </c>
      <c r="V39" s="510">
        <v>-1193615.96</v>
      </c>
      <c r="W39" s="510">
        <v>-995665.83000000007</v>
      </c>
      <c r="X39" s="510">
        <v>-1193615.96</v>
      </c>
      <c r="Y39" s="510">
        <v>-995665.83000000007</v>
      </c>
      <c r="Z39" s="510">
        <v>-1193615.96</v>
      </c>
      <c r="AA39" s="510">
        <v>-995665.83000000007</v>
      </c>
      <c r="AB39" s="510">
        <v>-1193615.96</v>
      </c>
      <c r="AC39" s="510">
        <v>-1769415.83</v>
      </c>
      <c r="AD39" s="263">
        <v>-2509104.4500000002</v>
      </c>
      <c r="AE39" s="196">
        <v>-2539355.4493319998</v>
      </c>
      <c r="AF39" s="196">
        <v>-3086792.4293319997</v>
      </c>
      <c r="AG39" s="196">
        <v>-3146792.4293319997</v>
      </c>
      <c r="AH39" s="196">
        <v>-3146792.4293319997</v>
      </c>
      <c r="AI39" s="196">
        <v>-3675799.0648099999</v>
      </c>
      <c r="AJ39" s="196">
        <v>-3808746.6957640001</v>
      </c>
      <c r="AK39" s="196">
        <v>-3816408.6117639998</v>
      </c>
      <c r="AL39" s="196">
        <v>-4097100.6957640001</v>
      </c>
      <c r="AM39" s="196">
        <v>-4337100.6957639996</v>
      </c>
      <c r="AN39" s="196">
        <v>-4589100.6957639996</v>
      </c>
      <c r="AO39" s="196">
        <v>-5059677.43</v>
      </c>
      <c r="AP39" s="65"/>
      <c r="AQ39" s="79">
        <f t="shared" si="15"/>
        <v>-686363.66999999993</v>
      </c>
      <c r="AR39" s="79">
        <f t="shared" si="15"/>
        <v>-3169910</v>
      </c>
      <c r="AS39" s="79">
        <f t="shared" si="15"/>
        <v>-3382897.75</v>
      </c>
      <c r="AT39" s="79">
        <f t="shared" si="15"/>
        <v>-3958697.62</v>
      </c>
      <c r="AU39" s="79">
        <f t="shared" si="15"/>
        <v>-8135252.3286639992</v>
      </c>
      <c r="AV39" s="79">
        <f t="shared" si="15"/>
        <v>-9969383.9234739989</v>
      </c>
      <c r="AW39" s="79">
        <f t="shared" si="15"/>
        <v>-11722256.003292</v>
      </c>
      <c r="AX39" s="79">
        <f t="shared" si="15"/>
        <v>-13985878.821527999</v>
      </c>
      <c r="AY39" s="65"/>
      <c r="AZ39" s="79">
        <f t="shared" si="10"/>
        <v>-11197869.040000001</v>
      </c>
      <c r="BA39" s="79">
        <f t="shared" si="10"/>
        <v>-43812771.076957993</v>
      </c>
      <c r="BB39" s="65"/>
      <c r="BC39" s="79">
        <f t="shared" si="11"/>
        <v>-201934.25</v>
      </c>
      <c r="BD39" s="79">
        <f t="shared" si="12"/>
        <v>-11282044.757995998</v>
      </c>
    </row>
    <row r="40" spans="2:56" hidden="1" outlineLevel="2" x14ac:dyDescent="0.45">
      <c r="B40" s="81" t="s">
        <v>835</v>
      </c>
      <c r="C40" s="81"/>
      <c r="D40" s="81"/>
      <c r="E40" s="80"/>
      <c r="F40" s="196"/>
      <c r="G40" s="196"/>
      <c r="H40" s="196"/>
      <c r="I40" s="196"/>
      <c r="J40" s="196"/>
      <c r="K40" s="196"/>
      <c r="L40" s="196"/>
      <c r="M40" s="196"/>
      <c r="N40" s="196"/>
      <c r="O40" s="196"/>
      <c r="P40" s="196"/>
      <c r="Q40" s="196"/>
      <c r="R40" s="196">
        <v>0</v>
      </c>
      <c r="S40" s="196">
        <v>0</v>
      </c>
      <c r="T40" s="196">
        <v>0</v>
      </c>
      <c r="U40" s="196">
        <v>0</v>
      </c>
      <c r="V40" s="196">
        <v>0</v>
      </c>
      <c r="W40" s="196">
        <v>-2487251.14</v>
      </c>
      <c r="X40" s="196">
        <v>0</v>
      </c>
      <c r="Y40" s="196">
        <v>0</v>
      </c>
      <c r="Z40" s="196">
        <v>0</v>
      </c>
      <c r="AA40" s="196">
        <v>0</v>
      </c>
      <c r="AB40" s="196">
        <v>0</v>
      </c>
      <c r="AC40" s="196">
        <v>0</v>
      </c>
      <c r="AD40" s="196">
        <v>0</v>
      </c>
      <c r="AE40" s="196">
        <v>0</v>
      </c>
      <c r="AF40" s="196">
        <v>0</v>
      </c>
      <c r="AG40" s="196">
        <v>0</v>
      </c>
      <c r="AH40" s="196">
        <v>0</v>
      </c>
      <c r="AI40" s="196">
        <v>0</v>
      </c>
      <c r="AJ40" s="196">
        <v>0</v>
      </c>
      <c r="AK40" s="196">
        <v>0</v>
      </c>
      <c r="AL40" s="196">
        <v>0</v>
      </c>
      <c r="AM40" s="196">
        <v>0</v>
      </c>
      <c r="AN40" s="196">
        <v>0</v>
      </c>
      <c r="AO40" s="196">
        <v>0</v>
      </c>
      <c r="AP40" s="65"/>
      <c r="AQ40" s="79">
        <f t="shared" si="15"/>
        <v>0</v>
      </c>
      <c r="AR40" s="79">
        <f t="shared" si="15"/>
        <v>-2487251.14</v>
      </c>
      <c r="AS40" s="79">
        <f t="shared" si="15"/>
        <v>0</v>
      </c>
      <c r="AT40" s="79">
        <f t="shared" si="15"/>
        <v>0</v>
      </c>
      <c r="AU40" s="79">
        <f t="shared" si="15"/>
        <v>0</v>
      </c>
      <c r="AV40" s="79">
        <f t="shared" si="15"/>
        <v>0</v>
      </c>
      <c r="AW40" s="79">
        <f t="shared" si="15"/>
        <v>0</v>
      </c>
      <c r="AX40" s="79">
        <f t="shared" si="15"/>
        <v>0</v>
      </c>
      <c r="AY40" s="65"/>
      <c r="AZ40" s="79">
        <f t="shared" si="10"/>
        <v>-2487251.14</v>
      </c>
      <c r="BA40" s="79">
        <f t="shared" si="10"/>
        <v>0</v>
      </c>
      <c r="BB40" s="65"/>
      <c r="BC40" s="79">
        <f t="shared" si="11"/>
        <v>0</v>
      </c>
      <c r="BD40" s="79">
        <f t="shared" si="12"/>
        <v>0</v>
      </c>
    </row>
    <row r="41" spans="2:56" hidden="1" outlineLevel="2" x14ac:dyDescent="0.45">
      <c r="B41" s="81" t="s">
        <v>1046</v>
      </c>
      <c r="C41" s="81"/>
      <c r="D41" s="81"/>
      <c r="E41" s="103"/>
      <c r="F41" s="198"/>
      <c r="G41" s="198"/>
      <c r="H41" s="198"/>
      <c r="I41" s="198"/>
      <c r="J41" s="198"/>
      <c r="K41" s="198"/>
      <c r="L41" s="198"/>
      <c r="M41" s="198"/>
      <c r="N41" s="198"/>
      <c r="O41" s="198"/>
      <c r="P41" s="198"/>
      <c r="Q41" s="198"/>
      <c r="R41" s="198"/>
      <c r="S41" s="198"/>
      <c r="T41" s="198"/>
      <c r="U41" s="198"/>
      <c r="V41" s="198"/>
      <c r="W41" s="198"/>
      <c r="X41" s="198"/>
      <c r="Y41" s="198"/>
      <c r="Z41" s="198"/>
      <c r="AA41" s="198"/>
      <c r="AB41" s="198"/>
      <c r="AC41" s="198"/>
      <c r="AD41" s="198">
        <v>-35000</v>
      </c>
      <c r="AE41" s="198">
        <v>-35000</v>
      </c>
      <c r="AF41" s="198">
        <v>-40000</v>
      </c>
      <c r="AG41" s="198">
        <v>-50000</v>
      </c>
      <c r="AH41" s="198">
        <v>-55000</v>
      </c>
      <c r="AI41" s="198">
        <v>-60000</v>
      </c>
      <c r="AJ41" s="198">
        <v>-70000</v>
      </c>
      <c r="AK41" s="198">
        <v>-70000</v>
      </c>
      <c r="AL41" s="198">
        <v>-70000</v>
      </c>
      <c r="AM41" s="198">
        <v>-70000</v>
      </c>
      <c r="AN41" s="198">
        <v>-90000</v>
      </c>
      <c r="AO41" s="198">
        <v>-105000</v>
      </c>
      <c r="AP41" s="65"/>
      <c r="AQ41" s="127">
        <f t="shared" si="15"/>
        <v>0</v>
      </c>
      <c r="AR41" s="127">
        <f t="shared" si="15"/>
        <v>0</v>
      </c>
      <c r="AS41" s="127">
        <f t="shared" si="15"/>
        <v>0</v>
      </c>
      <c r="AT41" s="127">
        <f t="shared" si="15"/>
        <v>0</v>
      </c>
      <c r="AU41" s="127">
        <f t="shared" si="15"/>
        <v>-110000</v>
      </c>
      <c r="AV41" s="127">
        <f t="shared" si="15"/>
        <v>-165000</v>
      </c>
      <c r="AW41" s="127">
        <f t="shared" si="15"/>
        <v>-210000</v>
      </c>
      <c r="AX41" s="127">
        <f t="shared" si="15"/>
        <v>-265000</v>
      </c>
      <c r="AY41" s="65"/>
      <c r="AZ41" s="127">
        <f t="shared" si="10"/>
        <v>0</v>
      </c>
      <c r="BA41" s="127">
        <f t="shared" si="10"/>
        <v>-750000</v>
      </c>
      <c r="BB41" s="65"/>
      <c r="BC41" s="127">
        <f t="shared" si="11"/>
        <v>0</v>
      </c>
      <c r="BD41" s="127">
        <f t="shared" si="12"/>
        <v>-160000</v>
      </c>
    </row>
    <row r="42" spans="2:56" hidden="1" outlineLevel="2" x14ac:dyDescent="0.45">
      <c r="B42" s="81" t="s">
        <v>1047</v>
      </c>
      <c r="C42" s="81"/>
      <c r="D42" s="81"/>
      <c r="E42" s="103"/>
      <c r="F42" s="198"/>
      <c r="G42" s="198"/>
      <c r="H42" s="198"/>
      <c r="I42" s="198"/>
      <c r="J42" s="198"/>
      <c r="K42" s="198"/>
      <c r="L42" s="198"/>
      <c r="M42" s="198"/>
      <c r="N42" s="198"/>
      <c r="O42" s="198"/>
      <c r="P42" s="198"/>
      <c r="Q42" s="198"/>
      <c r="R42" s="198"/>
      <c r="S42" s="198"/>
      <c r="T42" s="198"/>
      <c r="U42" s="198"/>
      <c r="V42" s="198"/>
      <c r="W42" s="198"/>
      <c r="X42" s="198"/>
      <c r="Y42" s="198"/>
      <c r="Z42" s="198"/>
      <c r="AA42" s="198"/>
      <c r="AB42" s="198"/>
      <c r="AC42" s="198"/>
      <c r="AD42" s="198">
        <v>0</v>
      </c>
      <c r="AE42" s="198">
        <v>0</v>
      </c>
      <c r="AF42" s="198">
        <v>0</v>
      </c>
      <c r="AG42" s="198">
        <v>0</v>
      </c>
      <c r="AH42" s="198">
        <v>0</v>
      </c>
      <c r="AI42" s="198">
        <v>0</v>
      </c>
      <c r="AJ42" s="198">
        <v>0</v>
      </c>
      <c r="AK42" s="198">
        <v>0</v>
      </c>
      <c r="AL42" s="198">
        <v>0</v>
      </c>
      <c r="AM42" s="198">
        <v>0</v>
      </c>
      <c r="AN42" s="198">
        <v>-120000</v>
      </c>
      <c r="AO42" s="198">
        <v>-120000</v>
      </c>
      <c r="AP42" s="65"/>
      <c r="AQ42" s="127">
        <f t="shared" si="15"/>
        <v>0</v>
      </c>
      <c r="AR42" s="127">
        <f t="shared" si="15"/>
        <v>0</v>
      </c>
      <c r="AS42" s="127">
        <f t="shared" si="15"/>
        <v>0</v>
      </c>
      <c r="AT42" s="127">
        <f t="shared" si="15"/>
        <v>0</v>
      </c>
      <c r="AU42" s="127">
        <f t="shared" si="15"/>
        <v>0</v>
      </c>
      <c r="AV42" s="127">
        <f t="shared" si="15"/>
        <v>0</v>
      </c>
      <c r="AW42" s="127">
        <f t="shared" si="15"/>
        <v>0</v>
      </c>
      <c r="AX42" s="127">
        <f t="shared" si="15"/>
        <v>-240000</v>
      </c>
      <c r="AY42" s="65"/>
      <c r="AZ42" s="127">
        <f t="shared" si="10"/>
        <v>0</v>
      </c>
      <c r="BA42" s="127">
        <f t="shared" si="10"/>
        <v>-240000</v>
      </c>
      <c r="BB42" s="65"/>
      <c r="BC42" s="127">
        <f t="shared" si="11"/>
        <v>0</v>
      </c>
      <c r="BD42" s="127">
        <f t="shared" si="12"/>
        <v>0</v>
      </c>
    </row>
    <row r="43" spans="2:56" hidden="1" outlineLevel="2" x14ac:dyDescent="0.45">
      <c r="B43" s="81" t="s">
        <v>1048</v>
      </c>
      <c r="C43" s="81"/>
      <c r="D43" s="81"/>
      <c r="E43" s="103"/>
      <c r="F43" s="198"/>
      <c r="G43" s="198"/>
      <c r="H43" s="198"/>
      <c r="I43" s="198"/>
      <c r="J43" s="198"/>
      <c r="K43" s="198"/>
      <c r="L43" s="198"/>
      <c r="M43" s="198"/>
      <c r="N43" s="198"/>
      <c r="O43" s="198"/>
      <c r="P43" s="198"/>
      <c r="Q43" s="198"/>
      <c r="R43" s="198"/>
      <c r="S43" s="198"/>
      <c r="T43" s="198"/>
      <c r="U43" s="198"/>
      <c r="V43" s="198"/>
      <c r="W43" s="198"/>
      <c r="X43" s="198"/>
      <c r="Y43" s="198"/>
      <c r="Z43" s="198"/>
      <c r="AA43" s="198"/>
      <c r="AB43" s="198"/>
      <c r="AC43" s="198"/>
      <c r="AD43" s="198">
        <v>0</v>
      </c>
      <c r="AE43" s="198">
        <v>0</v>
      </c>
      <c r="AF43" s="198">
        <v>0</v>
      </c>
      <c r="AG43" s="198">
        <v>0</v>
      </c>
      <c r="AH43" s="198">
        <v>0</v>
      </c>
      <c r="AI43" s="198">
        <v>0</v>
      </c>
      <c r="AJ43" s="198">
        <v>0</v>
      </c>
      <c r="AK43" s="198">
        <v>0</v>
      </c>
      <c r="AL43" s="198">
        <v>0</v>
      </c>
      <c r="AM43" s="198">
        <v>0</v>
      </c>
      <c r="AN43" s="198">
        <v>-36200</v>
      </c>
      <c r="AO43" s="198">
        <v>-36200</v>
      </c>
      <c r="AP43" s="65"/>
      <c r="AQ43" s="127">
        <f t="shared" si="15"/>
        <v>0</v>
      </c>
      <c r="AR43" s="127">
        <f t="shared" si="15"/>
        <v>0</v>
      </c>
      <c r="AS43" s="127">
        <f t="shared" si="15"/>
        <v>0</v>
      </c>
      <c r="AT43" s="127">
        <f t="shared" si="15"/>
        <v>0</v>
      </c>
      <c r="AU43" s="127">
        <f t="shared" si="15"/>
        <v>0</v>
      </c>
      <c r="AV43" s="127">
        <f t="shared" si="15"/>
        <v>0</v>
      </c>
      <c r="AW43" s="127">
        <f t="shared" si="15"/>
        <v>0</v>
      </c>
      <c r="AX43" s="127">
        <f t="shared" si="15"/>
        <v>-72400</v>
      </c>
      <c r="AY43" s="65"/>
      <c r="AZ43" s="127">
        <f t="shared" si="10"/>
        <v>0</v>
      </c>
      <c r="BA43" s="127">
        <f t="shared" si="10"/>
        <v>-72400</v>
      </c>
      <c r="BB43" s="65"/>
      <c r="BC43" s="127">
        <f t="shared" si="11"/>
        <v>0</v>
      </c>
      <c r="BD43" s="127">
        <f t="shared" si="12"/>
        <v>0</v>
      </c>
    </row>
    <row r="44" spans="2:56" hidden="1" outlineLevel="1" collapsed="1" x14ac:dyDescent="0.45">
      <c r="B44" s="49" t="s">
        <v>491</v>
      </c>
      <c r="C44" s="49"/>
      <c r="D44" s="56"/>
      <c r="E44" s="56">
        <f t="shared" ref="E44:X44" si="16">+SUM(E26:E43)</f>
        <v>0</v>
      </c>
      <c r="F44" s="56">
        <f t="shared" si="16"/>
        <v>0</v>
      </c>
      <c r="G44" s="56">
        <f t="shared" si="16"/>
        <v>0</v>
      </c>
      <c r="H44" s="56">
        <f t="shared" si="16"/>
        <v>0</v>
      </c>
      <c r="I44" s="56">
        <f t="shared" si="16"/>
        <v>0</v>
      </c>
      <c r="J44" s="56">
        <f t="shared" si="16"/>
        <v>0</v>
      </c>
      <c r="K44" s="56">
        <f t="shared" si="16"/>
        <v>0</v>
      </c>
      <c r="L44" s="56">
        <f t="shared" si="16"/>
        <v>0</v>
      </c>
      <c r="M44" s="56">
        <f t="shared" si="16"/>
        <v>0</v>
      </c>
      <c r="N44" s="56">
        <f t="shared" si="16"/>
        <v>0</v>
      </c>
      <c r="O44" s="56">
        <f t="shared" si="16"/>
        <v>0</v>
      </c>
      <c r="P44" s="56">
        <f t="shared" si="16"/>
        <v>0</v>
      </c>
      <c r="Q44" s="56">
        <f t="shared" si="16"/>
        <v>0</v>
      </c>
      <c r="R44" s="56">
        <f t="shared" si="16"/>
        <v>-1107811.130000002</v>
      </c>
      <c r="S44" s="56">
        <f t="shared" si="16"/>
        <v>-2373804.62</v>
      </c>
      <c r="T44" s="56">
        <f t="shared" si="16"/>
        <v>-1619251.9000000013</v>
      </c>
      <c r="U44" s="56">
        <f t="shared" si="16"/>
        <v>437256.62999999523</v>
      </c>
      <c r="V44" s="56">
        <f t="shared" si="16"/>
        <v>-242939.95597151015</v>
      </c>
      <c r="W44" s="56">
        <f t="shared" si="16"/>
        <v>-2429150.2184426594</v>
      </c>
      <c r="X44" s="56">
        <f t="shared" si="16"/>
        <v>-432347.81404388137</v>
      </c>
      <c r="Y44" s="56">
        <f>+SUM(Y26:Y40)</f>
        <v>244150.20039310493</v>
      </c>
      <c r="Z44" s="56">
        <f>+SUM(Z26:Z40)</f>
        <v>-72699.67571819853</v>
      </c>
      <c r="AA44" s="56">
        <f>+SUM(AA26:AA40)</f>
        <v>105643.12651449349</v>
      </c>
      <c r="AB44" s="56">
        <f>+SUM(AB26:AB40)</f>
        <v>-160979.14013824705</v>
      </c>
      <c r="AC44" s="56">
        <f>+SUM(AC26:AC40)</f>
        <v>-930260.39377626218</v>
      </c>
      <c r="AD44" s="56">
        <f t="shared" ref="AD44:AO44" si="17">SUM(AD36:AD43)</f>
        <v>-3028532.45</v>
      </c>
      <c r="AE44" s="56">
        <f t="shared" si="17"/>
        <v>-3058783.4493319998</v>
      </c>
      <c r="AF44" s="56">
        <f t="shared" si="17"/>
        <v>-3680424.4293319997</v>
      </c>
      <c r="AG44" s="56">
        <f t="shared" si="17"/>
        <v>-3707832.4293319997</v>
      </c>
      <c r="AH44" s="56">
        <f t="shared" si="17"/>
        <v>-3763936.4293319997</v>
      </c>
      <c r="AI44" s="56">
        <f t="shared" si="17"/>
        <v>-4349047.0648100004</v>
      </c>
      <c r="AJ44" s="56">
        <f t="shared" si="17"/>
        <v>-4594202.6957639996</v>
      </c>
      <c r="AK44" s="56">
        <f t="shared" si="17"/>
        <v>-4601864.6117639998</v>
      </c>
      <c r="AL44" s="56">
        <f t="shared" si="17"/>
        <v>-4882556.6957639996</v>
      </c>
      <c r="AM44" s="56">
        <f t="shared" si="17"/>
        <v>-5122556.6957639996</v>
      </c>
      <c r="AN44" s="56">
        <f t="shared" si="17"/>
        <v>-5755172.6957639996</v>
      </c>
      <c r="AO44" s="56">
        <f t="shared" si="17"/>
        <v>-6394061.4299999997</v>
      </c>
      <c r="AP44" s="65"/>
      <c r="AQ44" s="77">
        <f t="shared" si="15"/>
        <v>-5100867.6500000032</v>
      </c>
      <c r="AR44" s="77">
        <f t="shared" si="15"/>
        <v>-2234833.5444141743</v>
      </c>
      <c r="AS44" s="77">
        <f t="shared" si="15"/>
        <v>-260897.28936897498</v>
      </c>
      <c r="AT44" s="77">
        <f t="shared" si="15"/>
        <v>-985596.40740001574</v>
      </c>
      <c r="AU44" s="77">
        <f t="shared" si="15"/>
        <v>-9767740.3286639992</v>
      </c>
      <c r="AV44" s="77">
        <f t="shared" si="15"/>
        <v>-11820815.923473999</v>
      </c>
      <c r="AW44" s="77">
        <f t="shared" si="15"/>
        <v>-14078624.003292</v>
      </c>
      <c r="AX44" s="77">
        <f t="shared" si="15"/>
        <v>-17271790.821527999</v>
      </c>
      <c r="AY44" s="65"/>
      <c r="AZ44" s="77">
        <f t="shared" si="10"/>
        <v>-8582194.8911831677</v>
      </c>
      <c r="BA44" s="77">
        <f t="shared" si="10"/>
        <v>-52938971.076957993</v>
      </c>
      <c r="BB44" s="65"/>
      <c r="BC44" s="77">
        <f t="shared" si="11"/>
        <v>-1107811.130000002</v>
      </c>
      <c r="BD44" s="77">
        <f t="shared" si="12"/>
        <v>-13475572.757995998</v>
      </c>
    </row>
    <row r="45" spans="2:56" hidden="1" outlineLevel="1" x14ac:dyDescent="0.45">
      <c r="R45" s="262"/>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191"/>
      <c r="AQ45" s="65"/>
      <c r="AR45" s="65"/>
      <c r="AS45" s="65"/>
      <c r="AT45" s="65"/>
      <c r="AU45" s="65"/>
      <c r="AV45" s="65"/>
      <c r="AW45" s="65"/>
      <c r="AX45" s="65"/>
      <c r="AY45" s="191"/>
      <c r="AZ45" s="65"/>
      <c r="BA45" s="65"/>
      <c r="BB45" s="191"/>
      <c r="BC45" s="65"/>
      <c r="BD45" s="65"/>
    </row>
    <row r="46" spans="2:56" hidden="1" outlineLevel="1" x14ac:dyDescent="0.45">
      <c r="B46" s="49" t="s">
        <v>811</v>
      </c>
      <c r="C46" s="49"/>
      <c r="D46" s="49"/>
      <c r="E46" s="63"/>
      <c r="F46" s="62"/>
      <c r="G46" s="62"/>
      <c r="H46" s="62"/>
      <c r="I46" s="62"/>
      <c r="J46" s="62"/>
      <c r="K46" s="62"/>
      <c r="L46" s="62"/>
      <c r="M46" s="62"/>
      <c r="N46" s="62"/>
      <c r="O46" s="216"/>
      <c r="P46" s="216"/>
      <c r="Q46" s="216"/>
      <c r="R46" s="50">
        <f t="shared" ref="R46:AC46" si="18">R24+R44</f>
        <v>6071843.3299999973</v>
      </c>
      <c r="S46" s="50">
        <f t="shared" si="18"/>
        <v>4661819.46</v>
      </c>
      <c r="T46" s="50">
        <f t="shared" si="18"/>
        <v>5937313.4699999988</v>
      </c>
      <c r="U46" s="50">
        <f t="shared" si="18"/>
        <v>9954916.5599999912</v>
      </c>
      <c r="V46" s="50">
        <f t="shared" si="18"/>
        <v>8770084.6855039857</v>
      </c>
      <c r="W46" s="50">
        <f t="shared" si="18"/>
        <v>7476994.0813234672</v>
      </c>
      <c r="X46" s="50">
        <f t="shared" si="18"/>
        <v>10348229.578198582</v>
      </c>
      <c r="Y46" s="50">
        <f t="shared" si="18"/>
        <v>11944921.046497101</v>
      </c>
      <c r="Z46" s="50">
        <f t="shared" si="18"/>
        <v>12751606.060427867</v>
      </c>
      <c r="AA46" s="50">
        <f t="shared" si="18"/>
        <v>14094895.368268173</v>
      </c>
      <c r="AB46" s="50">
        <f t="shared" si="18"/>
        <v>14540914.366912607</v>
      </c>
      <c r="AC46" s="50">
        <f t="shared" si="18"/>
        <v>14779223.211105637</v>
      </c>
      <c r="AD46" s="50">
        <f t="shared" ref="AD46:AO46" si="19">AD24+AD35+AD44</f>
        <v>3266700.721024367</v>
      </c>
      <c r="AE46" s="50">
        <f t="shared" si="19"/>
        <v>2956375.0908627305</v>
      </c>
      <c r="AF46" s="50">
        <f t="shared" si="19"/>
        <v>3507209.5312022115</v>
      </c>
      <c r="AG46" s="50">
        <f t="shared" si="19"/>
        <v>4057249.1409029565</v>
      </c>
      <c r="AH46" s="50">
        <f t="shared" si="19"/>
        <v>5178598.780151803</v>
      </c>
      <c r="AI46" s="50">
        <f t="shared" si="19"/>
        <v>5068352.5678172503</v>
      </c>
      <c r="AJ46" s="50">
        <f t="shared" si="19"/>
        <v>5910857.2380214036</v>
      </c>
      <c r="AK46" s="50">
        <f t="shared" si="19"/>
        <v>7781849.3275200604</v>
      </c>
      <c r="AL46" s="50">
        <f t="shared" si="19"/>
        <v>8246783.1378466133</v>
      </c>
      <c r="AM46" s="50">
        <f t="shared" si="19"/>
        <v>9677940.9036014434</v>
      </c>
      <c r="AN46" s="50">
        <f t="shared" si="19"/>
        <v>9976403.8493374828</v>
      </c>
      <c r="AO46" s="50">
        <f t="shared" si="19"/>
        <v>11431486.865322899</v>
      </c>
      <c r="AP46" s="65"/>
      <c r="AQ46" s="62">
        <f t="shared" ref="AQ46:AX46" si="20">+SUMIFS($G46:$AO46,$G$9:$AO$9,AQ$9,$G$8:$AO$8,AQ$8)</f>
        <v>16670976.259999996</v>
      </c>
      <c r="AR46" s="62">
        <f t="shared" si="20"/>
        <v>26201995.326827444</v>
      </c>
      <c r="AS46" s="62">
        <f t="shared" si="20"/>
        <v>35044756.685123548</v>
      </c>
      <c r="AT46" s="62">
        <f t="shared" si="20"/>
        <v>43415032.946286418</v>
      </c>
      <c r="AU46" s="62">
        <f t="shared" si="20"/>
        <v>9730285.3430893086</v>
      </c>
      <c r="AV46" s="62">
        <f t="shared" si="20"/>
        <v>14304200.48887201</v>
      </c>
      <c r="AW46" s="62">
        <f t="shared" si="20"/>
        <v>21939489.70338808</v>
      </c>
      <c r="AX46" s="62">
        <f t="shared" si="20"/>
        <v>31085831.618261825</v>
      </c>
      <c r="AY46" s="65"/>
      <c r="AZ46" s="62">
        <f>+SUMIF($F$8:$AO$8,AZ$8,$F46:$AO46)</f>
        <v>121332761.2182374</v>
      </c>
      <c r="BA46" s="62">
        <f>+SUMIF($F$8:$AO$8,BA$8,$F46:$AO46)</f>
        <v>77059807.153611213</v>
      </c>
      <c r="BB46" s="65"/>
      <c r="BC46" s="62">
        <f>SUMIF($R$11:$AC$11, "Actual", $R46:$AC46)</f>
        <v>6071843.3299999973</v>
      </c>
      <c r="BD46" s="62">
        <f>SUMIF($AD$11:$AO$11, "Actual", $AD46:$AO46)</f>
        <v>13787534.483992266</v>
      </c>
    </row>
    <row r="47" spans="2:56" hidden="1" outlineLevel="1" x14ac:dyDescent="0.45">
      <c r="B47" s="46" t="s">
        <v>842</v>
      </c>
      <c r="F47" s="111"/>
      <c r="G47" s="111"/>
      <c r="H47" s="111"/>
      <c r="I47" s="111"/>
      <c r="J47" s="111"/>
      <c r="K47" s="111"/>
      <c r="L47" s="111"/>
      <c r="M47" s="111"/>
      <c r="N47" s="111"/>
      <c r="O47" s="111"/>
      <c r="P47" s="111"/>
      <c r="Q47" s="111"/>
      <c r="R47" s="237">
        <f t="shared" ref="R47:AB47" si="21">+IFERROR(R46/R$24,0)</f>
        <v>0.84570133059021868</v>
      </c>
      <c r="S47" s="237">
        <f t="shared" si="21"/>
        <v>0.6626021241316804</v>
      </c>
      <c r="T47" s="237">
        <f t="shared" si="21"/>
        <v>0.78571588801063974</v>
      </c>
      <c r="U47" s="237">
        <f t="shared" si="21"/>
        <v>1.0459416109858839</v>
      </c>
      <c r="V47" s="237">
        <f t="shared" si="21"/>
        <v>0.97304567937675801</v>
      </c>
      <c r="W47" s="237">
        <f>+IFERROR(W46/W$24,0)</f>
        <v>0.75478348134904416</v>
      </c>
      <c r="X47" s="237">
        <f t="shared" si="21"/>
        <v>0.95989567178887913</v>
      </c>
      <c r="Y47" s="237">
        <f t="shared" si="21"/>
        <v>1.0208661637429126</v>
      </c>
      <c r="Z47" s="237">
        <f t="shared" si="21"/>
        <v>0.99433110242269951</v>
      </c>
      <c r="AA47" s="237">
        <f t="shared" si="21"/>
        <v>1.0075517350526557</v>
      </c>
      <c r="AB47" s="237">
        <f t="shared" si="21"/>
        <v>0.98905044849760038</v>
      </c>
      <c r="AC47" s="237">
        <f>+IFERROR(AC46/AC$24,0)</f>
        <v>0.94078351541185135</v>
      </c>
      <c r="AD47" s="237">
        <f t="shared" ref="AD47:AO47" si="22">+IFERROR(AD46/AD$24,0)</f>
        <v>0.22582371005821375</v>
      </c>
      <c r="AE47" s="237">
        <f t="shared" si="22"/>
        <v>0.2151345604023143</v>
      </c>
      <c r="AF47" s="237">
        <f t="shared" si="22"/>
        <v>0.21419848661284915</v>
      </c>
      <c r="AG47" s="237">
        <f t="shared" si="22"/>
        <v>0.23410267041119714</v>
      </c>
      <c r="AH47" s="237">
        <f t="shared" si="22"/>
        <v>0.26540571541564889</v>
      </c>
      <c r="AI47" s="237">
        <f t="shared" si="22"/>
        <v>0.24543747648124925</v>
      </c>
      <c r="AJ47" s="237">
        <f t="shared" si="22"/>
        <v>0.2546818225011333</v>
      </c>
      <c r="AK47" s="237">
        <f t="shared" si="22"/>
        <v>0.30773266429265933</v>
      </c>
      <c r="AL47" s="237">
        <f t="shared" si="22"/>
        <v>0.30910509425823507</v>
      </c>
      <c r="AM47" s="237">
        <f t="shared" si="22"/>
        <v>0.32382168170220998</v>
      </c>
      <c r="AN47" s="237">
        <f t="shared" si="22"/>
        <v>0.3101646595873444</v>
      </c>
      <c r="AO47" s="237">
        <f t="shared" si="22"/>
        <v>0.31782584163966732</v>
      </c>
      <c r="AP47" s="191"/>
      <c r="AQ47" s="214"/>
      <c r="AR47" s="214"/>
      <c r="AS47" s="214"/>
      <c r="AT47" s="214"/>
      <c r="AU47" s="214"/>
      <c r="AV47" s="214"/>
      <c r="AW47" s="214"/>
      <c r="AX47" s="214"/>
      <c r="AY47" s="191"/>
      <c r="AZ47" s="214"/>
      <c r="BA47" s="214"/>
      <c r="BB47" s="191"/>
      <c r="BC47" s="214"/>
      <c r="BD47" s="214"/>
    </row>
    <row r="48" spans="2:56" hidden="1" outlineLevel="1" x14ac:dyDescent="0.45">
      <c r="B48" s="49" t="s">
        <v>1052</v>
      </c>
      <c r="C48" s="49"/>
      <c r="D48" s="49"/>
      <c r="E48"/>
      <c r="F48"/>
      <c r="G48"/>
      <c r="H48"/>
      <c r="I48"/>
      <c r="J48"/>
      <c r="K48"/>
      <c r="L48"/>
      <c r="M48"/>
      <c r="N48"/>
      <c r="O48"/>
      <c r="P48"/>
      <c r="Q48"/>
      <c r="R48" s="236"/>
      <c r="S48" s="376"/>
      <c r="T48" s="376"/>
      <c r="U48" s="376"/>
      <c r="V48" s="376"/>
      <c r="W48" s="376"/>
      <c r="X48" s="376"/>
      <c r="Y48" s="376"/>
      <c r="Z48" s="376"/>
      <c r="AA48" s="376"/>
      <c r="AB48" s="376"/>
      <c r="AC48" s="376"/>
      <c r="AD48" s="376">
        <v>3266700.7210243661</v>
      </c>
      <c r="AE48" s="376">
        <v>2956375.0908627324</v>
      </c>
      <c r="AF48" s="376">
        <v>3507209.5312022101</v>
      </c>
      <c r="AG48" s="376">
        <v>4057249.1409029588</v>
      </c>
      <c r="AH48" s="376">
        <v>5178598.780151803</v>
      </c>
      <c r="AI48" s="376">
        <v>5068352.5678172465</v>
      </c>
      <c r="AJ48" s="376">
        <v>5910857.2380214036</v>
      </c>
      <c r="AK48" s="376">
        <v>7781849.3275200594</v>
      </c>
      <c r="AL48" s="376">
        <v>8246783.1378466152</v>
      </c>
      <c r="AM48" s="376">
        <v>9677940.903601449</v>
      </c>
      <c r="AN48" s="376">
        <v>10013603.849337481</v>
      </c>
      <c r="AO48" s="376">
        <v>11468686.865322907</v>
      </c>
      <c r="AP48" s="65"/>
      <c r="AQ48" s="62">
        <f t="shared" ref="AQ48:AX48" si="23">+SUMIFS($G48:$AO48,$G$9:$AO$9,AQ$9,$G$8:$AO$8,AQ$8)</f>
        <v>0</v>
      </c>
      <c r="AR48" s="62">
        <f t="shared" si="23"/>
        <v>0</v>
      </c>
      <c r="AS48" s="62">
        <f t="shared" si="23"/>
        <v>0</v>
      </c>
      <c r="AT48" s="62">
        <f t="shared" si="23"/>
        <v>0</v>
      </c>
      <c r="AU48" s="62">
        <f t="shared" si="23"/>
        <v>9730285.3430893086</v>
      </c>
      <c r="AV48" s="62">
        <f t="shared" si="23"/>
        <v>14304200.488872008</v>
      </c>
      <c r="AW48" s="62">
        <f t="shared" si="23"/>
        <v>21939489.70338808</v>
      </c>
      <c r="AX48" s="62">
        <f t="shared" si="23"/>
        <v>31160231.618261836</v>
      </c>
      <c r="AY48" s="65"/>
      <c r="AZ48" s="62">
        <f>+SUMIF($F$8:$AO$8,AZ$8,$F48:$AO48)</f>
        <v>0</v>
      </c>
      <c r="BA48" s="62">
        <f>+SUMIF($F$8:$AO$8,BA$8,$F48:$AO48)</f>
        <v>77134207.153611243</v>
      </c>
      <c r="BB48" s="65"/>
      <c r="BC48" s="62">
        <f>SUMIF($R$11:$AC$11, "Actual", $R48:$AC48)</f>
        <v>0</v>
      </c>
      <c r="BD48" s="62">
        <f>SUMIF($AD$11:$AO$11, "Actual", $AD48:$AO48)</f>
        <v>13787534.483992267</v>
      </c>
    </row>
    <row r="49" spans="2:57" hidden="1" outlineLevel="1" x14ac:dyDescent="0.45">
      <c r="B49"/>
      <c r="C49"/>
      <c r="D49"/>
      <c r="E49"/>
      <c r="F49"/>
      <c r="G49"/>
      <c r="H49"/>
      <c r="I49"/>
      <c r="J49"/>
      <c r="K49"/>
      <c r="L49"/>
      <c r="M49"/>
      <c r="N49"/>
      <c r="O49"/>
      <c r="P49"/>
      <c r="Q49"/>
      <c r="R49" s="236"/>
      <c r="S49" s="237"/>
      <c r="T49" s="237"/>
      <c r="U49" s="237"/>
      <c r="V49" s="237"/>
      <c r="W49" s="237"/>
      <c r="X49" s="237"/>
      <c r="Y49" s="237"/>
      <c r="Z49" s="237"/>
      <c r="AA49" s="237"/>
      <c r="AB49" s="237"/>
      <c r="AC49" s="237"/>
      <c r="AD49" s="237">
        <v>0.26588331664610865</v>
      </c>
      <c r="AE49" s="382">
        <v>0.25141124959898253</v>
      </c>
      <c r="AF49" s="382">
        <v>0.24726388124298163</v>
      </c>
      <c r="AG49" s="382">
        <v>0.26661069979064805</v>
      </c>
      <c r="AH49" s="382">
        <v>0.29912444922796977</v>
      </c>
      <c r="AI49" s="382">
        <v>0.27351278310844757</v>
      </c>
      <c r="AJ49" s="382">
        <v>0.28108147831579533</v>
      </c>
      <c r="AK49" s="382">
        <v>0.33693165746765885</v>
      </c>
      <c r="AL49" s="382">
        <v>0.33565574766803252</v>
      </c>
      <c r="AM49" s="382">
        <v>0.34917198691096363</v>
      </c>
      <c r="AN49" s="382">
        <v>0.33318943001805307</v>
      </c>
      <c r="AO49" s="382">
        <v>0.33933581975763466</v>
      </c>
      <c r="AP49" s="65"/>
      <c r="AQ49" s="191"/>
      <c r="AR49" s="191"/>
      <c r="AS49" s="191"/>
      <c r="AT49" s="191"/>
      <c r="AU49" s="191"/>
      <c r="AV49" s="191"/>
      <c r="AW49" s="191"/>
      <c r="AX49" s="191"/>
      <c r="AY49" s="65"/>
      <c r="AZ49" s="191"/>
      <c r="BA49" s="191"/>
      <c r="BB49" s="65"/>
      <c r="BC49" s="191"/>
      <c r="BD49" s="191"/>
    </row>
    <row r="50" spans="2:57" hidden="1" outlineLevel="2" x14ac:dyDescent="0.45">
      <c r="B50" s="81" t="s">
        <v>541</v>
      </c>
      <c r="C50" s="81"/>
      <c r="D50" s="80"/>
      <c r="E50" s="228"/>
      <c r="F50" s="197"/>
      <c r="G50" s="197"/>
      <c r="H50" s="197"/>
      <c r="I50" s="197"/>
      <c r="J50" s="197"/>
      <c r="K50" s="197"/>
      <c r="L50" s="197"/>
      <c r="M50" s="197"/>
      <c r="N50" s="197"/>
      <c r="O50" s="197"/>
      <c r="P50" s="197"/>
      <c r="Q50" s="197"/>
      <c r="R50" s="196">
        <v>-1113567.77</v>
      </c>
      <c r="S50" s="196">
        <v>-1193995.2000000002</v>
      </c>
      <c r="T50" s="196">
        <v>-1282590.18</v>
      </c>
      <c r="U50" s="196">
        <v>-1320410.3399999999</v>
      </c>
      <c r="V50" s="196">
        <v>-973172.20000000007</v>
      </c>
      <c r="W50" s="196">
        <v>-973172.20000000007</v>
      </c>
      <c r="X50" s="196">
        <v>-1010440.2000000001</v>
      </c>
      <c r="Y50" s="196">
        <v>-1299561.2</v>
      </c>
      <c r="Z50" s="196">
        <v>-1299561.2</v>
      </c>
      <c r="AA50" s="196">
        <v>-1453561.2</v>
      </c>
      <c r="AB50" s="196">
        <v>-1453561.2</v>
      </c>
      <c r="AC50" s="196">
        <v>-1453561.2</v>
      </c>
      <c r="AD50" s="196">
        <v>-1956381.3986216178</v>
      </c>
      <c r="AE50" s="196">
        <v>-2062984.413191475</v>
      </c>
      <c r="AF50" s="196">
        <v>-3040077.1867346261</v>
      </c>
      <c r="AG50" s="196">
        <v>-3655734.9775456884</v>
      </c>
      <c r="AH50" s="196">
        <v>-3745078.4564232836</v>
      </c>
      <c r="AI50" s="196">
        <v>-4707385.2903189147</v>
      </c>
      <c r="AJ50" s="196">
        <v>-4707385.2903189147</v>
      </c>
      <c r="AK50" s="196">
        <v>-4707385.2903189147</v>
      </c>
      <c r="AL50" s="196">
        <v>-4707385.2903189147</v>
      </c>
      <c r="AM50" s="196">
        <v>-5012939.9880802883</v>
      </c>
      <c r="AN50" s="196">
        <v>-5012939.9880802883</v>
      </c>
      <c r="AO50" s="196">
        <v>-5012939.9880802883</v>
      </c>
      <c r="AP50" s="65"/>
      <c r="AQ50" s="79">
        <f t="shared" ref="AQ50:AX56" si="24">+SUMIFS($G50:$AO50,$G$9:$AO$9,AQ$9,$G$8:$AO$8,AQ$8)</f>
        <v>-3590153.1500000004</v>
      </c>
      <c r="AR50" s="79">
        <f t="shared" si="24"/>
        <v>-3266754.74</v>
      </c>
      <c r="AS50" s="79">
        <f t="shared" si="24"/>
        <v>-3609562.5999999996</v>
      </c>
      <c r="AT50" s="79">
        <f t="shared" si="24"/>
        <v>-4360683.5999999996</v>
      </c>
      <c r="AU50" s="79">
        <f t="shared" si="24"/>
        <v>-7059442.9985477189</v>
      </c>
      <c r="AV50" s="79">
        <f t="shared" si="24"/>
        <v>-12108198.724287886</v>
      </c>
      <c r="AW50" s="79">
        <f t="shared" si="24"/>
        <v>-14122155.870956745</v>
      </c>
      <c r="AX50" s="79">
        <f t="shared" si="24"/>
        <v>-15038819.964240864</v>
      </c>
      <c r="AY50" s="65"/>
      <c r="AZ50" s="79">
        <f t="shared" ref="AZ50:BA56" si="25">+SUMIF($F$8:$AO$8,AZ$8,$F50:$AO50)</f>
        <v>-14827154.089999998</v>
      </c>
      <c r="BA50" s="79">
        <f t="shared" si="25"/>
        <v>-48328617.558033206</v>
      </c>
      <c r="BB50" s="65"/>
      <c r="BC50" s="79">
        <f t="shared" ref="BC50:BC56" si="26">SUMIF($R$11:$AC$11, "Actual", $R50:$AC50)</f>
        <v>-1113567.77</v>
      </c>
      <c r="BD50" s="79">
        <f t="shared" ref="BD50:BD56" si="27">SUMIF($AD$11:$AO$11, "Actual", $AD50:$AO50)</f>
        <v>-10715177.976093408</v>
      </c>
    </row>
    <row r="51" spans="2:57" hidden="1" outlineLevel="2" x14ac:dyDescent="0.45">
      <c r="B51" s="241" t="s">
        <v>843</v>
      </c>
      <c r="C51" s="102"/>
      <c r="D51" s="75"/>
      <c r="E51" s="219"/>
      <c r="F51" s="71"/>
      <c r="G51" s="71"/>
      <c r="H51" s="71"/>
      <c r="I51" s="71"/>
      <c r="J51" s="71"/>
      <c r="K51" s="71"/>
      <c r="L51" s="71"/>
      <c r="M51" s="71"/>
      <c r="N51" s="71"/>
      <c r="O51" s="71"/>
      <c r="P51" s="71"/>
      <c r="Q51" s="71"/>
      <c r="R51" s="71">
        <v>0</v>
      </c>
      <c r="S51" s="71">
        <v>0</v>
      </c>
      <c r="T51" s="71">
        <v>0</v>
      </c>
      <c r="U51" s="71">
        <v>0</v>
      </c>
      <c r="V51" s="71">
        <v>-329637.1421933333</v>
      </c>
      <c r="W51" s="71">
        <v>-396775.39441555552</v>
      </c>
      <c r="X51" s="71">
        <v>-396775.39441555552</v>
      </c>
      <c r="Y51" s="71">
        <v>-396775.39441555552</v>
      </c>
      <c r="Z51" s="71">
        <v>-463913.64663777774</v>
      </c>
      <c r="AA51" s="71">
        <v>-463913.64663777774</v>
      </c>
      <c r="AB51" s="71">
        <v>-463913.64663777774</v>
      </c>
      <c r="AC51" s="71">
        <v>-531051.89885999996</v>
      </c>
      <c r="AD51" s="71">
        <v>-941133.33333333337</v>
      </c>
      <c r="AE51" s="71">
        <v>-1135600</v>
      </c>
      <c r="AF51" s="71">
        <v>-1135600</v>
      </c>
      <c r="AG51" s="71">
        <v>-1288412</v>
      </c>
      <c r="AH51" s="71">
        <v>-1288412</v>
      </c>
      <c r="AI51" s="71">
        <v>-1391224.0909090908</v>
      </c>
      <c r="AJ51" s="71">
        <v>-1588079.7086247085</v>
      </c>
      <c r="AK51" s="71">
        <v>-1873262.6060606064</v>
      </c>
      <c r="AL51" s="71">
        <v>-1873262.6060606064</v>
      </c>
      <c r="AM51" s="71">
        <v>-2463398.5964912279</v>
      </c>
      <c r="AN51" s="71">
        <v>-2463398.5964912279</v>
      </c>
      <c r="AO51" s="71">
        <v>-2463398.5964912279</v>
      </c>
      <c r="AP51" s="65"/>
      <c r="AQ51" s="70">
        <f t="shared" si="24"/>
        <v>0</v>
      </c>
      <c r="AR51" s="70">
        <f t="shared" si="24"/>
        <v>-726412.53660888877</v>
      </c>
      <c r="AS51" s="70">
        <f t="shared" si="24"/>
        <v>-1257464.4354688888</v>
      </c>
      <c r="AT51" s="70">
        <f t="shared" si="24"/>
        <v>-1458879.1921355554</v>
      </c>
      <c r="AU51" s="70">
        <f t="shared" si="24"/>
        <v>-3212333.3333333335</v>
      </c>
      <c r="AV51" s="70">
        <f t="shared" si="24"/>
        <v>-3968048.0909090908</v>
      </c>
      <c r="AW51" s="70">
        <f t="shared" si="24"/>
        <v>-5334604.9207459213</v>
      </c>
      <c r="AX51" s="70">
        <f t="shared" si="24"/>
        <v>-7390195.7894736836</v>
      </c>
      <c r="AY51" s="65"/>
      <c r="AZ51" s="70">
        <f t="shared" si="25"/>
        <v>-3442756.1642133333</v>
      </c>
      <c r="BA51" s="70">
        <f t="shared" si="25"/>
        <v>-19905182.134462032</v>
      </c>
      <c r="BB51" s="65"/>
      <c r="BC51" s="70">
        <f t="shared" si="26"/>
        <v>0</v>
      </c>
      <c r="BD51" s="70">
        <f t="shared" si="27"/>
        <v>-4500745.333333334</v>
      </c>
    </row>
    <row r="52" spans="2:57" hidden="1" outlineLevel="2" x14ac:dyDescent="0.45">
      <c r="B52" s="102" t="s">
        <v>487</v>
      </c>
      <c r="C52" s="102"/>
      <c r="D52" s="75"/>
      <c r="E52" s="219"/>
      <c r="F52" s="71"/>
      <c r="G52" s="71"/>
      <c r="H52" s="71"/>
      <c r="I52" s="71"/>
      <c r="J52" s="71"/>
      <c r="K52" s="71"/>
      <c r="L52" s="71"/>
      <c r="M52" s="71"/>
      <c r="N52" s="71"/>
      <c r="O52" s="71"/>
      <c r="P52" s="71"/>
      <c r="Q52" s="71"/>
      <c r="R52" s="71">
        <v>-367954.66000000003</v>
      </c>
      <c r="S52" s="71">
        <v>-321415.19999999995</v>
      </c>
      <c r="T52" s="71">
        <v>-140945.72999999998</v>
      </c>
      <c r="U52" s="71">
        <v>-345667.75000000006</v>
      </c>
      <c r="V52" s="71">
        <v>-567225</v>
      </c>
      <c r="W52" s="71">
        <v>-722225</v>
      </c>
      <c r="X52" s="71">
        <v>-567225</v>
      </c>
      <c r="Y52" s="71">
        <v>-592225</v>
      </c>
      <c r="Z52" s="71">
        <v>-567225</v>
      </c>
      <c r="AA52" s="71">
        <v>-592225</v>
      </c>
      <c r="AB52" s="71">
        <v>-567225</v>
      </c>
      <c r="AC52" s="71">
        <v>-592225</v>
      </c>
      <c r="AD52" s="71">
        <v>-465000</v>
      </c>
      <c r="AE52" s="71">
        <v>-480000</v>
      </c>
      <c r="AF52" s="71">
        <v>-495000</v>
      </c>
      <c r="AG52" s="71">
        <v>-510000</v>
      </c>
      <c r="AH52" s="71">
        <v>-525000</v>
      </c>
      <c r="AI52" s="71">
        <v>-540000</v>
      </c>
      <c r="AJ52" s="71">
        <v>-555000</v>
      </c>
      <c r="AK52" s="71">
        <v>-540000</v>
      </c>
      <c r="AL52" s="71">
        <v>-525000</v>
      </c>
      <c r="AM52" s="71">
        <v>-510000</v>
      </c>
      <c r="AN52" s="71">
        <v>-495000</v>
      </c>
      <c r="AO52" s="71">
        <v>-480000</v>
      </c>
      <c r="AP52" s="65"/>
      <c r="AQ52" s="70">
        <f t="shared" si="24"/>
        <v>-830315.59</v>
      </c>
      <c r="AR52" s="70">
        <f t="shared" si="24"/>
        <v>-1635117.75</v>
      </c>
      <c r="AS52" s="70">
        <f t="shared" si="24"/>
        <v>-1726675</v>
      </c>
      <c r="AT52" s="70">
        <f t="shared" si="24"/>
        <v>-1751675</v>
      </c>
      <c r="AU52" s="70">
        <f t="shared" si="24"/>
        <v>-1440000</v>
      </c>
      <c r="AV52" s="70">
        <f t="shared" si="24"/>
        <v>-1575000</v>
      </c>
      <c r="AW52" s="70">
        <f t="shared" si="24"/>
        <v>-1620000</v>
      </c>
      <c r="AX52" s="70">
        <f t="shared" si="24"/>
        <v>-1485000</v>
      </c>
      <c r="AY52" s="65"/>
      <c r="AZ52" s="70">
        <f t="shared" si="25"/>
        <v>-5943783.3399999999</v>
      </c>
      <c r="BA52" s="70">
        <f t="shared" si="25"/>
        <v>-6120000</v>
      </c>
      <c r="BB52" s="65"/>
      <c r="BC52" s="70">
        <f t="shared" si="26"/>
        <v>-367954.66000000003</v>
      </c>
      <c r="BD52" s="70">
        <f t="shared" si="27"/>
        <v>-1950000</v>
      </c>
    </row>
    <row r="53" spans="2:57" hidden="1" outlineLevel="2" x14ac:dyDescent="0.45">
      <c r="B53" s="102" t="s">
        <v>1049</v>
      </c>
      <c r="C53" s="102"/>
      <c r="D53" s="75"/>
      <c r="E53" s="219"/>
      <c r="F53" s="71"/>
      <c r="G53" s="71"/>
      <c r="H53" s="71"/>
      <c r="I53" s="71"/>
      <c r="J53" s="71"/>
      <c r="K53" s="71"/>
      <c r="L53" s="71"/>
      <c r="M53" s="71"/>
      <c r="N53" s="71"/>
      <c r="O53" s="71"/>
      <c r="P53" s="71"/>
      <c r="Q53" s="71"/>
      <c r="R53" s="71">
        <v>-24455.62</v>
      </c>
      <c r="S53" s="71">
        <v>-24455.62</v>
      </c>
      <c r="T53" s="71">
        <v>-25314.750000000004</v>
      </c>
      <c r="U53" s="71">
        <v>-24755.619999999995</v>
      </c>
      <c r="V53" s="71">
        <v>0</v>
      </c>
      <c r="W53" s="71">
        <v>-790000</v>
      </c>
      <c r="X53" s="71">
        <v>0</v>
      </c>
      <c r="Y53" s="71">
        <v>0</v>
      </c>
      <c r="Z53" s="71">
        <v>0</v>
      </c>
      <c r="AA53" s="71">
        <v>0</v>
      </c>
      <c r="AB53" s="71">
        <v>0</v>
      </c>
      <c r="AC53" s="71">
        <v>0</v>
      </c>
      <c r="AD53" s="71">
        <v>-721533.54166666663</v>
      </c>
      <c r="AE53" s="71">
        <v>-497800.00166666659</v>
      </c>
      <c r="AF53" s="71">
        <v>-231752.54166666666</v>
      </c>
      <c r="AG53" s="71">
        <v>-231752.54166666666</v>
      </c>
      <c r="AH53" s="71">
        <v>-231752.54166666666</v>
      </c>
      <c r="AI53" s="71">
        <v>-671752.54166666663</v>
      </c>
      <c r="AJ53" s="71">
        <v>-231752.54166666666</v>
      </c>
      <c r="AK53" s="71">
        <v>-231752.54166666666</v>
      </c>
      <c r="AL53" s="71">
        <v>-231752.54166666666</v>
      </c>
      <c r="AM53" s="71">
        <v>-231752.54166666666</v>
      </c>
      <c r="AN53" s="71">
        <v>-231752.54166666666</v>
      </c>
      <c r="AO53" s="71">
        <v>-231752.54166666666</v>
      </c>
      <c r="AP53" s="65"/>
      <c r="AQ53" s="70">
        <f t="shared" si="24"/>
        <v>-74225.990000000005</v>
      </c>
      <c r="AR53" s="70">
        <f t="shared" si="24"/>
        <v>-814755.62</v>
      </c>
      <c r="AS53" s="70">
        <f t="shared" si="24"/>
        <v>0</v>
      </c>
      <c r="AT53" s="70">
        <f t="shared" si="24"/>
        <v>0</v>
      </c>
      <c r="AU53" s="70">
        <f t="shared" si="24"/>
        <v>-1451086.085</v>
      </c>
      <c r="AV53" s="70">
        <f t="shared" si="24"/>
        <v>-1135257.625</v>
      </c>
      <c r="AW53" s="70">
        <f t="shared" si="24"/>
        <v>-695257.625</v>
      </c>
      <c r="AX53" s="70">
        <f t="shared" si="24"/>
        <v>-695257.625</v>
      </c>
      <c r="AY53" s="65"/>
      <c r="AZ53" s="70">
        <f t="shared" si="25"/>
        <v>-888981.61</v>
      </c>
      <c r="BA53" s="70">
        <f t="shared" si="25"/>
        <v>-3976858.959999999</v>
      </c>
      <c r="BB53" s="65"/>
      <c r="BC53" s="70">
        <f t="shared" si="26"/>
        <v>-24455.62</v>
      </c>
      <c r="BD53" s="70">
        <f t="shared" si="27"/>
        <v>-1682838.6266666667</v>
      </c>
    </row>
    <row r="54" spans="2:57" hidden="1" outlineLevel="2" x14ac:dyDescent="0.45">
      <c r="B54" s="102" t="s">
        <v>1051</v>
      </c>
      <c r="C54" s="102"/>
      <c r="D54" s="75"/>
      <c r="E54" s="219"/>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v>-105555.55555555556</v>
      </c>
      <c r="AE54" s="71">
        <v>-105555.55555555556</v>
      </c>
      <c r="AF54" s="71">
        <v>-1292199.3911719939</v>
      </c>
      <c r="AG54" s="71">
        <v>-105555.55555555556</v>
      </c>
      <c r="AH54" s="71">
        <v>-105555.55555555556</v>
      </c>
      <c r="AI54" s="71">
        <v>-1071651.4459665143</v>
      </c>
      <c r="AJ54" s="71">
        <v>-105555.55555555556</v>
      </c>
      <c r="AK54" s="71">
        <v>-105555.55555555556</v>
      </c>
      <c r="AL54" s="71">
        <v>-845966.51445966517</v>
      </c>
      <c r="AM54" s="71">
        <v>-105555.55555555556</v>
      </c>
      <c r="AN54" s="71">
        <v>-105555.55555555556</v>
      </c>
      <c r="AO54" s="71">
        <v>-766343.22678843234</v>
      </c>
      <c r="AP54" s="65"/>
      <c r="AQ54" s="70">
        <f t="shared" si="24"/>
        <v>0</v>
      </c>
      <c r="AR54" s="70">
        <f t="shared" si="24"/>
        <v>0</v>
      </c>
      <c r="AS54" s="70">
        <f t="shared" si="24"/>
        <v>0</v>
      </c>
      <c r="AT54" s="70">
        <f t="shared" si="24"/>
        <v>0</v>
      </c>
      <c r="AU54" s="70">
        <f t="shared" si="24"/>
        <v>-1503310.5022831052</v>
      </c>
      <c r="AV54" s="70">
        <f t="shared" si="24"/>
        <v>-1282762.5570776253</v>
      </c>
      <c r="AW54" s="70">
        <f t="shared" si="24"/>
        <v>-1057077.6255707764</v>
      </c>
      <c r="AX54" s="70">
        <f t="shared" si="24"/>
        <v>-977454.33789954346</v>
      </c>
      <c r="AY54" s="65"/>
      <c r="AZ54" s="70">
        <f t="shared" si="25"/>
        <v>0</v>
      </c>
      <c r="BA54" s="70">
        <f t="shared" si="25"/>
        <v>-4820605.0228310497</v>
      </c>
      <c r="BB54" s="65"/>
      <c r="BC54" s="70">
        <f t="shared" si="26"/>
        <v>0</v>
      </c>
      <c r="BD54" s="70">
        <f t="shared" si="27"/>
        <v>-1608866.0578386607</v>
      </c>
    </row>
    <row r="55" spans="2:57" hidden="1" outlineLevel="2" x14ac:dyDescent="0.45">
      <c r="B55" s="102" t="s">
        <v>1050</v>
      </c>
      <c r="C55" s="102"/>
      <c r="D55" s="102"/>
      <c r="E55" s="75"/>
      <c r="F55" s="71"/>
      <c r="G55" s="71"/>
      <c r="H55" s="71"/>
      <c r="I55" s="71"/>
      <c r="J55" s="71"/>
      <c r="K55" s="71"/>
      <c r="L55" s="71"/>
      <c r="M55" s="71"/>
      <c r="N55" s="71"/>
      <c r="O55" s="71"/>
      <c r="P55" s="71"/>
      <c r="Q55" s="71"/>
      <c r="R55" s="71">
        <v>-84598.260000000024</v>
      </c>
      <c r="S55" s="71">
        <v>-214622.57</v>
      </c>
      <c r="T55" s="71">
        <v>-421966.7</v>
      </c>
      <c r="U55" s="71">
        <v>-350030.63999999996</v>
      </c>
      <c r="V55" s="71">
        <v>0</v>
      </c>
      <c r="W55" s="71">
        <v>7621.2005236372397</v>
      </c>
      <c r="X55" s="71">
        <v>7875.2405410883903</v>
      </c>
      <c r="Y55" s="71">
        <v>7875.2405410902602</v>
      </c>
      <c r="Z55" s="71">
        <v>7621.2005236344403</v>
      </c>
      <c r="AA55" s="71">
        <v>7875.2405410874599</v>
      </c>
      <c r="AB55" s="71">
        <v>7621.2005236381701</v>
      </c>
      <c r="AC55" s="71">
        <v>7875.2405410893298</v>
      </c>
      <c r="AD55" s="71">
        <v>0</v>
      </c>
      <c r="AE55" s="71">
        <v>0</v>
      </c>
      <c r="AF55" s="71">
        <v>0</v>
      </c>
      <c r="AG55" s="71">
        <v>0</v>
      </c>
      <c r="AH55" s="71">
        <v>0</v>
      </c>
      <c r="AI55" s="71">
        <v>-790000</v>
      </c>
      <c r="AJ55" s="71">
        <v>0</v>
      </c>
      <c r="AK55" s="71">
        <v>0</v>
      </c>
      <c r="AL55" s="71">
        <v>0</v>
      </c>
      <c r="AM55" s="71">
        <v>0</v>
      </c>
      <c r="AN55" s="71">
        <v>0</v>
      </c>
      <c r="AO55" s="71">
        <v>0</v>
      </c>
      <c r="AP55" s="65"/>
      <c r="AQ55" s="70">
        <f t="shared" si="24"/>
        <v>-721187.53</v>
      </c>
      <c r="AR55" s="70">
        <f t="shared" si="24"/>
        <v>-342409.43947636272</v>
      </c>
      <c r="AS55" s="70">
        <f t="shared" si="24"/>
        <v>23371.68160581309</v>
      </c>
      <c r="AT55" s="70">
        <f t="shared" si="24"/>
        <v>23371.68160581496</v>
      </c>
      <c r="AU55" s="70">
        <f t="shared" si="24"/>
        <v>0</v>
      </c>
      <c r="AV55" s="70">
        <f t="shared" si="24"/>
        <v>-790000</v>
      </c>
      <c r="AW55" s="70">
        <f t="shared" si="24"/>
        <v>0</v>
      </c>
      <c r="AX55" s="70">
        <f t="shared" si="24"/>
        <v>0</v>
      </c>
      <c r="AY55" s="65"/>
      <c r="AZ55" s="70">
        <f t="shared" si="25"/>
        <v>-1016853.6062647346</v>
      </c>
      <c r="BA55" s="70">
        <f t="shared" si="25"/>
        <v>-790000</v>
      </c>
      <c r="BB55" s="65"/>
      <c r="BC55" s="70">
        <f t="shared" si="26"/>
        <v>-84598.260000000024</v>
      </c>
      <c r="BD55" s="70">
        <f t="shared" si="27"/>
        <v>0</v>
      </c>
    </row>
    <row r="56" spans="2:57" hidden="1" outlineLevel="1" collapsed="1" x14ac:dyDescent="0.45">
      <c r="B56" s="53" t="s">
        <v>476</v>
      </c>
      <c r="C56" s="53"/>
      <c r="D56" s="51"/>
      <c r="E56" s="51">
        <f t="shared" ref="E56:AO56" si="28">SUM(E50:E55)</f>
        <v>0</v>
      </c>
      <c r="F56" s="51">
        <f t="shared" si="28"/>
        <v>0</v>
      </c>
      <c r="G56" s="51">
        <f t="shared" si="28"/>
        <v>0</v>
      </c>
      <c r="H56" s="51">
        <f t="shared" si="28"/>
        <v>0</v>
      </c>
      <c r="I56" s="51">
        <f t="shared" si="28"/>
        <v>0</v>
      </c>
      <c r="J56" s="51">
        <f t="shared" si="28"/>
        <v>0</v>
      </c>
      <c r="K56" s="51">
        <f t="shared" si="28"/>
        <v>0</v>
      </c>
      <c r="L56" s="51">
        <f t="shared" si="28"/>
        <v>0</v>
      </c>
      <c r="M56" s="51">
        <f t="shared" si="28"/>
        <v>0</v>
      </c>
      <c r="N56" s="51">
        <f t="shared" si="28"/>
        <v>0</v>
      </c>
      <c r="O56" s="51">
        <f t="shared" si="28"/>
        <v>0</v>
      </c>
      <c r="P56" s="51">
        <f t="shared" si="28"/>
        <v>0</v>
      </c>
      <c r="Q56" s="51">
        <f t="shared" si="28"/>
        <v>0</v>
      </c>
      <c r="R56" s="51">
        <f t="shared" si="28"/>
        <v>-1590576.3100000003</v>
      </c>
      <c r="S56" s="51">
        <f t="shared" si="28"/>
        <v>-1754488.5900000003</v>
      </c>
      <c r="T56" s="51">
        <f t="shared" si="28"/>
        <v>-1870817.3599999999</v>
      </c>
      <c r="U56" s="51">
        <f t="shared" si="28"/>
        <v>-2040864.3499999999</v>
      </c>
      <c r="V56" s="51">
        <f t="shared" si="28"/>
        <v>-1870034.3421933334</v>
      </c>
      <c r="W56" s="51">
        <f t="shared" si="28"/>
        <v>-2874551.3938919185</v>
      </c>
      <c r="X56" s="51">
        <f t="shared" si="28"/>
        <v>-1966565.3538744673</v>
      </c>
      <c r="Y56" s="51">
        <f t="shared" si="28"/>
        <v>-2280686.3538744655</v>
      </c>
      <c r="Z56" s="51">
        <f t="shared" si="28"/>
        <v>-2323078.6461141435</v>
      </c>
      <c r="AA56" s="51">
        <f t="shared" si="28"/>
        <v>-2501824.6060966905</v>
      </c>
      <c r="AB56" s="51">
        <f t="shared" si="28"/>
        <v>-2477078.6461141398</v>
      </c>
      <c r="AC56" s="51">
        <f t="shared" si="28"/>
        <v>-2568962.8583189105</v>
      </c>
      <c r="AD56" s="51">
        <f t="shared" si="28"/>
        <v>-4189603.8291771733</v>
      </c>
      <c r="AE56" s="51">
        <f t="shared" si="28"/>
        <v>-4281939.970413697</v>
      </c>
      <c r="AF56" s="51">
        <f t="shared" si="28"/>
        <v>-6194629.1195732867</v>
      </c>
      <c r="AG56" s="51">
        <f t="shared" si="28"/>
        <v>-5791455.0747679109</v>
      </c>
      <c r="AH56" s="51">
        <f t="shared" si="28"/>
        <v>-5895798.5536455065</v>
      </c>
      <c r="AI56" s="51">
        <f t="shared" si="28"/>
        <v>-9172013.3688611872</v>
      </c>
      <c r="AJ56" s="51">
        <f t="shared" si="28"/>
        <v>-7187773.0961658461</v>
      </c>
      <c r="AK56" s="51">
        <f t="shared" si="28"/>
        <v>-7457955.9936017441</v>
      </c>
      <c r="AL56" s="51">
        <f t="shared" si="28"/>
        <v>-8183366.952505853</v>
      </c>
      <c r="AM56" s="51">
        <f t="shared" si="28"/>
        <v>-8323646.6817937391</v>
      </c>
      <c r="AN56" s="51">
        <f t="shared" si="28"/>
        <v>-8308646.6817937391</v>
      </c>
      <c r="AO56" s="51">
        <f t="shared" si="28"/>
        <v>-8954434.3530266155</v>
      </c>
      <c r="AP56" s="65"/>
      <c r="AQ56" s="98">
        <f t="shared" si="24"/>
        <v>-5215882.26</v>
      </c>
      <c r="AR56" s="98">
        <f t="shared" si="24"/>
        <v>-6785450.0860852515</v>
      </c>
      <c r="AS56" s="98">
        <f t="shared" si="24"/>
        <v>-6570330.3538630763</v>
      </c>
      <c r="AT56" s="98">
        <f t="shared" si="24"/>
        <v>-7547866.1105297413</v>
      </c>
      <c r="AU56" s="98">
        <f t="shared" si="24"/>
        <v>-14666172.919164158</v>
      </c>
      <c r="AV56" s="98">
        <f t="shared" si="24"/>
        <v>-20859266.997274604</v>
      </c>
      <c r="AW56" s="98">
        <f t="shared" si="24"/>
        <v>-22829096.042273443</v>
      </c>
      <c r="AX56" s="98">
        <f t="shared" si="24"/>
        <v>-25586727.716614094</v>
      </c>
      <c r="AY56" s="65"/>
      <c r="AZ56" s="98">
        <f t="shared" si="25"/>
        <v>-26119528.810478069</v>
      </c>
      <c r="BA56" s="98">
        <f t="shared" si="25"/>
        <v>-83941263.675326303</v>
      </c>
      <c r="BB56" s="65"/>
      <c r="BC56" s="98">
        <f t="shared" si="26"/>
        <v>-1590576.3100000003</v>
      </c>
      <c r="BD56" s="98">
        <f t="shared" si="27"/>
        <v>-20457627.993932068</v>
      </c>
      <c r="BE56" s="261"/>
    </row>
    <row r="57" spans="2:57" hidden="1" outlineLevel="1" x14ac:dyDescent="0.45">
      <c r="B57"/>
      <c r="C57"/>
      <c r="D57"/>
      <c r="E57"/>
      <c r="F57" s="191"/>
      <c r="G57" s="191"/>
      <c r="H57" s="191"/>
      <c r="I57" s="191"/>
      <c r="J57" s="191"/>
      <c r="K57" s="191"/>
      <c r="L57" s="191"/>
      <c r="M57" s="191"/>
      <c r="N57" s="191"/>
      <c r="O57" s="191"/>
      <c r="P57" s="191"/>
      <c r="Q57" s="191"/>
      <c r="R57" s="231"/>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65"/>
      <c r="AQ57" s="191"/>
      <c r="AR57" s="191"/>
      <c r="AS57" s="191"/>
      <c r="AT57" s="191"/>
      <c r="AU57" s="191"/>
      <c r="AV57" s="191"/>
      <c r="AW57" s="191"/>
      <c r="AX57" s="191"/>
      <c r="AY57" s="65"/>
      <c r="AZ57" s="191"/>
      <c r="BA57" s="191"/>
      <c r="BB57" s="65"/>
      <c r="BC57" s="191"/>
      <c r="BD57" s="191"/>
    </row>
    <row r="58" spans="2:57" hidden="1" outlineLevel="2" x14ac:dyDescent="0.45">
      <c r="B58" s="102" t="s">
        <v>844</v>
      </c>
      <c r="C58" s="102"/>
      <c r="D58" s="102"/>
      <c r="E58" s="97"/>
      <c r="F58" s="97"/>
      <c r="G58" s="97"/>
      <c r="H58" s="97"/>
      <c r="I58" s="97"/>
      <c r="J58" s="97"/>
      <c r="K58" s="97"/>
      <c r="L58" s="97"/>
      <c r="M58" s="97"/>
      <c r="N58" s="97"/>
      <c r="O58" s="97"/>
      <c r="P58" s="97"/>
      <c r="Q58" s="97"/>
      <c r="R58" s="71">
        <v>-2295114.2255638796</v>
      </c>
      <c r="S58" s="71">
        <v>-3348972.7791002756</v>
      </c>
      <c r="T58" s="71">
        <v>-2750859.294752663</v>
      </c>
      <c r="U58" s="71">
        <v>-2614683.5189500493</v>
      </c>
      <c r="V58" s="71">
        <v>-2883338.232272916</v>
      </c>
      <c r="W58" s="71">
        <v>-2896495.0008698432</v>
      </c>
      <c r="X58" s="71">
        <v>-2960534.6031728447</v>
      </c>
      <c r="Y58" s="71">
        <v>-2870977.0453964118</v>
      </c>
      <c r="Z58" s="71">
        <v>-2883422.3337716744</v>
      </c>
      <c r="AA58" s="71">
        <v>-2874270.4745464441</v>
      </c>
      <c r="AB58" s="71">
        <v>-2877121.4739852683</v>
      </c>
      <c r="AC58" s="71">
        <v>-2875175.3383694775</v>
      </c>
      <c r="AD58" s="71">
        <v>-5979523.421985995</v>
      </c>
      <c r="AE58" s="71">
        <v>-5593748.9579252452</v>
      </c>
      <c r="AF58" s="71">
        <v>-6031672.8910038546</v>
      </c>
      <c r="AG58" s="71">
        <v>-6035220.3223140351</v>
      </c>
      <c r="AH58" s="71">
        <v>-6274098.5340412082</v>
      </c>
      <c r="AI58" s="71">
        <v>-6724124.1953554032</v>
      </c>
      <c r="AJ58" s="71">
        <v>-6538912.4429070605</v>
      </c>
      <c r="AK58" s="71">
        <v>-6753132.2646037694</v>
      </c>
      <c r="AL58" s="71">
        <v>-6880469.0382224815</v>
      </c>
      <c r="AM58" s="71">
        <v>-6820056.0391380703</v>
      </c>
      <c r="AN58" s="71">
        <v>-6983040.6148032229</v>
      </c>
      <c r="AO58" s="71">
        <v>-7007634.7137010582</v>
      </c>
      <c r="AP58" s="65"/>
      <c r="AQ58" s="70">
        <f t="shared" ref="AQ58:AX60" si="29">+SUMIFS($G58:$AO58,$G$9:$AO$9,AQ$9,$G$8:$AO$8,AQ$8)</f>
        <v>-8394946.2994168177</v>
      </c>
      <c r="AR58" s="70">
        <f t="shared" si="29"/>
        <v>-8394516.7520928085</v>
      </c>
      <c r="AS58" s="70">
        <f t="shared" si="29"/>
        <v>-8714933.98234093</v>
      </c>
      <c r="AT58" s="70">
        <f t="shared" si="29"/>
        <v>-8626567.2869011909</v>
      </c>
      <c r="AU58" s="70">
        <f t="shared" si="29"/>
        <v>-17604945.270915095</v>
      </c>
      <c r="AV58" s="70">
        <f t="shared" si="29"/>
        <v>-19033443.051710647</v>
      </c>
      <c r="AW58" s="70">
        <f t="shared" si="29"/>
        <v>-20172513.74573331</v>
      </c>
      <c r="AX58" s="70">
        <f t="shared" si="29"/>
        <v>-20810731.36764235</v>
      </c>
      <c r="AY58" s="65"/>
      <c r="AZ58" s="70">
        <f t="shared" ref="AZ58:BA60" si="30">+SUMIF($F$8:$AO$8,AZ$8,$F58:$AO58)</f>
        <v>-34130964.320751749</v>
      </c>
      <c r="BA58" s="70">
        <f t="shared" si="30"/>
        <v>-77621633.436001405</v>
      </c>
      <c r="BB58" s="65"/>
      <c r="BC58" s="70">
        <f>SUMIF($R$11:$AC$11, "Actual", $R58:$AC58)</f>
        <v>-2295114.2255638796</v>
      </c>
      <c r="BD58" s="70">
        <f>SUMIF($AD$11:$AO$11, "Actual", $AD58:$AO58)</f>
        <v>-23640165.59322913</v>
      </c>
    </row>
    <row r="59" spans="2:57" hidden="1" outlineLevel="2" x14ac:dyDescent="0.45">
      <c r="B59" s="102" t="s">
        <v>482</v>
      </c>
      <c r="C59" s="102"/>
      <c r="D59" s="102"/>
      <c r="E59" s="97"/>
      <c r="F59" s="97"/>
      <c r="G59" s="97"/>
      <c r="H59" s="97"/>
      <c r="I59" s="97"/>
      <c r="J59" s="97"/>
      <c r="K59" s="97"/>
      <c r="L59" s="97"/>
      <c r="M59" s="97"/>
      <c r="N59" s="97"/>
      <c r="O59" s="97"/>
      <c r="P59" s="97"/>
      <c r="Q59" s="97"/>
      <c r="R59" s="71">
        <v>-2525106.3828772958</v>
      </c>
      <c r="S59" s="71">
        <v>-2841353.4128275253</v>
      </c>
      <c r="T59" s="71">
        <v>-3322561.9850937491</v>
      </c>
      <c r="U59" s="71">
        <v>-3077528.3287520781</v>
      </c>
      <c r="V59" s="71">
        <v>-3026167.7303762054</v>
      </c>
      <c r="W59" s="71">
        <v>-3135231.676627547</v>
      </c>
      <c r="X59" s="71">
        <v>-4287957.1884841053</v>
      </c>
      <c r="Y59" s="71">
        <v>-4392644.4937400138</v>
      </c>
      <c r="Z59" s="71">
        <v>-4427268.2143765194</v>
      </c>
      <c r="AA59" s="71">
        <v>-4691960.4671018133</v>
      </c>
      <c r="AB59" s="71">
        <v>-4692364.8422820717</v>
      </c>
      <c r="AC59" s="71">
        <v>-4854063.8254950289</v>
      </c>
      <c r="AD59" s="71">
        <v>-4109876.4219022631</v>
      </c>
      <c r="AE59" s="71">
        <v>-4408489.0994536439</v>
      </c>
      <c r="AF59" s="71">
        <v>-4515019.8216131851</v>
      </c>
      <c r="AG59" s="71">
        <v>-4679660.9596492751</v>
      </c>
      <c r="AH59" s="71">
        <v>-4556922.0534898881</v>
      </c>
      <c r="AI59" s="71">
        <v>-4757540.0251425076</v>
      </c>
      <c r="AJ59" s="71">
        <v>-4620462.114431222</v>
      </c>
      <c r="AK59" s="71">
        <v>-4630448.0404651193</v>
      </c>
      <c r="AL59" s="71">
        <v>-4633308.7737529045</v>
      </c>
      <c r="AM59" s="71">
        <v>-4636071.0129966792</v>
      </c>
      <c r="AN59" s="71">
        <v>-4638842.6331535764</v>
      </c>
      <c r="AO59" s="71">
        <v>-4641945.0260409862</v>
      </c>
      <c r="AP59" s="65"/>
      <c r="AQ59" s="70">
        <f t="shared" si="29"/>
        <v>-8689021.7807985693</v>
      </c>
      <c r="AR59" s="70">
        <f t="shared" si="29"/>
        <v>-9238927.735755831</v>
      </c>
      <c r="AS59" s="70">
        <f t="shared" si="29"/>
        <v>-13107869.896600638</v>
      </c>
      <c r="AT59" s="70">
        <f t="shared" si="29"/>
        <v>-14238389.134878913</v>
      </c>
      <c r="AU59" s="70">
        <f t="shared" si="29"/>
        <v>-13033385.342969092</v>
      </c>
      <c r="AV59" s="70">
        <f t="shared" si="29"/>
        <v>-13994123.03828167</v>
      </c>
      <c r="AW59" s="70">
        <f t="shared" si="29"/>
        <v>-13884218.928649247</v>
      </c>
      <c r="AX59" s="70">
        <f t="shared" si="29"/>
        <v>-13916858.672191242</v>
      </c>
      <c r="AY59" s="65"/>
      <c r="AZ59" s="70">
        <f t="shared" si="30"/>
        <v>-45274208.548033953</v>
      </c>
      <c r="BA59" s="70">
        <f t="shared" si="30"/>
        <v>-54828585.982091248</v>
      </c>
      <c r="BB59" s="65"/>
      <c r="BC59" s="70">
        <f>SUMIF($R$11:$AC$11, "Actual", $R59:$AC59)</f>
        <v>-2525106.3828772958</v>
      </c>
      <c r="BD59" s="70">
        <f>SUMIF($AD$11:$AO$11, "Actual", $AD59:$AO59)</f>
        <v>-17713046.302618366</v>
      </c>
    </row>
    <row r="60" spans="2:57" hidden="1" outlineLevel="1" collapsed="1" x14ac:dyDescent="0.45">
      <c r="B60" s="53" t="s">
        <v>845</v>
      </c>
      <c r="C60" s="53"/>
      <c r="D60" s="190"/>
      <c r="E60" s="190"/>
      <c r="F60" s="98"/>
      <c r="G60" s="98"/>
      <c r="H60" s="98"/>
      <c r="I60" s="98"/>
      <c r="J60" s="98"/>
      <c r="K60" s="98"/>
      <c r="L60" s="98"/>
      <c r="M60" s="98"/>
      <c r="N60" s="98"/>
      <c r="O60" s="98"/>
      <c r="P60" s="98"/>
      <c r="Q60" s="98"/>
      <c r="R60" s="51">
        <f t="shared" ref="R60:AC60" si="31">+R56+R58+R59</f>
        <v>-6410796.9184411755</v>
      </c>
      <c r="S60" s="51">
        <f t="shared" si="31"/>
        <v>-7944814.7819278017</v>
      </c>
      <c r="T60" s="51">
        <f t="shared" si="31"/>
        <v>-7944238.6398464115</v>
      </c>
      <c r="U60" s="51">
        <f>+U56+U58+U59</f>
        <v>-7733076.1977021275</v>
      </c>
      <c r="V60" s="51">
        <f t="shared" si="31"/>
        <v>-7779540.3048424544</v>
      </c>
      <c r="W60" s="51">
        <f t="shared" si="31"/>
        <v>-8906278.0713893082</v>
      </c>
      <c r="X60" s="51">
        <f t="shared" si="31"/>
        <v>-9215057.1455314159</v>
      </c>
      <c r="Y60" s="51">
        <f t="shared" si="31"/>
        <v>-9544307.893010892</v>
      </c>
      <c r="Z60" s="51">
        <f t="shared" si="31"/>
        <v>-9633769.1942623369</v>
      </c>
      <c r="AA60" s="51">
        <f t="shared" si="31"/>
        <v>-10068055.547744948</v>
      </c>
      <c r="AB60" s="51">
        <f t="shared" si="31"/>
        <v>-10046564.96238148</v>
      </c>
      <c r="AC60" s="51">
        <f t="shared" si="31"/>
        <v>-10298202.022183416</v>
      </c>
      <c r="AD60" s="51">
        <f>+AD56+AD58+AD59</f>
        <v>-14279003.673065431</v>
      </c>
      <c r="AE60" s="51">
        <f t="shared" ref="AE60:AO60" si="32">+AE56+AE58+AE59</f>
        <v>-14284178.027792584</v>
      </c>
      <c r="AF60" s="51">
        <f t="shared" si="32"/>
        <v>-16741321.832190327</v>
      </c>
      <c r="AG60" s="51">
        <f t="shared" si="32"/>
        <v>-16506336.356731221</v>
      </c>
      <c r="AH60" s="51">
        <f t="shared" si="32"/>
        <v>-16726819.141176602</v>
      </c>
      <c r="AI60" s="51">
        <f t="shared" si="32"/>
        <v>-20653677.589359097</v>
      </c>
      <c r="AJ60" s="51">
        <f t="shared" si="32"/>
        <v>-18347147.653504129</v>
      </c>
      <c r="AK60" s="51">
        <f t="shared" si="32"/>
        <v>-18841536.298670635</v>
      </c>
      <c r="AL60" s="51">
        <f t="shared" si="32"/>
        <v>-19697144.764481239</v>
      </c>
      <c r="AM60" s="51">
        <f t="shared" si="32"/>
        <v>-19779773.733928487</v>
      </c>
      <c r="AN60" s="51">
        <f t="shared" si="32"/>
        <v>-19930529.929750539</v>
      </c>
      <c r="AO60" s="51">
        <f t="shared" si="32"/>
        <v>-20604014.092768662</v>
      </c>
      <c r="AP60" s="65"/>
      <c r="AQ60" s="98">
        <f t="shared" si="29"/>
        <v>-22299850.340215389</v>
      </c>
      <c r="AR60" s="98">
        <f t="shared" si="29"/>
        <v>-24418894.573933892</v>
      </c>
      <c r="AS60" s="98">
        <f t="shared" si="29"/>
        <v>-28393134.232804645</v>
      </c>
      <c r="AT60" s="98">
        <f t="shared" si="29"/>
        <v>-30412822.532309845</v>
      </c>
      <c r="AU60" s="98">
        <f t="shared" si="29"/>
        <v>-45304503.533048347</v>
      </c>
      <c r="AV60" s="98">
        <f t="shared" si="29"/>
        <v>-53886833.087266922</v>
      </c>
      <c r="AW60" s="98">
        <f t="shared" si="29"/>
        <v>-56885828.716656007</v>
      </c>
      <c r="AX60" s="98">
        <f t="shared" si="29"/>
        <v>-60314317.756447688</v>
      </c>
      <c r="AY60" s="65"/>
      <c r="AZ60" s="98">
        <f t="shared" si="30"/>
        <v>-105524701.67926377</v>
      </c>
      <c r="BA60" s="98">
        <f t="shared" si="30"/>
        <v>-216391483.09341899</v>
      </c>
      <c r="BB60" s="65"/>
      <c r="BC60" s="98">
        <f>SUMIF($R$11:$AC$11, "Actual", $R60:$AC60)</f>
        <v>-6410796.9184411755</v>
      </c>
      <c r="BD60" s="98">
        <f>SUMIF($AD$11:$AO$11, "Actual", $AD60:$AO60)</f>
        <v>-61810839.889779568</v>
      </c>
    </row>
    <row r="61" spans="2:57" hidden="1" outlineLevel="1" x14ac:dyDescent="0.45">
      <c r="B61"/>
      <c r="C61"/>
      <c r="D61"/>
      <c r="E61"/>
      <c r="F61" s="191"/>
      <c r="G61" s="191"/>
      <c r="H61" s="191"/>
      <c r="I61" s="191"/>
      <c r="J61" s="191"/>
      <c r="K61" s="191"/>
      <c r="L61" s="191"/>
      <c r="M61" s="191"/>
      <c r="N61" s="191"/>
      <c r="O61" s="191"/>
      <c r="P61" s="191"/>
      <c r="Q61" s="191"/>
      <c r="R61" s="230"/>
      <c r="S61" s="191"/>
      <c r="T61" s="191"/>
      <c r="U61" s="191"/>
      <c r="V61" s="191"/>
      <c r="W61" s="191"/>
      <c r="X61" s="191"/>
      <c r="Y61" s="191"/>
      <c r="Z61" s="191"/>
      <c r="AA61" s="191"/>
      <c r="AB61" s="191"/>
      <c r="AC61" s="191"/>
      <c r="AD61" s="191"/>
      <c r="AE61" s="191"/>
      <c r="AF61" s="191"/>
      <c r="AG61" s="191"/>
      <c r="AH61" s="191"/>
      <c r="AI61" s="191"/>
      <c r="AJ61" s="191"/>
      <c r="AK61" s="191"/>
      <c r="AL61" s="191"/>
      <c r="AM61" s="191"/>
      <c r="AN61" s="191"/>
      <c r="AO61" s="191"/>
      <c r="AP61" s="65"/>
      <c r="AQ61" s="191"/>
      <c r="AR61" s="191"/>
      <c r="AS61" s="191"/>
      <c r="AT61" s="191"/>
      <c r="AU61" s="191"/>
      <c r="AV61" s="191"/>
      <c r="AW61" s="191"/>
      <c r="AX61" s="191"/>
      <c r="AY61" s="65"/>
      <c r="AZ61" s="191"/>
      <c r="BA61" s="191"/>
      <c r="BB61" s="65"/>
      <c r="BC61" s="191"/>
      <c r="BD61" s="191"/>
    </row>
    <row r="62" spans="2:57" hidden="1" outlineLevel="1" x14ac:dyDescent="0.45">
      <c r="B62" s="49" t="s">
        <v>812</v>
      </c>
      <c r="C62" s="49"/>
      <c r="D62" s="49"/>
      <c r="E62" s="192"/>
      <c r="F62" s="62"/>
      <c r="G62" s="62"/>
      <c r="H62" s="62"/>
      <c r="I62" s="62"/>
      <c r="J62" s="62"/>
      <c r="K62" s="62"/>
      <c r="L62" s="62"/>
      <c r="M62" s="62"/>
      <c r="N62" s="62"/>
      <c r="O62" s="62"/>
      <c r="P62" s="62"/>
      <c r="Q62" s="62"/>
      <c r="R62" s="62">
        <f t="shared" ref="R62:AO62" si="33">R46+R60</f>
        <v>-338953.5884411782</v>
      </c>
      <c r="S62" s="62">
        <f t="shared" si="33"/>
        <v>-3282995.3219278017</v>
      </c>
      <c r="T62" s="62">
        <f t="shared" si="33"/>
        <v>-2006925.1698464127</v>
      </c>
      <c r="U62" s="62">
        <f t="shared" si="33"/>
        <v>2221840.3622978637</v>
      </c>
      <c r="V62" s="62">
        <f t="shared" si="33"/>
        <v>990544.38066153135</v>
      </c>
      <c r="W62" s="62">
        <f t="shared" si="33"/>
        <v>-1429283.990065841</v>
      </c>
      <c r="X62" s="62">
        <f t="shared" si="33"/>
        <v>1133172.432667166</v>
      </c>
      <c r="Y62" s="62">
        <f t="shared" si="33"/>
        <v>2400613.153486209</v>
      </c>
      <c r="Z62" s="62">
        <f t="shared" si="33"/>
        <v>3117836.8661655299</v>
      </c>
      <c r="AA62" s="62">
        <f t="shared" si="33"/>
        <v>4026839.8205232248</v>
      </c>
      <c r="AB62" s="62">
        <f t="shared" si="33"/>
        <v>4494349.4045311268</v>
      </c>
      <c r="AC62" s="62">
        <f t="shared" si="33"/>
        <v>4481021.1889222208</v>
      </c>
      <c r="AD62" s="62">
        <f t="shared" si="33"/>
        <v>-11012302.952041063</v>
      </c>
      <c r="AE62" s="62">
        <f t="shared" si="33"/>
        <v>-11327802.936929854</v>
      </c>
      <c r="AF62" s="62">
        <f t="shared" si="33"/>
        <v>-13234112.300988115</v>
      </c>
      <c r="AG62" s="62">
        <f t="shared" si="33"/>
        <v>-12449087.215828264</v>
      </c>
      <c r="AH62" s="62">
        <f t="shared" si="33"/>
        <v>-11548220.361024799</v>
      </c>
      <c r="AI62" s="62">
        <f t="shared" si="33"/>
        <v>-15585325.021541847</v>
      </c>
      <c r="AJ62" s="62">
        <f t="shared" si="33"/>
        <v>-12436290.415482726</v>
      </c>
      <c r="AK62" s="62">
        <f t="shared" si="33"/>
        <v>-11059686.971150573</v>
      </c>
      <c r="AL62" s="62">
        <f t="shared" si="33"/>
        <v>-11450361.626634626</v>
      </c>
      <c r="AM62" s="62">
        <f t="shared" si="33"/>
        <v>-10101832.830327043</v>
      </c>
      <c r="AN62" s="62">
        <f t="shared" si="33"/>
        <v>-9954126.0804130565</v>
      </c>
      <c r="AO62" s="62">
        <f t="shared" si="33"/>
        <v>-9172527.2274457626</v>
      </c>
      <c r="AP62" s="65"/>
      <c r="AQ62" s="62">
        <f t="shared" ref="AQ62:AX62" si="34">+SUMIFS($G62:$AO62,$G$9:$AO$9,AQ$9,$G$8:$AO$8,AQ$8)</f>
        <v>-5628874.0802153926</v>
      </c>
      <c r="AR62" s="62">
        <f t="shared" si="34"/>
        <v>1783100.752893554</v>
      </c>
      <c r="AS62" s="62">
        <f t="shared" si="34"/>
        <v>6651622.4523189049</v>
      </c>
      <c r="AT62" s="62">
        <f t="shared" si="34"/>
        <v>13002210.413976572</v>
      </c>
      <c r="AU62" s="62">
        <f t="shared" si="34"/>
        <v>-35574218.189959034</v>
      </c>
      <c r="AV62" s="62">
        <f t="shared" si="34"/>
        <v>-39582632.598394908</v>
      </c>
      <c r="AW62" s="62">
        <f t="shared" si="34"/>
        <v>-34946339.013267927</v>
      </c>
      <c r="AX62" s="62">
        <f t="shared" si="34"/>
        <v>-29228486.138185862</v>
      </c>
      <c r="AY62" s="65"/>
      <c r="AZ62" s="62">
        <f>+SUMIF($F$8:$AO$8,AZ$8,$F62:$AO62)</f>
        <v>15808059.538973639</v>
      </c>
      <c r="BA62" s="62">
        <f>+SUMIF($F$8:$AO$8,BA$8,$F62:$AO62)</f>
        <v>-139331675.93980774</v>
      </c>
      <c r="BB62" s="65"/>
      <c r="BC62" s="62">
        <f>SUMIF($R$11:$AC$11, "Actual", $R62:$AC62)</f>
        <v>-338953.5884411782</v>
      </c>
      <c r="BD62" s="62">
        <f>SUMIF($AD$11:$AO$11, "Actual", $AD62:$AO62)</f>
        <v>-48023305.405787297</v>
      </c>
    </row>
    <row r="63" spans="2:57" hidden="1" outlineLevel="1" x14ac:dyDescent="0.45">
      <c r="B63"/>
      <c r="C63"/>
      <c r="D63"/>
      <c r="E63"/>
      <c r="F63" s="191"/>
      <c r="G63" s="191"/>
      <c r="H63" s="191"/>
      <c r="I63" s="191"/>
      <c r="J63" s="191"/>
      <c r="K63" s="191"/>
      <c r="L63" s="191"/>
      <c r="M63" s="191"/>
      <c r="N63" s="191"/>
      <c r="O63" s="191"/>
      <c r="P63" s="191"/>
      <c r="Q63" s="191"/>
      <c r="R63" s="223"/>
      <c r="S63" s="223"/>
      <c r="T63" s="223"/>
      <c r="U63" s="223"/>
      <c r="V63" s="223"/>
      <c r="W63" s="223"/>
      <c r="X63" s="223"/>
      <c r="Y63" s="223"/>
      <c r="Z63" s="223"/>
      <c r="AA63" s="223"/>
      <c r="AB63" s="223"/>
      <c r="AC63" s="223"/>
      <c r="AD63" s="223"/>
      <c r="AE63" s="223"/>
      <c r="AF63" s="223"/>
      <c r="AG63" s="223"/>
      <c r="AH63" s="223"/>
      <c r="AI63" s="223"/>
      <c r="AJ63" s="223"/>
      <c r="AK63" s="223"/>
      <c r="AL63" s="223"/>
      <c r="AM63" s="223"/>
      <c r="AN63" s="223"/>
      <c r="AO63" s="223"/>
      <c r="AP63" s="65"/>
      <c r="AQ63" s="191"/>
      <c r="AR63" s="191"/>
      <c r="AS63" s="191"/>
      <c r="AT63" s="191"/>
      <c r="AU63" s="191"/>
      <c r="AV63" s="191"/>
      <c r="AW63" s="191"/>
      <c r="AX63" s="191"/>
      <c r="AY63" s="65"/>
      <c r="AZ63" s="191"/>
      <c r="BA63" s="191"/>
      <c r="BB63" s="65"/>
      <c r="BC63" s="191"/>
      <c r="BD63" s="191"/>
    </row>
    <row r="64" spans="2:57" hidden="1" outlineLevel="2" x14ac:dyDescent="0.45">
      <c r="B64" s="53" t="s">
        <v>557</v>
      </c>
      <c r="C64" s="53"/>
      <c r="D64" s="53"/>
      <c r="E64" s="101"/>
      <c r="F64" s="101"/>
      <c r="G64" s="101"/>
      <c r="H64" s="101"/>
      <c r="I64" s="101"/>
      <c r="J64" s="101"/>
      <c r="K64" s="101"/>
      <c r="L64" s="101"/>
      <c r="M64" s="101"/>
      <c r="N64" s="101"/>
      <c r="O64" s="101"/>
      <c r="P64" s="101"/>
      <c r="Q64" s="101"/>
      <c r="R64" s="64">
        <v>-1714955.5899999999</v>
      </c>
      <c r="S64" s="64">
        <v>-1840310.28</v>
      </c>
      <c r="T64" s="64">
        <v>-1830631.2099999997</v>
      </c>
      <c r="U64" s="64">
        <v>-2474407.2900000005</v>
      </c>
      <c r="V64" s="64">
        <v>-2474407.2900000005</v>
      </c>
      <c r="W64" s="64">
        <v>-2775873.1229770496</v>
      </c>
      <c r="X64" s="64">
        <v>-3021531.4007460773</v>
      </c>
      <c r="Y64" s="64">
        <v>-3428234.2307435586</v>
      </c>
      <c r="Z64" s="64">
        <v>-3759468.7248999961</v>
      </c>
      <c r="AA64" s="64">
        <v>-4133041.3932712264</v>
      </c>
      <c r="AB64" s="64">
        <v>-4984363.1096839309</v>
      </c>
      <c r="AC64" s="64">
        <v>-5492175.7770827077</v>
      </c>
      <c r="AD64" s="64">
        <v>-1759475.3399999992</v>
      </c>
      <c r="AE64" s="64">
        <v>-1981373.8985775751</v>
      </c>
      <c r="AF64" s="64">
        <v>-2316889.1450448856</v>
      </c>
      <c r="AG64" s="64">
        <v>-2640350.3566732886</v>
      </c>
      <c r="AH64" s="64">
        <v>-3205252.747114677</v>
      </c>
      <c r="AI64" s="64">
        <v>-3475254.0804803669</v>
      </c>
      <c r="AJ64" s="64">
        <v>-3913473.9526092764</v>
      </c>
      <c r="AK64" s="64">
        <v>-4396483.8973274184</v>
      </c>
      <c r="AL64" s="64">
        <v>-4880970.7576013217</v>
      </c>
      <c r="AM64" s="64">
        <v>-5337524.6531023225</v>
      </c>
      <c r="AN64" s="64">
        <v>-5894663.855425871</v>
      </c>
      <c r="AO64" s="64">
        <v>-6499600.9764526365</v>
      </c>
      <c r="AP64" s="65"/>
      <c r="AQ64" s="98">
        <f t="shared" ref="AQ64:AX64" si="35">+SUMIFS($G64:$AO64,$G$9:$AO$9,AQ$9,$G$8:$AO$8,AQ$8)</f>
        <v>-5385897.0800000001</v>
      </c>
      <c r="AR64" s="98">
        <f t="shared" si="35"/>
        <v>-7724687.7029770501</v>
      </c>
      <c r="AS64" s="98">
        <f t="shared" si="35"/>
        <v>-10209234.356389632</v>
      </c>
      <c r="AT64" s="98">
        <f t="shared" si="35"/>
        <v>-14609580.280037865</v>
      </c>
      <c r="AU64" s="98">
        <f t="shared" si="35"/>
        <v>-6057738.3836224601</v>
      </c>
      <c r="AV64" s="98">
        <f t="shared" si="35"/>
        <v>-9320857.184268333</v>
      </c>
      <c r="AW64" s="98">
        <f t="shared" si="35"/>
        <v>-13190928.607538017</v>
      </c>
      <c r="AX64" s="98">
        <f t="shared" si="35"/>
        <v>-17731789.484980829</v>
      </c>
      <c r="AY64" s="65"/>
      <c r="AZ64" s="98">
        <f>+SUMIF($F$8:$AO$8,AZ$8,$F64:$AO64)</f>
        <v>-37929399.419404551</v>
      </c>
      <c r="BA64" s="98">
        <f>+SUMIF($F$8:$AO$8,BA$8,$F64:$AO64)</f>
        <v>-46301313.660409637</v>
      </c>
      <c r="BB64" s="65"/>
      <c r="BC64" s="98">
        <f>SUMIF($R$11:$AC$11, "Actual", $R64:$AC64)</f>
        <v>-1714955.5899999999</v>
      </c>
      <c r="BD64" s="98">
        <f>SUMIF($AD$11:$AO$11, "Actual", $AD64:$AO64)</f>
        <v>-8698088.7402957492</v>
      </c>
    </row>
    <row r="65" spans="2:56" hidden="1" outlineLevel="2" x14ac:dyDescent="0.45">
      <c r="B65"/>
      <c r="C65"/>
      <c r="D65"/>
      <c r="E65"/>
      <c r="F65" s="191"/>
      <c r="G65" s="191"/>
      <c r="H65" s="191"/>
      <c r="I65" s="191"/>
      <c r="J65" s="191"/>
      <c r="K65" s="191"/>
      <c r="L65" s="191"/>
      <c r="M65" s="191"/>
      <c r="N65" s="191"/>
      <c r="O65" s="191"/>
      <c r="P65" s="191"/>
      <c r="Q65" s="191"/>
      <c r="R65" s="191"/>
      <c r="S65" s="191"/>
      <c r="T65" s="191"/>
      <c r="U65" s="191"/>
      <c r="V65" s="191"/>
      <c r="W65" s="191"/>
      <c r="X65" s="191"/>
      <c r="Y65" s="191"/>
      <c r="Z65" s="191"/>
      <c r="AA65" s="191"/>
      <c r="AB65" s="191"/>
      <c r="AC65" s="191"/>
      <c r="AD65" s="191"/>
      <c r="AE65" s="191"/>
      <c r="AF65" s="191"/>
      <c r="AG65" s="191"/>
      <c r="AH65" s="191"/>
      <c r="AI65" s="191"/>
      <c r="AJ65" s="191"/>
      <c r="AK65" s="191"/>
      <c r="AL65" s="191"/>
      <c r="AM65" s="191"/>
      <c r="AN65" s="191"/>
      <c r="AO65" s="191"/>
      <c r="AP65" s="65"/>
      <c r="AQ65" s="191"/>
      <c r="AR65" s="191"/>
      <c r="AS65" s="191"/>
      <c r="AT65" s="191"/>
      <c r="AU65" s="191"/>
      <c r="AV65" s="191"/>
      <c r="AW65" s="191"/>
      <c r="AX65" s="191"/>
      <c r="AY65" s="65"/>
      <c r="AZ65" s="191"/>
      <c r="BA65" s="191"/>
      <c r="BB65" s="65"/>
      <c r="BC65" s="191"/>
      <c r="BD65" s="191"/>
    </row>
    <row r="66" spans="2:56" hidden="1" outlineLevel="2" x14ac:dyDescent="0.45">
      <c r="B66" s="53" t="s">
        <v>750</v>
      </c>
      <c r="C66" s="53"/>
      <c r="D66" s="53"/>
      <c r="E66" s="101"/>
      <c r="F66" s="101"/>
      <c r="G66" s="101"/>
      <c r="H66" s="101"/>
      <c r="I66" s="101"/>
      <c r="J66" s="101"/>
      <c r="K66" s="101"/>
      <c r="L66" s="101"/>
      <c r="M66" s="101"/>
      <c r="N66" s="101"/>
      <c r="O66" s="101"/>
      <c r="P66" s="101"/>
      <c r="Q66" s="101"/>
      <c r="R66" s="64">
        <v>0</v>
      </c>
      <c r="S66" s="64">
        <v>0</v>
      </c>
      <c r="T66" s="64">
        <v>0</v>
      </c>
      <c r="U66" s="64">
        <v>0</v>
      </c>
      <c r="V66" s="64">
        <v>0</v>
      </c>
      <c r="W66" s="64">
        <v>-1336111.111111111</v>
      </c>
      <c r="X66" s="64">
        <v>-2281200.2604497932</v>
      </c>
      <c r="Y66" s="64">
        <v>-4004690.0247845151</v>
      </c>
      <c r="Z66" s="64">
        <v>-6465287.97464409</v>
      </c>
      <c r="AA66" s="64">
        <v>-6391049.8281186102</v>
      </c>
      <c r="AB66" s="64">
        <v>-6458155.8173838221</v>
      </c>
      <c r="AC66" s="64">
        <v>-6944150.346278497</v>
      </c>
      <c r="AD66" s="64">
        <v>-2660625</v>
      </c>
      <c r="AE66" s="64">
        <v>-2612708.3333333335</v>
      </c>
      <c r="AF66" s="64">
        <v>-2612708.333333334</v>
      </c>
      <c r="AG66" s="64">
        <v>-3029895.8333333335</v>
      </c>
      <c r="AH66" s="64">
        <v>-3447083.333333333</v>
      </c>
      <c r="AI66" s="64">
        <v>-3447083.3333333335</v>
      </c>
      <c r="AJ66" s="64">
        <v>-3864270.833333334</v>
      </c>
      <c r="AK66" s="64">
        <v>-4281458.333333334</v>
      </c>
      <c r="AL66" s="64">
        <v>-4281458.333333334</v>
      </c>
      <c r="AM66" s="64">
        <v>-4281458.333333334</v>
      </c>
      <c r="AN66" s="64">
        <v>-4281458.333333334</v>
      </c>
      <c r="AO66" s="64">
        <v>-4698645.833333334</v>
      </c>
      <c r="AP66" s="65"/>
      <c r="AQ66" s="98">
        <f t="shared" ref="AQ66:AX66" si="36">+SUMIFS($G66:$AO66,$G$9:$AO$9,AQ$9,$G$8:$AO$8,AQ$8)</f>
        <v>0</v>
      </c>
      <c r="AR66" s="98">
        <f t="shared" si="36"/>
        <v>-1336111.111111111</v>
      </c>
      <c r="AS66" s="98">
        <f t="shared" si="36"/>
        <v>-12751178.259878397</v>
      </c>
      <c r="AT66" s="98">
        <f t="shared" si="36"/>
        <v>-19793355.991780929</v>
      </c>
      <c r="AU66" s="98">
        <f t="shared" si="36"/>
        <v>-7886041.6666666679</v>
      </c>
      <c r="AV66" s="98">
        <f t="shared" si="36"/>
        <v>-9924062.5</v>
      </c>
      <c r="AW66" s="98">
        <f t="shared" si="36"/>
        <v>-12427187.500000002</v>
      </c>
      <c r="AX66" s="98">
        <f t="shared" si="36"/>
        <v>-13261562.500000002</v>
      </c>
      <c r="AY66" s="65"/>
      <c r="AZ66" s="98">
        <f>+SUMIF($F$8:$AO$8,AZ$8,$F66:$AO66)</f>
        <v>-33880645.362770438</v>
      </c>
      <c r="BA66" s="98">
        <f>+SUMIF($F$8:$AO$8,BA$8,$F66:$AO66)</f>
        <v>-43498854.166666679</v>
      </c>
      <c r="BB66" s="65"/>
      <c r="BC66" s="98">
        <f>SUMIF($R$11:$AC$11, "Actual", $R66:$AC66)</f>
        <v>0</v>
      </c>
      <c r="BD66" s="98">
        <f>SUMIF($AD$11:$AO$11, "Actual", $AD66:$AO66)</f>
        <v>-10915937.500000002</v>
      </c>
    </row>
    <row r="67" spans="2:56" hidden="1" outlineLevel="2" x14ac:dyDescent="0.45">
      <c r="B67"/>
      <c r="C67"/>
      <c r="D67"/>
      <c r="E67"/>
      <c r="F67" s="191"/>
      <c r="G67" s="191"/>
      <c r="H67" s="191"/>
      <c r="I67" s="191"/>
      <c r="J67" s="191"/>
      <c r="K67" s="191"/>
      <c r="L67" s="191"/>
      <c r="M67" s="191"/>
      <c r="N67" s="191"/>
      <c r="O67" s="191"/>
      <c r="P67" s="191"/>
      <c r="Q67" s="191"/>
      <c r="R67" s="191"/>
      <c r="S67" s="191"/>
      <c r="T67" s="191"/>
      <c r="U67" s="191"/>
      <c r="V67" s="191"/>
      <c r="W67" s="191"/>
      <c r="X67" s="191"/>
      <c r="Y67" s="191"/>
      <c r="Z67" s="191"/>
      <c r="AA67" s="191"/>
      <c r="AB67" s="191"/>
      <c r="AC67" s="191"/>
      <c r="AD67" s="191"/>
      <c r="AE67" s="191"/>
      <c r="AF67" s="191"/>
      <c r="AG67" s="191"/>
      <c r="AH67" s="191"/>
      <c r="AI67" s="191"/>
      <c r="AJ67" s="191"/>
      <c r="AK67" s="191"/>
      <c r="AL67" s="191"/>
      <c r="AM67" s="191"/>
      <c r="AN67" s="191"/>
      <c r="AO67" s="191"/>
      <c r="AP67" s="65"/>
      <c r="AQ67" s="191"/>
      <c r="AR67" s="191"/>
      <c r="AS67" s="191"/>
      <c r="AT67" s="191"/>
      <c r="AU67" s="191"/>
      <c r="AV67" s="191"/>
      <c r="AW67" s="191"/>
      <c r="AX67" s="191"/>
      <c r="AY67" s="65"/>
      <c r="AZ67" s="191"/>
      <c r="BA67" s="191"/>
      <c r="BB67" s="65"/>
      <c r="BC67" s="191"/>
      <c r="BD67" s="191"/>
    </row>
    <row r="68" spans="2:56" hidden="1" outlineLevel="1" collapsed="1" x14ac:dyDescent="0.45">
      <c r="B68" s="49" t="s">
        <v>814</v>
      </c>
      <c r="C68" s="49"/>
      <c r="D68" s="49"/>
      <c r="E68" s="192"/>
      <c r="F68" s="62"/>
      <c r="G68" s="62"/>
      <c r="H68" s="62"/>
      <c r="I68" s="62"/>
      <c r="J68" s="62"/>
      <c r="K68" s="62"/>
      <c r="L68" s="62"/>
      <c r="M68" s="62"/>
      <c r="N68" s="62"/>
      <c r="O68" s="62"/>
      <c r="P68" s="62"/>
      <c r="Q68" s="62"/>
      <c r="R68" s="62">
        <f t="shared" ref="R68:AO68" si="37">+R46+R60+R64+R66</f>
        <v>-2053909.1784411781</v>
      </c>
      <c r="S68" s="62">
        <f t="shared" si="37"/>
        <v>-5123305.601927802</v>
      </c>
      <c r="T68" s="62">
        <f t="shared" si="37"/>
        <v>-3837556.3798464127</v>
      </c>
      <c r="U68" s="62">
        <f t="shared" si="37"/>
        <v>-252566.9277021368</v>
      </c>
      <c r="V68" s="62">
        <f t="shared" si="37"/>
        <v>-1483862.9093384692</v>
      </c>
      <c r="W68" s="62">
        <f t="shared" si="37"/>
        <v>-5541268.224154002</v>
      </c>
      <c r="X68" s="62">
        <f t="shared" si="37"/>
        <v>-4169559.2285287045</v>
      </c>
      <c r="Y68" s="62">
        <f t="shared" si="37"/>
        <v>-5032311.1020418648</v>
      </c>
      <c r="Z68" s="62">
        <f t="shared" si="37"/>
        <v>-7106919.8333785562</v>
      </c>
      <c r="AA68" s="62">
        <f t="shared" si="37"/>
        <v>-6497251.4008666119</v>
      </c>
      <c r="AB68" s="62">
        <f t="shared" si="37"/>
        <v>-6948169.5225366261</v>
      </c>
      <c r="AC68" s="62">
        <f t="shared" si="37"/>
        <v>-7955304.9344389839</v>
      </c>
      <c r="AD68" s="62">
        <f t="shared" si="37"/>
        <v>-15432403.292041063</v>
      </c>
      <c r="AE68" s="62">
        <f t="shared" si="37"/>
        <v>-15921885.168840762</v>
      </c>
      <c r="AF68" s="62">
        <f t="shared" si="37"/>
        <v>-18163709.779366337</v>
      </c>
      <c r="AG68" s="62">
        <f t="shared" si="37"/>
        <v>-18119333.405834887</v>
      </c>
      <c r="AH68" s="62">
        <f t="shared" si="37"/>
        <v>-18200556.44147281</v>
      </c>
      <c r="AI68" s="62">
        <f t="shared" si="37"/>
        <v>-22507662.435355548</v>
      </c>
      <c r="AJ68" s="62">
        <f t="shared" si="37"/>
        <v>-20214035.201425336</v>
      </c>
      <c r="AK68" s="62">
        <f t="shared" si="37"/>
        <v>-19737629.201811329</v>
      </c>
      <c r="AL68" s="62">
        <f t="shared" si="37"/>
        <v>-20612790.717569284</v>
      </c>
      <c r="AM68" s="62">
        <f t="shared" si="37"/>
        <v>-19720815.816762701</v>
      </c>
      <c r="AN68" s="62">
        <f t="shared" si="37"/>
        <v>-20130248.269172259</v>
      </c>
      <c r="AO68" s="62">
        <f t="shared" si="37"/>
        <v>-20370774.037231736</v>
      </c>
      <c r="AP68" s="65"/>
      <c r="AQ68" s="62">
        <f t="shared" ref="AQ68:AX68" si="38">+SUMIFS($G68:$AO68,$G$9:$AO$9,AQ$9,$G$8:$AO$8,AQ$8)</f>
        <v>-11014771.160215393</v>
      </c>
      <c r="AR68" s="62">
        <f t="shared" si="38"/>
        <v>-7277698.061194608</v>
      </c>
      <c r="AS68" s="62">
        <f t="shared" si="38"/>
        <v>-16308790.163949125</v>
      </c>
      <c r="AT68" s="62">
        <f t="shared" si="38"/>
        <v>-21400725.857842222</v>
      </c>
      <c r="AU68" s="62">
        <f t="shared" si="38"/>
        <v>-49517998.240248159</v>
      </c>
      <c r="AV68" s="62">
        <f t="shared" si="38"/>
        <v>-58827552.282663241</v>
      </c>
      <c r="AW68" s="62">
        <f t="shared" si="38"/>
        <v>-60564455.120805949</v>
      </c>
      <c r="AX68" s="62">
        <f t="shared" si="38"/>
        <v>-60221838.123166695</v>
      </c>
      <c r="AY68" s="65"/>
      <c r="AZ68" s="62">
        <f>+SUMIF($F$8:$AO$8,AZ$8,$F68:$AO68)</f>
        <v>-56001985.243201345</v>
      </c>
      <c r="BA68" s="62">
        <f>+SUMIF($F$8:$AO$8,BA$8,$F68:$AO68)</f>
        <v>-229131843.76688403</v>
      </c>
      <c r="BB68" s="65"/>
      <c r="BC68" s="62">
        <f>SUMIF($R$11:$AC$11, "Actual", $R68:$AC68)</f>
        <v>-2053909.1784411781</v>
      </c>
      <c r="BD68" s="62">
        <f>SUMIF($AD$11:$AO$11, "Actual", $AD68:$AO68)</f>
        <v>-67637331.646083042</v>
      </c>
    </row>
    <row r="69" spans="2:56" hidden="1" outlineLevel="2" x14ac:dyDescent="0.45">
      <c r="B69"/>
      <c r="C69"/>
      <c r="D69"/>
      <c r="E69"/>
      <c r="F69" s="191"/>
      <c r="G69" s="191"/>
      <c r="H69" s="191"/>
      <c r="I69" s="191"/>
      <c r="J69" s="191"/>
      <c r="K69" s="191"/>
      <c r="L69" s="191"/>
      <c r="M69" s="191"/>
      <c r="N69" s="191"/>
      <c r="O69" s="191"/>
      <c r="P69" s="191"/>
      <c r="Q69" s="191"/>
      <c r="R69" s="191"/>
      <c r="S69" s="191"/>
      <c r="T69" s="191"/>
      <c r="U69" s="191"/>
      <c r="V69" s="191"/>
      <c r="W69" s="191"/>
      <c r="X69" s="191"/>
      <c r="Y69" s="191"/>
      <c r="Z69" s="191"/>
      <c r="AA69" s="191"/>
      <c r="AB69" s="191"/>
      <c r="AC69" s="191"/>
      <c r="AD69" s="191"/>
      <c r="AE69" s="191"/>
      <c r="AF69" s="191"/>
      <c r="AG69" s="191"/>
      <c r="AH69" s="191"/>
      <c r="AI69" s="191"/>
      <c r="AJ69" s="191"/>
      <c r="AK69" s="191"/>
      <c r="AL69" s="191"/>
      <c r="AM69" s="191"/>
      <c r="AN69" s="191"/>
      <c r="AO69" s="191"/>
      <c r="AP69" s="65"/>
      <c r="AQ69" s="191"/>
      <c r="AR69" s="191"/>
      <c r="AS69" s="191"/>
      <c r="AT69" s="191"/>
      <c r="AU69" s="191"/>
      <c r="AV69" s="191"/>
      <c r="AW69" s="191"/>
      <c r="AX69" s="191"/>
      <c r="AY69" s="65"/>
      <c r="AZ69" s="191"/>
      <c r="BA69" s="191"/>
      <c r="BB69" s="65"/>
      <c r="BC69" s="191"/>
      <c r="BD69" s="191"/>
    </row>
    <row r="70" spans="2:56" hidden="1" outlineLevel="2" x14ac:dyDescent="0.45">
      <c r="B70" s="53" t="s">
        <v>819</v>
      </c>
      <c r="C70" s="53"/>
      <c r="D70" s="53"/>
      <c r="E70" s="190"/>
      <c r="F70" s="101"/>
      <c r="G70" s="101"/>
      <c r="H70" s="101"/>
      <c r="I70" s="101"/>
      <c r="J70" s="101"/>
      <c r="K70" s="101"/>
      <c r="L70" s="101"/>
      <c r="M70" s="101"/>
      <c r="N70" s="101"/>
      <c r="O70" s="101"/>
      <c r="P70" s="101"/>
      <c r="Q70" s="101"/>
      <c r="R70" s="64">
        <v>0</v>
      </c>
      <c r="S70" s="64">
        <v>0</v>
      </c>
      <c r="T70" s="64">
        <v>0</v>
      </c>
      <c r="U70" s="64">
        <v>0</v>
      </c>
      <c r="V70" s="64">
        <v>0</v>
      </c>
      <c r="W70" s="64">
        <v>0</v>
      </c>
      <c r="X70" s="64">
        <v>0</v>
      </c>
      <c r="Y70" s="64">
        <v>0</v>
      </c>
      <c r="Z70" s="64">
        <v>0</v>
      </c>
      <c r="AA70" s="64">
        <v>0</v>
      </c>
      <c r="AB70" s="64">
        <v>0</v>
      </c>
      <c r="AC70" s="64">
        <v>0</v>
      </c>
      <c r="AD70" s="64">
        <v>0</v>
      </c>
      <c r="AE70" s="64">
        <v>0</v>
      </c>
      <c r="AF70" s="64">
        <v>0</v>
      </c>
      <c r="AG70" s="64">
        <v>0</v>
      </c>
      <c r="AH70" s="64">
        <v>0</v>
      </c>
      <c r="AI70" s="64">
        <v>0</v>
      </c>
      <c r="AJ70" s="64">
        <v>0</v>
      </c>
      <c r="AK70" s="64">
        <v>0</v>
      </c>
      <c r="AL70" s="64">
        <v>0</v>
      </c>
      <c r="AM70" s="64">
        <v>0</v>
      </c>
      <c r="AN70" s="64">
        <v>0</v>
      </c>
      <c r="AO70" s="64">
        <v>0</v>
      </c>
      <c r="AP70" s="65"/>
      <c r="AQ70" s="98">
        <f t="shared" ref="AQ70:AX71" si="39">+SUMIFS($G70:$AO70,$G$9:$AO$9,AQ$9,$G$8:$AO$8,AQ$8)</f>
        <v>0</v>
      </c>
      <c r="AR70" s="98">
        <f t="shared" si="39"/>
        <v>0</v>
      </c>
      <c r="AS70" s="98">
        <f t="shared" si="39"/>
        <v>0</v>
      </c>
      <c r="AT70" s="98">
        <f t="shared" si="39"/>
        <v>0</v>
      </c>
      <c r="AU70" s="98">
        <f t="shared" si="39"/>
        <v>0</v>
      </c>
      <c r="AV70" s="98">
        <f t="shared" si="39"/>
        <v>0</v>
      </c>
      <c r="AW70" s="98">
        <f t="shared" si="39"/>
        <v>0</v>
      </c>
      <c r="AX70" s="98">
        <f t="shared" si="39"/>
        <v>0</v>
      </c>
      <c r="AY70" s="65"/>
      <c r="AZ70" s="98">
        <f>+SUMIF($F$8:$AO$8,AZ$8,$F70:$AO70)</f>
        <v>0</v>
      </c>
      <c r="BA70" s="98">
        <f>+SUMIF($F$8:$AO$8,BA$8,$F70:$AO70)</f>
        <v>0</v>
      </c>
      <c r="BB70" s="65"/>
      <c r="BC70" s="98">
        <f>SUMIF($R$11:$AC$11, "Actual", $R70:$AC70)</f>
        <v>0</v>
      </c>
      <c r="BD70" s="98">
        <f>SUMIF($AD$11:$AO$11, "Actual", $AD70:$AO70)</f>
        <v>0</v>
      </c>
    </row>
    <row r="71" spans="2:56" hidden="1" outlineLevel="2" x14ac:dyDescent="0.45">
      <c r="B71" s="53" t="s">
        <v>820</v>
      </c>
      <c r="C71" s="53"/>
      <c r="D71" s="53"/>
      <c r="E71" s="190"/>
      <c r="F71" s="101"/>
      <c r="G71" s="101"/>
      <c r="H71" s="101"/>
      <c r="I71" s="101"/>
      <c r="J71" s="101"/>
      <c r="K71" s="101"/>
      <c r="L71" s="101"/>
      <c r="M71" s="101"/>
      <c r="N71" s="101"/>
      <c r="O71" s="101"/>
      <c r="P71" s="101"/>
      <c r="Q71" s="101"/>
      <c r="R71" s="64">
        <v>0</v>
      </c>
      <c r="S71" s="64">
        <v>0</v>
      </c>
      <c r="T71" s="64">
        <v>0</v>
      </c>
      <c r="U71" s="64">
        <v>0</v>
      </c>
      <c r="V71" s="64">
        <v>0</v>
      </c>
      <c r="W71" s="64">
        <v>0</v>
      </c>
      <c r="X71" s="64">
        <v>0</v>
      </c>
      <c r="Y71" s="64">
        <v>0</v>
      </c>
      <c r="Z71" s="64">
        <v>0</v>
      </c>
      <c r="AA71" s="64">
        <v>0</v>
      </c>
      <c r="AB71" s="64">
        <v>0</v>
      </c>
      <c r="AC71" s="64">
        <v>0</v>
      </c>
      <c r="AD71" s="64">
        <v>0</v>
      </c>
      <c r="AE71" s="64">
        <v>0</v>
      </c>
      <c r="AF71" s="64">
        <v>0</v>
      </c>
      <c r="AG71" s="64">
        <v>0</v>
      </c>
      <c r="AH71" s="64">
        <v>0</v>
      </c>
      <c r="AI71" s="64">
        <v>0</v>
      </c>
      <c r="AJ71" s="64">
        <v>0</v>
      </c>
      <c r="AK71" s="64">
        <v>0</v>
      </c>
      <c r="AL71" s="64">
        <v>0</v>
      </c>
      <c r="AM71" s="64">
        <v>0</v>
      </c>
      <c r="AN71" s="64">
        <v>0</v>
      </c>
      <c r="AO71" s="64">
        <v>0</v>
      </c>
      <c r="AP71" s="65"/>
      <c r="AQ71" s="98">
        <f t="shared" si="39"/>
        <v>0</v>
      </c>
      <c r="AR71" s="98">
        <f t="shared" si="39"/>
        <v>0</v>
      </c>
      <c r="AS71" s="98">
        <f t="shared" si="39"/>
        <v>0</v>
      </c>
      <c r="AT71" s="98">
        <f t="shared" si="39"/>
        <v>0</v>
      </c>
      <c r="AU71" s="98">
        <f t="shared" si="39"/>
        <v>0</v>
      </c>
      <c r="AV71" s="98">
        <f t="shared" si="39"/>
        <v>0</v>
      </c>
      <c r="AW71" s="98">
        <f t="shared" si="39"/>
        <v>0</v>
      </c>
      <c r="AX71" s="98">
        <f t="shared" si="39"/>
        <v>0</v>
      </c>
      <c r="AY71" s="65"/>
      <c r="AZ71" s="98">
        <f>+SUMIF($F$8:$AO$8,AZ$8,$F71:$AO71)</f>
        <v>0</v>
      </c>
      <c r="BA71" s="98">
        <f>+SUMIF($F$8:$AO$8,BA$8,$F71:$AO71)</f>
        <v>0</v>
      </c>
      <c r="BB71" s="65"/>
      <c r="BC71" s="98">
        <f>SUMIF($R$11:$AC$11, "Actual", $R71:$AC71)</f>
        <v>0</v>
      </c>
      <c r="BD71" s="98">
        <f>SUMIF($AD$11:$AO$11, "Actual", $AD71:$AO71)</f>
        <v>0</v>
      </c>
    </row>
    <row r="72" spans="2:56" hidden="1" outlineLevel="1" collapsed="1" x14ac:dyDescent="0.45">
      <c r="B72"/>
      <c r="C72"/>
      <c r="D72"/>
      <c r="E72"/>
      <c r="F72" s="191"/>
      <c r="G72" s="191"/>
      <c r="H72" s="191"/>
      <c r="I72" s="191"/>
      <c r="J72" s="191"/>
      <c r="K72" s="191"/>
      <c r="L72" s="191"/>
      <c r="M72" s="191"/>
      <c r="N72" s="191"/>
      <c r="O72" s="191"/>
      <c r="P72" s="191"/>
      <c r="Q72" s="191"/>
      <c r="R72" s="191"/>
      <c r="S72" s="191"/>
      <c r="T72" s="191"/>
      <c r="U72" s="191"/>
      <c r="V72" s="191"/>
      <c r="W72" s="191"/>
      <c r="X72" s="191"/>
      <c r="Y72" s="191"/>
      <c r="Z72" s="191"/>
      <c r="AA72" s="191"/>
      <c r="AB72" s="191"/>
      <c r="AC72" s="191"/>
      <c r="AD72" s="191"/>
      <c r="AE72" s="191"/>
      <c r="AF72" s="191"/>
      <c r="AG72" s="191"/>
      <c r="AH72" s="191"/>
      <c r="AI72" s="191"/>
      <c r="AJ72" s="191"/>
      <c r="AK72" s="191"/>
      <c r="AL72" s="191"/>
      <c r="AM72" s="191"/>
      <c r="AN72" s="191"/>
      <c r="AO72" s="191"/>
      <c r="AP72" s="65"/>
      <c r="AQ72" s="191"/>
      <c r="AR72" s="191"/>
      <c r="AS72" s="191"/>
      <c r="AT72" s="191"/>
      <c r="AU72" s="191"/>
      <c r="AV72" s="191"/>
      <c r="AW72" s="191"/>
      <c r="AX72" s="191"/>
      <c r="AY72" s="65"/>
      <c r="AZ72" s="191"/>
      <c r="BA72" s="191"/>
      <c r="BB72" s="65"/>
      <c r="BC72" s="191"/>
      <c r="BD72" s="191"/>
    </row>
    <row r="73" spans="2:56" hidden="1" outlineLevel="1" x14ac:dyDescent="0.45">
      <c r="B73" s="49" t="s">
        <v>815</v>
      </c>
      <c r="C73" s="49"/>
      <c r="D73" s="49"/>
      <c r="E73" s="63"/>
      <c r="F73" s="62"/>
      <c r="G73" s="62"/>
      <c r="H73" s="62"/>
      <c r="I73" s="62"/>
      <c r="J73" s="62"/>
      <c r="K73" s="62"/>
      <c r="L73" s="62"/>
      <c r="M73" s="62"/>
      <c r="N73" s="62"/>
      <c r="O73" s="62"/>
      <c r="P73" s="62"/>
      <c r="Q73" s="62"/>
      <c r="R73" s="62">
        <f t="shared" ref="R73:AO73" si="40">+R68+R70+R71</f>
        <v>-2053909.1784411781</v>
      </c>
      <c r="S73" s="62">
        <f>+S68+S70+S71</f>
        <v>-5123305.601927802</v>
      </c>
      <c r="T73" s="62">
        <f>+T68+T70+T71</f>
        <v>-3837556.3798464127</v>
      </c>
      <c r="U73" s="62">
        <f t="shared" si="40"/>
        <v>-252566.9277021368</v>
      </c>
      <c r="V73" s="62">
        <f t="shared" si="40"/>
        <v>-1483862.9093384692</v>
      </c>
      <c r="W73" s="62">
        <f>+W68+W70+W71</f>
        <v>-5541268.224154002</v>
      </c>
      <c r="X73" s="62">
        <f t="shared" si="40"/>
        <v>-4169559.2285287045</v>
      </c>
      <c r="Y73" s="62">
        <f t="shared" si="40"/>
        <v>-5032311.1020418648</v>
      </c>
      <c r="Z73" s="62">
        <f t="shared" si="40"/>
        <v>-7106919.8333785562</v>
      </c>
      <c r="AA73" s="62">
        <f t="shared" si="40"/>
        <v>-6497251.4008666119</v>
      </c>
      <c r="AB73" s="62">
        <f t="shared" si="40"/>
        <v>-6948169.5225366261</v>
      </c>
      <c r="AC73" s="62">
        <f t="shared" si="40"/>
        <v>-7955304.9344389839</v>
      </c>
      <c r="AD73" s="62">
        <f t="shared" ref="AD73" si="41">+AD68+AD70+AD71</f>
        <v>-15432403.292041063</v>
      </c>
      <c r="AE73" s="62">
        <f t="shared" si="40"/>
        <v>-15921885.168840762</v>
      </c>
      <c r="AF73" s="62">
        <f t="shared" si="40"/>
        <v>-18163709.779366337</v>
      </c>
      <c r="AG73" s="62">
        <f t="shared" si="40"/>
        <v>-18119333.405834887</v>
      </c>
      <c r="AH73" s="62">
        <f t="shared" si="40"/>
        <v>-18200556.44147281</v>
      </c>
      <c r="AI73" s="62">
        <f t="shared" si="40"/>
        <v>-22507662.435355548</v>
      </c>
      <c r="AJ73" s="62">
        <f t="shared" si="40"/>
        <v>-20214035.201425336</v>
      </c>
      <c r="AK73" s="62">
        <f t="shared" si="40"/>
        <v>-19737629.201811329</v>
      </c>
      <c r="AL73" s="62">
        <f t="shared" si="40"/>
        <v>-20612790.717569284</v>
      </c>
      <c r="AM73" s="62">
        <f t="shared" si="40"/>
        <v>-19720815.816762701</v>
      </c>
      <c r="AN73" s="62">
        <f t="shared" si="40"/>
        <v>-20130248.269172259</v>
      </c>
      <c r="AO73" s="62">
        <f t="shared" si="40"/>
        <v>-20370774.037231736</v>
      </c>
      <c r="AP73" s="65"/>
      <c r="AQ73" s="62">
        <f t="shared" ref="AQ73:AX73" si="42">+SUMIFS($G73:$AO73,$G$9:$AO$9,AQ$9,$G$8:$AO$8,AQ$8)</f>
        <v>-11014771.160215393</v>
      </c>
      <c r="AR73" s="62">
        <f t="shared" si="42"/>
        <v>-7277698.061194608</v>
      </c>
      <c r="AS73" s="62">
        <f t="shared" si="42"/>
        <v>-16308790.163949125</v>
      </c>
      <c r="AT73" s="62">
        <f t="shared" si="42"/>
        <v>-21400725.857842222</v>
      </c>
      <c r="AU73" s="62">
        <f t="shared" si="42"/>
        <v>-49517998.240248159</v>
      </c>
      <c r="AV73" s="62">
        <f t="shared" si="42"/>
        <v>-58827552.282663241</v>
      </c>
      <c r="AW73" s="62">
        <f t="shared" si="42"/>
        <v>-60564455.120805949</v>
      </c>
      <c r="AX73" s="62">
        <f t="shared" si="42"/>
        <v>-60221838.123166695</v>
      </c>
      <c r="AY73" s="65"/>
      <c r="AZ73" s="62">
        <f>+SUMIF($F$8:$AO$8,AZ$8,$F73:$AO73)</f>
        <v>-56001985.243201345</v>
      </c>
      <c r="BA73" s="62">
        <f>+SUMIF($F$8:$AO$8,BA$8,$F73:$AO73)</f>
        <v>-229131843.76688403</v>
      </c>
      <c r="BB73" s="65"/>
      <c r="BC73" s="62">
        <f>SUMIF($R$11:$AC$11, "Actual", $R73:$AC73)</f>
        <v>-2053909.1784411781</v>
      </c>
      <c r="BD73" s="62">
        <f>SUMIF($AD$11:$AO$11, "Actual", $AD73:$AO73)</f>
        <v>-67637331.646083042</v>
      </c>
    </row>
    <row r="74" spans="2:56" hidden="1" outlineLevel="1" x14ac:dyDescent="0.45">
      <c r="B74" s="61"/>
      <c r="C74" s="61"/>
      <c r="D74" s="61"/>
      <c r="E74" s="61"/>
      <c r="F74" s="61"/>
      <c r="G74" s="61"/>
      <c r="H74" s="61"/>
      <c r="I74" s="61"/>
      <c r="J74" s="61"/>
      <c r="K74" s="61"/>
      <c r="L74" s="61"/>
      <c r="M74" s="61"/>
      <c r="N74" s="61"/>
      <c r="O74" s="61"/>
      <c r="P74" s="61"/>
      <c r="Q74" s="60"/>
      <c r="R74" s="193">
        <f t="shared" ref="R74:AC74" si="43">R46+R56</f>
        <v>4481267.0199999968</v>
      </c>
      <c r="S74" s="193">
        <f t="shared" si="43"/>
        <v>2907330.8699999996</v>
      </c>
      <c r="T74" s="193">
        <f t="shared" si="43"/>
        <v>4066496.1099999989</v>
      </c>
      <c r="U74" s="193">
        <f t="shared" si="43"/>
        <v>7914052.2099999916</v>
      </c>
      <c r="V74" s="193">
        <f t="shared" si="43"/>
        <v>6900050.3433106523</v>
      </c>
      <c r="W74" s="193">
        <f t="shared" si="43"/>
        <v>4602442.6874315487</v>
      </c>
      <c r="X74" s="193">
        <f t="shared" si="43"/>
        <v>8381664.2243241146</v>
      </c>
      <c r="Y74" s="193">
        <f t="shared" si="43"/>
        <v>9664234.6926226355</v>
      </c>
      <c r="Z74" s="193">
        <f t="shared" si="43"/>
        <v>10428527.414313722</v>
      </c>
      <c r="AA74" s="193">
        <f t="shared" si="43"/>
        <v>11593070.762171483</v>
      </c>
      <c r="AB74" s="193">
        <f t="shared" si="43"/>
        <v>12063835.720798466</v>
      </c>
      <c r="AC74" s="193">
        <f t="shared" si="43"/>
        <v>12210260.352786727</v>
      </c>
      <c r="AD74" s="193"/>
      <c r="AE74" s="193"/>
      <c r="AF74" s="193"/>
      <c r="AG74" s="193"/>
      <c r="AH74" s="193"/>
      <c r="AI74" s="193"/>
      <c r="AJ74" s="193"/>
      <c r="AK74" s="193"/>
      <c r="AL74" s="193"/>
      <c r="AM74" s="193"/>
      <c r="AN74" s="193"/>
      <c r="AO74" s="193"/>
      <c r="AQ74" s="193"/>
      <c r="AR74" s="193"/>
      <c r="AS74" s="193"/>
      <c r="AT74" s="193"/>
      <c r="AU74" s="193"/>
      <c r="AV74" s="193"/>
      <c r="AW74" s="193"/>
      <c r="AX74" s="193"/>
      <c r="AZ74" s="193"/>
      <c r="BA74" s="193"/>
      <c r="BC74" s="193"/>
      <c r="BD74" s="193"/>
    </row>
    <row r="75" spans="2:56" hidden="1" outlineLevel="1" x14ac:dyDescent="0.45">
      <c r="S75" s="62"/>
      <c r="T75" s="62"/>
      <c r="U75" s="62"/>
      <c r="V75" s="62"/>
      <c r="W75" s="62"/>
      <c r="X75" s="62"/>
      <c r="Y75" s="62"/>
      <c r="Z75" s="62"/>
      <c r="AA75" s="62"/>
      <c r="AB75" s="62"/>
      <c r="AC75" s="62"/>
      <c r="AD75" s="62">
        <v>-15432403.292041067</v>
      </c>
      <c r="AE75" s="62">
        <v>-15921885.16884076</v>
      </c>
      <c r="AF75" s="62">
        <v>-18163709.779366329</v>
      </c>
      <c r="AG75" s="62">
        <v>-18119333.40583488</v>
      </c>
      <c r="AH75" s="62">
        <v>-18200556.441472813</v>
      </c>
      <c r="AI75" s="62">
        <v>-22507662.435355548</v>
      </c>
      <c r="AJ75" s="62">
        <v>-20214035.201425336</v>
      </c>
      <c r="AK75" s="62">
        <v>-19737629.201811325</v>
      </c>
      <c r="AL75" s="62">
        <v>-20612790.717569277</v>
      </c>
      <c r="AM75" s="62">
        <v>-19720815.81676269</v>
      </c>
      <c r="AN75" s="62">
        <v>-20093048.269172259</v>
      </c>
      <c r="AO75" s="62">
        <v>-20333574.037231732</v>
      </c>
    </row>
    <row r="76" spans="2:56" hidden="1" outlineLevel="1" x14ac:dyDescent="0.45">
      <c r="AD76" s="375">
        <f>AD73-AD75</f>
        <v>0</v>
      </c>
      <c r="AE76" s="375">
        <f t="shared" ref="AE76:AO76" si="44">AE73-AE75</f>
        <v>0</v>
      </c>
      <c r="AF76" s="375">
        <f t="shared" si="44"/>
        <v>0</v>
      </c>
      <c r="AG76" s="375">
        <f t="shared" si="44"/>
        <v>0</v>
      </c>
      <c r="AH76" s="375">
        <f t="shared" si="44"/>
        <v>0</v>
      </c>
      <c r="AI76" s="375">
        <f t="shared" si="44"/>
        <v>0</v>
      </c>
      <c r="AJ76" s="375">
        <f t="shared" si="44"/>
        <v>0</v>
      </c>
      <c r="AK76" s="375">
        <f t="shared" si="44"/>
        <v>0</v>
      </c>
      <c r="AL76" s="375">
        <f t="shared" si="44"/>
        <v>0</v>
      </c>
      <c r="AM76" s="375">
        <f t="shared" si="44"/>
        <v>0</v>
      </c>
      <c r="AN76" s="375">
        <f t="shared" si="44"/>
        <v>-37200</v>
      </c>
      <c r="AO76" s="375">
        <f t="shared" si="44"/>
        <v>-37200.000000003725</v>
      </c>
    </row>
    <row r="77" spans="2:56" collapsed="1" x14ac:dyDescent="0.45"/>
  </sheetData>
  <conditionalFormatting sqref="E2:P2">
    <cfRule type="expression" dxfId="84" priority="4">
      <formula>E2="Q"</formula>
    </cfRule>
    <cfRule type="expression" dxfId="83" priority="5">
      <formula>E2="R"</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3029-DD55-4036-B5B8-5C1EA99B801D}">
  <sheetPr>
    <tabColor theme="4" tint="0.59999389629810485"/>
  </sheetPr>
  <dimension ref="A1:CX387"/>
  <sheetViews>
    <sheetView topLeftCell="AD152" workbookViewId="0">
      <selection activeCell="AI274" sqref="AI274"/>
    </sheetView>
    <sheetView tabSelected="1" topLeftCell="AD1" zoomScale="70" zoomScaleNormal="70" workbookViewId="1">
      <selection activeCell="AW18" sqref="AW18"/>
    </sheetView>
  </sheetViews>
  <sheetFormatPr baseColWidth="10" defaultColWidth="8.54296875" defaultRowHeight="15" outlineLevelRow="3" outlineLevelCol="1" x14ac:dyDescent="0.45"/>
  <cols>
    <col min="1" max="1" width="1.54296875" style="269" customWidth="1"/>
    <col min="2" max="2" width="41.54296875" style="269" customWidth="1"/>
    <col min="3" max="3" width="34.54296875" style="269" customWidth="1"/>
    <col min="4" max="4" width="8.81640625" style="269" customWidth="1"/>
    <col min="5" max="16" width="3.453125" style="269" hidden="1" customWidth="1"/>
    <col min="17" max="17" width="5.81640625" style="269" hidden="1" customWidth="1"/>
    <col min="18" max="29" width="15.81640625" style="269" customWidth="1" outlineLevel="1"/>
    <col min="30" max="30" width="12.81640625" style="269" bestFit="1" customWidth="1"/>
    <col min="31" max="33" width="15.81640625" style="269" customWidth="1"/>
    <col min="34" max="41" width="15.81640625" style="269" customWidth="1" outlineLevel="1"/>
    <col min="42" max="42" width="1.54296875" style="269" customWidth="1"/>
    <col min="43" max="46" width="12.453125" style="269" customWidth="1" outlineLevel="1"/>
    <col min="47" max="47" width="13.6328125" style="269" bestFit="1" customWidth="1" outlineLevel="1"/>
    <col min="48" max="50" width="12.453125" style="269" customWidth="1" outlineLevel="1"/>
    <col min="51" max="51" width="1.54296875" style="269" customWidth="1"/>
    <col min="52" max="53" width="18" style="269" customWidth="1" outlineLevel="1"/>
    <col min="54" max="54" width="1.54296875" style="269" customWidth="1"/>
    <col min="55" max="55" width="11.453125" style="269" customWidth="1" outlineLevel="1"/>
    <col min="56" max="56" width="11.81640625" style="269" customWidth="1" outlineLevel="1"/>
    <col min="57" max="57" width="13.6328125" style="269" hidden="1" customWidth="1"/>
    <col min="58" max="58" width="12.26953125" style="269" hidden="1" customWidth="1"/>
    <col min="59" max="59" width="9.453125" style="269" bestFit="1" customWidth="1"/>
    <col min="60" max="60" width="11.1796875" style="269" bestFit="1" customWidth="1"/>
    <col min="61" max="16384" width="8.54296875" style="269"/>
  </cols>
  <sheetData>
    <row r="1" spans="1:56" x14ac:dyDescent="0.45">
      <c r="B1" s="270" t="s">
        <v>1021</v>
      </c>
      <c r="C1" s="270" t="s">
        <v>846</v>
      </c>
      <c r="D1" s="271" t="s">
        <v>846</v>
      </c>
      <c r="E1" s="270"/>
      <c r="F1" s="270"/>
      <c r="G1" s="270"/>
      <c r="H1" s="270"/>
      <c r="I1" s="270"/>
      <c r="J1" s="270"/>
      <c r="K1" s="270"/>
      <c r="L1" s="270"/>
      <c r="M1" s="270"/>
      <c r="N1" s="270"/>
      <c r="O1" s="270"/>
      <c r="P1" s="270"/>
      <c r="Q1" s="270"/>
      <c r="R1" s="272" t="s">
        <v>1</v>
      </c>
      <c r="S1" s="270"/>
      <c r="T1" s="270"/>
      <c r="U1" s="270"/>
      <c r="V1" s="270"/>
      <c r="W1" s="270"/>
      <c r="X1" s="270"/>
      <c r="Y1" s="270"/>
      <c r="Z1" s="270"/>
      <c r="AA1" s="270"/>
      <c r="AB1" s="270"/>
      <c r="AC1" s="270"/>
      <c r="AD1" s="270"/>
      <c r="AE1" s="270"/>
      <c r="AF1" s="270"/>
      <c r="AG1" s="270"/>
      <c r="AH1" s="270"/>
      <c r="AI1" s="270"/>
      <c r="AJ1" s="270"/>
      <c r="AK1" s="270"/>
      <c r="AL1" s="270"/>
      <c r="AM1" s="270"/>
      <c r="AN1" s="270"/>
      <c r="AO1" s="270"/>
      <c r="AQ1" s="270"/>
      <c r="AR1" s="270"/>
      <c r="AS1" s="270"/>
      <c r="AT1" s="270"/>
      <c r="AU1" s="270"/>
      <c r="AV1" s="270"/>
      <c r="AW1" s="270"/>
      <c r="AX1" s="270"/>
      <c r="AZ1" s="270"/>
      <c r="BA1" s="270"/>
      <c r="BC1" s="270"/>
      <c r="BD1" s="270"/>
    </row>
    <row r="2" spans="1:56" x14ac:dyDescent="0.45">
      <c r="A2" s="269">
        <f>SUM(A3:A270)</f>
        <v>0</v>
      </c>
      <c r="B2" s="270" t="s">
        <v>356</v>
      </c>
      <c r="C2" s="274" t="str">
        <f>+Scenarios!F15</f>
        <v>BP</v>
      </c>
      <c r="D2" s="275" t="str">
        <f>+IF(A2=0,"R","Q")</f>
        <v>R</v>
      </c>
      <c r="E2" s="276"/>
      <c r="F2" s="276"/>
      <c r="G2" s="276"/>
      <c r="H2" s="276"/>
      <c r="I2" s="276"/>
      <c r="J2" s="276"/>
      <c r="K2" s="276"/>
      <c r="L2" s="276"/>
      <c r="M2" s="276"/>
      <c r="N2" s="276"/>
      <c r="O2" s="276"/>
      <c r="P2" s="276"/>
      <c r="Q2" s="276"/>
      <c r="R2" s="277">
        <f>A2</f>
        <v>0</v>
      </c>
      <c r="S2" s="276"/>
      <c r="T2" s="276"/>
      <c r="U2" s="276"/>
      <c r="V2" s="276"/>
      <c r="W2" s="276"/>
      <c r="X2" s="276"/>
      <c r="Y2" s="276"/>
      <c r="Z2" s="276"/>
      <c r="AA2" s="276"/>
      <c r="AB2" s="276"/>
      <c r="AC2" s="276"/>
      <c r="AD2" s="276"/>
      <c r="AE2" s="276"/>
      <c r="AF2" s="276"/>
      <c r="AG2" s="276"/>
      <c r="AH2" s="276"/>
      <c r="AI2" s="276"/>
      <c r="AJ2" s="276"/>
      <c r="AK2" s="276"/>
      <c r="AL2" s="276"/>
      <c r="AM2" s="276"/>
      <c r="AN2" s="276"/>
      <c r="AO2" s="276"/>
      <c r="AQ2" s="276"/>
      <c r="AR2" s="276"/>
      <c r="AS2" s="276"/>
      <c r="AT2" s="276"/>
      <c r="AU2" s="276"/>
      <c r="AV2" s="276"/>
      <c r="AW2" s="276"/>
      <c r="AX2" s="276"/>
      <c r="AZ2" s="276"/>
      <c r="BA2" s="276"/>
      <c r="BC2" s="276"/>
      <c r="BD2" s="276"/>
    </row>
    <row r="3" spans="1:56" x14ac:dyDescent="0.45">
      <c r="B3" s="273"/>
      <c r="C3" s="273"/>
      <c r="D3" s="273"/>
      <c r="E3" s="273"/>
      <c r="F3" s="273"/>
      <c r="G3" s="273"/>
      <c r="H3" s="273"/>
      <c r="I3" s="273"/>
      <c r="J3" s="273"/>
      <c r="K3" s="273"/>
      <c r="L3" s="273"/>
      <c r="M3" s="273"/>
      <c r="N3" s="273"/>
      <c r="O3" s="273"/>
      <c r="P3" s="273"/>
      <c r="Q3" s="273"/>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Q3" s="278"/>
      <c r="AR3" s="278"/>
      <c r="AS3" s="278"/>
      <c r="AT3" s="278"/>
      <c r="AU3" s="278"/>
      <c r="AV3" s="278"/>
      <c r="AW3" s="278"/>
      <c r="AX3" s="278"/>
      <c r="AZ3" s="278"/>
      <c r="BA3" s="278"/>
      <c r="BC3" s="278"/>
      <c r="BD3" s="278"/>
    </row>
    <row r="4" spans="1:56" x14ac:dyDescent="0.45">
      <c r="B4" s="279"/>
      <c r="C4" s="279"/>
      <c r="D4" s="279"/>
      <c r="E4" s="279"/>
      <c r="F4" s="279"/>
      <c r="G4" s="279"/>
      <c r="H4" s="279"/>
      <c r="I4" s="279"/>
      <c r="J4" s="279"/>
      <c r="K4" s="279"/>
      <c r="L4" s="279"/>
      <c r="M4" s="279"/>
      <c r="N4" s="279"/>
      <c r="O4" s="279"/>
      <c r="P4" s="279"/>
      <c r="Q4" s="279"/>
      <c r="R4" s="280"/>
      <c r="S4" s="280"/>
      <c r="T4" s="280"/>
      <c r="U4" s="280"/>
      <c r="V4" s="280"/>
      <c r="W4" s="280"/>
      <c r="X4" s="280"/>
      <c r="Y4" s="280"/>
      <c r="Z4" s="280"/>
      <c r="AA4" s="280"/>
      <c r="AB4" s="280"/>
      <c r="AC4" s="280"/>
      <c r="AD4" s="280"/>
      <c r="AE4" s="280"/>
      <c r="AF4" s="280"/>
      <c r="AG4" s="280"/>
      <c r="AH4" s="280"/>
      <c r="AI4" s="280"/>
      <c r="AJ4" s="280"/>
      <c r="AK4" s="280"/>
      <c r="AL4" s="280"/>
      <c r="AM4" s="280"/>
      <c r="AN4" s="280"/>
      <c r="AO4" s="280"/>
      <c r="AQ4" s="280"/>
      <c r="AR4" s="280"/>
      <c r="AS4" s="280"/>
      <c r="AT4" s="280"/>
      <c r="AU4" s="280"/>
      <c r="AV4" s="280"/>
      <c r="AW4" s="280"/>
      <c r="AX4" s="280"/>
      <c r="AZ4" s="280" t="s">
        <v>1031</v>
      </c>
      <c r="BA4" s="280" t="s">
        <v>1032</v>
      </c>
      <c r="BC4" s="280" t="s">
        <v>31</v>
      </c>
      <c r="BD4" s="280" t="s">
        <v>1022</v>
      </c>
    </row>
    <row r="5" spans="1:56" x14ac:dyDescent="0.45">
      <c r="B5" s="281"/>
      <c r="C5" s="281"/>
      <c r="D5" s="281"/>
      <c r="E5" s="281"/>
      <c r="F5" s="281"/>
      <c r="G5" s="281"/>
      <c r="H5" s="281"/>
      <c r="I5" s="281"/>
      <c r="J5" s="281"/>
      <c r="K5" s="281"/>
      <c r="L5" s="281"/>
      <c r="M5" s="281"/>
      <c r="N5" s="281"/>
      <c r="O5" s="281"/>
      <c r="P5" s="281"/>
      <c r="Q5" s="281"/>
      <c r="R5" s="278"/>
      <c r="S5" s="278"/>
      <c r="T5" s="278"/>
      <c r="U5" s="278"/>
      <c r="V5" s="278"/>
      <c r="W5" s="278"/>
      <c r="X5" s="278"/>
      <c r="Y5" s="278"/>
      <c r="Z5" s="278"/>
      <c r="AA5" s="278"/>
      <c r="AB5" s="278"/>
      <c r="AC5" s="278"/>
      <c r="AD5" s="278"/>
      <c r="AE5" s="278"/>
      <c r="AF5" s="278"/>
      <c r="AG5" s="278"/>
      <c r="AH5" s="278"/>
      <c r="AI5" s="278"/>
      <c r="AJ5" s="278"/>
      <c r="AK5" s="278"/>
      <c r="AL5" s="278"/>
      <c r="AM5" s="278"/>
      <c r="AN5" s="278"/>
      <c r="AO5" s="278"/>
      <c r="AQ5" s="278"/>
      <c r="AR5" s="278"/>
      <c r="AS5" s="278"/>
      <c r="AT5" s="278"/>
      <c r="AU5" s="278"/>
      <c r="AV5" s="278"/>
      <c r="AW5" s="278"/>
      <c r="AX5" s="278"/>
      <c r="AZ5" s="278"/>
      <c r="BA5" s="278"/>
      <c r="BC5" s="278"/>
      <c r="BD5" s="278"/>
    </row>
    <row r="6" spans="1:56" x14ac:dyDescent="0.45">
      <c r="B6" s="282" t="s">
        <v>358</v>
      </c>
      <c r="C6" s="282"/>
      <c r="D6" s="282"/>
      <c r="E6" s="282"/>
      <c r="F6" s="282"/>
      <c r="G6" s="282"/>
      <c r="H6" s="282"/>
      <c r="I6" s="282"/>
      <c r="J6" s="282"/>
      <c r="K6" s="282"/>
      <c r="L6" s="282"/>
      <c r="M6" s="282"/>
      <c r="N6" s="282"/>
      <c r="O6" s="282"/>
      <c r="P6" s="282"/>
      <c r="Q6" s="282"/>
      <c r="R6" s="283">
        <v>45658</v>
      </c>
      <c r="S6" s="283">
        <v>45689</v>
      </c>
      <c r="T6" s="283">
        <v>45717</v>
      </c>
      <c r="U6" s="283">
        <v>45748</v>
      </c>
      <c r="V6" s="283">
        <v>45778</v>
      </c>
      <c r="W6" s="283">
        <v>45809</v>
      </c>
      <c r="X6" s="283">
        <v>45839</v>
      </c>
      <c r="Y6" s="283">
        <v>45870</v>
      </c>
      <c r="Z6" s="283">
        <v>45901</v>
      </c>
      <c r="AA6" s="283">
        <v>45931</v>
      </c>
      <c r="AB6" s="283">
        <v>45962</v>
      </c>
      <c r="AC6" s="283">
        <v>45992</v>
      </c>
      <c r="AD6" s="283">
        <v>46023</v>
      </c>
      <c r="AE6" s="283">
        <v>46054</v>
      </c>
      <c r="AF6" s="283">
        <v>46082</v>
      </c>
      <c r="AG6" s="283">
        <v>46113</v>
      </c>
      <c r="AH6" s="283">
        <v>46143</v>
      </c>
      <c r="AI6" s="283">
        <v>46174</v>
      </c>
      <c r="AJ6" s="283">
        <v>46204</v>
      </c>
      <c r="AK6" s="283">
        <v>46235</v>
      </c>
      <c r="AL6" s="283">
        <v>46266</v>
      </c>
      <c r="AM6" s="283">
        <v>46296</v>
      </c>
      <c r="AN6" s="283">
        <v>46327</v>
      </c>
      <c r="AO6" s="283">
        <v>46357</v>
      </c>
      <c r="AP6" s="494"/>
      <c r="AQ6" s="283">
        <v>45658</v>
      </c>
      <c r="AR6" s="283">
        <v>45748</v>
      </c>
      <c r="AS6" s="283">
        <f>+AR7+1</f>
        <v>45839</v>
      </c>
      <c r="AT6" s="283">
        <f>+AS7+1</f>
        <v>45931</v>
      </c>
      <c r="AU6" s="283">
        <v>46023</v>
      </c>
      <c r="AV6" s="283">
        <v>46113</v>
      </c>
      <c r="AW6" s="283">
        <f>+AV7+1</f>
        <v>46204</v>
      </c>
      <c r="AX6" s="283">
        <f>+AW7+1</f>
        <v>46296</v>
      </c>
      <c r="AY6" s="494"/>
      <c r="AZ6" s="283">
        <v>45658</v>
      </c>
      <c r="BA6" s="283">
        <v>45658</v>
      </c>
      <c r="BC6" s="283">
        <v>45658</v>
      </c>
      <c r="BD6" s="283">
        <v>46023</v>
      </c>
    </row>
    <row r="7" spans="1:56" x14ac:dyDescent="0.45">
      <c r="B7" s="282" t="s">
        <v>359</v>
      </c>
      <c r="C7" s="282"/>
      <c r="D7" s="282"/>
      <c r="E7" s="282"/>
      <c r="F7" s="282"/>
      <c r="G7" s="282"/>
      <c r="H7" s="282"/>
      <c r="I7" s="282"/>
      <c r="J7" s="282"/>
      <c r="K7" s="282"/>
      <c r="L7" s="282"/>
      <c r="M7" s="282"/>
      <c r="N7" s="282"/>
      <c r="O7" s="282"/>
      <c r="P7" s="282"/>
      <c r="Q7" s="282"/>
      <c r="R7" s="283">
        <v>45688</v>
      </c>
      <c r="S7" s="283">
        <v>45716</v>
      </c>
      <c r="T7" s="283">
        <v>45747</v>
      </c>
      <c r="U7" s="283">
        <v>45777</v>
      </c>
      <c r="V7" s="283">
        <v>45808</v>
      </c>
      <c r="W7" s="283">
        <v>45838</v>
      </c>
      <c r="X7" s="283">
        <v>45869</v>
      </c>
      <c r="Y7" s="283">
        <v>45900</v>
      </c>
      <c r="Z7" s="283">
        <v>45930</v>
      </c>
      <c r="AA7" s="283">
        <v>45961</v>
      </c>
      <c r="AB7" s="283">
        <v>45991</v>
      </c>
      <c r="AC7" s="283">
        <v>46022</v>
      </c>
      <c r="AD7" s="283">
        <v>46053</v>
      </c>
      <c r="AE7" s="283">
        <v>46081</v>
      </c>
      <c r="AF7" s="283">
        <v>46112</v>
      </c>
      <c r="AG7" s="283">
        <v>46142</v>
      </c>
      <c r="AH7" s="283">
        <v>46173</v>
      </c>
      <c r="AI7" s="283">
        <v>46203</v>
      </c>
      <c r="AJ7" s="283">
        <v>46234</v>
      </c>
      <c r="AK7" s="283">
        <v>46265</v>
      </c>
      <c r="AL7" s="283">
        <v>46295</v>
      </c>
      <c r="AM7" s="283">
        <v>46326</v>
      </c>
      <c r="AN7" s="283">
        <v>46356</v>
      </c>
      <c r="AO7" s="283">
        <v>46387</v>
      </c>
      <c r="AP7" s="494"/>
      <c r="AQ7" s="283">
        <v>45747</v>
      </c>
      <c r="AR7" s="283">
        <v>45838</v>
      </c>
      <c r="AS7" s="283">
        <v>45930</v>
      </c>
      <c r="AT7" s="283">
        <v>46022</v>
      </c>
      <c r="AU7" s="283">
        <v>46112</v>
      </c>
      <c r="AV7" s="283">
        <v>46203</v>
      </c>
      <c r="AW7" s="283">
        <v>46295</v>
      </c>
      <c r="AX7" s="283">
        <v>46387</v>
      </c>
      <c r="AY7" s="494"/>
      <c r="AZ7" s="283">
        <v>46022</v>
      </c>
      <c r="BA7" s="283">
        <v>46022</v>
      </c>
      <c r="BC7" s="283">
        <v>46022</v>
      </c>
      <c r="BD7" s="283">
        <v>46387</v>
      </c>
    </row>
    <row r="8" spans="1:56" x14ac:dyDescent="0.45">
      <c r="B8" s="284" t="s">
        <v>360</v>
      </c>
      <c r="C8" s="284"/>
      <c r="D8" s="284"/>
      <c r="E8" s="284"/>
      <c r="F8" s="284"/>
      <c r="G8" s="284"/>
      <c r="H8" s="284"/>
      <c r="I8" s="284"/>
      <c r="J8" s="284"/>
      <c r="K8" s="284"/>
      <c r="L8" s="284"/>
      <c r="M8" s="284"/>
      <c r="N8" s="284"/>
      <c r="O8" s="284"/>
      <c r="P8" s="284"/>
      <c r="Q8" s="284"/>
      <c r="R8" s="285">
        <v>2025</v>
      </c>
      <c r="S8" s="285">
        <v>2025</v>
      </c>
      <c r="T8" s="285">
        <v>2025</v>
      </c>
      <c r="U8" s="285">
        <v>2025</v>
      </c>
      <c r="V8" s="285">
        <v>2025</v>
      </c>
      <c r="W8" s="285">
        <v>2025</v>
      </c>
      <c r="X8" s="285">
        <v>2025</v>
      </c>
      <c r="Y8" s="285">
        <v>2025</v>
      </c>
      <c r="Z8" s="285">
        <v>2025</v>
      </c>
      <c r="AA8" s="285">
        <v>2025</v>
      </c>
      <c r="AB8" s="285">
        <v>2025</v>
      </c>
      <c r="AC8" s="285">
        <v>2025</v>
      </c>
      <c r="AD8" s="285">
        <v>2026</v>
      </c>
      <c r="AE8" s="285">
        <v>2026</v>
      </c>
      <c r="AF8" s="285">
        <v>2026</v>
      </c>
      <c r="AG8" s="285">
        <v>2026</v>
      </c>
      <c r="AH8" s="285">
        <v>2026</v>
      </c>
      <c r="AI8" s="285">
        <v>2026</v>
      </c>
      <c r="AJ8" s="285">
        <v>2026</v>
      </c>
      <c r="AK8" s="285">
        <v>2026</v>
      </c>
      <c r="AL8" s="285">
        <v>2026</v>
      </c>
      <c r="AM8" s="285">
        <v>2026</v>
      </c>
      <c r="AN8" s="285">
        <v>2026</v>
      </c>
      <c r="AO8" s="285">
        <v>2026</v>
      </c>
      <c r="AP8" s="494"/>
      <c r="AQ8" s="285">
        <v>2025</v>
      </c>
      <c r="AR8" s="285">
        <v>2025</v>
      </c>
      <c r="AS8" s="285">
        <v>2025</v>
      </c>
      <c r="AT8" s="285">
        <v>2025</v>
      </c>
      <c r="AU8" s="285">
        <v>2026</v>
      </c>
      <c r="AV8" s="285">
        <v>2026</v>
      </c>
      <c r="AW8" s="285">
        <v>2026</v>
      </c>
      <c r="AX8" s="285">
        <v>2026</v>
      </c>
      <c r="AY8" s="494"/>
      <c r="AZ8" s="285">
        <v>2025</v>
      </c>
      <c r="BA8" s="285">
        <v>2026</v>
      </c>
      <c r="BC8" s="285">
        <v>2025</v>
      </c>
      <c r="BD8" s="285">
        <v>2026</v>
      </c>
    </row>
    <row r="9" spans="1:56" x14ac:dyDescent="0.45">
      <c r="B9" s="284" t="s">
        <v>361</v>
      </c>
      <c r="C9" s="284"/>
      <c r="D9" s="284"/>
      <c r="E9" s="284"/>
      <c r="F9" s="284"/>
      <c r="G9" s="284"/>
      <c r="H9" s="284"/>
      <c r="I9" s="284"/>
      <c r="J9" s="284"/>
      <c r="K9" s="284"/>
      <c r="L9" s="284"/>
      <c r="M9" s="284"/>
      <c r="N9" s="284"/>
      <c r="O9" s="284"/>
      <c r="P9" s="284"/>
      <c r="Q9" s="284"/>
      <c r="R9" s="286" t="s">
        <v>7</v>
      </c>
      <c r="S9" s="286" t="s">
        <v>7</v>
      </c>
      <c r="T9" s="286" t="s">
        <v>7</v>
      </c>
      <c r="U9" s="286" t="s">
        <v>13</v>
      </c>
      <c r="V9" s="286" t="s">
        <v>13</v>
      </c>
      <c r="W9" s="286" t="s">
        <v>13</v>
      </c>
      <c r="X9" s="286" t="s">
        <v>20</v>
      </c>
      <c r="Y9" s="286" t="s">
        <v>20</v>
      </c>
      <c r="Z9" s="286" t="s">
        <v>20</v>
      </c>
      <c r="AA9" s="286" t="s">
        <v>26</v>
      </c>
      <c r="AB9" s="286" t="s">
        <v>26</v>
      </c>
      <c r="AC9" s="286" t="s">
        <v>26</v>
      </c>
      <c r="AD9" s="286" t="s">
        <v>7</v>
      </c>
      <c r="AE9" s="286" t="s">
        <v>7</v>
      </c>
      <c r="AF9" s="286" t="s">
        <v>7</v>
      </c>
      <c r="AG9" s="286" t="s">
        <v>13</v>
      </c>
      <c r="AH9" s="286" t="s">
        <v>13</v>
      </c>
      <c r="AI9" s="286" t="s">
        <v>13</v>
      </c>
      <c r="AJ9" s="286" t="s">
        <v>20</v>
      </c>
      <c r="AK9" s="286" t="s">
        <v>20</v>
      </c>
      <c r="AL9" s="286" t="s">
        <v>20</v>
      </c>
      <c r="AM9" s="286" t="s">
        <v>26</v>
      </c>
      <c r="AN9" s="286" t="s">
        <v>26</v>
      </c>
      <c r="AO9" s="286" t="s">
        <v>26</v>
      </c>
      <c r="AP9" s="494"/>
      <c r="AQ9" s="286" t="s">
        <v>7</v>
      </c>
      <c r="AR9" s="286" t="s">
        <v>13</v>
      </c>
      <c r="AS9" s="286" t="s">
        <v>20</v>
      </c>
      <c r="AT9" s="286" t="s">
        <v>26</v>
      </c>
      <c r="AU9" s="286" t="s">
        <v>7</v>
      </c>
      <c r="AV9" s="286" t="s">
        <v>13</v>
      </c>
      <c r="AW9" s="286" t="s">
        <v>20</v>
      </c>
      <c r="AX9" s="286" t="s">
        <v>26</v>
      </c>
      <c r="AY9" s="494"/>
      <c r="AZ9" s="286" t="s">
        <v>26</v>
      </c>
      <c r="BA9" s="286" t="s">
        <v>26</v>
      </c>
      <c r="BC9" s="286" t="s">
        <v>26</v>
      </c>
      <c r="BD9" s="286" t="s">
        <v>26</v>
      </c>
    </row>
    <row r="10" spans="1:56" x14ac:dyDescent="0.45">
      <c r="B10" s="284" t="s">
        <v>826</v>
      </c>
      <c r="C10" s="284"/>
      <c r="D10" s="284"/>
      <c r="E10" s="284"/>
      <c r="F10" s="284"/>
      <c r="G10" s="284"/>
      <c r="H10" s="284"/>
      <c r="I10" s="284"/>
      <c r="J10" s="284"/>
      <c r="K10" s="284"/>
      <c r="L10" s="284"/>
      <c r="M10" s="284"/>
      <c r="N10" s="284"/>
      <c r="O10" s="284"/>
      <c r="P10" s="284"/>
      <c r="Q10" s="284"/>
      <c r="R10" s="285">
        <f t="shared" ref="R10:AG10" si="0">+(R7-R6+1)-NETWORKDAYS.INTL(R6,R7,16)</f>
        <v>5</v>
      </c>
      <c r="S10" s="285">
        <f t="shared" si="0"/>
        <v>4</v>
      </c>
      <c r="T10" s="285">
        <f t="shared" si="0"/>
        <v>4</v>
      </c>
      <c r="U10" s="285">
        <f t="shared" si="0"/>
        <v>4</v>
      </c>
      <c r="V10" s="285">
        <f>+(V7-V6+1)-NETWORKDAYS.INTL(V6,V7,16)</f>
        <v>5</v>
      </c>
      <c r="W10" s="285">
        <f t="shared" si="0"/>
        <v>4</v>
      </c>
      <c r="X10" s="285">
        <f t="shared" si="0"/>
        <v>4</v>
      </c>
      <c r="Y10" s="285">
        <f t="shared" si="0"/>
        <v>5</v>
      </c>
      <c r="Z10" s="285">
        <f t="shared" si="0"/>
        <v>4</v>
      </c>
      <c r="AA10" s="285">
        <f t="shared" si="0"/>
        <v>5</v>
      </c>
      <c r="AB10" s="285">
        <f t="shared" si="0"/>
        <v>4</v>
      </c>
      <c r="AC10" s="285">
        <f t="shared" si="0"/>
        <v>4</v>
      </c>
      <c r="AD10" s="285">
        <f t="shared" si="0"/>
        <v>5</v>
      </c>
      <c r="AE10" s="285">
        <f t="shared" si="0"/>
        <v>4</v>
      </c>
      <c r="AF10" s="285">
        <f t="shared" si="0"/>
        <v>4</v>
      </c>
      <c r="AG10" s="285">
        <f t="shared" si="0"/>
        <v>4</v>
      </c>
      <c r="AH10" s="285">
        <f>+(AH7-AH6+1)-NETWORKDAYS.INTL(AH6,AH7,16)</f>
        <v>5</v>
      </c>
      <c r="AI10" s="285">
        <f t="shared" ref="AI10:AN10" si="1">+(AI7-AI6+1)-NETWORKDAYS.INTL(AI6,AI7,16)</f>
        <v>4</v>
      </c>
      <c r="AJ10" s="285">
        <f t="shared" si="1"/>
        <v>5</v>
      </c>
      <c r="AK10" s="285">
        <f t="shared" si="1"/>
        <v>4</v>
      </c>
      <c r="AL10" s="285">
        <f t="shared" si="1"/>
        <v>4</v>
      </c>
      <c r="AM10" s="285">
        <f t="shared" si="1"/>
        <v>5</v>
      </c>
      <c r="AN10" s="285">
        <f t="shared" si="1"/>
        <v>4</v>
      </c>
      <c r="AO10" s="285">
        <f>+(AO7-AO6+1)-NETWORKDAYS.INTL(AO6,AO7,16)</f>
        <v>4</v>
      </c>
      <c r="AP10" s="494"/>
      <c r="AQ10" s="285" t="s">
        <v>7</v>
      </c>
      <c r="AR10" s="285" t="s">
        <v>13</v>
      </c>
      <c r="AS10" s="285" t="s">
        <v>20</v>
      </c>
      <c r="AT10" s="285" t="s">
        <v>26</v>
      </c>
      <c r="AU10" s="285" t="s">
        <v>7</v>
      </c>
      <c r="AV10" s="285" t="s">
        <v>13</v>
      </c>
      <c r="AW10" s="285" t="s">
        <v>20</v>
      </c>
      <c r="AX10" s="285" t="s">
        <v>26</v>
      </c>
      <c r="AY10" s="494"/>
      <c r="AZ10" s="285" t="s">
        <v>26</v>
      </c>
      <c r="BA10" s="285" t="s">
        <v>26</v>
      </c>
      <c r="BC10" s="285" t="s">
        <v>26</v>
      </c>
      <c r="BD10" s="285" t="s">
        <v>26</v>
      </c>
    </row>
    <row r="11" spans="1:56" x14ac:dyDescent="0.45">
      <c r="B11" s="284" t="s">
        <v>827</v>
      </c>
      <c r="C11" s="284"/>
      <c r="D11" s="284"/>
      <c r="E11" s="284"/>
      <c r="F11" s="284"/>
      <c r="G11" s="284"/>
      <c r="H11" s="284"/>
      <c r="I11" s="284"/>
      <c r="J11" s="284"/>
      <c r="K11" s="284"/>
      <c r="L11" s="284"/>
      <c r="M11" s="284"/>
      <c r="N11" s="284"/>
      <c r="O11" s="284"/>
      <c r="P11" s="284"/>
      <c r="Q11" s="284"/>
      <c r="R11" s="286" t="s">
        <v>827</v>
      </c>
      <c r="S11" s="286"/>
      <c r="T11" s="286"/>
      <c r="U11" s="286"/>
      <c r="V11" s="286"/>
      <c r="W11" s="286"/>
      <c r="X11" s="286"/>
      <c r="Y11" s="286"/>
      <c r="Z11" s="286"/>
      <c r="AA11" s="286"/>
      <c r="AB11" s="286"/>
      <c r="AC11" s="286"/>
      <c r="AD11" s="286" t="s">
        <v>827</v>
      </c>
      <c r="AE11" s="286" t="s">
        <v>827</v>
      </c>
      <c r="AF11" s="286" t="s">
        <v>827</v>
      </c>
      <c r="AG11" s="286" t="s">
        <v>827</v>
      </c>
      <c r="AH11" s="286"/>
      <c r="AI11" s="286"/>
      <c r="AJ11" s="286"/>
      <c r="AK11" s="286"/>
      <c r="AL11" s="286"/>
      <c r="AM11" s="286"/>
      <c r="AN11" s="286"/>
      <c r="AO11" s="286"/>
      <c r="AP11" s="494"/>
      <c r="AQ11" s="286" t="s">
        <v>7</v>
      </c>
      <c r="AR11" s="286" t="s">
        <v>13</v>
      </c>
      <c r="AS11" s="286" t="s">
        <v>20</v>
      </c>
      <c r="AT11" s="286" t="s">
        <v>26</v>
      </c>
      <c r="AU11" s="286" t="s">
        <v>7</v>
      </c>
      <c r="AV11" s="286" t="s">
        <v>13</v>
      </c>
      <c r="AW11" s="286" t="s">
        <v>20</v>
      </c>
      <c r="AX11" s="286" t="s">
        <v>26</v>
      </c>
      <c r="AY11" s="494"/>
      <c r="AZ11" s="286" t="s">
        <v>827</v>
      </c>
      <c r="BA11" s="286" t="s">
        <v>827</v>
      </c>
      <c r="BC11" s="286" t="s">
        <v>827</v>
      </c>
      <c r="BD11" s="286" t="s">
        <v>827</v>
      </c>
    </row>
    <row r="12" spans="1:56" x14ac:dyDescent="0.45">
      <c r="AP12" s="494"/>
      <c r="AY12" s="494"/>
    </row>
    <row r="13" spans="1:56" x14ac:dyDescent="0.45">
      <c r="B13" s="287" t="s">
        <v>828</v>
      </c>
      <c r="C13" s="288"/>
      <c r="D13" s="288"/>
      <c r="E13" s="288"/>
      <c r="F13" s="288"/>
      <c r="G13" s="288"/>
      <c r="H13" s="288"/>
      <c r="I13" s="288"/>
      <c r="J13" s="288"/>
      <c r="K13" s="288"/>
      <c r="L13" s="288"/>
      <c r="M13" s="288"/>
      <c r="N13" s="288"/>
      <c r="O13" s="288"/>
      <c r="P13" s="288"/>
      <c r="Q13" s="288"/>
      <c r="R13" s="289"/>
      <c r="S13" s="289"/>
      <c r="T13" s="289"/>
      <c r="U13" s="289"/>
      <c r="V13" s="289"/>
      <c r="W13" s="289"/>
      <c r="X13" s="289"/>
      <c r="Y13" s="289"/>
      <c r="Z13" s="289"/>
      <c r="AA13" s="289"/>
      <c r="AB13" s="289"/>
      <c r="AC13" s="289"/>
      <c r="AD13" s="289"/>
      <c r="AE13" s="289"/>
      <c r="AF13" s="289"/>
      <c r="AG13" s="289"/>
      <c r="AH13" s="289"/>
      <c r="AI13" s="289"/>
      <c r="AJ13" s="289"/>
      <c r="AK13" s="289"/>
      <c r="AL13" s="289"/>
      <c r="AM13" s="289"/>
      <c r="AN13" s="289"/>
      <c r="AO13" s="289"/>
      <c r="AP13" s="494"/>
      <c r="AQ13" s="289"/>
      <c r="AR13" s="289"/>
      <c r="AS13" s="289"/>
      <c r="AT13" s="289"/>
      <c r="AU13" s="289"/>
      <c r="AV13" s="289"/>
      <c r="AW13" s="289"/>
      <c r="AX13" s="289"/>
      <c r="AY13" s="494"/>
      <c r="AZ13" s="289"/>
      <c r="BA13" s="289"/>
      <c r="BC13" s="289"/>
      <c r="BD13" s="289"/>
    </row>
    <row r="14" spans="1:56" outlineLevel="1" x14ac:dyDescent="0.45">
      <c r="B14" s="321"/>
      <c r="C14" s="321"/>
      <c r="D14" s="352"/>
      <c r="E14" s="321"/>
      <c r="F14" s="321"/>
      <c r="G14" s="321"/>
      <c r="H14" s="321"/>
      <c r="I14" s="321"/>
      <c r="J14" s="321"/>
      <c r="K14" s="321"/>
      <c r="L14" s="321"/>
      <c r="M14" s="321"/>
      <c r="N14" s="321"/>
      <c r="O14" s="321"/>
      <c r="P14" s="321"/>
      <c r="Q14" s="321"/>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494"/>
      <c r="AQ14" s="294"/>
      <c r="AR14" s="294"/>
      <c r="AS14" s="294"/>
      <c r="AT14" s="294"/>
      <c r="AU14" s="294"/>
      <c r="AV14" s="294"/>
      <c r="AW14" s="294"/>
      <c r="AX14" s="294"/>
      <c r="AY14" s="494"/>
      <c r="AZ14" s="294"/>
      <c r="BA14" s="294"/>
      <c r="BC14" s="294"/>
      <c r="BD14" s="294"/>
    </row>
    <row r="15" spans="1:56" outlineLevel="1" x14ac:dyDescent="0.45">
      <c r="B15" s="287" t="s">
        <v>1066</v>
      </c>
      <c r="C15" s="288"/>
      <c r="D15" s="288"/>
      <c r="E15" s="288"/>
      <c r="F15" s="288"/>
      <c r="G15" s="288"/>
      <c r="H15" s="288"/>
      <c r="I15" s="288"/>
      <c r="J15" s="288"/>
      <c r="K15" s="288"/>
      <c r="L15" s="288"/>
      <c r="M15" s="288"/>
      <c r="N15" s="288"/>
      <c r="O15" s="288"/>
      <c r="P15" s="288"/>
      <c r="Q15" s="288"/>
      <c r="R15" s="289"/>
      <c r="S15" s="289"/>
      <c r="T15" s="289"/>
      <c r="U15" s="289"/>
      <c r="V15" s="289"/>
      <c r="W15" s="289"/>
      <c r="X15" s="289"/>
      <c r="Y15" s="289"/>
      <c r="Z15" s="289"/>
      <c r="AA15" s="289"/>
      <c r="AB15" s="289"/>
      <c r="AC15" s="289"/>
      <c r="AD15" s="289"/>
      <c r="AE15" s="289"/>
      <c r="AF15" s="289"/>
      <c r="AG15" s="289"/>
      <c r="AH15" s="289"/>
      <c r="AI15" s="289"/>
      <c r="AJ15" s="289"/>
      <c r="AK15" s="289"/>
      <c r="AL15" s="289"/>
      <c r="AM15" s="289"/>
      <c r="AN15" s="289"/>
      <c r="AO15" s="289"/>
      <c r="AP15" s="494"/>
      <c r="AQ15" s="289"/>
      <c r="AR15" s="289"/>
      <c r="AS15" s="289"/>
      <c r="AT15" s="289"/>
      <c r="AU15" s="289"/>
      <c r="AV15" s="289"/>
      <c r="AW15" s="289"/>
      <c r="AX15" s="289"/>
      <c r="AY15" s="494"/>
      <c r="AZ15" s="289"/>
      <c r="BA15" s="289"/>
      <c r="BC15" s="289"/>
      <c r="BD15" s="289"/>
    </row>
    <row r="16" spans="1:56" outlineLevel="2" x14ac:dyDescent="0.45">
      <c r="B16" s="321"/>
      <c r="C16" s="321"/>
      <c r="D16" s="352"/>
      <c r="E16" s="321"/>
      <c r="F16" s="321"/>
      <c r="G16" s="321"/>
      <c r="H16" s="321"/>
      <c r="I16" s="321"/>
      <c r="J16" s="321"/>
      <c r="K16" s="321"/>
      <c r="L16" s="321"/>
      <c r="M16" s="321"/>
      <c r="N16" s="321"/>
      <c r="O16" s="321"/>
      <c r="P16" s="321"/>
      <c r="Q16" s="321"/>
      <c r="R16" s="294"/>
      <c r="S16" s="294"/>
      <c r="T16" s="294"/>
      <c r="U16" s="294"/>
      <c r="V16" s="294"/>
      <c r="W16" s="294"/>
      <c r="X16" s="294"/>
      <c r="Y16" s="294"/>
      <c r="Z16" s="294"/>
      <c r="AA16" s="294"/>
      <c r="AB16" s="294"/>
      <c r="AC16" s="294"/>
      <c r="AD16" s="294"/>
      <c r="AE16" s="294"/>
      <c r="AF16" s="294"/>
      <c r="AG16" s="294"/>
      <c r="AH16" s="294"/>
      <c r="AI16" s="294"/>
      <c r="AJ16" s="294"/>
      <c r="AK16" s="294"/>
      <c r="AL16" s="294"/>
      <c r="AM16" s="294"/>
      <c r="AN16" s="294"/>
      <c r="AO16" s="294"/>
      <c r="AP16" s="494"/>
      <c r="AQ16" s="294"/>
      <c r="AR16" s="294"/>
      <c r="AS16" s="294"/>
      <c r="AT16" s="294"/>
      <c r="AU16" s="294"/>
      <c r="AV16" s="294"/>
      <c r="AW16" s="294"/>
      <c r="AX16" s="294"/>
      <c r="AY16" s="494"/>
      <c r="AZ16" s="294"/>
      <c r="BA16" s="294"/>
      <c r="BC16" s="294"/>
      <c r="BD16" s="294"/>
    </row>
    <row r="17" spans="2:56" outlineLevel="2" x14ac:dyDescent="0.45">
      <c r="B17" s="400" t="s">
        <v>1060</v>
      </c>
      <c r="C17" s="321"/>
      <c r="D17" s="352"/>
      <c r="E17" s="321"/>
      <c r="F17" s="321"/>
      <c r="G17" s="321"/>
      <c r="H17" s="321"/>
      <c r="I17" s="321"/>
      <c r="J17" s="321"/>
      <c r="K17" s="321"/>
      <c r="L17" s="321"/>
      <c r="M17" s="321"/>
      <c r="N17" s="321"/>
      <c r="O17" s="321"/>
      <c r="P17" s="321"/>
      <c r="Q17" s="321"/>
      <c r="R17" s="294"/>
      <c r="S17" s="386"/>
      <c r="T17" s="386"/>
      <c r="U17" s="386"/>
      <c r="V17" s="386"/>
      <c r="W17" s="386"/>
      <c r="X17" s="386"/>
      <c r="Y17" s="386"/>
      <c r="Z17" s="386"/>
      <c r="AA17" s="386"/>
      <c r="AB17" s="386"/>
      <c r="AC17" s="386">
        <v>19.3858</v>
      </c>
      <c r="AD17" s="386">
        <v>19.481799999999996</v>
      </c>
      <c r="AE17" s="386">
        <v>19.661799999999996</v>
      </c>
      <c r="AF17" s="386">
        <v>25.3674</v>
      </c>
      <c r="AG17" s="386">
        <f>SUM(AG18:AG21)</f>
        <v>28.644399999999997</v>
      </c>
      <c r="AH17" s="386"/>
      <c r="AI17" s="386"/>
      <c r="AJ17" s="386"/>
      <c r="AK17" s="386"/>
      <c r="AL17" s="386"/>
      <c r="AM17" s="386"/>
      <c r="AN17" s="386"/>
      <c r="AO17" s="386"/>
      <c r="AP17" s="494"/>
      <c r="AQ17" s="386"/>
      <c r="AR17" s="386"/>
      <c r="AS17" s="386"/>
      <c r="AT17" s="386"/>
      <c r="AU17" s="386"/>
      <c r="AV17" s="386"/>
      <c r="AW17" s="386"/>
      <c r="AX17" s="386"/>
      <c r="AY17" s="494"/>
      <c r="AZ17" s="386"/>
      <c r="BA17" s="386"/>
      <c r="BC17" s="386"/>
      <c r="BD17" s="386"/>
    </row>
    <row r="18" spans="2:56" outlineLevel="2" x14ac:dyDescent="0.45">
      <c r="B18" s="394" t="s">
        <v>1061</v>
      </c>
      <c r="C18" s="395"/>
      <c r="D18" s="396"/>
      <c r="E18" s="392"/>
      <c r="F18" s="392"/>
      <c r="G18" s="392"/>
      <c r="H18" s="392"/>
      <c r="I18" s="393"/>
      <c r="J18" s="390"/>
      <c r="K18" s="390"/>
      <c r="L18" s="390"/>
      <c r="M18" s="390"/>
      <c r="N18" s="390"/>
      <c r="O18" s="390"/>
      <c r="P18" s="390"/>
      <c r="Q18" s="390"/>
      <c r="R18" s="387"/>
      <c r="S18" s="387"/>
      <c r="T18" s="387"/>
      <c r="U18" s="387"/>
      <c r="V18" s="387"/>
      <c r="W18" s="387"/>
      <c r="X18" s="387"/>
      <c r="Y18" s="387"/>
      <c r="Z18" s="387"/>
      <c r="AA18" s="387"/>
      <c r="AB18" s="387"/>
      <c r="AC18" s="387">
        <v>11.48</v>
      </c>
      <c r="AD18" s="387">
        <v>11.48</v>
      </c>
      <c r="AE18" s="387">
        <v>11.48</v>
      </c>
      <c r="AF18" s="387">
        <v>16.64</v>
      </c>
      <c r="AG18" s="387">
        <v>17.84</v>
      </c>
      <c r="AH18" s="387"/>
      <c r="AI18" s="387"/>
      <c r="AJ18" s="387"/>
      <c r="AK18" s="387"/>
      <c r="AL18" s="387"/>
      <c r="AM18" s="387"/>
      <c r="AN18" s="387"/>
      <c r="AO18" s="387"/>
      <c r="AP18" s="494"/>
      <c r="AQ18" s="387"/>
      <c r="AR18" s="387"/>
      <c r="AS18" s="387"/>
      <c r="AT18" s="387"/>
      <c r="AU18" s="387">
        <f>AF18</f>
        <v>16.64</v>
      </c>
      <c r="AV18" s="387">
        <f>AG18</f>
        <v>17.84</v>
      </c>
      <c r="AW18" s="387">
        <f>AH18</f>
        <v>0</v>
      </c>
      <c r="AX18" s="387">
        <f>AI18</f>
        <v>0</v>
      </c>
      <c r="AY18" s="494"/>
      <c r="AZ18" s="387" t="s">
        <v>371</v>
      </c>
      <c r="BA18" s="387"/>
      <c r="BC18" s="387" t="s">
        <v>371</v>
      </c>
      <c r="BD18" s="387"/>
    </row>
    <row r="19" spans="2:56" outlineLevel="2" x14ac:dyDescent="0.45">
      <c r="B19" s="394" t="s">
        <v>1062</v>
      </c>
      <c r="C19" s="395"/>
      <c r="D19" s="396"/>
      <c r="E19" s="321"/>
      <c r="F19" s="321"/>
      <c r="G19" s="321"/>
      <c r="H19" s="321"/>
      <c r="I19" s="321"/>
      <c r="J19" s="321"/>
      <c r="K19" s="321"/>
      <c r="L19" s="321"/>
      <c r="M19" s="321"/>
      <c r="N19" s="321"/>
      <c r="O19" s="321"/>
      <c r="P19" s="321"/>
      <c r="Q19" s="321"/>
      <c r="R19" s="387"/>
      <c r="S19" s="387"/>
      <c r="T19" s="387"/>
      <c r="U19" s="387"/>
      <c r="V19" s="387"/>
      <c r="W19" s="387"/>
      <c r="X19" s="387"/>
      <c r="Y19" s="387"/>
      <c r="Z19" s="387"/>
      <c r="AA19" s="387"/>
      <c r="AB19" s="387"/>
      <c r="AC19" s="387">
        <v>4.8457999999999988</v>
      </c>
      <c r="AD19" s="387">
        <v>4.941799999999998</v>
      </c>
      <c r="AE19" s="387">
        <v>4.941799999999998</v>
      </c>
      <c r="AF19" s="387">
        <v>5.247399999999999</v>
      </c>
      <c r="AG19" s="387">
        <v>5.6443999999999983</v>
      </c>
      <c r="AH19" s="387"/>
      <c r="AI19" s="387"/>
      <c r="AJ19" s="387"/>
      <c r="AK19" s="387"/>
      <c r="AL19" s="387"/>
      <c r="AM19" s="387"/>
      <c r="AN19" s="387"/>
      <c r="AO19" s="387"/>
      <c r="AP19" s="494"/>
      <c r="AQ19" s="387"/>
      <c r="AR19" s="387"/>
      <c r="AS19" s="387"/>
      <c r="AT19" s="387"/>
      <c r="AU19" s="387">
        <f>AF19</f>
        <v>5.247399999999999</v>
      </c>
      <c r="AV19" s="387">
        <f>AG19</f>
        <v>5.6443999999999983</v>
      </c>
      <c r="AW19" s="387">
        <f>AH19</f>
        <v>0</v>
      </c>
      <c r="AX19" s="387">
        <f>AI19</f>
        <v>0</v>
      </c>
      <c r="AY19" s="494"/>
      <c r="AZ19" s="387" t="s">
        <v>371</v>
      </c>
      <c r="BA19" s="387"/>
      <c r="BC19" s="387" t="s">
        <v>371</v>
      </c>
      <c r="BD19" s="387"/>
    </row>
    <row r="20" spans="2:56" outlineLevel="2" x14ac:dyDescent="0.45">
      <c r="B20" s="394" t="s">
        <v>1063</v>
      </c>
      <c r="C20" s="395"/>
      <c r="D20" s="396"/>
      <c r="E20" s="321"/>
      <c r="F20" s="321"/>
      <c r="G20" s="321"/>
      <c r="H20" s="321"/>
      <c r="I20" s="321"/>
      <c r="J20" s="321"/>
      <c r="K20" s="321"/>
      <c r="L20" s="321"/>
      <c r="M20" s="321"/>
      <c r="N20" s="321"/>
      <c r="O20" s="321"/>
      <c r="P20" s="321"/>
      <c r="Q20" s="321"/>
      <c r="R20" s="387"/>
      <c r="S20" s="387"/>
      <c r="T20" s="387"/>
      <c r="U20" s="387"/>
      <c r="V20" s="387"/>
      <c r="W20" s="387"/>
      <c r="X20" s="387"/>
      <c r="Y20" s="387"/>
      <c r="Z20" s="387"/>
      <c r="AA20" s="387"/>
      <c r="AB20" s="387"/>
      <c r="AC20" s="387">
        <v>0</v>
      </c>
      <c r="AD20" s="387">
        <v>0</v>
      </c>
      <c r="AE20" s="387">
        <v>0.18</v>
      </c>
      <c r="AF20" s="387">
        <v>0.42</v>
      </c>
      <c r="AG20" s="387">
        <v>0.6</v>
      </c>
      <c r="AH20" s="387"/>
      <c r="AI20" s="387"/>
      <c r="AJ20" s="387"/>
      <c r="AK20" s="387"/>
      <c r="AL20" s="387"/>
      <c r="AM20" s="387"/>
      <c r="AN20" s="387"/>
      <c r="AO20" s="387"/>
      <c r="AP20" s="494"/>
      <c r="AQ20" s="387"/>
      <c r="AR20" s="387"/>
      <c r="AS20" s="387"/>
      <c r="AT20" s="387"/>
      <c r="AU20" s="387">
        <f>AF20</f>
        <v>0.42</v>
      </c>
      <c r="AV20" s="387">
        <f>AG20</f>
        <v>0.6</v>
      </c>
      <c r="AW20" s="387">
        <f>AH20</f>
        <v>0</v>
      </c>
      <c r="AX20" s="387">
        <f>AI20</f>
        <v>0</v>
      </c>
      <c r="AY20" s="494"/>
      <c r="AZ20" s="387" t="s">
        <v>371</v>
      </c>
      <c r="BA20" s="387"/>
      <c r="BC20" s="387" t="s">
        <v>371</v>
      </c>
      <c r="BD20" s="387"/>
    </row>
    <row r="21" spans="2:56" outlineLevel="2" x14ac:dyDescent="0.45">
      <c r="B21" s="397" t="s">
        <v>450</v>
      </c>
      <c r="C21" s="398"/>
      <c r="D21" s="399"/>
      <c r="E21" s="391"/>
      <c r="F21" s="391"/>
      <c r="G21" s="391"/>
      <c r="H21" s="391"/>
      <c r="I21" s="391"/>
      <c r="J21" s="391"/>
      <c r="K21" s="391"/>
      <c r="L21" s="391"/>
      <c r="M21" s="391"/>
      <c r="N21" s="391"/>
      <c r="O21" s="391"/>
      <c r="P21" s="391"/>
      <c r="Q21" s="391"/>
      <c r="R21" s="387"/>
      <c r="S21" s="387"/>
      <c r="T21" s="387"/>
      <c r="U21" s="387"/>
      <c r="V21" s="387"/>
      <c r="W21" s="387"/>
      <c r="X21" s="387"/>
      <c r="Y21" s="387"/>
      <c r="Z21" s="387"/>
      <c r="AA21" s="387"/>
      <c r="AB21" s="387"/>
      <c r="AC21" s="387">
        <v>3.06</v>
      </c>
      <c r="AD21" s="387">
        <v>3.06</v>
      </c>
      <c r="AE21" s="387">
        <v>3.06</v>
      </c>
      <c r="AF21" s="387">
        <v>3.06</v>
      </c>
      <c r="AG21" s="387">
        <v>4.5599999999999996</v>
      </c>
      <c r="AH21" s="387"/>
      <c r="AI21" s="387"/>
      <c r="AJ21" s="387"/>
      <c r="AK21" s="387"/>
      <c r="AL21" s="387"/>
      <c r="AM21" s="387"/>
      <c r="AN21" s="387"/>
      <c r="AO21" s="387"/>
      <c r="AP21" s="494"/>
      <c r="AQ21" s="387"/>
      <c r="AR21" s="387"/>
      <c r="AS21" s="387"/>
      <c r="AT21" s="387"/>
      <c r="AU21" s="387">
        <f>AF21</f>
        <v>3.06</v>
      </c>
      <c r="AV21" s="387">
        <f>AG21</f>
        <v>4.5599999999999996</v>
      </c>
      <c r="AW21" s="387">
        <f>AH21</f>
        <v>0</v>
      </c>
      <c r="AX21" s="387">
        <f>AI21</f>
        <v>0</v>
      </c>
      <c r="AY21" s="494"/>
      <c r="AZ21" s="387" t="s">
        <v>371</v>
      </c>
      <c r="BA21" s="387"/>
      <c r="BC21" s="387" t="s">
        <v>371</v>
      </c>
      <c r="BD21" s="387"/>
    </row>
    <row r="22" spans="2:56" outlineLevel="2" x14ac:dyDescent="0.45">
      <c r="B22" s="385"/>
      <c r="C22" s="321"/>
      <c r="D22" s="352"/>
      <c r="E22" s="321"/>
      <c r="F22" s="321"/>
      <c r="G22" s="321"/>
      <c r="H22" s="321"/>
      <c r="I22" s="321"/>
      <c r="J22" s="321"/>
      <c r="K22" s="321"/>
      <c r="L22" s="321"/>
      <c r="M22" s="321"/>
      <c r="N22" s="321"/>
      <c r="O22" s="321"/>
      <c r="P22" s="321"/>
      <c r="Q22" s="321"/>
      <c r="R22" s="388"/>
      <c r="S22" s="388"/>
      <c r="T22" s="388"/>
      <c r="U22" s="388"/>
      <c r="V22" s="388"/>
      <c r="W22" s="388"/>
      <c r="X22" s="388"/>
      <c r="Y22" s="388"/>
      <c r="Z22" s="388"/>
      <c r="AA22" s="388"/>
      <c r="AB22" s="388"/>
      <c r="AC22" s="388"/>
      <c r="AD22" s="388"/>
      <c r="AE22" s="388"/>
      <c r="AF22" s="388"/>
      <c r="AG22" s="388"/>
      <c r="AH22" s="388"/>
      <c r="AI22" s="388"/>
      <c r="AJ22" s="388"/>
      <c r="AK22" s="388"/>
      <c r="AL22" s="388"/>
      <c r="AM22" s="388"/>
      <c r="AN22" s="388"/>
      <c r="AO22" s="388"/>
      <c r="AP22" s="494"/>
      <c r="AQ22" s="388"/>
      <c r="AR22" s="388"/>
      <c r="AS22" s="388"/>
      <c r="AT22" s="388"/>
      <c r="AU22" s="388"/>
      <c r="AV22" s="388"/>
      <c r="AW22" s="388"/>
      <c r="AX22" s="388"/>
      <c r="AY22" s="494"/>
      <c r="AZ22" s="388"/>
      <c r="BA22" s="388"/>
      <c r="BC22" s="388"/>
      <c r="BD22" s="388"/>
    </row>
    <row r="23" spans="2:56" outlineLevel="2" x14ac:dyDescent="0.45">
      <c r="B23" s="400" t="s">
        <v>1064</v>
      </c>
      <c r="C23" s="321"/>
      <c r="D23" s="352"/>
      <c r="E23" s="321"/>
      <c r="F23" s="321"/>
      <c r="G23" s="321"/>
      <c r="H23" s="321"/>
      <c r="I23" s="321"/>
      <c r="J23" s="321"/>
      <c r="K23" s="321"/>
      <c r="L23" s="321"/>
      <c r="M23" s="321"/>
      <c r="N23" s="321"/>
      <c r="O23" s="321"/>
      <c r="P23" s="321"/>
      <c r="Q23" s="321"/>
      <c r="R23" s="386"/>
      <c r="S23" s="386"/>
      <c r="T23" s="386"/>
      <c r="U23" s="386"/>
      <c r="V23" s="386"/>
      <c r="W23" s="386"/>
      <c r="X23" s="386"/>
      <c r="Y23" s="386"/>
      <c r="Z23" s="386"/>
      <c r="AA23" s="386"/>
      <c r="AB23" s="386"/>
      <c r="AC23" s="386">
        <v>3.9264000000000001</v>
      </c>
      <c r="AD23" s="386">
        <v>9.6000000000000002E-2</v>
      </c>
      <c r="AE23" s="386">
        <v>0.18</v>
      </c>
      <c r="AF23" s="386">
        <v>5.7056000000000004</v>
      </c>
      <c r="AG23" s="386">
        <f>SUM(AG24:AG27)</f>
        <v>3.2770000000000001</v>
      </c>
      <c r="AH23" s="386"/>
      <c r="AI23" s="386"/>
      <c r="AJ23" s="386"/>
      <c r="AK23" s="386"/>
      <c r="AL23" s="386"/>
      <c r="AM23" s="386"/>
      <c r="AN23" s="386"/>
      <c r="AO23" s="386"/>
      <c r="AP23" s="494"/>
      <c r="AQ23" s="386"/>
      <c r="AR23" s="386"/>
      <c r="AS23" s="386"/>
      <c r="AT23" s="386"/>
      <c r="AU23" s="386">
        <f>AF23</f>
        <v>5.7056000000000004</v>
      </c>
      <c r="AV23" s="386">
        <f>AG23</f>
        <v>3.2770000000000001</v>
      </c>
      <c r="AW23" s="386">
        <f>AH23</f>
        <v>0</v>
      </c>
      <c r="AX23" s="386">
        <f>AI23</f>
        <v>0</v>
      </c>
      <c r="AY23" s="494"/>
      <c r="AZ23" s="386"/>
      <c r="BA23" s="386"/>
      <c r="BC23" s="386"/>
      <c r="BD23" s="386"/>
    </row>
    <row r="24" spans="2:56" outlineLevel="2" x14ac:dyDescent="0.45">
      <c r="B24" s="394" t="s">
        <v>1061</v>
      </c>
      <c r="C24" s="395"/>
      <c r="D24" s="396"/>
      <c r="E24" s="321"/>
      <c r="F24" s="321"/>
      <c r="G24" s="321"/>
      <c r="H24" s="321"/>
      <c r="I24" s="321"/>
      <c r="J24" s="321"/>
      <c r="K24" s="321"/>
      <c r="L24" s="321"/>
      <c r="M24" s="321"/>
      <c r="N24" s="321"/>
      <c r="O24" s="321"/>
      <c r="P24" s="321"/>
      <c r="Q24" s="321"/>
      <c r="R24" s="387"/>
      <c r="S24" s="387"/>
      <c r="T24" s="387"/>
      <c r="U24" s="387"/>
      <c r="V24" s="387"/>
      <c r="W24" s="387"/>
      <c r="X24" s="387"/>
      <c r="Y24" s="387"/>
      <c r="Z24" s="387"/>
      <c r="AA24" s="387"/>
      <c r="AB24" s="387"/>
      <c r="AC24" s="387">
        <v>3.6</v>
      </c>
      <c r="AD24" s="387">
        <v>0</v>
      </c>
      <c r="AE24" s="387">
        <v>0</v>
      </c>
      <c r="AF24" s="387">
        <v>5.4</v>
      </c>
      <c r="AG24" s="387">
        <v>1.2</v>
      </c>
      <c r="AH24" s="387"/>
      <c r="AI24" s="387"/>
      <c r="AJ24" s="387"/>
      <c r="AK24" s="387"/>
      <c r="AL24" s="387"/>
      <c r="AM24" s="387"/>
      <c r="AN24" s="387"/>
      <c r="AO24" s="387"/>
      <c r="AP24" s="494"/>
      <c r="AQ24" s="387"/>
      <c r="AR24" s="387"/>
      <c r="AS24" s="387"/>
      <c r="AT24" s="387"/>
      <c r="AU24" s="387">
        <f>AF24</f>
        <v>5.4</v>
      </c>
      <c r="AV24" s="387">
        <f>AG24</f>
        <v>1.2</v>
      </c>
      <c r="AW24" s="387">
        <f>AH24</f>
        <v>0</v>
      </c>
      <c r="AX24" s="387">
        <f>AI24</f>
        <v>0</v>
      </c>
      <c r="AY24" s="494"/>
      <c r="AZ24" s="387" t="s">
        <v>371</v>
      </c>
      <c r="BA24" s="387"/>
      <c r="BC24" s="387" t="s">
        <v>371</v>
      </c>
      <c r="BD24" s="387"/>
    </row>
    <row r="25" spans="2:56" outlineLevel="2" x14ac:dyDescent="0.45">
      <c r="B25" s="394" t="s">
        <v>1062</v>
      </c>
      <c r="C25" s="395"/>
      <c r="D25" s="396"/>
      <c r="E25" s="321"/>
      <c r="F25" s="321"/>
      <c r="G25" s="321"/>
      <c r="H25" s="321"/>
      <c r="I25" s="321"/>
      <c r="J25" s="321"/>
      <c r="K25" s="321"/>
      <c r="L25" s="321"/>
      <c r="M25" s="321"/>
      <c r="N25" s="321"/>
      <c r="O25" s="321"/>
      <c r="P25" s="321"/>
      <c r="Q25" s="321"/>
      <c r="R25" s="387"/>
      <c r="S25" s="387"/>
      <c r="T25" s="387"/>
      <c r="U25" s="387"/>
      <c r="V25" s="387"/>
      <c r="W25" s="387"/>
      <c r="X25" s="387"/>
      <c r="Y25" s="387"/>
      <c r="Z25" s="387"/>
      <c r="AA25" s="387"/>
      <c r="AB25" s="387"/>
      <c r="AC25" s="387">
        <v>0.32639999999999997</v>
      </c>
      <c r="AD25" s="387">
        <v>9.6000000000000002E-2</v>
      </c>
      <c r="AE25" s="387">
        <v>0</v>
      </c>
      <c r="AF25" s="387">
        <v>0.30560000000000004</v>
      </c>
      <c r="AG25" s="387">
        <v>0.39700000000000002</v>
      </c>
      <c r="AH25" s="387"/>
      <c r="AI25" s="387"/>
      <c r="AJ25" s="387"/>
      <c r="AK25" s="387"/>
      <c r="AL25" s="387"/>
      <c r="AM25" s="387"/>
      <c r="AN25" s="387"/>
      <c r="AO25" s="387"/>
      <c r="AP25" s="494"/>
      <c r="AQ25" s="387"/>
      <c r="AR25" s="387"/>
      <c r="AS25" s="387"/>
      <c r="AT25" s="387"/>
      <c r="AU25" s="387">
        <f>AF25</f>
        <v>0.30560000000000004</v>
      </c>
      <c r="AV25" s="387">
        <f>AG25</f>
        <v>0.39700000000000002</v>
      </c>
      <c r="AW25" s="387">
        <f>AH25</f>
        <v>0</v>
      </c>
      <c r="AX25" s="387">
        <f>AI25</f>
        <v>0</v>
      </c>
      <c r="AY25" s="494"/>
      <c r="AZ25" s="387" t="s">
        <v>371</v>
      </c>
      <c r="BA25" s="387"/>
      <c r="BC25" s="387" t="s">
        <v>371</v>
      </c>
      <c r="BD25" s="387"/>
    </row>
    <row r="26" spans="2:56" outlineLevel="2" x14ac:dyDescent="0.45">
      <c r="B26" s="394" t="s">
        <v>1063</v>
      </c>
      <c r="C26" s="395"/>
      <c r="D26" s="396"/>
      <c r="E26" s="321"/>
      <c r="F26" s="321"/>
      <c r="G26" s="321"/>
      <c r="H26" s="321"/>
      <c r="I26" s="321"/>
      <c r="J26" s="321"/>
      <c r="K26" s="321"/>
      <c r="L26" s="321"/>
      <c r="M26" s="321"/>
      <c r="N26" s="321"/>
      <c r="O26" s="321"/>
      <c r="P26" s="321"/>
      <c r="Q26" s="321"/>
      <c r="R26" s="387"/>
      <c r="S26" s="387"/>
      <c r="T26" s="387"/>
      <c r="U26" s="387"/>
      <c r="V26" s="387"/>
      <c r="W26" s="387"/>
      <c r="X26" s="387"/>
      <c r="Y26" s="387"/>
      <c r="Z26" s="387"/>
      <c r="AA26" s="387"/>
      <c r="AB26" s="387"/>
      <c r="AC26" s="387">
        <v>0</v>
      </c>
      <c r="AD26" s="387">
        <v>0</v>
      </c>
      <c r="AE26" s="387">
        <v>0.18</v>
      </c>
      <c r="AF26" s="387">
        <v>0</v>
      </c>
      <c r="AG26" s="387">
        <v>0.18</v>
      </c>
      <c r="AH26" s="387"/>
      <c r="AI26" s="387"/>
      <c r="AJ26" s="387"/>
      <c r="AK26" s="387"/>
      <c r="AL26" s="387"/>
      <c r="AM26" s="387"/>
      <c r="AN26" s="387"/>
      <c r="AO26" s="387"/>
      <c r="AP26" s="494"/>
      <c r="AQ26" s="387"/>
      <c r="AR26" s="387"/>
      <c r="AS26" s="387"/>
      <c r="AT26" s="387"/>
      <c r="AU26" s="387">
        <f>AF26</f>
        <v>0</v>
      </c>
      <c r="AV26" s="387">
        <f>AG26</f>
        <v>0.18</v>
      </c>
      <c r="AW26" s="387">
        <f>AH26</f>
        <v>0</v>
      </c>
      <c r="AX26" s="387">
        <f>AI26</f>
        <v>0</v>
      </c>
      <c r="AY26" s="494"/>
      <c r="AZ26" s="387" t="s">
        <v>371</v>
      </c>
      <c r="BA26" s="387"/>
      <c r="BC26" s="387" t="s">
        <v>371</v>
      </c>
      <c r="BD26" s="387"/>
    </row>
    <row r="27" spans="2:56" outlineLevel="2" x14ac:dyDescent="0.45">
      <c r="B27" s="397" t="s">
        <v>450</v>
      </c>
      <c r="C27" s="398"/>
      <c r="D27" s="399"/>
      <c r="E27" s="321"/>
      <c r="F27" s="321"/>
      <c r="G27" s="321"/>
      <c r="H27" s="321"/>
      <c r="I27" s="321"/>
      <c r="J27" s="321"/>
      <c r="K27" s="321"/>
      <c r="L27" s="321"/>
      <c r="M27" s="321"/>
      <c r="N27" s="321"/>
      <c r="O27" s="321"/>
      <c r="P27" s="321"/>
      <c r="Q27" s="321"/>
      <c r="R27" s="387"/>
      <c r="S27" s="387"/>
      <c r="T27" s="387"/>
      <c r="U27" s="387"/>
      <c r="V27" s="387"/>
      <c r="W27" s="387"/>
      <c r="X27" s="387"/>
      <c r="Y27" s="387"/>
      <c r="Z27" s="387"/>
      <c r="AA27" s="387"/>
      <c r="AB27" s="387"/>
      <c r="AC27" s="387">
        <v>0</v>
      </c>
      <c r="AD27" s="387">
        <v>0</v>
      </c>
      <c r="AE27" s="387">
        <v>0</v>
      </c>
      <c r="AF27" s="387">
        <v>0</v>
      </c>
      <c r="AG27" s="387">
        <v>1.5</v>
      </c>
      <c r="AH27" s="387"/>
      <c r="AI27" s="387"/>
      <c r="AJ27" s="387"/>
      <c r="AK27" s="387"/>
      <c r="AL27" s="387"/>
      <c r="AM27" s="387"/>
      <c r="AN27" s="387"/>
      <c r="AO27" s="387"/>
      <c r="AP27" s="494"/>
      <c r="AQ27" s="387"/>
      <c r="AR27" s="387"/>
      <c r="AS27" s="387"/>
      <c r="AT27" s="387"/>
      <c r="AU27" s="387">
        <f>AF27</f>
        <v>0</v>
      </c>
      <c r="AV27" s="387">
        <f>AG27</f>
        <v>1.5</v>
      </c>
      <c r="AW27" s="387">
        <f>AH27</f>
        <v>0</v>
      </c>
      <c r="AX27" s="387">
        <f>AI27</f>
        <v>0</v>
      </c>
      <c r="AY27" s="494"/>
      <c r="AZ27" s="387" t="s">
        <v>371</v>
      </c>
      <c r="BA27" s="387"/>
      <c r="BC27" s="387" t="s">
        <v>371</v>
      </c>
      <c r="BD27" s="387"/>
    </row>
    <row r="28" spans="2:56" outlineLevel="2" x14ac:dyDescent="0.45">
      <c r="B28" s="385"/>
      <c r="C28" s="321"/>
      <c r="D28" s="352"/>
      <c r="E28" s="321"/>
      <c r="F28" s="321"/>
      <c r="G28" s="321"/>
      <c r="H28" s="321"/>
      <c r="I28" s="321"/>
      <c r="J28" s="321"/>
      <c r="K28" s="321"/>
      <c r="L28" s="321"/>
      <c r="M28" s="321"/>
      <c r="N28" s="321"/>
      <c r="O28" s="321"/>
      <c r="P28" s="321"/>
      <c r="Q28" s="321"/>
      <c r="R28" s="389"/>
      <c r="S28" s="389"/>
      <c r="T28" s="389"/>
      <c r="U28" s="389"/>
      <c r="V28" s="389"/>
      <c r="W28" s="389"/>
      <c r="X28" s="389"/>
      <c r="Y28" s="389"/>
      <c r="Z28" s="389"/>
      <c r="AA28" s="389"/>
      <c r="AB28" s="389"/>
      <c r="AC28" s="389"/>
      <c r="AD28" s="389"/>
      <c r="AE28" s="389"/>
      <c r="AF28" s="389"/>
      <c r="AG28" s="389"/>
      <c r="AH28" s="389"/>
      <c r="AI28" s="389"/>
      <c r="AJ28" s="389"/>
      <c r="AK28" s="389"/>
      <c r="AL28" s="389"/>
      <c r="AM28" s="389"/>
      <c r="AN28" s="389"/>
      <c r="AO28" s="389"/>
      <c r="AP28" s="494"/>
      <c r="AQ28" s="389"/>
      <c r="AR28" s="389"/>
      <c r="AS28" s="389"/>
      <c r="AT28" s="389"/>
      <c r="AU28" s="389"/>
      <c r="AV28" s="389"/>
      <c r="AW28" s="389"/>
      <c r="AX28" s="389"/>
      <c r="AY28" s="494"/>
      <c r="AZ28" s="389"/>
      <c r="BA28" s="389"/>
      <c r="BC28" s="389"/>
      <c r="BD28" s="389"/>
    </row>
    <row r="29" spans="2:56" outlineLevel="2" x14ac:dyDescent="0.45">
      <c r="B29" s="400" t="s">
        <v>1065</v>
      </c>
      <c r="C29" s="321"/>
      <c r="D29" s="352"/>
      <c r="E29" s="321"/>
      <c r="F29" s="321"/>
      <c r="G29" s="321"/>
      <c r="H29" s="321"/>
      <c r="I29" s="321"/>
      <c r="J29" s="321"/>
      <c r="K29" s="321"/>
      <c r="L29" s="321"/>
      <c r="M29" s="321"/>
      <c r="N29" s="321"/>
      <c r="O29" s="321"/>
      <c r="P29" s="321"/>
      <c r="Q29" s="321"/>
      <c r="R29" s="386"/>
      <c r="S29" s="386"/>
      <c r="T29" s="386"/>
      <c r="U29" s="386"/>
      <c r="V29" s="386"/>
      <c r="W29" s="386"/>
      <c r="X29" s="386"/>
      <c r="Y29" s="386"/>
      <c r="Z29" s="386"/>
      <c r="AA29" s="386"/>
      <c r="AB29" s="386"/>
      <c r="AC29" s="386">
        <v>35.552399999999999</v>
      </c>
      <c r="AD29" s="386">
        <v>38.696399999999997</v>
      </c>
      <c r="AE29" s="386">
        <v>40.536399999999993</v>
      </c>
      <c r="AF29" s="386">
        <v>39.139199999999995</v>
      </c>
      <c r="AG29" s="386">
        <f>SUM(AG30:AG33)</f>
        <v>42.296999999999997</v>
      </c>
      <c r="AH29" s="386"/>
      <c r="AI29" s="386"/>
      <c r="AJ29" s="386"/>
      <c r="AK29" s="386"/>
      <c r="AL29" s="386"/>
      <c r="AM29" s="386"/>
      <c r="AN29" s="386"/>
      <c r="AO29" s="386"/>
      <c r="AP29" s="494"/>
      <c r="AQ29" s="386"/>
      <c r="AR29" s="386"/>
      <c r="AS29" s="386"/>
      <c r="AT29" s="386"/>
      <c r="AU29" s="386">
        <f t="shared" ref="AS19:AX80" si="2">AF29</f>
        <v>39.139199999999995</v>
      </c>
      <c r="AV29" s="386">
        <f t="shared" si="2"/>
        <v>42.296999999999997</v>
      </c>
      <c r="AW29" s="386">
        <f t="shared" si="2"/>
        <v>0</v>
      </c>
      <c r="AX29" s="386">
        <f t="shared" si="2"/>
        <v>0</v>
      </c>
      <c r="AY29" s="494"/>
      <c r="AZ29" s="386"/>
      <c r="BA29" s="386"/>
      <c r="BC29" s="386"/>
      <c r="BD29" s="386"/>
    </row>
    <row r="30" spans="2:56" outlineLevel="2" x14ac:dyDescent="0.45">
      <c r="B30" s="394" t="s">
        <v>1061</v>
      </c>
      <c r="C30" s="395"/>
      <c r="D30" s="396"/>
      <c r="E30" s="321"/>
      <c r="F30" s="321"/>
      <c r="G30" s="321"/>
      <c r="H30" s="321"/>
      <c r="I30" s="321"/>
      <c r="J30" s="321"/>
      <c r="K30" s="321"/>
      <c r="L30" s="321"/>
      <c r="M30" s="321"/>
      <c r="N30" s="321"/>
      <c r="O30" s="321"/>
      <c r="P30" s="321"/>
      <c r="Q30" s="321"/>
      <c r="R30" s="387"/>
      <c r="S30" s="387"/>
      <c r="T30" s="387"/>
      <c r="U30" s="387"/>
      <c r="V30" s="387"/>
      <c r="W30" s="387"/>
      <c r="X30" s="387"/>
      <c r="Y30" s="387"/>
      <c r="Z30" s="387"/>
      <c r="AA30" s="387"/>
      <c r="AB30" s="387"/>
      <c r="AC30" s="387">
        <v>25.62</v>
      </c>
      <c r="AD30" s="387">
        <v>28.86</v>
      </c>
      <c r="AE30" s="387">
        <v>31.06</v>
      </c>
      <c r="AF30" s="387">
        <v>29.38</v>
      </c>
      <c r="AG30" s="414">
        <v>32.74</v>
      </c>
      <c r="AH30" s="387"/>
      <c r="AI30" s="387"/>
      <c r="AJ30" s="387"/>
      <c r="AK30" s="387"/>
      <c r="AL30" s="387"/>
      <c r="AM30" s="387"/>
      <c r="AN30" s="387"/>
      <c r="AO30" s="387"/>
      <c r="AP30" s="494"/>
      <c r="AQ30" s="414"/>
      <c r="AR30" s="414"/>
      <c r="AS30" s="414"/>
      <c r="AT30" s="414"/>
      <c r="AU30" s="414">
        <f t="shared" si="2"/>
        <v>29.38</v>
      </c>
      <c r="AV30" s="414">
        <f t="shared" si="2"/>
        <v>32.74</v>
      </c>
      <c r="AW30" s="414">
        <f t="shared" si="2"/>
        <v>0</v>
      </c>
      <c r="AX30" s="414">
        <f t="shared" si="2"/>
        <v>0</v>
      </c>
      <c r="AY30" s="494"/>
      <c r="AZ30" s="387" t="s">
        <v>371</v>
      </c>
      <c r="BA30" s="387"/>
      <c r="BC30" s="387" t="s">
        <v>371</v>
      </c>
      <c r="BD30" s="387"/>
    </row>
    <row r="31" spans="2:56" outlineLevel="2" x14ac:dyDescent="0.45">
      <c r="B31" s="394" t="s">
        <v>1062</v>
      </c>
      <c r="C31" s="395"/>
      <c r="D31" s="396"/>
      <c r="E31" s="321"/>
      <c r="F31" s="321"/>
      <c r="G31" s="321"/>
      <c r="H31" s="321"/>
      <c r="I31" s="321"/>
      <c r="J31" s="321"/>
      <c r="K31" s="321"/>
      <c r="L31" s="321"/>
      <c r="M31" s="321"/>
      <c r="N31" s="321"/>
      <c r="O31" s="321"/>
      <c r="P31" s="321"/>
      <c r="Q31" s="321"/>
      <c r="R31" s="387"/>
      <c r="S31" s="387"/>
      <c r="T31" s="387"/>
      <c r="U31" s="387"/>
      <c r="V31" s="387"/>
      <c r="W31" s="387"/>
      <c r="X31" s="387"/>
      <c r="Y31" s="387"/>
      <c r="Z31" s="387"/>
      <c r="AA31" s="387"/>
      <c r="AB31" s="387"/>
      <c r="AC31" s="387">
        <v>7.9187999999999983</v>
      </c>
      <c r="AD31" s="387">
        <v>7.8227999999999982</v>
      </c>
      <c r="AE31" s="387">
        <v>7.8227999999999982</v>
      </c>
      <c r="AF31" s="387">
        <v>7.7455999999999978</v>
      </c>
      <c r="AG31" s="387">
        <v>7.723399999999998</v>
      </c>
      <c r="AH31" s="387"/>
      <c r="AI31" s="387"/>
      <c r="AJ31" s="387"/>
      <c r="AK31" s="387"/>
      <c r="AL31" s="387"/>
      <c r="AM31" s="387"/>
      <c r="AN31" s="387"/>
      <c r="AO31" s="387"/>
      <c r="AP31" s="494"/>
      <c r="AQ31" s="387"/>
      <c r="AR31" s="387"/>
      <c r="AS31" s="387"/>
      <c r="AT31" s="387"/>
      <c r="AU31" s="387">
        <f t="shared" si="2"/>
        <v>7.7455999999999978</v>
      </c>
      <c r="AV31" s="387">
        <f t="shared" si="2"/>
        <v>7.723399999999998</v>
      </c>
      <c r="AW31" s="387">
        <f t="shared" si="2"/>
        <v>0</v>
      </c>
      <c r="AX31" s="387">
        <f t="shared" si="2"/>
        <v>0</v>
      </c>
      <c r="AY31" s="494"/>
      <c r="AZ31" s="387" t="s">
        <v>371</v>
      </c>
      <c r="BA31" s="387"/>
      <c r="BC31" s="387" t="s">
        <v>371</v>
      </c>
      <c r="BD31" s="387"/>
    </row>
    <row r="32" spans="2:56" outlineLevel="2" x14ac:dyDescent="0.45">
      <c r="B32" s="394" t="s">
        <v>1063</v>
      </c>
      <c r="C32" s="395"/>
      <c r="D32" s="396"/>
      <c r="E32" s="321"/>
      <c r="F32" s="321"/>
      <c r="G32" s="321"/>
      <c r="H32" s="321"/>
      <c r="I32" s="321"/>
      <c r="J32" s="321"/>
      <c r="K32" s="321"/>
      <c r="L32" s="321"/>
      <c r="M32" s="321"/>
      <c r="N32" s="321"/>
      <c r="O32" s="321"/>
      <c r="P32" s="321"/>
      <c r="Q32" s="321"/>
      <c r="R32" s="387"/>
      <c r="S32" s="387"/>
      <c r="T32" s="387"/>
      <c r="U32" s="387"/>
      <c r="V32" s="387"/>
      <c r="W32" s="387"/>
      <c r="X32" s="387"/>
      <c r="Y32" s="387"/>
      <c r="Z32" s="387"/>
      <c r="AA32" s="387"/>
      <c r="AB32" s="387"/>
      <c r="AC32" s="387">
        <v>2.0135999999999998</v>
      </c>
      <c r="AD32" s="387">
        <v>2.0135999999999998</v>
      </c>
      <c r="AE32" s="387">
        <v>1.6536</v>
      </c>
      <c r="AF32" s="387">
        <v>2.0135999999999998</v>
      </c>
      <c r="AG32" s="387">
        <v>1.8335999999999999</v>
      </c>
      <c r="AH32" s="387"/>
      <c r="AI32" s="387"/>
      <c r="AJ32" s="387"/>
      <c r="AK32" s="387"/>
      <c r="AL32" s="387"/>
      <c r="AM32" s="387"/>
      <c r="AN32" s="387"/>
      <c r="AO32" s="387"/>
      <c r="AP32" s="494"/>
      <c r="AQ32" s="387"/>
      <c r="AR32" s="387"/>
      <c r="AS32" s="387"/>
      <c r="AT32" s="387"/>
      <c r="AU32" s="387">
        <f t="shared" si="2"/>
        <v>2.0135999999999998</v>
      </c>
      <c r="AV32" s="387">
        <f t="shared" si="2"/>
        <v>1.8335999999999999</v>
      </c>
      <c r="AW32" s="387">
        <f t="shared" si="2"/>
        <v>0</v>
      </c>
      <c r="AX32" s="387">
        <f t="shared" si="2"/>
        <v>0</v>
      </c>
      <c r="AY32" s="494"/>
      <c r="AZ32" s="387" t="s">
        <v>371</v>
      </c>
      <c r="BA32" s="387"/>
      <c r="BC32" s="387" t="s">
        <v>371</v>
      </c>
      <c r="BD32" s="387"/>
    </row>
    <row r="33" spans="2:56" outlineLevel="2" x14ac:dyDescent="0.45">
      <c r="B33" s="397" t="s">
        <v>450</v>
      </c>
      <c r="C33" s="398"/>
      <c r="D33" s="399"/>
      <c r="E33" s="321"/>
      <c r="F33" s="321"/>
      <c r="G33" s="321"/>
      <c r="H33" s="321"/>
      <c r="I33" s="321"/>
      <c r="J33" s="321"/>
      <c r="K33" s="321"/>
      <c r="L33" s="321"/>
      <c r="M33" s="321"/>
      <c r="N33" s="321"/>
      <c r="O33" s="321"/>
      <c r="P33" s="321"/>
      <c r="Q33" s="321"/>
      <c r="R33" s="387"/>
      <c r="S33" s="387"/>
      <c r="T33" s="387"/>
      <c r="U33" s="387"/>
      <c r="V33" s="387"/>
      <c r="W33" s="387"/>
      <c r="X33" s="387"/>
      <c r="Y33" s="387"/>
      <c r="Z33" s="387"/>
      <c r="AA33" s="387"/>
      <c r="AB33" s="387"/>
      <c r="AC33" s="387">
        <v>0</v>
      </c>
      <c r="AD33" s="387">
        <v>0</v>
      </c>
      <c r="AE33" s="387">
        <v>0</v>
      </c>
      <c r="AF33" s="387">
        <v>0</v>
      </c>
      <c r="AG33" s="387">
        <v>0</v>
      </c>
      <c r="AH33" s="387"/>
      <c r="AI33" s="387"/>
      <c r="AJ33" s="387"/>
      <c r="AK33" s="387"/>
      <c r="AL33" s="387"/>
      <c r="AM33" s="387"/>
      <c r="AN33" s="387"/>
      <c r="AO33" s="387"/>
      <c r="AP33" s="494"/>
      <c r="AQ33" s="387"/>
      <c r="AR33" s="387"/>
      <c r="AS33" s="387"/>
      <c r="AT33" s="387"/>
      <c r="AU33" s="387">
        <f t="shared" si="2"/>
        <v>0</v>
      </c>
      <c r="AV33" s="387">
        <f t="shared" si="2"/>
        <v>0</v>
      </c>
      <c r="AW33" s="387">
        <f t="shared" si="2"/>
        <v>0</v>
      </c>
      <c r="AX33" s="387">
        <f t="shared" si="2"/>
        <v>0</v>
      </c>
      <c r="AY33" s="494"/>
      <c r="AZ33" s="387" t="s">
        <v>371</v>
      </c>
      <c r="BA33" s="387"/>
      <c r="BC33" s="387" t="s">
        <v>371</v>
      </c>
      <c r="BD33" s="387"/>
    </row>
    <row r="34" spans="2:56" outlineLevel="1" x14ac:dyDescent="0.45">
      <c r="B34" s="321"/>
      <c r="C34" s="321"/>
      <c r="D34" s="352"/>
      <c r="E34" s="321"/>
      <c r="F34" s="321"/>
      <c r="G34" s="321"/>
      <c r="H34" s="321"/>
      <c r="I34" s="321"/>
      <c r="J34" s="321"/>
      <c r="K34" s="321"/>
      <c r="L34" s="321"/>
      <c r="M34" s="321"/>
      <c r="N34" s="321"/>
      <c r="O34" s="321"/>
      <c r="P34" s="321"/>
      <c r="Q34" s="321"/>
      <c r="R34" s="294"/>
      <c r="S34" s="294"/>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494"/>
      <c r="AQ34" s="294"/>
      <c r="AR34" s="294"/>
      <c r="AS34" s="294"/>
      <c r="AT34" s="294"/>
      <c r="AU34" s="294"/>
      <c r="AV34" s="294"/>
      <c r="AW34" s="294"/>
      <c r="AX34" s="294"/>
      <c r="AY34" s="494"/>
      <c r="AZ34" s="294"/>
      <c r="BA34" s="294"/>
      <c r="BC34" s="294"/>
      <c r="BD34" s="294"/>
    </row>
    <row r="35" spans="2:56" outlineLevel="1" x14ac:dyDescent="0.45">
      <c r="B35" s="287" t="s">
        <v>1067</v>
      </c>
      <c r="C35" s="288"/>
      <c r="D35" s="288"/>
      <c r="E35" s="288"/>
      <c r="F35" s="288"/>
      <c r="G35" s="288"/>
      <c r="H35" s="288"/>
      <c r="I35" s="288"/>
      <c r="J35" s="288"/>
      <c r="K35" s="288"/>
      <c r="L35" s="288"/>
      <c r="M35" s="288"/>
      <c r="N35" s="288"/>
      <c r="O35" s="288"/>
      <c r="P35" s="288"/>
      <c r="Q35" s="288"/>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494"/>
      <c r="AQ35" s="289"/>
      <c r="AR35" s="289"/>
      <c r="AS35" s="289"/>
      <c r="AT35" s="289"/>
      <c r="AU35" s="289"/>
      <c r="AV35" s="289"/>
      <c r="AW35" s="289"/>
      <c r="AX35" s="289"/>
      <c r="AY35" s="494"/>
      <c r="AZ35" s="289"/>
      <c r="BA35" s="289"/>
      <c r="BC35" s="289"/>
      <c r="BD35" s="289"/>
    </row>
    <row r="36" spans="2:56" outlineLevel="2" x14ac:dyDescent="0.45">
      <c r="B36" s="321"/>
      <c r="C36" s="321"/>
      <c r="D36" s="352"/>
      <c r="E36" s="321"/>
      <c r="F36" s="321"/>
      <c r="G36" s="321"/>
      <c r="H36" s="321"/>
      <c r="I36" s="321"/>
      <c r="J36" s="321"/>
      <c r="K36" s="321"/>
      <c r="L36" s="321"/>
      <c r="M36" s="321"/>
      <c r="N36" s="321"/>
      <c r="O36" s="321"/>
      <c r="P36" s="321"/>
      <c r="Q36" s="321"/>
      <c r="R36" s="294"/>
      <c r="S36" s="294"/>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494"/>
      <c r="AQ36" s="294"/>
      <c r="AR36" s="294"/>
      <c r="AS36" s="294"/>
      <c r="AT36" s="294"/>
      <c r="AU36" s="294"/>
      <c r="AV36" s="294"/>
      <c r="AW36" s="294"/>
      <c r="AX36" s="294"/>
      <c r="AY36" s="494"/>
      <c r="AZ36" s="294"/>
      <c r="BA36" s="294"/>
      <c r="BC36" s="294"/>
      <c r="BD36" s="294"/>
    </row>
    <row r="37" spans="2:56" outlineLevel="2" x14ac:dyDescent="0.45">
      <c r="B37" s="400" t="s">
        <v>1060</v>
      </c>
      <c r="C37" s="321"/>
      <c r="D37" s="352"/>
      <c r="E37" s="321"/>
      <c r="F37" s="321"/>
      <c r="G37" s="321"/>
      <c r="H37" s="321"/>
      <c r="I37" s="321"/>
      <c r="J37" s="321"/>
      <c r="K37" s="321"/>
      <c r="L37" s="321"/>
      <c r="M37" s="321"/>
      <c r="N37" s="321"/>
      <c r="O37" s="321"/>
      <c r="P37" s="321"/>
      <c r="Q37" s="321"/>
      <c r="R37" s="294"/>
      <c r="S37" s="386"/>
      <c r="T37" s="386"/>
      <c r="U37" s="386"/>
      <c r="V37" s="386"/>
      <c r="W37" s="386"/>
      <c r="X37" s="386"/>
      <c r="Y37" s="386"/>
      <c r="Z37" s="386"/>
      <c r="AA37" s="386"/>
      <c r="AB37" s="386"/>
      <c r="AC37" s="386">
        <v>15.615799999999998</v>
      </c>
      <c r="AD37" s="386">
        <v>15.711799999999998</v>
      </c>
      <c r="AE37" s="386">
        <v>15.891799999999998</v>
      </c>
      <c r="AF37" s="386">
        <v>20.427399999999999</v>
      </c>
      <c r="AG37" s="386">
        <f>SUM(AG38:AG41)</f>
        <v>23.2544</v>
      </c>
      <c r="AH37" s="386"/>
      <c r="AI37" s="386"/>
      <c r="AJ37" s="386"/>
      <c r="AK37" s="386"/>
      <c r="AL37" s="386"/>
      <c r="AM37" s="386"/>
      <c r="AN37" s="386"/>
      <c r="AO37" s="386"/>
      <c r="AP37" s="494"/>
      <c r="AQ37" s="386"/>
      <c r="AR37" s="386"/>
      <c r="AS37" s="386"/>
      <c r="AT37" s="386"/>
      <c r="AU37" s="386">
        <f>AF37</f>
        <v>20.427399999999999</v>
      </c>
      <c r="AV37" s="386">
        <f>AG37</f>
        <v>23.2544</v>
      </c>
      <c r="AW37" s="386">
        <f>AH37</f>
        <v>0</v>
      </c>
      <c r="AX37" s="386">
        <f>AI37</f>
        <v>0</v>
      </c>
      <c r="AY37" s="494"/>
      <c r="AZ37" s="386"/>
      <c r="BA37" s="386"/>
      <c r="BC37" s="386"/>
      <c r="BD37" s="386"/>
    </row>
    <row r="38" spans="2:56" outlineLevel="2" x14ac:dyDescent="0.45">
      <c r="B38" s="394" t="s">
        <v>1061</v>
      </c>
      <c r="C38" s="395"/>
      <c r="D38" s="396"/>
      <c r="E38" s="392"/>
      <c r="F38" s="392"/>
      <c r="G38" s="392"/>
      <c r="H38" s="392"/>
      <c r="I38" s="393"/>
      <c r="J38" s="390"/>
      <c r="K38" s="390"/>
      <c r="L38" s="390"/>
      <c r="M38" s="390"/>
      <c r="N38" s="390"/>
      <c r="O38" s="390"/>
      <c r="P38" s="390"/>
      <c r="Q38" s="390"/>
      <c r="R38" s="387"/>
      <c r="S38" s="387"/>
      <c r="T38" s="387"/>
      <c r="U38" s="387"/>
      <c r="V38" s="387"/>
      <c r="W38" s="387"/>
      <c r="X38" s="387"/>
      <c r="Y38" s="387"/>
      <c r="Z38" s="387"/>
      <c r="AA38" s="387"/>
      <c r="AB38" s="387"/>
      <c r="AC38" s="387">
        <v>7.71</v>
      </c>
      <c r="AD38" s="387">
        <v>7.71</v>
      </c>
      <c r="AE38" s="387">
        <v>7.71</v>
      </c>
      <c r="AF38" s="387">
        <v>11.7</v>
      </c>
      <c r="AG38" s="414">
        <v>13.346450000000001</v>
      </c>
      <c r="AH38" s="387"/>
      <c r="AI38" s="387"/>
      <c r="AJ38" s="387"/>
      <c r="AK38" s="387"/>
      <c r="AL38" s="387"/>
      <c r="AM38" s="387"/>
      <c r="AN38" s="387"/>
      <c r="AO38" s="387"/>
      <c r="AP38" s="494"/>
      <c r="AQ38" s="414"/>
      <c r="AR38" s="414"/>
      <c r="AS38" s="414"/>
      <c r="AT38" s="414"/>
      <c r="AU38" s="414">
        <f t="shared" si="2"/>
        <v>11.7</v>
      </c>
      <c r="AV38" s="414">
        <f t="shared" si="2"/>
        <v>13.346450000000001</v>
      </c>
      <c r="AW38" s="414">
        <f t="shared" si="2"/>
        <v>0</v>
      </c>
      <c r="AX38" s="414">
        <f t="shared" si="2"/>
        <v>0</v>
      </c>
      <c r="AY38" s="494"/>
      <c r="AZ38" s="387" t="s">
        <v>371</v>
      </c>
      <c r="BA38" s="387"/>
      <c r="BC38" s="387" t="s">
        <v>371</v>
      </c>
      <c r="BD38" s="387"/>
    </row>
    <row r="39" spans="2:56" outlineLevel="2" x14ac:dyDescent="0.45">
      <c r="B39" s="394" t="s">
        <v>1062</v>
      </c>
      <c r="C39" s="395"/>
      <c r="D39" s="396"/>
      <c r="E39" s="321"/>
      <c r="F39" s="321"/>
      <c r="G39" s="321"/>
      <c r="H39" s="321"/>
      <c r="I39" s="321"/>
      <c r="J39" s="321"/>
      <c r="K39" s="321"/>
      <c r="L39" s="321"/>
      <c r="M39" s="321"/>
      <c r="N39" s="321"/>
      <c r="O39" s="321"/>
      <c r="P39" s="321"/>
      <c r="Q39" s="321"/>
      <c r="R39" s="387"/>
      <c r="S39" s="387"/>
      <c r="T39" s="387"/>
      <c r="U39" s="387"/>
      <c r="V39" s="387"/>
      <c r="W39" s="387"/>
      <c r="X39" s="387"/>
      <c r="Y39" s="387"/>
      <c r="Z39" s="387"/>
      <c r="AA39" s="387"/>
      <c r="AB39" s="387"/>
      <c r="AC39" s="387">
        <v>4.8457999999999988</v>
      </c>
      <c r="AD39" s="387">
        <v>4.941799999999998</v>
      </c>
      <c r="AE39" s="387">
        <v>4.941799999999998</v>
      </c>
      <c r="AF39" s="387">
        <v>5.247399999999999</v>
      </c>
      <c r="AG39" s="387">
        <v>5.6443999999999983</v>
      </c>
      <c r="AH39" s="387"/>
      <c r="AI39" s="387"/>
      <c r="AJ39" s="387"/>
      <c r="AK39" s="387"/>
      <c r="AL39" s="387"/>
      <c r="AM39" s="387"/>
      <c r="AN39" s="387"/>
      <c r="AO39" s="387"/>
      <c r="AP39" s="494"/>
      <c r="AQ39" s="387"/>
      <c r="AR39" s="387"/>
      <c r="AS39" s="387"/>
      <c r="AT39" s="387"/>
      <c r="AU39" s="387">
        <f t="shared" si="2"/>
        <v>5.247399999999999</v>
      </c>
      <c r="AV39" s="387">
        <f t="shared" si="2"/>
        <v>5.6443999999999983</v>
      </c>
      <c r="AW39" s="387">
        <f t="shared" si="2"/>
        <v>0</v>
      </c>
      <c r="AX39" s="387">
        <f t="shared" si="2"/>
        <v>0</v>
      </c>
      <c r="AY39" s="494"/>
      <c r="AZ39" s="387" t="s">
        <v>371</v>
      </c>
      <c r="BA39" s="387"/>
      <c r="BC39" s="387" t="s">
        <v>371</v>
      </c>
      <c r="BD39" s="387"/>
    </row>
    <row r="40" spans="2:56" outlineLevel="2" x14ac:dyDescent="0.45">
      <c r="B40" s="394" t="s">
        <v>1063</v>
      </c>
      <c r="C40" s="395"/>
      <c r="D40" s="396"/>
      <c r="E40" s="321"/>
      <c r="F40" s="321"/>
      <c r="G40" s="321"/>
      <c r="H40" s="321"/>
      <c r="I40" s="321"/>
      <c r="J40" s="321"/>
      <c r="K40" s="321"/>
      <c r="L40" s="321"/>
      <c r="M40" s="321"/>
      <c r="N40" s="321"/>
      <c r="O40" s="321"/>
      <c r="P40" s="321"/>
      <c r="Q40" s="321"/>
      <c r="R40" s="387"/>
      <c r="S40" s="387"/>
      <c r="T40" s="387"/>
      <c r="U40" s="387"/>
      <c r="V40" s="387"/>
      <c r="W40" s="387"/>
      <c r="X40" s="387"/>
      <c r="Y40" s="387"/>
      <c r="Z40" s="387"/>
      <c r="AA40" s="387"/>
      <c r="AB40" s="387"/>
      <c r="AC40" s="387">
        <v>0</v>
      </c>
      <c r="AD40" s="387">
        <v>0</v>
      </c>
      <c r="AE40" s="387">
        <v>0.18</v>
      </c>
      <c r="AF40" s="387">
        <v>0.42</v>
      </c>
      <c r="AG40" s="414">
        <v>0.6</v>
      </c>
      <c r="AH40" s="387"/>
      <c r="AI40" s="387"/>
      <c r="AJ40" s="387"/>
      <c r="AK40" s="387"/>
      <c r="AL40" s="387"/>
      <c r="AM40" s="387"/>
      <c r="AN40" s="387"/>
      <c r="AO40" s="387"/>
      <c r="AP40" s="494"/>
      <c r="AQ40" s="414"/>
      <c r="AR40" s="414"/>
      <c r="AS40" s="414"/>
      <c r="AT40" s="414"/>
      <c r="AU40" s="414">
        <f t="shared" si="2"/>
        <v>0.42</v>
      </c>
      <c r="AV40" s="414">
        <f t="shared" si="2"/>
        <v>0.6</v>
      </c>
      <c r="AW40" s="414">
        <f t="shared" si="2"/>
        <v>0</v>
      </c>
      <c r="AX40" s="414">
        <f t="shared" si="2"/>
        <v>0</v>
      </c>
      <c r="AY40" s="494"/>
      <c r="AZ40" s="387" t="s">
        <v>371</v>
      </c>
      <c r="BA40" s="387"/>
      <c r="BC40" s="387" t="s">
        <v>371</v>
      </c>
      <c r="BD40" s="387"/>
    </row>
    <row r="41" spans="2:56" outlineLevel="2" x14ac:dyDescent="0.45">
      <c r="B41" s="397" t="s">
        <v>450</v>
      </c>
      <c r="C41" s="398"/>
      <c r="D41" s="399"/>
      <c r="E41" s="391"/>
      <c r="F41" s="391"/>
      <c r="G41" s="391"/>
      <c r="H41" s="391"/>
      <c r="I41" s="391"/>
      <c r="J41" s="391"/>
      <c r="K41" s="391"/>
      <c r="L41" s="391"/>
      <c r="M41" s="391"/>
      <c r="N41" s="391"/>
      <c r="O41" s="391"/>
      <c r="P41" s="391"/>
      <c r="Q41" s="391"/>
      <c r="R41" s="387"/>
      <c r="S41" s="387"/>
      <c r="T41" s="387"/>
      <c r="U41" s="387"/>
      <c r="V41" s="387"/>
      <c r="W41" s="387"/>
      <c r="X41" s="387"/>
      <c r="Y41" s="387"/>
      <c r="Z41" s="387"/>
      <c r="AA41" s="387"/>
      <c r="AB41" s="387"/>
      <c r="AC41" s="387">
        <v>3.06</v>
      </c>
      <c r="AD41" s="387">
        <v>3.06</v>
      </c>
      <c r="AE41" s="387">
        <v>3.06</v>
      </c>
      <c r="AF41" s="387">
        <v>3.06</v>
      </c>
      <c r="AG41" s="387">
        <v>3.6635500000000003</v>
      </c>
      <c r="AH41" s="387"/>
      <c r="AI41" s="387"/>
      <c r="AJ41" s="387"/>
      <c r="AK41" s="387"/>
      <c r="AL41" s="387"/>
      <c r="AM41" s="387"/>
      <c r="AN41" s="387"/>
      <c r="AO41" s="387"/>
      <c r="AP41" s="494"/>
      <c r="AQ41" s="387"/>
      <c r="AR41" s="387"/>
      <c r="AS41" s="387"/>
      <c r="AT41" s="387"/>
      <c r="AU41" s="387">
        <f t="shared" si="2"/>
        <v>3.06</v>
      </c>
      <c r="AV41" s="387">
        <f t="shared" si="2"/>
        <v>3.6635500000000003</v>
      </c>
      <c r="AW41" s="387">
        <f t="shared" si="2"/>
        <v>0</v>
      </c>
      <c r="AX41" s="387">
        <f t="shared" si="2"/>
        <v>0</v>
      </c>
      <c r="AY41" s="494"/>
      <c r="AZ41" s="387" t="s">
        <v>371</v>
      </c>
      <c r="BA41" s="387"/>
      <c r="BC41" s="387" t="s">
        <v>371</v>
      </c>
      <c r="BD41" s="387"/>
    </row>
    <row r="42" spans="2:56" outlineLevel="2" x14ac:dyDescent="0.45">
      <c r="B42" s="385"/>
      <c r="C42" s="321"/>
      <c r="D42" s="352"/>
      <c r="E42" s="321"/>
      <c r="F42" s="321"/>
      <c r="G42" s="321"/>
      <c r="H42" s="321"/>
      <c r="I42" s="321"/>
      <c r="J42" s="321"/>
      <c r="K42" s="321"/>
      <c r="L42" s="321"/>
      <c r="M42" s="321"/>
      <c r="N42" s="321"/>
      <c r="O42" s="321"/>
      <c r="P42" s="321"/>
      <c r="Q42" s="321"/>
      <c r="R42" s="388"/>
      <c r="S42" s="388"/>
      <c r="T42" s="388"/>
      <c r="U42" s="388"/>
      <c r="V42" s="388"/>
      <c r="W42" s="388"/>
      <c r="X42" s="388"/>
      <c r="Y42" s="388"/>
      <c r="Z42" s="388"/>
      <c r="AA42" s="388"/>
      <c r="AB42" s="388"/>
      <c r="AC42" s="388"/>
      <c r="AD42" s="388"/>
      <c r="AE42" s="388"/>
      <c r="AF42" s="388"/>
      <c r="AG42" s="388"/>
      <c r="AH42" s="388"/>
      <c r="AI42" s="388"/>
      <c r="AJ42" s="388"/>
      <c r="AK42" s="388"/>
      <c r="AL42" s="388"/>
      <c r="AM42" s="388"/>
      <c r="AN42" s="388"/>
      <c r="AO42" s="388"/>
      <c r="AP42" s="494"/>
      <c r="AQ42" s="388"/>
      <c r="AR42" s="388"/>
      <c r="AS42" s="388"/>
      <c r="AT42" s="388"/>
      <c r="AU42" s="388"/>
      <c r="AV42" s="388"/>
      <c r="AW42" s="388"/>
      <c r="AX42" s="388"/>
      <c r="AY42" s="494"/>
      <c r="AZ42" s="388"/>
      <c r="BA42" s="388"/>
      <c r="BC42" s="388"/>
      <c r="BD42" s="388"/>
    </row>
    <row r="43" spans="2:56" outlineLevel="2" x14ac:dyDescent="0.45">
      <c r="B43" s="400" t="s">
        <v>1064</v>
      </c>
      <c r="C43" s="321"/>
      <c r="D43" s="352"/>
      <c r="E43" s="321"/>
      <c r="F43" s="321"/>
      <c r="G43" s="321"/>
      <c r="H43" s="321"/>
      <c r="I43" s="321"/>
      <c r="J43" s="321"/>
      <c r="K43" s="321"/>
      <c r="L43" s="321"/>
      <c r="M43" s="321"/>
      <c r="N43" s="321"/>
      <c r="O43" s="321"/>
      <c r="P43" s="321"/>
      <c r="Q43" s="321"/>
      <c r="R43" s="386"/>
      <c r="S43" s="386"/>
      <c r="T43" s="386"/>
      <c r="U43" s="386"/>
      <c r="V43" s="386"/>
      <c r="W43" s="386"/>
      <c r="X43" s="386"/>
      <c r="Y43" s="386"/>
      <c r="Z43" s="386"/>
      <c r="AA43" s="386"/>
      <c r="AB43" s="386"/>
      <c r="AC43" s="386">
        <v>0.32639999999999997</v>
      </c>
      <c r="AD43" s="386">
        <v>9.6000000000000002E-2</v>
      </c>
      <c r="AE43" s="386">
        <v>0.18</v>
      </c>
      <c r="AF43" s="386">
        <v>4.5356000000000005</v>
      </c>
      <c r="AG43" s="386">
        <f>SUM(AG44:AG47)</f>
        <v>2.827</v>
      </c>
      <c r="AH43" s="386"/>
      <c r="AI43" s="386"/>
      <c r="AJ43" s="386"/>
      <c r="AK43" s="386"/>
      <c r="AL43" s="386"/>
      <c r="AM43" s="386"/>
      <c r="AN43" s="386"/>
      <c r="AO43" s="386"/>
      <c r="AP43" s="494"/>
      <c r="AQ43" s="386"/>
      <c r="AR43" s="386"/>
      <c r="AS43" s="386"/>
      <c r="AT43" s="386"/>
      <c r="AU43" s="386">
        <f t="shared" si="2"/>
        <v>4.5356000000000005</v>
      </c>
      <c r="AV43" s="386">
        <f t="shared" si="2"/>
        <v>2.827</v>
      </c>
      <c r="AW43" s="386">
        <f t="shared" si="2"/>
        <v>0</v>
      </c>
      <c r="AX43" s="386">
        <f t="shared" si="2"/>
        <v>0</v>
      </c>
      <c r="AY43" s="494"/>
      <c r="AZ43" s="386"/>
      <c r="BA43" s="386"/>
      <c r="BC43" s="386"/>
      <c r="BD43" s="386"/>
    </row>
    <row r="44" spans="2:56" outlineLevel="2" x14ac:dyDescent="0.45">
      <c r="B44" s="394" t="s">
        <v>1061</v>
      </c>
      <c r="C44" s="395"/>
      <c r="D44" s="396"/>
      <c r="E44" s="321"/>
      <c r="F44" s="321"/>
      <c r="G44" s="321"/>
      <c r="H44" s="321"/>
      <c r="I44" s="321"/>
      <c r="J44" s="321"/>
      <c r="K44" s="321"/>
      <c r="L44" s="321"/>
      <c r="M44" s="321"/>
      <c r="N44" s="321"/>
      <c r="O44" s="321"/>
      <c r="P44" s="321"/>
      <c r="Q44" s="321"/>
      <c r="R44" s="387"/>
      <c r="S44" s="387"/>
      <c r="T44" s="387"/>
      <c r="U44" s="387"/>
      <c r="V44" s="387"/>
      <c r="W44" s="387"/>
      <c r="X44" s="387"/>
      <c r="Y44" s="387"/>
      <c r="Z44" s="387"/>
      <c r="AA44" s="387"/>
      <c r="AB44" s="387"/>
      <c r="AC44" s="387">
        <v>0</v>
      </c>
      <c r="AD44" s="387">
        <v>0</v>
      </c>
      <c r="AE44" s="387">
        <v>0</v>
      </c>
      <c r="AF44" s="387">
        <v>4.2300000000000004</v>
      </c>
      <c r="AG44" s="414">
        <v>1.64645</v>
      </c>
      <c r="AH44" s="387"/>
      <c r="AI44" s="387"/>
      <c r="AJ44" s="387"/>
      <c r="AK44" s="387"/>
      <c r="AL44" s="387"/>
      <c r="AM44" s="387"/>
      <c r="AN44" s="387"/>
      <c r="AO44" s="387"/>
      <c r="AP44" s="494"/>
      <c r="AQ44" s="414"/>
      <c r="AR44" s="414"/>
      <c r="AS44" s="414"/>
      <c r="AT44" s="414"/>
      <c r="AU44" s="414">
        <f t="shared" si="2"/>
        <v>4.2300000000000004</v>
      </c>
      <c r="AV44" s="414">
        <f t="shared" si="2"/>
        <v>1.64645</v>
      </c>
      <c r="AW44" s="414">
        <f t="shared" si="2"/>
        <v>0</v>
      </c>
      <c r="AX44" s="414">
        <f t="shared" si="2"/>
        <v>0</v>
      </c>
      <c r="AY44" s="494"/>
      <c r="AZ44" s="387" t="s">
        <v>371</v>
      </c>
      <c r="BA44" s="387"/>
      <c r="BC44" s="387" t="s">
        <v>371</v>
      </c>
      <c r="BD44" s="387"/>
    </row>
    <row r="45" spans="2:56" outlineLevel="2" x14ac:dyDescent="0.45">
      <c r="B45" s="394" t="s">
        <v>1062</v>
      </c>
      <c r="C45" s="395"/>
      <c r="D45" s="396"/>
      <c r="E45" s="321"/>
      <c r="F45" s="321"/>
      <c r="G45" s="321"/>
      <c r="H45" s="321"/>
      <c r="I45" s="321"/>
      <c r="J45" s="321"/>
      <c r="K45" s="321"/>
      <c r="L45" s="321"/>
      <c r="M45" s="321"/>
      <c r="N45" s="321"/>
      <c r="O45" s="321"/>
      <c r="P45" s="321"/>
      <c r="Q45" s="321"/>
      <c r="R45" s="387"/>
      <c r="S45" s="387"/>
      <c r="T45" s="387"/>
      <c r="U45" s="387"/>
      <c r="V45" s="387"/>
      <c r="W45" s="387"/>
      <c r="X45" s="387"/>
      <c r="Y45" s="387"/>
      <c r="Z45" s="387"/>
      <c r="AA45" s="387"/>
      <c r="AB45" s="387"/>
      <c r="AC45" s="387">
        <v>0.32639999999999997</v>
      </c>
      <c r="AD45" s="387">
        <v>9.6000000000000002E-2</v>
      </c>
      <c r="AE45" s="387">
        <v>0</v>
      </c>
      <c r="AF45" s="387">
        <v>0.30560000000000004</v>
      </c>
      <c r="AG45" s="387">
        <v>0.39700000000000002</v>
      </c>
      <c r="AH45" s="387"/>
      <c r="AI45" s="387"/>
      <c r="AJ45" s="387"/>
      <c r="AK45" s="387"/>
      <c r="AL45" s="387"/>
      <c r="AM45" s="387"/>
      <c r="AN45" s="387"/>
      <c r="AO45" s="387"/>
      <c r="AP45" s="494"/>
      <c r="AQ45" s="387"/>
      <c r="AR45" s="387"/>
      <c r="AS45" s="387"/>
      <c r="AT45" s="387"/>
      <c r="AU45" s="387">
        <f t="shared" si="2"/>
        <v>0.30560000000000004</v>
      </c>
      <c r="AV45" s="387">
        <f t="shared" si="2"/>
        <v>0.39700000000000002</v>
      </c>
      <c r="AW45" s="387">
        <f t="shared" si="2"/>
        <v>0</v>
      </c>
      <c r="AX45" s="387">
        <f t="shared" si="2"/>
        <v>0</v>
      </c>
      <c r="AY45" s="494"/>
      <c r="AZ45" s="387" t="s">
        <v>371</v>
      </c>
      <c r="BA45" s="387"/>
      <c r="BC45" s="387" t="s">
        <v>371</v>
      </c>
      <c r="BD45" s="387"/>
    </row>
    <row r="46" spans="2:56" outlineLevel="2" x14ac:dyDescent="0.45">
      <c r="B46" s="394" t="s">
        <v>1063</v>
      </c>
      <c r="C46" s="395"/>
      <c r="D46" s="396"/>
      <c r="E46" s="321"/>
      <c r="F46" s="321"/>
      <c r="G46" s="321"/>
      <c r="H46" s="321"/>
      <c r="I46" s="321"/>
      <c r="J46" s="321"/>
      <c r="K46" s="321"/>
      <c r="L46" s="321"/>
      <c r="M46" s="321"/>
      <c r="N46" s="321"/>
      <c r="O46" s="321"/>
      <c r="P46" s="321"/>
      <c r="Q46" s="321"/>
      <c r="R46" s="387"/>
      <c r="S46" s="387"/>
      <c r="T46" s="387"/>
      <c r="U46" s="387"/>
      <c r="V46" s="387"/>
      <c r="W46" s="387"/>
      <c r="X46" s="387"/>
      <c r="Y46" s="387"/>
      <c r="Z46" s="387"/>
      <c r="AA46" s="387"/>
      <c r="AB46" s="387"/>
      <c r="AC46" s="387">
        <v>0</v>
      </c>
      <c r="AD46" s="387">
        <v>0</v>
      </c>
      <c r="AE46" s="387">
        <v>0.18</v>
      </c>
      <c r="AF46" s="387">
        <v>0</v>
      </c>
      <c r="AG46" s="387">
        <v>0.18</v>
      </c>
      <c r="AH46" s="387"/>
      <c r="AI46" s="387"/>
      <c r="AJ46" s="387"/>
      <c r="AK46" s="387"/>
      <c r="AL46" s="387"/>
      <c r="AM46" s="387"/>
      <c r="AN46" s="387"/>
      <c r="AO46" s="387"/>
      <c r="AP46" s="494"/>
      <c r="AQ46" s="387"/>
      <c r="AR46" s="387"/>
      <c r="AS46" s="387"/>
      <c r="AT46" s="387"/>
      <c r="AU46" s="387">
        <f t="shared" si="2"/>
        <v>0</v>
      </c>
      <c r="AV46" s="387">
        <f t="shared" si="2"/>
        <v>0.18</v>
      </c>
      <c r="AW46" s="387">
        <f t="shared" si="2"/>
        <v>0</v>
      </c>
      <c r="AX46" s="387">
        <f t="shared" si="2"/>
        <v>0</v>
      </c>
      <c r="AY46" s="494"/>
      <c r="AZ46" s="387" t="s">
        <v>371</v>
      </c>
      <c r="BA46" s="387"/>
      <c r="BC46" s="387" t="s">
        <v>371</v>
      </c>
      <c r="BD46" s="387"/>
    </row>
    <row r="47" spans="2:56" outlineLevel="2" x14ac:dyDescent="0.45">
      <c r="B47" s="397" t="s">
        <v>450</v>
      </c>
      <c r="C47" s="398"/>
      <c r="D47" s="399"/>
      <c r="E47" s="321"/>
      <c r="F47" s="321"/>
      <c r="G47" s="321"/>
      <c r="H47" s="321"/>
      <c r="I47" s="321"/>
      <c r="J47" s="321"/>
      <c r="K47" s="321"/>
      <c r="L47" s="321"/>
      <c r="M47" s="321"/>
      <c r="N47" s="321"/>
      <c r="O47" s="321"/>
      <c r="P47" s="321"/>
      <c r="Q47" s="321"/>
      <c r="R47" s="387"/>
      <c r="S47" s="387"/>
      <c r="T47" s="387"/>
      <c r="U47" s="387"/>
      <c r="V47" s="387"/>
      <c r="W47" s="387"/>
      <c r="X47" s="387"/>
      <c r="Y47" s="387"/>
      <c r="Z47" s="387"/>
      <c r="AA47" s="387"/>
      <c r="AB47" s="387"/>
      <c r="AC47" s="387">
        <v>0</v>
      </c>
      <c r="AD47" s="387">
        <v>0</v>
      </c>
      <c r="AE47" s="387">
        <v>0</v>
      </c>
      <c r="AF47" s="387">
        <v>0</v>
      </c>
      <c r="AG47" s="387">
        <v>0.60354999999999992</v>
      </c>
      <c r="AH47" s="387"/>
      <c r="AI47" s="387"/>
      <c r="AJ47" s="387"/>
      <c r="AK47" s="387"/>
      <c r="AL47" s="387"/>
      <c r="AM47" s="387"/>
      <c r="AN47" s="387"/>
      <c r="AO47" s="387"/>
      <c r="AP47" s="494"/>
      <c r="AQ47" s="387"/>
      <c r="AR47" s="387"/>
      <c r="AS47" s="387"/>
      <c r="AT47" s="387"/>
      <c r="AU47" s="387">
        <f t="shared" si="2"/>
        <v>0</v>
      </c>
      <c r="AV47" s="387">
        <f t="shared" si="2"/>
        <v>0.60354999999999992</v>
      </c>
      <c r="AW47" s="387">
        <f t="shared" si="2"/>
        <v>0</v>
      </c>
      <c r="AX47" s="387">
        <f t="shared" si="2"/>
        <v>0</v>
      </c>
      <c r="AY47" s="494"/>
      <c r="AZ47" s="387" t="s">
        <v>371</v>
      </c>
      <c r="BA47" s="387"/>
      <c r="BC47" s="387" t="s">
        <v>371</v>
      </c>
      <c r="BD47" s="387"/>
    </row>
    <row r="48" spans="2:56" outlineLevel="2" x14ac:dyDescent="0.45">
      <c r="B48" s="385"/>
      <c r="C48" s="321"/>
      <c r="D48" s="352"/>
      <c r="E48" s="321"/>
      <c r="F48" s="321"/>
      <c r="G48" s="321"/>
      <c r="H48" s="321"/>
      <c r="I48" s="321"/>
      <c r="J48" s="321"/>
      <c r="K48" s="321"/>
      <c r="L48" s="321"/>
      <c r="M48" s="321"/>
      <c r="N48" s="321"/>
      <c r="O48" s="321"/>
      <c r="P48" s="321"/>
      <c r="Q48" s="321"/>
      <c r="R48" s="389"/>
      <c r="S48" s="389"/>
      <c r="T48" s="389"/>
      <c r="U48" s="389"/>
      <c r="V48" s="389"/>
      <c r="W48" s="389"/>
      <c r="X48" s="389"/>
      <c r="Y48" s="389"/>
      <c r="Z48" s="389"/>
      <c r="AA48" s="389"/>
      <c r="AB48" s="389"/>
      <c r="AC48" s="389"/>
      <c r="AD48" s="389"/>
      <c r="AE48" s="389"/>
      <c r="AF48" s="389"/>
      <c r="AG48" s="389"/>
      <c r="AH48" s="389"/>
      <c r="AI48" s="389"/>
      <c r="AJ48" s="389"/>
      <c r="AK48" s="389"/>
      <c r="AL48" s="389"/>
      <c r="AM48" s="389"/>
      <c r="AN48" s="389"/>
      <c r="AO48" s="389"/>
      <c r="AP48" s="494"/>
      <c r="AQ48" s="389"/>
      <c r="AR48" s="389"/>
      <c r="AS48" s="389"/>
      <c r="AT48" s="389"/>
      <c r="AU48" s="389"/>
      <c r="AV48" s="389"/>
      <c r="AW48" s="389"/>
      <c r="AX48" s="389"/>
      <c r="AY48" s="494"/>
      <c r="AZ48" s="389"/>
      <c r="BA48" s="389"/>
      <c r="BC48" s="389"/>
      <c r="BD48" s="389"/>
    </row>
    <row r="49" spans="2:56" outlineLevel="2" x14ac:dyDescent="0.45">
      <c r="B49" s="400" t="s">
        <v>1065</v>
      </c>
      <c r="C49" s="321"/>
      <c r="D49" s="352"/>
      <c r="E49" s="321"/>
      <c r="F49" s="321"/>
      <c r="G49" s="321"/>
      <c r="H49" s="321"/>
      <c r="I49" s="321"/>
      <c r="J49" s="321"/>
      <c r="K49" s="321"/>
      <c r="L49" s="321"/>
      <c r="M49" s="321"/>
      <c r="N49" s="321"/>
      <c r="O49" s="321"/>
      <c r="P49" s="321"/>
      <c r="Q49" s="321"/>
      <c r="R49" s="386"/>
      <c r="S49" s="386"/>
      <c r="T49" s="386"/>
      <c r="U49" s="386"/>
      <c r="V49" s="386"/>
      <c r="W49" s="386"/>
      <c r="X49" s="386"/>
      <c r="Y49" s="386"/>
      <c r="Z49" s="386"/>
      <c r="AA49" s="386"/>
      <c r="AB49" s="386"/>
      <c r="AC49" s="386">
        <v>27.944399999999998</v>
      </c>
      <c r="AD49" s="386">
        <v>29.748399999999997</v>
      </c>
      <c r="AE49" s="386">
        <v>30.7364</v>
      </c>
      <c r="AF49" s="386">
        <v>25.259199999999996</v>
      </c>
      <c r="AG49" s="386">
        <f>SUM(AG50:AG53)</f>
        <v>26.000549999999997</v>
      </c>
      <c r="AH49" s="386"/>
      <c r="AI49" s="386"/>
      <c r="AJ49" s="386"/>
      <c r="AK49" s="386"/>
      <c r="AL49" s="386"/>
      <c r="AM49" s="386"/>
      <c r="AN49" s="386"/>
      <c r="AO49" s="386"/>
      <c r="AP49" s="494"/>
      <c r="AQ49" s="386"/>
      <c r="AR49" s="386"/>
      <c r="AS49" s="386"/>
      <c r="AT49" s="386"/>
      <c r="AU49" s="386">
        <f t="shared" si="2"/>
        <v>25.259199999999996</v>
      </c>
      <c r="AV49" s="386">
        <f t="shared" si="2"/>
        <v>26.000549999999997</v>
      </c>
      <c r="AW49" s="386">
        <f t="shared" si="2"/>
        <v>0</v>
      </c>
      <c r="AX49" s="386">
        <f t="shared" si="2"/>
        <v>0</v>
      </c>
      <c r="AY49" s="494"/>
      <c r="AZ49" s="386"/>
      <c r="BA49" s="386"/>
      <c r="BC49" s="386"/>
      <c r="BD49" s="386"/>
    </row>
    <row r="50" spans="2:56" outlineLevel="2" x14ac:dyDescent="0.45">
      <c r="B50" s="394" t="s">
        <v>1061</v>
      </c>
      <c r="C50" s="395"/>
      <c r="D50" s="396"/>
      <c r="E50" s="321"/>
      <c r="F50" s="321"/>
      <c r="G50" s="321"/>
      <c r="H50" s="321"/>
      <c r="I50" s="321"/>
      <c r="J50" s="321"/>
      <c r="K50" s="321"/>
      <c r="L50" s="321"/>
      <c r="M50" s="321"/>
      <c r="N50" s="321"/>
      <c r="O50" s="321"/>
      <c r="P50" s="321"/>
      <c r="Q50" s="321"/>
      <c r="R50" s="387"/>
      <c r="S50" s="387"/>
      <c r="T50" s="387"/>
      <c r="U50" s="387"/>
      <c r="V50" s="387"/>
      <c r="W50" s="387"/>
      <c r="X50" s="387"/>
      <c r="Y50" s="387"/>
      <c r="Z50" s="387"/>
      <c r="AA50" s="387"/>
      <c r="AB50" s="387"/>
      <c r="AC50" s="387">
        <v>18.012</v>
      </c>
      <c r="AD50" s="387">
        <v>19.911999999999999</v>
      </c>
      <c r="AE50" s="387">
        <v>21.26</v>
      </c>
      <c r="AF50" s="387">
        <v>15.5</v>
      </c>
      <c r="AG50" s="414">
        <v>16.443549999999998</v>
      </c>
      <c r="AH50" s="387"/>
      <c r="AI50" s="387"/>
      <c r="AJ50" s="387"/>
      <c r="AK50" s="387"/>
      <c r="AL50" s="387"/>
      <c r="AM50" s="387"/>
      <c r="AN50" s="387"/>
      <c r="AO50" s="387"/>
      <c r="AP50" s="494"/>
      <c r="AQ50" s="414"/>
      <c r="AR50" s="414"/>
      <c r="AS50" s="414"/>
      <c r="AT50" s="414"/>
      <c r="AU50" s="414">
        <f t="shared" si="2"/>
        <v>15.5</v>
      </c>
      <c r="AV50" s="414">
        <f t="shared" si="2"/>
        <v>16.443549999999998</v>
      </c>
      <c r="AW50" s="414">
        <f t="shared" si="2"/>
        <v>0</v>
      </c>
      <c r="AX50" s="414">
        <f t="shared" si="2"/>
        <v>0</v>
      </c>
      <c r="AY50" s="494"/>
      <c r="AZ50" s="387" t="s">
        <v>371</v>
      </c>
      <c r="BA50" s="387"/>
      <c r="BC50" s="387" t="s">
        <v>371</v>
      </c>
      <c r="BD50" s="387"/>
    </row>
    <row r="51" spans="2:56" outlineLevel="2" x14ac:dyDescent="0.45">
      <c r="B51" s="394" t="s">
        <v>1062</v>
      </c>
      <c r="C51" s="395"/>
      <c r="D51" s="396"/>
      <c r="E51" s="321"/>
      <c r="F51" s="321"/>
      <c r="G51" s="321"/>
      <c r="H51" s="321"/>
      <c r="I51" s="321"/>
      <c r="J51" s="321"/>
      <c r="K51" s="321"/>
      <c r="L51" s="321"/>
      <c r="M51" s="321"/>
      <c r="N51" s="321"/>
      <c r="O51" s="321"/>
      <c r="P51" s="321"/>
      <c r="Q51" s="321"/>
      <c r="R51" s="387"/>
      <c r="S51" s="387"/>
      <c r="T51" s="387"/>
      <c r="U51" s="387"/>
      <c r="V51" s="387"/>
      <c r="W51" s="387"/>
      <c r="X51" s="387"/>
      <c r="Y51" s="387"/>
      <c r="Z51" s="387"/>
      <c r="AA51" s="387"/>
      <c r="AB51" s="387"/>
      <c r="AC51" s="387">
        <v>7.9187999999999983</v>
      </c>
      <c r="AD51" s="387">
        <v>7.8227999999999982</v>
      </c>
      <c r="AE51" s="387">
        <v>7.8227999999999982</v>
      </c>
      <c r="AF51" s="387">
        <v>7.7455999999999978</v>
      </c>
      <c r="AG51" s="387">
        <v>7.723399999999998</v>
      </c>
      <c r="AH51" s="387"/>
      <c r="AI51" s="387"/>
      <c r="AJ51" s="387"/>
      <c r="AK51" s="387"/>
      <c r="AL51" s="387"/>
      <c r="AM51" s="387"/>
      <c r="AN51" s="387"/>
      <c r="AO51" s="387"/>
      <c r="AP51" s="494"/>
      <c r="AQ51" s="387"/>
      <c r="AR51" s="387"/>
      <c r="AS51" s="387"/>
      <c r="AT51" s="387"/>
      <c r="AU51" s="387">
        <f t="shared" si="2"/>
        <v>7.7455999999999978</v>
      </c>
      <c r="AV51" s="387">
        <f t="shared" si="2"/>
        <v>7.723399999999998</v>
      </c>
      <c r="AW51" s="387">
        <f t="shared" si="2"/>
        <v>0</v>
      </c>
      <c r="AX51" s="387">
        <f t="shared" si="2"/>
        <v>0</v>
      </c>
      <c r="AY51" s="494"/>
      <c r="AZ51" s="387" t="s">
        <v>371</v>
      </c>
      <c r="BA51" s="387"/>
      <c r="BC51" s="387" t="s">
        <v>371</v>
      </c>
      <c r="BD51" s="387"/>
    </row>
    <row r="52" spans="2:56" outlineLevel="2" x14ac:dyDescent="0.45">
      <c r="B52" s="394" t="s">
        <v>1063</v>
      </c>
      <c r="C52" s="395"/>
      <c r="D52" s="396"/>
      <c r="E52" s="321"/>
      <c r="F52" s="321"/>
      <c r="G52" s="321"/>
      <c r="H52" s="321"/>
      <c r="I52" s="321"/>
      <c r="J52" s="321"/>
      <c r="K52" s="321"/>
      <c r="L52" s="321"/>
      <c r="M52" s="321"/>
      <c r="N52" s="321"/>
      <c r="O52" s="321"/>
      <c r="P52" s="321"/>
      <c r="Q52" s="321"/>
      <c r="R52" s="387"/>
      <c r="S52" s="387"/>
      <c r="T52" s="387"/>
      <c r="U52" s="387"/>
      <c r="V52" s="387"/>
      <c r="W52" s="387"/>
      <c r="X52" s="387"/>
      <c r="Y52" s="387"/>
      <c r="Z52" s="387"/>
      <c r="AA52" s="387"/>
      <c r="AB52" s="387"/>
      <c r="AC52" s="387">
        <v>2.0135999999999998</v>
      </c>
      <c r="AD52" s="387">
        <v>2.0135999999999998</v>
      </c>
      <c r="AE52" s="387">
        <v>1.6536</v>
      </c>
      <c r="AF52" s="387">
        <v>2.0135999999999998</v>
      </c>
      <c r="AG52" s="387">
        <v>1.8335999999999999</v>
      </c>
      <c r="AH52" s="387"/>
      <c r="AI52" s="387"/>
      <c r="AJ52" s="387"/>
      <c r="AK52" s="387"/>
      <c r="AL52" s="387"/>
      <c r="AM52" s="387"/>
      <c r="AN52" s="387"/>
      <c r="AO52" s="387"/>
      <c r="AP52" s="494"/>
      <c r="AQ52" s="387"/>
      <c r="AR52" s="387"/>
      <c r="AS52" s="387"/>
      <c r="AT52" s="387"/>
      <c r="AU52" s="387">
        <f t="shared" si="2"/>
        <v>2.0135999999999998</v>
      </c>
      <c r="AV52" s="387">
        <f t="shared" si="2"/>
        <v>1.8335999999999999</v>
      </c>
      <c r="AW52" s="387">
        <f t="shared" si="2"/>
        <v>0</v>
      </c>
      <c r="AX52" s="387">
        <f t="shared" si="2"/>
        <v>0</v>
      </c>
      <c r="AY52" s="494"/>
      <c r="AZ52" s="387" t="s">
        <v>371</v>
      </c>
      <c r="BA52" s="387"/>
      <c r="BC52" s="387" t="s">
        <v>371</v>
      </c>
      <c r="BD52" s="387"/>
    </row>
    <row r="53" spans="2:56" outlineLevel="2" x14ac:dyDescent="0.45">
      <c r="B53" s="397" t="s">
        <v>450</v>
      </c>
      <c r="C53" s="398"/>
      <c r="D53" s="399"/>
      <c r="E53" s="321"/>
      <c r="F53" s="321"/>
      <c r="G53" s="321"/>
      <c r="H53" s="321"/>
      <c r="I53" s="321"/>
      <c r="J53" s="321"/>
      <c r="K53" s="321"/>
      <c r="L53" s="321"/>
      <c r="M53" s="321"/>
      <c r="N53" s="321"/>
      <c r="O53" s="321"/>
      <c r="P53" s="321"/>
      <c r="Q53" s="321"/>
      <c r="R53" s="387"/>
      <c r="S53" s="387"/>
      <c r="T53" s="387"/>
      <c r="U53" s="387"/>
      <c r="V53" s="387"/>
      <c r="W53" s="387"/>
      <c r="X53" s="387"/>
      <c r="Y53" s="387"/>
      <c r="Z53" s="387"/>
      <c r="AA53" s="387"/>
      <c r="AB53" s="387"/>
      <c r="AC53" s="387">
        <v>0</v>
      </c>
      <c r="AD53" s="387">
        <v>0</v>
      </c>
      <c r="AE53" s="387">
        <v>0</v>
      </c>
      <c r="AF53" s="387">
        <v>0</v>
      </c>
      <c r="AG53" s="387">
        <v>0</v>
      </c>
      <c r="AH53" s="387"/>
      <c r="AI53" s="387"/>
      <c r="AJ53" s="387"/>
      <c r="AK53" s="387"/>
      <c r="AL53" s="387"/>
      <c r="AM53" s="387"/>
      <c r="AN53" s="387"/>
      <c r="AO53" s="387"/>
      <c r="AP53" s="494"/>
      <c r="AQ53" s="387"/>
      <c r="AR53" s="387"/>
      <c r="AS53" s="387"/>
      <c r="AT53" s="387"/>
      <c r="AU53" s="387">
        <f t="shared" si="2"/>
        <v>0</v>
      </c>
      <c r="AV53" s="387">
        <f t="shared" si="2"/>
        <v>0</v>
      </c>
      <c r="AW53" s="387">
        <f t="shared" si="2"/>
        <v>0</v>
      </c>
      <c r="AX53" s="387">
        <f t="shared" si="2"/>
        <v>0</v>
      </c>
      <c r="AY53" s="494"/>
      <c r="AZ53" s="387" t="s">
        <v>371</v>
      </c>
      <c r="BA53" s="387"/>
      <c r="BC53" s="387" t="s">
        <v>371</v>
      </c>
      <c r="BD53" s="387"/>
    </row>
    <row r="54" spans="2:56" outlineLevel="1" x14ac:dyDescent="0.45">
      <c r="B54" s="321"/>
      <c r="C54" s="321"/>
      <c r="D54" s="352"/>
      <c r="E54" s="321"/>
      <c r="F54" s="321"/>
      <c r="G54" s="321"/>
      <c r="H54" s="321"/>
      <c r="I54" s="321"/>
      <c r="J54" s="321"/>
      <c r="K54" s="321"/>
      <c r="L54" s="321"/>
      <c r="M54" s="321"/>
      <c r="N54" s="321"/>
      <c r="O54" s="321"/>
      <c r="P54" s="321"/>
      <c r="Q54" s="321"/>
      <c r="R54" s="294"/>
      <c r="S54" s="294"/>
      <c r="T54" s="294"/>
      <c r="U54" s="294"/>
      <c r="V54" s="294"/>
      <c r="W54" s="294"/>
      <c r="X54" s="294"/>
      <c r="Y54" s="294"/>
      <c r="Z54" s="294"/>
      <c r="AA54" s="294"/>
      <c r="AB54" s="294"/>
      <c r="AC54" s="294"/>
      <c r="AD54" s="294"/>
      <c r="AE54" s="294"/>
      <c r="AF54" s="294"/>
      <c r="AG54" s="294"/>
      <c r="AH54" s="294"/>
      <c r="AI54" s="294"/>
      <c r="AJ54" s="294"/>
      <c r="AK54" s="294"/>
      <c r="AL54" s="294"/>
      <c r="AM54" s="294"/>
      <c r="AN54" s="294"/>
      <c r="AO54" s="294"/>
      <c r="AP54" s="494"/>
      <c r="AQ54" s="294"/>
      <c r="AR54" s="294"/>
      <c r="AS54" s="294"/>
      <c r="AT54" s="294"/>
      <c r="AU54" s="294"/>
      <c r="AV54" s="294"/>
      <c r="AW54" s="294"/>
      <c r="AX54" s="294"/>
      <c r="AY54" s="494"/>
      <c r="AZ54" s="294"/>
      <c r="BA54" s="294"/>
      <c r="BC54" s="294"/>
      <c r="BD54" s="294"/>
    </row>
    <row r="55" spans="2:56" outlineLevel="1" x14ac:dyDescent="0.45">
      <c r="B55" s="287" t="s">
        <v>1068</v>
      </c>
      <c r="C55" s="288"/>
      <c r="D55" s="288"/>
      <c r="E55" s="288"/>
      <c r="F55" s="288"/>
      <c r="G55" s="288"/>
      <c r="H55" s="288"/>
      <c r="I55" s="288"/>
      <c r="J55" s="288"/>
      <c r="K55" s="288"/>
      <c r="L55" s="288"/>
      <c r="M55" s="288"/>
      <c r="N55" s="288"/>
      <c r="O55" s="288"/>
      <c r="P55" s="288"/>
      <c r="Q55" s="288"/>
      <c r="R55" s="289"/>
      <c r="S55" s="289"/>
      <c r="T55" s="289"/>
      <c r="U55" s="289"/>
      <c r="V55" s="289"/>
      <c r="W55" s="289"/>
      <c r="X55" s="289"/>
      <c r="Y55" s="289"/>
      <c r="Z55" s="289"/>
      <c r="AA55" s="289"/>
      <c r="AB55" s="289"/>
      <c r="AC55" s="289"/>
      <c r="AD55" s="289"/>
      <c r="AE55" s="289"/>
      <c r="AF55" s="289"/>
      <c r="AG55" s="289"/>
      <c r="AH55" s="289"/>
      <c r="AI55" s="289"/>
      <c r="AJ55" s="289"/>
      <c r="AK55" s="289"/>
      <c r="AL55" s="289"/>
      <c r="AM55" s="289"/>
      <c r="AN55" s="289"/>
      <c r="AO55" s="289"/>
      <c r="AP55" s="494"/>
      <c r="AQ55" s="289"/>
      <c r="AR55" s="289"/>
      <c r="AS55" s="289"/>
      <c r="AT55" s="289"/>
      <c r="AU55" s="289"/>
      <c r="AV55" s="289"/>
      <c r="AW55" s="289"/>
      <c r="AX55" s="289"/>
      <c r="AY55" s="494"/>
      <c r="AZ55" s="289"/>
      <c r="BA55" s="289"/>
      <c r="BC55" s="289"/>
      <c r="BD55" s="289"/>
    </row>
    <row r="56" spans="2:56" outlineLevel="2" x14ac:dyDescent="0.45">
      <c r="B56" s="321"/>
      <c r="C56" s="321"/>
      <c r="D56" s="352"/>
      <c r="E56" s="321"/>
      <c r="F56" s="321"/>
      <c r="G56" s="321"/>
      <c r="H56" s="321"/>
      <c r="I56" s="321"/>
      <c r="J56" s="321"/>
      <c r="K56" s="321"/>
      <c r="L56" s="321"/>
      <c r="M56" s="321"/>
      <c r="N56" s="321"/>
      <c r="O56" s="321"/>
      <c r="P56" s="321"/>
      <c r="Q56" s="321"/>
      <c r="R56" s="294"/>
      <c r="S56" s="294"/>
      <c r="T56" s="294"/>
      <c r="U56" s="294"/>
      <c r="V56" s="294"/>
      <c r="W56" s="294"/>
      <c r="X56" s="294"/>
      <c r="Y56" s="294"/>
      <c r="Z56" s="294"/>
      <c r="AA56" s="294"/>
      <c r="AB56" s="294"/>
      <c r="AC56" s="294"/>
      <c r="AD56" s="294"/>
      <c r="AE56" s="294"/>
      <c r="AF56" s="294"/>
      <c r="AG56" s="294"/>
      <c r="AH56" s="294"/>
      <c r="AI56" s="294"/>
      <c r="AJ56" s="294"/>
      <c r="AK56" s="294"/>
      <c r="AL56" s="294"/>
      <c r="AM56" s="294"/>
      <c r="AN56" s="294"/>
      <c r="AO56" s="294"/>
      <c r="AP56" s="494"/>
      <c r="AQ56" s="294"/>
      <c r="AR56" s="294"/>
      <c r="AS56" s="294"/>
      <c r="AT56" s="294"/>
      <c r="AU56" s="294"/>
      <c r="AV56" s="294"/>
      <c r="AW56" s="294"/>
      <c r="AX56" s="294"/>
      <c r="AY56" s="494"/>
      <c r="AZ56" s="294"/>
      <c r="BA56" s="294"/>
      <c r="BC56" s="294"/>
      <c r="BD56" s="294"/>
    </row>
    <row r="57" spans="2:56" outlineLevel="2" x14ac:dyDescent="0.45">
      <c r="B57" s="400" t="s">
        <v>1060</v>
      </c>
      <c r="C57" s="321"/>
      <c r="D57" s="352"/>
      <c r="E57" s="321"/>
      <c r="F57" s="321"/>
      <c r="G57" s="321"/>
      <c r="H57" s="321"/>
      <c r="I57" s="321"/>
      <c r="J57" s="321"/>
      <c r="K57" s="321"/>
      <c r="L57" s="321"/>
      <c r="M57" s="321"/>
      <c r="N57" s="321"/>
      <c r="O57" s="321"/>
      <c r="P57" s="321"/>
      <c r="Q57" s="321"/>
      <c r="R57" s="294"/>
      <c r="S57" s="386"/>
      <c r="T57" s="386"/>
      <c r="U57" s="386"/>
      <c r="V57" s="386"/>
      <c r="W57" s="386"/>
      <c r="X57" s="386"/>
      <c r="Y57" s="386"/>
      <c r="Z57" s="386"/>
      <c r="AA57" s="386"/>
      <c r="AB57" s="386"/>
      <c r="AC57" s="401">
        <v>718</v>
      </c>
      <c r="AD57" s="401">
        <v>723</v>
      </c>
      <c r="AE57" s="401">
        <v>729</v>
      </c>
      <c r="AF57" s="401">
        <v>836</v>
      </c>
      <c r="AG57" s="401">
        <f>SUM(AG58:AG61)</f>
        <v>904</v>
      </c>
      <c r="AH57" s="401"/>
      <c r="AI57" s="401"/>
      <c r="AJ57" s="401"/>
      <c r="AK57" s="401"/>
      <c r="AL57" s="401"/>
      <c r="AM57" s="401"/>
      <c r="AN57" s="401"/>
      <c r="AO57" s="401"/>
      <c r="AP57" s="494"/>
      <c r="AQ57" s="401"/>
      <c r="AR57" s="401"/>
      <c r="AS57" s="401"/>
      <c r="AT57" s="401"/>
      <c r="AU57" s="401">
        <f t="shared" si="2"/>
        <v>836</v>
      </c>
      <c r="AV57" s="401">
        <f t="shared" si="2"/>
        <v>904</v>
      </c>
      <c r="AW57" s="401">
        <f t="shared" si="2"/>
        <v>0</v>
      </c>
      <c r="AX57" s="401">
        <f t="shared" si="2"/>
        <v>0</v>
      </c>
      <c r="AY57" s="494"/>
      <c r="AZ57" s="401"/>
      <c r="BA57" s="401"/>
      <c r="BC57" s="401"/>
      <c r="BD57" s="401"/>
    </row>
    <row r="58" spans="2:56" outlineLevel="2" x14ac:dyDescent="0.45">
      <c r="B58" s="394" t="s">
        <v>1061</v>
      </c>
      <c r="C58" s="395"/>
      <c r="D58" s="396"/>
      <c r="E58" s="392"/>
      <c r="F58" s="392"/>
      <c r="G58" s="392"/>
      <c r="H58" s="392"/>
      <c r="I58" s="393"/>
      <c r="J58" s="390"/>
      <c r="K58" s="390"/>
      <c r="L58" s="390"/>
      <c r="M58" s="390"/>
      <c r="N58" s="390"/>
      <c r="O58" s="390"/>
      <c r="P58" s="390"/>
      <c r="Q58" s="390"/>
      <c r="R58" s="387"/>
      <c r="S58" s="387"/>
      <c r="T58" s="387"/>
      <c r="U58" s="387"/>
      <c r="V58" s="387"/>
      <c r="W58" s="387"/>
      <c r="X58" s="387"/>
      <c r="Y58" s="387"/>
      <c r="Z58" s="387"/>
      <c r="AA58" s="387"/>
      <c r="AB58" s="387"/>
      <c r="AC58" s="402">
        <v>216</v>
      </c>
      <c r="AD58" s="402">
        <v>216</v>
      </c>
      <c r="AE58" s="402">
        <v>216</v>
      </c>
      <c r="AF58" s="402">
        <v>300</v>
      </c>
      <c r="AG58" s="416">
        <v>329</v>
      </c>
      <c r="AH58" s="402"/>
      <c r="AI58" s="402"/>
      <c r="AJ58" s="402"/>
      <c r="AK58" s="402"/>
      <c r="AL58" s="402"/>
      <c r="AM58" s="402"/>
      <c r="AN58" s="402"/>
      <c r="AO58" s="402"/>
      <c r="AP58" s="494"/>
      <c r="AQ58" s="416"/>
      <c r="AR58" s="416"/>
      <c r="AS58" s="416"/>
      <c r="AT58" s="416"/>
      <c r="AU58" s="416">
        <f t="shared" si="2"/>
        <v>300</v>
      </c>
      <c r="AV58" s="416">
        <f t="shared" si="2"/>
        <v>329</v>
      </c>
      <c r="AW58" s="416">
        <f t="shared" si="2"/>
        <v>0</v>
      </c>
      <c r="AX58" s="416">
        <f t="shared" si="2"/>
        <v>0</v>
      </c>
      <c r="AY58" s="494"/>
      <c r="AZ58" s="402" t="s">
        <v>371</v>
      </c>
      <c r="BA58" s="402"/>
      <c r="BC58" s="402" t="s">
        <v>371</v>
      </c>
      <c r="BD58" s="402"/>
    </row>
    <row r="59" spans="2:56" outlineLevel="2" x14ac:dyDescent="0.45">
      <c r="B59" s="394" t="s">
        <v>1062</v>
      </c>
      <c r="C59" s="395"/>
      <c r="D59" s="396"/>
      <c r="E59" s="321"/>
      <c r="F59" s="321"/>
      <c r="G59" s="321"/>
      <c r="H59" s="321"/>
      <c r="I59" s="321"/>
      <c r="J59" s="321"/>
      <c r="K59" s="321"/>
      <c r="L59" s="321"/>
      <c r="M59" s="321"/>
      <c r="N59" s="321"/>
      <c r="O59" s="321"/>
      <c r="P59" s="321"/>
      <c r="Q59" s="321"/>
      <c r="R59" s="387"/>
      <c r="S59" s="387"/>
      <c r="T59" s="387"/>
      <c r="U59" s="387"/>
      <c r="V59" s="387"/>
      <c r="W59" s="387"/>
      <c r="X59" s="387"/>
      <c r="Y59" s="387"/>
      <c r="Z59" s="387"/>
      <c r="AA59" s="387"/>
      <c r="AB59" s="387"/>
      <c r="AC59" s="402">
        <v>400</v>
      </c>
      <c r="AD59" s="402">
        <v>405</v>
      </c>
      <c r="AE59" s="402">
        <v>405</v>
      </c>
      <c r="AF59" s="402">
        <v>420</v>
      </c>
      <c r="AG59" s="402">
        <v>437</v>
      </c>
      <c r="AH59" s="402"/>
      <c r="AI59" s="402"/>
      <c r="AJ59" s="402"/>
      <c r="AK59" s="402"/>
      <c r="AL59" s="402"/>
      <c r="AM59" s="402"/>
      <c r="AN59" s="402"/>
      <c r="AO59" s="402"/>
      <c r="AP59" s="494"/>
      <c r="AQ59" s="402"/>
      <c r="AR59" s="402"/>
      <c r="AS59" s="402"/>
      <c r="AT59" s="402"/>
      <c r="AU59" s="402">
        <f t="shared" si="2"/>
        <v>420</v>
      </c>
      <c r="AV59" s="402">
        <f t="shared" si="2"/>
        <v>437</v>
      </c>
      <c r="AW59" s="402">
        <f t="shared" si="2"/>
        <v>0</v>
      </c>
      <c r="AX59" s="402">
        <f t="shared" si="2"/>
        <v>0</v>
      </c>
      <c r="AY59" s="494"/>
      <c r="AZ59" s="402" t="s">
        <v>371</v>
      </c>
      <c r="BA59" s="402"/>
      <c r="BC59" s="402" t="s">
        <v>371</v>
      </c>
      <c r="BD59" s="402"/>
    </row>
    <row r="60" spans="2:56" outlineLevel="2" x14ac:dyDescent="0.45">
      <c r="B60" s="394" t="s">
        <v>1063</v>
      </c>
      <c r="C60" s="395"/>
      <c r="D60" s="396"/>
      <c r="E60" s="321"/>
      <c r="F60" s="321"/>
      <c r="G60" s="321"/>
      <c r="H60" s="321"/>
      <c r="I60" s="321"/>
      <c r="J60" s="321"/>
      <c r="K60" s="321"/>
      <c r="L60" s="321"/>
      <c r="M60" s="321"/>
      <c r="N60" s="321"/>
      <c r="O60" s="321"/>
      <c r="P60" s="321"/>
      <c r="Q60" s="321"/>
      <c r="R60" s="387"/>
      <c r="S60" s="387"/>
      <c r="T60" s="387"/>
      <c r="U60" s="387"/>
      <c r="V60" s="387"/>
      <c r="W60" s="387"/>
      <c r="X60" s="387"/>
      <c r="Y60" s="387"/>
      <c r="Z60" s="387"/>
      <c r="AA60" s="387"/>
      <c r="AB60" s="387"/>
      <c r="AC60" s="402">
        <v>0</v>
      </c>
      <c r="AD60" s="402">
        <v>0</v>
      </c>
      <c r="AE60" s="402">
        <v>6</v>
      </c>
      <c r="AF60" s="402">
        <v>14</v>
      </c>
      <c r="AG60" s="416">
        <v>20</v>
      </c>
      <c r="AH60" s="402"/>
      <c r="AI60" s="402"/>
      <c r="AJ60" s="402"/>
      <c r="AK60" s="402"/>
      <c r="AL60" s="402"/>
      <c r="AM60" s="402"/>
      <c r="AN60" s="402"/>
      <c r="AO60" s="402"/>
      <c r="AP60" s="494"/>
      <c r="AQ60" s="416"/>
      <c r="AR60" s="416"/>
      <c r="AS60" s="416"/>
      <c r="AT60" s="416"/>
      <c r="AU60" s="416">
        <f t="shared" si="2"/>
        <v>14</v>
      </c>
      <c r="AV60" s="416">
        <f t="shared" si="2"/>
        <v>20</v>
      </c>
      <c r="AW60" s="416">
        <f t="shared" si="2"/>
        <v>0</v>
      </c>
      <c r="AX60" s="416">
        <f t="shared" si="2"/>
        <v>0</v>
      </c>
      <c r="AY60" s="494"/>
      <c r="AZ60" s="402" t="s">
        <v>371</v>
      </c>
      <c r="BA60" s="402"/>
      <c r="BC60" s="402" t="s">
        <v>371</v>
      </c>
      <c r="BD60" s="402"/>
    </row>
    <row r="61" spans="2:56" outlineLevel="2" x14ac:dyDescent="0.45">
      <c r="B61" s="397" t="s">
        <v>450</v>
      </c>
      <c r="C61" s="398"/>
      <c r="D61" s="399"/>
      <c r="E61" s="391"/>
      <c r="F61" s="391"/>
      <c r="G61" s="391"/>
      <c r="H61" s="391"/>
      <c r="I61" s="391"/>
      <c r="J61" s="391"/>
      <c r="K61" s="391"/>
      <c r="L61" s="391"/>
      <c r="M61" s="391"/>
      <c r="N61" s="391"/>
      <c r="O61" s="391"/>
      <c r="P61" s="391"/>
      <c r="Q61" s="391"/>
      <c r="R61" s="387"/>
      <c r="S61" s="387"/>
      <c r="T61" s="387"/>
      <c r="U61" s="387"/>
      <c r="V61" s="387"/>
      <c r="W61" s="387"/>
      <c r="X61" s="387"/>
      <c r="Y61" s="387"/>
      <c r="Z61" s="387"/>
      <c r="AA61" s="387"/>
      <c r="AB61" s="387"/>
      <c r="AC61" s="402">
        <v>102</v>
      </c>
      <c r="AD61" s="402">
        <v>102</v>
      </c>
      <c r="AE61" s="402">
        <v>102</v>
      </c>
      <c r="AF61" s="402">
        <v>102</v>
      </c>
      <c r="AG61" s="402">
        <v>118</v>
      </c>
      <c r="AH61" s="402"/>
      <c r="AI61" s="402"/>
      <c r="AJ61" s="402"/>
      <c r="AK61" s="402"/>
      <c r="AL61" s="402"/>
      <c r="AM61" s="402"/>
      <c r="AN61" s="402"/>
      <c r="AO61" s="402"/>
      <c r="AP61" s="494"/>
      <c r="AQ61" s="402"/>
      <c r="AR61" s="402"/>
      <c r="AS61" s="402"/>
      <c r="AT61" s="402"/>
      <c r="AU61" s="402">
        <f t="shared" si="2"/>
        <v>102</v>
      </c>
      <c r="AV61" s="402">
        <f t="shared" si="2"/>
        <v>118</v>
      </c>
      <c r="AW61" s="402">
        <f t="shared" si="2"/>
        <v>0</v>
      </c>
      <c r="AX61" s="402">
        <f t="shared" si="2"/>
        <v>0</v>
      </c>
      <c r="AY61" s="494"/>
      <c r="AZ61" s="402" t="s">
        <v>371</v>
      </c>
      <c r="BA61" s="402"/>
      <c r="BC61" s="402" t="s">
        <v>371</v>
      </c>
      <c r="BD61" s="402"/>
    </row>
    <row r="62" spans="2:56" outlineLevel="2" x14ac:dyDescent="0.45">
      <c r="B62" s="385"/>
      <c r="C62" s="321"/>
      <c r="D62" s="352"/>
      <c r="E62" s="321"/>
      <c r="F62" s="321"/>
      <c r="G62" s="321"/>
      <c r="H62" s="321"/>
      <c r="I62" s="321"/>
      <c r="J62" s="321"/>
      <c r="K62" s="321"/>
      <c r="L62" s="321"/>
      <c r="M62" s="321"/>
      <c r="N62" s="321"/>
      <c r="O62" s="321"/>
      <c r="P62" s="321"/>
      <c r="Q62" s="321"/>
      <c r="R62" s="388"/>
      <c r="S62" s="388"/>
      <c r="T62" s="388"/>
      <c r="U62" s="388"/>
      <c r="V62" s="388"/>
      <c r="W62" s="388"/>
      <c r="X62" s="388"/>
      <c r="Y62" s="388"/>
      <c r="Z62" s="388"/>
      <c r="AA62" s="388"/>
      <c r="AB62" s="388"/>
      <c r="AC62" s="403"/>
      <c r="AD62" s="403"/>
      <c r="AE62" s="403"/>
      <c r="AF62" s="403"/>
      <c r="AG62" s="403"/>
      <c r="AH62" s="403"/>
      <c r="AI62" s="403"/>
      <c r="AJ62" s="403"/>
      <c r="AK62" s="403"/>
      <c r="AL62" s="403"/>
      <c r="AM62" s="403"/>
      <c r="AN62" s="403"/>
      <c r="AO62" s="403"/>
      <c r="AP62" s="494"/>
      <c r="AQ62" s="403"/>
      <c r="AR62" s="403"/>
      <c r="AS62" s="403"/>
      <c r="AT62" s="403"/>
      <c r="AU62" s="403"/>
      <c r="AV62" s="403"/>
      <c r="AW62" s="403"/>
      <c r="AX62" s="403"/>
      <c r="AY62" s="494"/>
      <c r="AZ62" s="403"/>
      <c r="BA62" s="403"/>
      <c r="BC62" s="403"/>
      <c r="BD62" s="403"/>
    </row>
    <row r="63" spans="2:56" outlineLevel="2" x14ac:dyDescent="0.45">
      <c r="B63" s="400" t="s">
        <v>1064</v>
      </c>
      <c r="C63" s="321"/>
      <c r="D63" s="352"/>
      <c r="E63" s="321"/>
      <c r="F63" s="321"/>
      <c r="G63" s="321"/>
      <c r="H63" s="321"/>
      <c r="I63" s="321"/>
      <c r="J63" s="321"/>
      <c r="K63" s="321"/>
      <c r="L63" s="321"/>
      <c r="M63" s="321"/>
      <c r="N63" s="321"/>
      <c r="O63" s="321"/>
      <c r="P63" s="321"/>
      <c r="Q63" s="321"/>
      <c r="R63" s="386"/>
      <c r="S63" s="386"/>
      <c r="T63" s="386"/>
      <c r="U63" s="386"/>
      <c r="V63" s="386"/>
      <c r="W63" s="386"/>
      <c r="X63" s="386"/>
      <c r="Y63" s="386"/>
      <c r="Z63" s="386"/>
      <c r="AA63" s="386"/>
      <c r="AB63" s="386"/>
      <c r="AC63" s="401">
        <v>77</v>
      </c>
      <c r="AD63" s="401">
        <v>5</v>
      </c>
      <c r="AE63" s="401">
        <v>6</v>
      </c>
      <c r="AF63" s="401">
        <v>107</v>
      </c>
      <c r="AG63" s="401">
        <f>SUM(AG64:AG67)</f>
        <v>68</v>
      </c>
      <c r="AH63" s="401"/>
      <c r="AI63" s="401"/>
      <c r="AJ63" s="401"/>
      <c r="AK63" s="401"/>
      <c r="AL63" s="401"/>
      <c r="AM63" s="401"/>
      <c r="AN63" s="401"/>
      <c r="AO63" s="401"/>
      <c r="AP63" s="494"/>
      <c r="AQ63" s="401"/>
      <c r="AR63" s="401"/>
      <c r="AS63" s="401"/>
      <c r="AT63" s="401"/>
      <c r="AU63" s="401">
        <f t="shared" si="2"/>
        <v>107</v>
      </c>
      <c r="AV63" s="401">
        <f t="shared" si="2"/>
        <v>68</v>
      </c>
      <c r="AW63" s="401">
        <f t="shared" si="2"/>
        <v>0</v>
      </c>
      <c r="AX63" s="401">
        <f t="shared" si="2"/>
        <v>0</v>
      </c>
      <c r="AY63" s="494"/>
      <c r="AZ63" s="401"/>
      <c r="BA63" s="401"/>
      <c r="BC63" s="401"/>
      <c r="BD63" s="401"/>
    </row>
    <row r="64" spans="2:56" outlineLevel="2" x14ac:dyDescent="0.45">
      <c r="B64" s="394" t="s">
        <v>1061</v>
      </c>
      <c r="C64" s="395"/>
      <c r="D64" s="396"/>
      <c r="E64" s="321"/>
      <c r="F64" s="321"/>
      <c r="G64" s="321"/>
      <c r="H64" s="321"/>
      <c r="I64" s="321"/>
      <c r="J64" s="321"/>
      <c r="K64" s="321"/>
      <c r="L64" s="321"/>
      <c r="M64" s="321"/>
      <c r="N64" s="321"/>
      <c r="O64" s="321"/>
      <c r="P64" s="321"/>
      <c r="Q64" s="321"/>
      <c r="R64" s="387"/>
      <c r="S64" s="387"/>
      <c r="T64" s="387"/>
      <c r="U64" s="387"/>
      <c r="V64" s="387"/>
      <c r="W64" s="387"/>
      <c r="X64" s="387"/>
      <c r="Y64" s="387"/>
      <c r="Z64" s="387"/>
      <c r="AA64" s="387"/>
      <c r="AB64" s="387"/>
      <c r="AC64" s="402">
        <v>60</v>
      </c>
      <c r="AD64" s="402">
        <v>0</v>
      </c>
      <c r="AE64" s="402">
        <v>0</v>
      </c>
      <c r="AF64" s="402">
        <v>92</v>
      </c>
      <c r="AG64" s="416">
        <v>29</v>
      </c>
      <c r="AH64" s="402"/>
      <c r="AI64" s="402"/>
      <c r="AJ64" s="402"/>
      <c r="AK64" s="402"/>
      <c r="AL64" s="402"/>
      <c r="AM64" s="402"/>
      <c r="AN64" s="402"/>
      <c r="AO64" s="402"/>
      <c r="AP64" s="494"/>
      <c r="AQ64" s="416"/>
      <c r="AR64" s="416"/>
      <c r="AS64" s="416"/>
      <c r="AT64" s="416"/>
      <c r="AU64" s="416">
        <f t="shared" si="2"/>
        <v>92</v>
      </c>
      <c r="AV64" s="416">
        <f t="shared" si="2"/>
        <v>29</v>
      </c>
      <c r="AW64" s="416">
        <f t="shared" si="2"/>
        <v>0</v>
      </c>
      <c r="AX64" s="416">
        <f t="shared" si="2"/>
        <v>0</v>
      </c>
      <c r="AY64" s="494"/>
      <c r="AZ64" s="402" t="s">
        <v>371</v>
      </c>
      <c r="BA64" s="402"/>
      <c r="BC64" s="402" t="s">
        <v>371</v>
      </c>
      <c r="BD64" s="402"/>
    </row>
    <row r="65" spans="2:56" outlineLevel="2" x14ac:dyDescent="0.45">
      <c r="B65" s="394" t="s">
        <v>1062</v>
      </c>
      <c r="C65" s="395"/>
      <c r="D65" s="396"/>
      <c r="E65" s="321"/>
      <c r="F65" s="321"/>
      <c r="G65" s="321"/>
      <c r="H65" s="321"/>
      <c r="I65" s="321"/>
      <c r="J65" s="321"/>
      <c r="K65" s="321"/>
      <c r="L65" s="321"/>
      <c r="M65" s="321"/>
      <c r="N65" s="321"/>
      <c r="O65" s="321"/>
      <c r="P65" s="321"/>
      <c r="Q65" s="321"/>
      <c r="R65" s="387"/>
      <c r="S65" s="387"/>
      <c r="T65" s="387"/>
      <c r="U65" s="387"/>
      <c r="V65" s="387"/>
      <c r="W65" s="387"/>
      <c r="X65" s="387"/>
      <c r="Y65" s="387"/>
      <c r="Z65" s="387"/>
      <c r="AA65" s="387"/>
      <c r="AB65" s="387"/>
      <c r="AC65" s="402">
        <v>17</v>
      </c>
      <c r="AD65" s="402">
        <v>5</v>
      </c>
      <c r="AE65" s="402">
        <v>0</v>
      </c>
      <c r="AF65" s="402">
        <v>15</v>
      </c>
      <c r="AG65" s="402">
        <v>17</v>
      </c>
      <c r="AH65" s="402"/>
      <c r="AI65" s="402"/>
      <c r="AJ65" s="402"/>
      <c r="AK65" s="402"/>
      <c r="AL65" s="402"/>
      <c r="AM65" s="402"/>
      <c r="AN65" s="402"/>
      <c r="AO65" s="402"/>
      <c r="AP65" s="494"/>
      <c r="AQ65" s="402"/>
      <c r="AR65" s="402"/>
      <c r="AS65" s="402"/>
      <c r="AT65" s="402"/>
      <c r="AU65" s="402">
        <f t="shared" si="2"/>
        <v>15</v>
      </c>
      <c r="AV65" s="402">
        <f t="shared" si="2"/>
        <v>17</v>
      </c>
      <c r="AW65" s="402">
        <f t="shared" si="2"/>
        <v>0</v>
      </c>
      <c r="AX65" s="402">
        <f t="shared" si="2"/>
        <v>0</v>
      </c>
      <c r="AY65" s="494"/>
      <c r="AZ65" s="402" t="s">
        <v>371</v>
      </c>
      <c r="BA65" s="402"/>
      <c r="BC65" s="402" t="s">
        <v>371</v>
      </c>
      <c r="BD65" s="402"/>
    </row>
    <row r="66" spans="2:56" outlineLevel="2" x14ac:dyDescent="0.45">
      <c r="B66" s="394" t="s">
        <v>1063</v>
      </c>
      <c r="C66" s="395"/>
      <c r="D66" s="396"/>
      <c r="E66" s="321"/>
      <c r="F66" s="321"/>
      <c r="G66" s="321"/>
      <c r="H66" s="321"/>
      <c r="I66" s="321"/>
      <c r="J66" s="321"/>
      <c r="K66" s="321"/>
      <c r="L66" s="321"/>
      <c r="M66" s="321"/>
      <c r="N66" s="321"/>
      <c r="O66" s="321"/>
      <c r="P66" s="321"/>
      <c r="Q66" s="321"/>
      <c r="R66" s="387"/>
      <c r="S66" s="387"/>
      <c r="T66" s="387"/>
      <c r="U66" s="387"/>
      <c r="V66" s="387"/>
      <c r="W66" s="387"/>
      <c r="X66" s="387"/>
      <c r="Y66" s="387"/>
      <c r="Z66" s="387"/>
      <c r="AA66" s="387"/>
      <c r="AB66" s="387"/>
      <c r="AC66" s="402">
        <v>0</v>
      </c>
      <c r="AD66" s="402">
        <v>0</v>
      </c>
      <c r="AE66" s="402">
        <v>6</v>
      </c>
      <c r="AF66" s="402">
        <v>0</v>
      </c>
      <c r="AG66" s="402">
        <v>6</v>
      </c>
      <c r="AH66" s="402"/>
      <c r="AI66" s="402"/>
      <c r="AJ66" s="402"/>
      <c r="AK66" s="402"/>
      <c r="AL66" s="402"/>
      <c r="AM66" s="402"/>
      <c r="AN66" s="402"/>
      <c r="AO66" s="402"/>
      <c r="AP66" s="494"/>
      <c r="AQ66" s="402"/>
      <c r="AR66" s="402"/>
      <c r="AS66" s="402"/>
      <c r="AT66" s="402"/>
      <c r="AU66" s="402">
        <f t="shared" si="2"/>
        <v>0</v>
      </c>
      <c r="AV66" s="402">
        <f t="shared" si="2"/>
        <v>6</v>
      </c>
      <c r="AW66" s="402">
        <f t="shared" si="2"/>
        <v>0</v>
      </c>
      <c r="AX66" s="402">
        <f t="shared" si="2"/>
        <v>0</v>
      </c>
      <c r="AY66" s="494"/>
      <c r="AZ66" s="402" t="s">
        <v>371</v>
      </c>
      <c r="BA66" s="402"/>
      <c r="BC66" s="402" t="s">
        <v>371</v>
      </c>
      <c r="BD66" s="402"/>
    </row>
    <row r="67" spans="2:56" outlineLevel="2" x14ac:dyDescent="0.45">
      <c r="B67" s="397" t="s">
        <v>450</v>
      </c>
      <c r="C67" s="398"/>
      <c r="D67" s="399"/>
      <c r="E67" s="321"/>
      <c r="F67" s="321"/>
      <c r="G67" s="321"/>
      <c r="H67" s="321"/>
      <c r="I67" s="321"/>
      <c r="J67" s="321"/>
      <c r="K67" s="321"/>
      <c r="L67" s="321"/>
      <c r="M67" s="321"/>
      <c r="N67" s="321"/>
      <c r="O67" s="321"/>
      <c r="P67" s="321"/>
      <c r="Q67" s="321"/>
      <c r="R67" s="387"/>
      <c r="S67" s="387"/>
      <c r="T67" s="387"/>
      <c r="U67" s="387"/>
      <c r="V67" s="387"/>
      <c r="W67" s="387"/>
      <c r="X67" s="387"/>
      <c r="Y67" s="387"/>
      <c r="Z67" s="387"/>
      <c r="AA67" s="387"/>
      <c r="AB67" s="387"/>
      <c r="AC67" s="402">
        <v>0</v>
      </c>
      <c r="AD67" s="402">
        <v>0</v>
      </c>
      <c r="AE67" s="402">
        <v>0</v>
      </c>
      <c r="AF67" s="402">
        <v>0</v>
      </c>
      <c r="AG67" s="402">
        <v>16</v>
      </c>
      <c r="AH67" s="402"/>
      <c r="AI67" s="402"/>
      <c r="AJ67" s="402"/>
      <c r="AK67" s="402"/>
      <c r="AL67" s="402"/>
      <c r="AM67" s="402"/>
      <c r="AN67" s="402"/>
      <c r="AO67" s="402"/>
      <c r="AP67" s="494"/>
      <c r="AQ67" s="402"/>
      <c r="AR67" s="402"/>
      <c r="AS67" s="402"/>
      <c r="AT67" s="402"/>
      <c r="AU67" s="402">
        <f t="shared" si="2"/>
        <v>0</v>
      </c>
      <c r="AV67" s="402">
        <f t="shared" si="2"/>
        <v>16</v>
      </c>
      <c r="AW67" s="402">
        <f t="shared" si="2"/>
        <v>0</v>
      </c>
      <c r="AX67" s="402">
        <f t="shared" si="2"/>
        <v>0</v>
      </c>
      <c r="AY67" s="494"/>
      <c r="AZ67" s="402" t="s">
        <v>371</v>
      </c>
      <c r="BA67" s="402"/>
      <c r="BC67" s="402" t="s">
        <v>371</v>
      </c>
      <c r="BD67" s="402"/>
    </row>
    <row r="68" spans="2:56" outlineLevel="2" x14ac:dyDescent="0.45">
      <c r="B68" s="385"/>
      <c r="C68" s="321"/>
      <c r="D68" s="352"/>
      <c r="E68" s="321"/>
      <c r="F68" s="321"/>
      <c r="G68" s="321"/>
      <c r="H68" s="321"/>
      <c r="I68" s="321"/>
      <c r="J68" s="321"/>
      <c r="K68" s="321"/>
      <c r="L68" s="321"/>
      <c r="M68" s="321"/>
      <c r="N68" s="321"/>
      <c r="O68" s="321"/>
      <c r="P68" s="321"/>
      <c r="Q68" s="321"/>
      <c r="R68" s="389"/>
      <c r="S68" s="389"/>
      <c r="T68" s="389"/>
      <c r="U68" s="389"/>
      <c r="V68" s="389"/>
      <c r="W68" s="389"/>
      <c r="X68" s="389"/>
      <c r="Y68" s="389"/>
      <c r="Z68" s="389"/>
      <c r="AA68" s="389"/>
      <c r="AB68" s="389"/>
      <c r="AC68" s="404"/>
      <c r="AD68" s="404"/>
      <c r="AE68" s="404"/>
      <c r="AF68" s="404"/>
      <c r="AG68" s="404"/>
      <c r="AH68" s="404"/>
      <c r="AI68" s="404"/>
      <c r="AJ68" s="404"/>
      <c r="AK68" s="404"/>
      <c r="AL68" s="404"/>
      <c r="AM68" s="404"/>
      <c r="AN68" s="404"/>
      <c r="AO68" s="404"/>
      <c r="AP68" s="494"/>
      <c r="AQ68" s="404"/>
      <c r="AR68" s="404"/>
      <c r="AS68" s="404"/>
      <c r="AT68" s="404"/>
      <c r="AU68" s="404"/>
      <c r="AV68" s="404"/>
      <c r="AW68" s="404"/>
      <c r="AX68" s="404"/>
      <c r="AY68" s="494"/>
      <c r="AZ68" s="404"/>
      <c r="BA68" s="404"/>
      <c r="BC68" s="404"/>
      <c r="BD68" s="404"/>
    </row>
    <row r="69" spans="2:56" outlineLevel="2" x14ac:dyDescent="0.45">
      <c r="B69" s="400" t="s">
        <v>1065</v>
      </c>
      <c r="C69" s="321"/>
      <c r="D69" s="352"/>
      <c r="E69" s="321"/>
      <c r="F69" s="321"/>
      <c r="G69" s="321"/>
      <c r="H69" s="321"/>
      <c r="I69" s="321"/>
      <c r="J69" s="321"/>
      <c r="K69" s="321"/>
      <c r="L69" s="321"/>
      <c r="M69" s="321"/>
      <c r="N69" s="321"/>
      <c r="O69" s="321"/>
      <c r="P69" s="321"/>
      <c r="Q69" s="321"/>
      <c r="R69" s="386"/>
      <c r="S69" s="386"/>
      <c r="T69" s="386"/>
      <c r="U69" s="386"/>
      <c r="V69" s="386"/>
      <c r="W69" s="386"/>
      <c r="X69" s="386"/>
      <c r="Y69" s="386"/>
      <c r="Z69" s="386"/>
      <c r="AA69" s="386"/>
      <c r="AB69" s="386"/>
      <c r="AC69" s="401">
        <v>813</v>
      </c>
      <c r="AD69" s="401">
        <v>862</v>
      </c>
      <c r="AE69" s="401">
        <v>887</v>
      </c>
      <c r="AF69" s="401">
        <v>836</v>
      </c>
      <c r="AG69" s="401">
        <f>SUM(AG70:AG73)</f>
        <v>874</v>
      </c>
      <c r="AH69" s="401"/>
      <c r="AI69" s="401"/>
      <c r="AJ69" s="401"/>
      <c r="AK69" s="401"/>
      <c r="AL69" s="401"/>
      <c r="AM69" s="401"/>
      <c r="AN69" s="401"/>
      <c r="AO69" s="401"/>
      <c r="AP69" s="494"/>
      <c r="AQ69" s="401"/>
      <c r="AR69" s="401"/>
      <c r="AS69" s="401"/>
      <c r="AT69" s="401"/>
      <c r="AU69" s="401">
        <f t="shared" si="2"/>
        <v>836</v>
      </c>
      <c r="AV69" s="401">
        <f t="shared" si="2"/>
        <v>874</v>
      </c>
      <c r="AW69" s="401">
        <f t="shared" si="2"/>
        <v>0</v>
      </c>
      <c r="AX69" s="401">
        <f t="shared" si="2"/>
        <v>0</v>
      </c>
      <c r="AY69" s="494"/>
      <c r="AZ69" s="401"/>
      <c r="BA69" s="401"/>
      <c r="BC69" s="401"/>
      <c r="BD69" s="401"/>
    </row>
    <row r="70" spans="2:56" outlineLevel="2" x14ac:dyDescent="0.45">
      <c r="B70" s="394" t="s">
        <v>1061</v>
      </c>
      <c r="C70" s="395"/>
      <c r="D70" s="396"/>
      <c r="E70" s="321"/>
      <c r="F70" s="321"/>
      <c r="G70" s="321"/>
      <c r="H70" s="321"/>
      <c r="I70" s="321"/>
      <c r="J70" s="321"/>
      <c r="K70" s="321"/>
      <c r="L70" s="321"/>
      <c r="M70" s="321"/>
      <c r="N70" s="321"/>
      <c r="O70" s="321"/>
      <c r="P70" s="321"/>
      <c r="Q70" s="321"/>
      <c r="R70" s="387"/>
      <c r="S70" s="387"/>
      <c r="T70" s="387"/>
      <c r="U70" s="387"/>
      <c r="V70" s="387"/>
      <c r="W70" s="387"/>
      <c r="X70" s="387"/>
      <c r="Y70" s="387"/>
      <c r="Z70" s="387"/>
      <c r="AA70" s="387"/>
      <c r="AB70" s="387"/>
      <c r="AC70" s="402">
        <v>426</v>
      </c>
      <c r="AD70" s="402">
        <v>480</v>
      </c>
      <c r="AE70" s="402">
        <v>517</v>
      </c>
      <c r="AF70" s="402">
        <v>487</v>
      </c>
      <c r="AG70" s="416">
        <v>534</v>
      </c>
      <c r="AH70" s="402"/>
      <c r="AI70" s="402"/>
      <c r="AJ70" s="402"/>
      <c r="AK70" s="402"/>
      <c r="AL70" s="402"/>
      <c r="AM70" s="402"/>
      <c r="AN70" s="402"/>
      <c r="AO70" s="402"/>
      <c r="AP70" s="494"/>
      <c r="AQ70" s="416"/>
      <c r="AR70" s="416"/>
      <c r="AS70" s="416"/>
      <c r="AT70" s="416"/>
      <c r="AU70" s="416">
        <f t="shared" si="2"/>
        <v>487</v>
      </c>
      <c r="AV70" s="416">
        <f t="shared" si="2"/>
        <v>534</v>
      </c>
      <c r="AW70" s="416">
        <f t="shared" si="2"/>
        <v>0</v>
      </c>
      <c r="AX70" s="416">
        <f t="shared" si="2"/>
        <v>0</v>
      </c>
      <c r="AY70" s="494"/>
      <c r="AZ70" s="402" t="s">
        <v>371</v>
      </c>
      <c r="BA70" s="402"/>
      <c r="BC70" s="402" t="s">
        <v>371</v>
      </c>
      <c r="BD70" s="402"/>
    </row>
    <row r="71" spans="2:56" outlineLevel="2" x14ac:dyDescent="0.45">
      <c r="B71" s="394" t="s">
        <v>1062</v>
      </c>
      <c r="C71" s="395"/>
      <c r="D71" s="396"/>
      <c r="E71" s="321"/>
      <c r="F71" s="321"/>
      <c r="G71" s="321"/>
      <c r="H71" s="321"/>
      <c r="I71" s="321"/>
      <c r="J71" s="321"/>
      <c r="K71" s="321"/>
      <c r="L71" s="321"/>
      <c r="M71" s="321"/>
      <c r="N71" s="321"/>
      <c r="O71" s="321"/>
      <c r="P71" s="321"/>
      <c r="Q71" s="321"/>
      <c r="R71" s="387"/>
      <c r="S71" s="387"/>
      <c r="T71" s="387"/>
      <c r="U71" s="387"/>
      <c r="V71" s="387"/>
      <c r="W71" s="387"/>
      <c r="X71" s="387"/>
      <c r="Y71" s="387"/>
      <c r="Z71" s="387"/>
      <c r="AA71" s="387"/>
      <c r="AB71" s="387"/>
      <c r="AC71" s="402">
        <v>317</v>
      </c>
      <c r="AD71" s="402">
        <v>312</v>
      </c>
      <c r="AE71" s="402">
        <v>312</v>
      </c>
      <c r="AF71" s="402">
        <v>279</v>
      </c>
      <c r="AG71" s="402">
        <v>276</v>
      </c>
      <c r="AH71" s="402"/>
      <c r="AI71" s="402"/>
      <c r="AJ71" s="402"/>
      <c r="AK71" s="402"/>
      <c r="AL71" s="402"/>
      <c r="AM71" s="402"/>
      <c r="AN71" s="402"/>
      <c r="AO71" s="402"/>
      <c r="AP71" s="494"/>
      <c r="AQ71" s="402"/>
      <c r="AR71" s="402"/>
      <c r="AS71" s="402"/>
      <c r="AT71" s="402"/>
      <c r="AU71" s="402">
        <f t="shared" si="2"/>
        <v>279</v>
      </c>
      <c r="AV71" s="402">
        <f t="shared" si="2"/>
        <v>276</v>
      </c>
      <c r="AW71" s="402">
        <f t="shared" si="2"/>
        <v>0</v>
      </c>
      <c r="AX71" s="402">
        <f t="shared" si="2"/>
        <v>0</v>
      </c>
      <c r="AY71" s="494"/>
      <c r="AZ71" s="402" t="s">
        <v>371</v>
      </c>
      <c r="BA71" s="402"/>
      <c r="BC71" s="402" t="s">
        <v>371</v>
      </c>
      <c r="BD71" s="402"/>
    </row>
    <row r="72" spans="2:56" outlineLevel="2" x14ac:dyDescent="0.45">
      <c r="B72" s="394" t="s">
        <v>1063</v>
      </c>
      <c r="C72" s="395"/>
      <c r="D72" s="396"/>
      <c r="E72" s="321"/>
      <c r="F72" s="321"/>
      <c r="G72" s="321"/>
      <c r="H72" s="321"/>
      <c r="I72" s="321"/>
      <c r="J72" s="321"/>
      <c r="K72" s="321"/>
      <c r="L72" s="321"/>
      <c r="M72" s="321"/>
      <c r="N72" s="321"/>
      <c r="O72" s="321"/>
      <c r="P72" s="321"/>
      <c r="Q72" s="321"/>
      <c r="R72" s="387"/>
      <c r="S72" s="387"/>
      <c r="T72" s="387"/>
      <c r="U72" s="387"/>
      <c r="V72" s="387"/>
      <c r="W72" s="387"/>
      <c r="X72" s="387"/>
      <c r="Y72" s="387"/>
      <c r="Z72" s="387"/>
      <c r="AA72" s="387"/>
      <c r="AB72" s="387"/>
      <c r="AC72" s="402">
        <v>70</v>
      </c>
      <c r="AD72" s="402">
        <v>70</v>
      </c>
      <c r="AE72" s="402">
        <v>58</v>
      </c>
      <c r="AF72" s="402">
        <v>70</v>
      </c>
      <c r="AG72" s="402">
        <v>64</v>
      </c>
      <c r="AH72" s="402"/>
      <c r="AI72" s="402"/>
      <c r="AJ72" s="402"/>
      <c r="AK72" s="402"/>
      <c r="AL72" s="402"/>
      <c r="AM72" s="402"/>
      <c r="AN72" s="402"/>
      <c r="AO72" s="402"/>
      <c r="AP72" s="494"/>
      <c r="AQ72" s="402"/>
      <c r="AR72" s="402"/>
      <c r="AS72" s="402"/>
      <c r="AT72" s="402"/>
      <c r="AU72" s="402">
        <f t="shared" si="2"/>
        <v>70</v>
      </c>
      <c r="AV72" s="402">
        <f t="shared" si="2"/>
        <v>64</v>
      </c>
      <c r="AW72" s="402">
        <f t="shared" si="2"/>
        <v>0</v>
      </c>
      <c r="AX72" s="402">
        <f t="shared" si="2"/>
        <v>0</v>
      </c>
      <c r="AY72" s="494"/>
      <c r="AZ72" s="402" t="s">
        <v>371</v>
      </c>
      <c r="BA72" s="402"/>
      <c r="BC72" s="402" t="s">
        <v>371</v>
      </c>
      <c r="BD72" s="402"/>
    </row>
    <row r="73" spans="2:56" outlineLevel="2" x14ac:dyDescent="0.45">
      <c r="B73" s="397" t="s">
        <v>450</v>
      </c>
      <c r="C73" s="398"/>
      <c r="D73" s="399"/>
      <c r="E73" s="321"/>
      <c r="F73" s="321"/>
      <c r="G73" s="321"/>
      <c r="H73" s="321"/>
      <c r="I73" s="321"/>
      <c r="J73" s="321"/>
      <c r="K73" s="321"/>
      <c r="L73" s="321"/>
      <c r="M73" s="321"/>
      <c r="N73" s="321"/>
      <c r="O73" s="321"/>
      <c r="P73" s="321"/>
      <c r="Q73" s="321"/>
      <c r="R73" s="387"/>
      <c r="S73" s="387"/>
      <c r="T73" s="387"/>
      <c r="U73" s="387"/>
      <c r="V73" s="387"/>
      <c r="W73" s="387"/>
      <c r="X73" s="387"/>
      <c r="Y73" s="387"/>
      <c r="Z73" s="387"/>
      <c r="AA73" s="387"/>
      <c r="AB73" s="387"/>
      <c r="AC73" s="402">
        <v>0</v>
      </c>
      <c r="AD73" s="402">
        <v>0</v>
      </c>
      <c r="AE73" s="402">
        <v>0</v>
      </c>
      <c r="AF73" s="402">
        <v>0</v>
      </c>
      <c r="AG73" s="402">
        <v>0</v>
      </c>
      <c r="AH73" s="402"/>
      <c r="AI73" s="402"/>
      <c r="AJ73" s="402"/>
      <c r="AK73" s="402"/>
      <c r="AL73" s="402"/>
      <c r="AM73" s="402"/>
      <c r="AN73" s="402"/>
      <c r="AO73" s="402"/>
      <c r="AP73" s="494"/>
      <c r="AQ73" s="402"/>
      <c r="AR73" s="402"/>
      <c r="AS73" s="402"/>
      <c r="AT73" s="402"/>
      <c r="AU73" s="402">
        <f t="shared" si="2"/>
        <v>0</v>
      </c>
      <c r="AV73" s="402">
        <f t="shared" si="2"/>
        <v>0</v>
      </c>
      <c r="AW73" s="402">
        <f t="shared" si="2"/>
        <v>0</v>
      </c>
      <c r="AX73" s="402">
        <f t="shared" si="2"/>
        <v>0</v>
      </c>
      <c r="AY73" s="494"/>
      <c r="AZ73" s="402" t="s">
        <v>371</v>
      </c>
      <c r="BA73" s="402"/>
      <c r="BC73" s="402" t="s">
        <v>371</v>
      </c>
      <c r="BD73" s="402"/>
    </row>
    <row r="74" spans="2:56" outlineLevel="1" x14ac:dyDescent="0.45">
      <c r="B74" s="321"/>
      <c r="C74" s="321"/>
      <c r="D74" s="352"/>
      <c r="E74" s="321"/>
      <c r="F74" s="321"/>
      <c r="G74" s="321"/>
      <c r="H74" s="321"/>
      <c r="I74" s="321"/>
      <c r="J74" s="321"/>
      <c r="K74" s="321"/>
      <c r="L74" s="321"/>
      <c r="M74" s="321"/>
      <c r="N74" s="321"/>
      <c r="O74" s="321"/>
      <c r="P74" s="321"/>
      <c r="Q74" s="321"/>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494"/>
      <c r="AQ74" s="294"/>
      <c r="AR74" s="294"/>
      <c r="AS74" s="294"/>
      <c r="AT74" s="294"/>
      <c r="AU74" s="294"/>
      <c r="AV74" s="294"/>
      <c r="AW74" s="294"/>
      <c r="AX74" s="294"/>
      <c r="AY74" s="494"/>
      <c r="AZ74" s="294"/>
      <c r="BA74" s="294"/>
      <c r="BC74" s="294"/>
      <c r="BD74" s="294"/>
    </row>
    <row r="75" spans="2:56" outlineLevel="1" x14ac:dyDescent="0.45">
      <c r="B75" s="287" t="s">
        <v>1069</v>
      </c>
      <c r="C75" s="288"/>
      <c r="D75" s="288"/>
      <c r="E75" s="288"/>
      <c r="F75" s="288"/>
      <c r="G75" s="288"/>
      <c r="H75" s="288"/>
      <c r="I75" s="288"/>
      <c r="J75" s="288"/>
      <c r="K75" s="288"/>
      <c r="L75" s="288"/>
      <c r="M75" s="288"/>
      <c r="N75" s="288"/>
      <c r="O75" s="288"/>
      <c r="P75" s="288"/>
      <c r="Q75" s="288"/>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494"/>
      <c r="AQ75" s="289"/>
      <c r="AR75" s="289"/>
      <c r="AS75" s="289"/>
      <c r="AT75" s="289"/>
      <c r="AU75" s="289"/>
      <c r="AV75" s="289"/>
      <c r="AW75" s="289"/>
      <c r="AX75" s="289"/>
      <c r="AY75" s="494"/>
      <c r="AZ75" s="289"/>
      <c r="BA75" s="289"/>
      <c r="BC75" s="289"/>
      <c r="BD75" s="289"/>
    </row>
    <row r="76" spans="2:56" outlineLevel="2" x14ac:dyDescent="0.45">
      <c r="B76" s="321"/>
      <c r="C76" s="321"/>
      <c r="D76" s="352"/>
      <c r="E76" s="321"/>
      <c r="F76" s="321"/>
      <c r="G76" s="321"/>
      <c r="H76" s="321"/>
      <c r="I76" s="321"/>
      <c r="J76" s="321"/>
      <c r="K76" s="321"/>
      <c r="L76" s="321"/>
      <c r="M76" s="321"/>
      <c r="N76" s="321"/>
      <c r="O76" s="321"/>
      <c r="P76" s="321"/>
      <c r="Q76" s="321"/>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494"/>
      <c r="AQ76" s="294"/>
      <c r="AR76" s="294"/>
      <c r="AS76" s="294"/>
      <c r="AT76" s="294"/>
      <c r="AU76" s="294"/>
      <c r="AV76" s="294"/>
      <c r="AW76" s="294"/>
      <c r="AX76" s="294"/>
      <c r="AY76" s="494"/>
      <c r="AZ76" s="294"/>
      <c r="BA76" s="294"/>
      <c r="BC76" s="294"/>
      <c r="BD76" s="294"/>
    </row>
    <row r="77" spans="2:56" outlineLevel="2" x14ac:dyDescent="0.45">
      <c r="B77" s="400" t="s">
        <v>1060</v>
      </c>
      <c r="C77" s="321"/>
      <c r="D77" s="352"/>
      <c r="E77" s="321"/>
      <c r="F77" s="321"/>
      <c r="G77" s="321"/>
      <c r="H77" s="321"/>
      <c r="I77" s="321"/>
      <c r="J77" s="321"/>
      <c r="K77" s="321"/>
      <c r="L77" s="321"/>
      <c r="M77" s="321"/>
      <c r="N77" s="321"/>
      <c r="O77" s="321"/>
      <c r="P77" s="321"/>
      <c r="Q77" s="321"/>
      <c r="R77" s="294"/>
      <c r="S77" s="386"/>
      <c r="T77" s="386"/>
      <c r="U77" s="386"/>
      <c r="V77" s="386"/>
      <c r="W77" s="386"/>
      <c r="X77" s="386"/>
      <c r="Y77" s="386"/>
      <c r="Z77" s="386"/>
      <c r="AA77" s="386"/>
      <c r="AB77" s="386"/>
      <c r="AC77" s="405">
        <v>0.22080920556002925</v>
      </c>
      <c r="AD77" s="405">
        <v>0.22045956765591632</v>
      </c>
      <c r="AE77" s="430">
        <v>0.22057384910864644</v>
      </c>
      <c r="AF77" s="430">
        <v>0.2307994412828803</v>
      </c>
      <c r="AG77" s="430">
        <v>0.22088491356576201</v>
      </c>
      <c r="AH77" s="405"/>
      <c r="AI77" s="405"/>
      <c r="AJ77" s="405"/>
      <c r="AK77" s="405"/>
      <c r="AL77" s="405"/>
      <c r="AM77" s="405"/>
      <c r="AN77" s="405"/>
      <c r="AO77" s="405"/>
      <c r="AP77" s="494"/>
      <c r="AQ77" s="430"/>
      <c r="AR77" s="430"/>
      <c r="AS77" s="430"/>
      <c r="AT77" s="430"/>
      <c r="AU77" s="430">
        <f t="shared" si="2"/>
        <v>0.2307994412828803</v>
      </c>
      <c r="AV77" s="430">
        <f t="shared" si="2"/>
        <v>0.22088491356576201</v>
      </c>
      <c r="AW77" s="430">
        <f t="shared" si="2"/>
        <v>0</v>
      </c>
      <c r="AX77" s="430">
        <f t="shared" si="2"/>
        <v>0</v>
      </c>
      <c r="AY77" s="494"/>
      <c r="AZ77" s="405"/>
      <c r="BA77" s="405"/>
      <c r="BC77" s="405"/>
      <c r="BD77" s="405"/>
    </row>
    <row r="78" spans="2:56" outlineLevel="2" x14ac:dyDescent="0.45">
      <c r="B78" s="394" t="s">
        <v>1061</v>
      </c>
      <c r="C78" s="395"/>
      <c r="D78" s="396"/>
      <c r="E78" s="392"/>
      <c r="F78" s="392"/>
      <c r="G78" s="392"/>
      <c r="H78" s="392"/>
      <c r="I78" s="393"/>
      <c r="J78" s="390"/>
      <c r="K78" s="390"/>
      <c r="L78" s="390"/>
      <c r="M78" s="390"/>
      <c r="N78" s="390"/>
      <c r="O78" s="390"/>
      <c r="P78" s="390"/>
      <c r="Q78" s="390"/>
      <c r="R78" s="387"/>
      <c r="S78" s="387"/>
      <c r="T78" s="387"/>
      <c r="U78" s="387"/>
      <c r="V78" s="387"/>
      <c r="W78" s="387"/>
      <c r="X78" s="387"/>
      <c r="Y78" s="387"/>
      <c r="Z78" s="387"/>
      <c r="AA78" s="387"/>
      <c r="AB78" s="387"/>
      <c r="AC78" s="406">
        <v>0.20901195219123508</v>
      </c>
      <c r="AD78" s="406">
        <v>0.20901195219123508</v>
      </c>
      <c r="AE78" s="406">
        <v>0.20901195219123508</v>
      </c>
      <c r="AF78" s="406">
        <v>0.22693677792389777</v>
      </c>
      <c r="AG78" s="406">
        <v>0.21547876610693995</v>
      </c>
      <c r="AH78" s="406"/>
      <c r="AI78" s="406"/>
      <c r="AJ78" s="406"/>
      <c r="AK78" s="406"/>
      <c r="AL78" s="406"/>
      <c r="AM78" s="406"/>
      <c r="AN78" s="406"/>
      <c r="AO78" s="406"/>
      <c r="AP78" s="494"/>
      <c r="AQ78" s="406"/>
      <c r="AR78" s="406"/>
      <c r="AS78" s="406"/>
      <c r="AT78" s="406"/>
      <c r="AU78" s="406">
        <f t="shared" si="2"/>
        <v>0.22693677792389777</v>
      </c>
      <c r="AV78" s="406">
        <f t="shared" si="2"/>
        <v>0.21547876610693995</v>
      </c>
      <c r="AW78" s="406">
        <f t="shared" si="2"/>
        <v>0</v>
      </c>
      <c r="AX78" s="406">
        <f t="shared" si="2"/>
        <v>0</v>
      </c>
      <c r="AY78" s="494"/>
      <c r="AZ78" s="406" t="s">
        <v>371</v>
      </c>
      <c r="BA78" s="406"/>
      <c r="BC78" s="406" t="s">
        <v>371</v>
      </c>
      <c r="BD78" s="406"/>
    </row>
    <row r="79" spans="2:56" outlineLevel="2" x14ac:dyDescent="0.45">
      <c r="B79" s="394" t="s">
        <v>1062</v>
      </c>
      <c r="C79" s="395"/>
      <c r="D79" s="396"/>
      <c r="E79" s="321"/>
      <c r="F79" s="321"/>
      <c r="G79" s="321"/>
      <c r="H79" s="321"/>
      <c r="I79" s="321"/>
      <c r="J79" s="321"/>
      <c r="K79" s="321"/>
      <c r="L79" s="321"/>
      <c r="M79" s="321"/>
      <c r="N79" s="321"/>
      <c r="O79" s="321"/>
      <c r="P79" s="321"/>
      <c r="Q79" s="321"/>
      <c r="R79" s="387"/>
      <c r="S79" s="387"/>
      <c r="T79" s="387"/>
      <c r="U79" s="387"/>
      <c r="V79" s="387"/>
      <c r="W79" s="387"/>
      <c r="X79" s="387"/>
      <c r="Y79" s="387"/>
      <c r="Z79" s="387"/>
      <c r="AA79" s="387"/>
      <c r="AB79" s="387"/>
      <c r="AC79" s="407">
        <v>0.2487576286632853</v>
      </c>
      <c r="AD79" s="407">
        <v>0.24705283843468931</v>
      </c>
      <c r="AE79" s="407">
        <v>0.24705283843468931</v>
      </c>
      <c r="AF79" s="407">
        <v>0.24303225822694388</v>
      </c>
      <c r="AG79" s="407">
        <v>0.24029824692357565</v>
      </c>
      <c r="AH79" s="407"/>
      <c r="AI79" s="407"/>
      <c r="AJ79" s="407"/>
      <c r="AK79" s="407"/>
      <c r="AL79" s="407"/>
      <c r="AM79" s="407"/>
      <c r="AN79" s="407"/>
      <c r="AO79" s="407"/>
      <c r="AP79" s="494"/>
      <c r="AQ79" s="407"/>
      <c r="AR79" s="407"/>
      <c r="AS79" s="407"/>
      <c r="AT79" s="407"/>
      <c r="AU79" s="407">
        <f t="shared" si="2"/>
        <v>0.24303225822694388</v>
      </c>
      <c r="AV79" s="407">
        <f t="shared" si="2"/>
        <v>0.24029824692357565</v>
      </c>
      <c r="AW79" s="407">
        <f t="shared" si="2"/>
        <v>0</v>
      </c>
      <c r="AX79" s="407">
        <f t="shared" si="2"/>
        <v>0</v>
      </c>
      <c r="AY79" s="494"/>
      <c r="AZ79" s="407" t="s">
        <v>371</v>
      </c>
      <c r="BA79" s="407"/>
      <c r="BC79" s="407" t="s">
        <v>371</v>
      </c>
      <c r="BD79" s="407"/>
    </row>
    <row r="80" spans="2:56" outlineLevel="2" x14ac:dyDescent="0.45">
      <c r="B80" s="394" t="s">
        <v>1063</v>
      </c>
      <c r="C80" s="395"/>
      <c r="D80" s="396"/>
      <c r="E80" s="321"/>
      <c r="F80" s="321"/>
      <c r="G80" s="321"/>
      <c r="H80" s="321"/>
      <c r="I80" s="321"/>
      <c r="J80" s="321"/>
      <c r="K80" s="321"/>
      <c r="L80" s="321"/>
      <c r="M80" s="321"/>
      <c r="N80" s="321"/>
      <c r="O80" s="321"/>
      <c r="P80" s="321"/>
      <c r="Q80" s="321"/>
      <c r="R80" s="387"/>
      <c r="S80" s="387"/>
      <c r="T80" s="387"/>
      <c r="U80" s="387"/>
      <c r="V80" s="387"/>
      <c r="W80" s="387"/>
      <c r="X80" s="387"/>
      <c r="Y80" s="387"/>
      <c r="Z80" s="387"/>
      <c r="AA80" s="387"/>
      <c r="AB80" s="387"/>
      <c r="AC80" s="402" t="s">
        <v>371</v>
      </c>
      <c r="AD80" s="402" t="s">
        <v>371</v>
      </c>
      <c r="AE80" s="431">
        <v>0.23100000000000001</v>
      </c>
      <c r="AF80" s="431">
        <v>0.23100000000000001</v>
      </c>
      <c r="AG80" s="431">
        <v>0.19900000000000004</v>
      </c>
      <c r="AH80" s="402"/>
      <c r="AI80" s="402"/>
      <c r="AJ80" s="402"/>
      <c r="AK80" s="402"/>
      <c r="AL80" s="402"/>
      <c r="AM80" s="402"/>
      <c r="AN80" s="402"/>
      <c r="AO80" s="402"/>
      <c r="AP80" s="494"/>
      <c r="AQ80" s="431"/>
      <c r="AR80" s="431"/>
      <c r="AS80" s="431"/>
      <c r="AT80" s="431"/>
      <c r="AU80" s="431">
        <f t="shared" si="2"/>
        <v>0.23100000000000001</v>
      </c>
      <c r="AV80" s="431">
        <f t="shared" si="2"/>
        <v>0.19900000000000004</v>
      </c>
      <c r="AW80" s="431">
        <f t="shared" si="2"/>
        <v>0</v>
      </c>
      <c r="AX80" s="431">
        <f t="shared" si="2"/>
        <v>0</v>
      </c>
      <c r="AY80" s="494"/>
      <c r="AZ80" s="402" t="s">
        <v>371</v>
      </c>
      <c r="BA80" s="402"/>
      <c r="BC80" s="402" t="s">
        <v>371</v>
      </c>
      <c r="BD80" s="402"/>
    </row>
    <row r="81" spans="2:56" outlineLevel="1" x14ac:dyDescent="0.45">
      <c r="B81" s="321"/>
      <c r="C81" s="321"/>
      <c r="D81" s="352"/>
      <c r="E81" s="321"/>
      <c r="F81" s="321"/>
      <c r="G81" s="321"/>
      <c r="H81" s="321"/>
      <c r="I81" s="321"/>
      <c r="J81" s="321"/>
      <c r="K81" s="321"/>
      <c r="L81" s="321"/>
      <c r="M81" s="321"/>
      <c r="N81" s="321"/>
      <c r="O81" s="321"/>
      <c r="P81" s="321"/>
      <c r="Q81" s="321"/>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494"/>
      <c r="AQ81" s="294"/>
      <c r="AR81" s="294"/>
      <c r="AS81" s="294"/>
      <c r="AT81" s="294"/>
      <c r="AU81" s="294"/>
      <c r="AV81" s="294"/>
      <c r="AW81" s="294"/>
      <c r="AX81" s="294"/>
      <c r="AY81" s="494"/>
      <c r="AZ81" s="294"/>
      <c r="BA81" s="294"/>
      <c r="BC81" s="294"/>
      <c r="BD81" s="294"/>
    </row>
    <row r="82" spans="2:56" outlineLevel="1" x14ac:dyDescent="0.45">
      <c r="B82" s="287" t="s">
        <v>1070</v>
      </c>
      <c r="C82" s="288"/>
      <c r="D82" s="288"/>
      <c r="E82" s="288"/>
      <c r="F82" s="288"/>
      <c r="G82" s="288"/>
      <c r="H82" s="288"/>
      <c r="I82" s="288"/>
      <c r="J82" s="288"/>
      <c r="K82" s="288"/>
      <c r="L82" s="288"/>
      <c r="M82" s="288"/>
      <c r="N82" s="288"/>
      <c r="O82" s="288"/>
      <c r="P82" s="288"/>
      <c r="Q82" s="288"/>
      <c r="R82" s="289"/>
      <c r="S82" s="289"/>
      <c r="T82" s="289"/>
      <c r="U82" s="289"/>
      <c r="V82" s="289"/>
      <c r="W82" s="289"/>
      <c r="X82" s="289"/>
      <c r="Y82" s="289"/>
      <c r="Z82" s="289"/>
      <c r="AA82" s="289"/>
      <c r="AB82" s="289"/>
      <c r="AC82" s="289"/>
      <c r="AD82" s="289"/>
      <c r="AE82" s="289"/>
      <c r="AF82" s="289"/>
      <c r="AG82" s="289"/>
      <c r="AH82" s="289"/>
      <c r="AI82" s="289"/>
      <c r="AJ82" s="289"/>
      <c r="AK82" s="289"/>
      <c r="AL82" s="289"/>
      <c r="AM82" s="289"/>
      <c r="AN82" s="289"/>
      <c r="AO82" s="289"/>
      <c r="AP82" s="494"/>
      <c r="AQ82" s="289"/>
      <c r="AR82" s="289"/>
      <c r="AS82" s="289"/>
      <c r="AT82" s="289"/>
      <c r="AU82" s="289"/>
      <c r="AV82" s="289"/>
      <c r="AW82" s="289"/>
      <c r="AX82" s="289"/>
      <c r="AY82" s="494"/>
      <c r="AZ82" s="289"/>
      <c r="BA82" s="289"/>
      <c r="BC82" s="289"/>
      <c r="BD82" s="289"/>
    </row>
    <row r="83" spans="2:56" outlineLevel="2" x14ac:dyDescent="0.45">
      <c r="B83" s="321"/>
      <c r="C83" s="321"/>
      <c r="D83" s="352"/>
      <c r="E83" s="321"/>
      <c r="F83" s="321"/>
      <c r="G83" s="321"/>
      <c r="H83" s="321"/>
      <c r="I83" s="321"/>
      <c r="J83" s="321"/>
      <c r="K83" s="321"/>
      <c r="L83" s="321"/>
      <c r="M83" s="321"/>
      <c r="N83" s="321"/>
      <c r="O83" s="321"/>
      <c r="P83" s="321"/>
      <c r="Q83" s="321"/>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494"/>
      <c r="AQ83" s="294"/>
      <c r="AR83" s="294"/>
      <c r="AS83" s="294"/>
      <c r="AT83" s="294"/>
      <c r="AU83" s="294"/>
      <c r="AV83" s="294"/>
      <c r="AW83" s="294"/>
      <c r="AX83" s="294"/>
      <c r="AY83" s="494"/>
      <c r="AZ83" s="294"/>
      <c r="BA83" s="294"/>
      <c r="BC83" s="294"/>
      <c r="BD83" s="294"/>
    </row>
    <row r="84" spans="2:56" outlineLevel="2" x14ac:dyDescent="0.45">
      <c r="B84" s="400" t="s">
        <v>1060</v>
      </c>
      <c r="C84" s="321"/>
      <c r="D84" s="352"/>
      <c r="E84" s="321"/>
      <c r="F84" s="321"/>
      <c r="G84" s="321"/>
      <c r="H84" s="321"/>
      <c r="I84" s="321"/>
      <c r="J84" s="321"/>
      <c r="K84" s="321"/>
      <c r="L84" s="321"/>
      <c r="M84" s="321"/>
      <c r="N84" s="321"/>
      <c r="O84" s="321"/>
      <c r="P84" s="321"/>
      <c r="Q84" s="321"/>
      <c r="R84" s="294"/>
      <c r="S84" s="386"/>
      <c r="T84" s="386"/>
      <c r="U84" s="386"/>
      <c r="V84" s="386"/>
      <c r="W84" s="386"/>
      <c r="X84" s="386"/>
      <c r="Y84" s="386"/>
      <c r="Z84" s="386"/>
      <c r="AA84" s="386"/>
      <c r="AB84" s="386"/>
      <c r="AC84" s="386">
        <v>2094.3706099999972</v>
      </c>
      <c r="AD84" s="386">
        <v>2127.1439688105793</v>
      </c>
      <c r="AE84" s="386">
        <v>2116.1611283689108</v>
      </c>
      <c r="AF84" s="386">
        <v>2493.3847221516112</v>
      </c>
      <c r="AG84" s="386">
        <f>SUM(AG85:AG88)</f>
        <v>2444.9933574423658</v>
      </c>
      <c r="AH84" s="386"/>
      <c r="AI84" s="386"/>
      <c r="AJ84" s="386"/>
      <c r="AK84" s="386"/>
      <c r="AL84" s="386"/>
      <c r="AM84" s="386"/>
      <c r="AN84" s="386"/>
      <c r="AO84" s="386"/>
      <c r="AP84" s="494"/>
      <c r="AQ84" s="386"/>
      <c r="AR84" s="386"/>
      <c r="AS84" s="386"/>
      <c r="AT84" s="386"/>
      <c r="AU84" s="386">
        <f>SUM(AD84:AF84)</f>
        <v>6736.6898193311008</v>
      </c>
      <c r="AV84" s="386">
        <f>SUM(AE84:AG84)</f>
        <v>7054.5392079628882</v>
      </c>
      <c r="AW84" s="386">
        <f>SUM(AF84:AH84)</f>
        <v>4938.3780795939765</v>
      </c>
      <c r="AX84" s="386">
        <f>SUM(AG84:AI84)</f>
        <v>2444.9933574423658</v>
      </c>
      <c r="AY84" s="494"/>
      <c r="AZ84" s="386"/>
      <c r="BA84" s="386"/>
      <c r="BC84" s="386"/>
      <c r="BD84" s="386"/>
    </row>
    <row r="85" spans="2:56" outlineLevel="2" x14ac:dyDescent="0.45">
      <c r="B85" s="394" t="s">
        <v>1061</v>
      </c>
      <c r="C85" s="395"/>
      <c r="D85" s="396"/>
      <c r="E85" s="321"/>
      <c r="F85" s="321"/>
      <c r="G85" s="321"/>
      <c r="H85" s="321"/>
      <c r="I85" s="321"/>
      <c r="J85" s="321"/>
      <c r="K85" s="321"/>
      <c r="L85" s="321"/>
      <c r="M85" s="321"/>
      <c r="N85" s="321"/>
      <c r="O85" s="321"/>
      <c r="P85" s="321"/>
      <c r="Q85" s="321"/>
      <c r="R85" s="387"/>
      <c r="S85" s="387"/>
      <c r="T85" s="387"/>
      <c r="U85" s="387"/>
      <c r="V85" s="387"/>
      <c r="W85" s="387"/>
      <c r="X85" s="387"/>
      <c r="Y85" s="387"/>
      <c r="Z85" s="387"/>
      <c r="AA85" s="387"/>
      <c r="AB85" s="387"/>
      <c r="AC85" s="402">
        <v>1132.7104999999972</v>
      </c>
      <c r="AD85" s="402">
        <v>1206.425828380922</v>
      </c>
      <c r="AE85" s="402">
        <v>1201.1249930413996</v>
      </c>
      <c r="AF85" s="402">
        <v>1419.3321959864325</v>
      </c>
      <c r="AG85" s="416">
        <v>1426.4547161563601</v>
      </c>
      <c r="AH85" s="402"/>
      <c r="AI85" s="402"/>
      <c r="AJ85" s="402"/>
      <c r="AK85" s="402"/>
      <c r="AL85" s="402"/>
      <c r="AM85" s="402"/>
      <c r="AN85" s="402"/>
      <c r="AO85" s="402"/>
      <c r="AP85" s="494"/>
      <c r="AQ85" s="416"/>
      <c r="AR85" s="416"/>
      <c r="AS85" s="416"/>
      <c r="AT85" s="416"/>
      <c r="AU85" s="416">
        <f t="shared" ref="AS85:AX88" si="3">SUM(AD85:AF85)</f>
        <v>3826.8830174087543</v>
      </c>
      <c r="AV85" s="416">
        <f t="shared" si="3"/>
        <v>4046.9119051841922</v>
      </c>
      <c r="AW85" s="416">
        <f t="shared" si="3"/>
        <v>2845.7869121427925</v>
      </c>
      <c r="AX85" s="416">
        <f t="shared" si="3"/>
        <v>1426.4547161563601</v>
      </c>
      <c r="AY85" s="494"/>
      <c r="AZ85" s="402" t="s">
        <v>371</v>
      </c>
      <c r="BA85" s="402"/>
      <c r="BC85" s="402" t="s">
        <v>371</v>
      </c>
      <c r="BD85" s="402"/>
    </row>
    <row r="86" spans="2:56" outlineLevel="2" x14ac:dyDescent="0.45">
      <c r="B86" s="394" t="s">
        <v>1062</v>
      </c>
      <c r="C86" s="395"/>
      <c r="D86" s="396"/>
      <c r="E86" s="321"/>
      <c r="F86" s="321"/>
      <c r="G86" s="321"/>
      <c r="H86" s="321"/>
      <c r="I86" s="321"/>
      <c r="J86" s="321"/>
      <c r="K86" s="321"/>
      <c r="L86" s="321"/>
      <c r="M86" s="321"/>
      <c r="N86" s="321"/>
      <c r="O86" s="321"/>
      <c r="P86" s="321"/>
      <c r="Q86" s="321"/>
      <c r="R86" s="387"/>
      <c r="S86" s="387"/>
      <c r="T86" s="387"/>
      <c r="U86" s="387"/>
      <c r="V86" s="387"/>
      <c r="W86" s="387"/>
      <c r="X86" s="387"/>
      <c r="Y86" s="387"/>
      <c r="Z86" s="387"/>
      <c r="AA86" s="387"/>
      <c r="AB86" s="387"/>
      <c r="AC86" s="402">
        <v>177.0791099999999</v>
      </c>
      <c r="AD86" s="402">
        <v>176.49314042965747</v>
      </c>
      <c r="AE86" s="402">
        <v>181.08133616931008</v>
      </c>
      <c r="AF86" s="402">
        <v>197.05103216198432</v>
      </c>
      <c r="AG86" s="402">
        <v>203.63288028600601</v>
      </c>
      <c r="AH86" s="402"/>
      <c r="AI86" s="402"/>
      <c r="AJ86" s="402"/>
      <c r="AK86" s="402"/>
      <c r="AL86" s="402"/>
      <c r="AM86" s="402"/>
      <c r="AN86" s="402"/>
      <c r="AO86" s="402"/>
      <c r="AP86" s="494"/>
      <c r="AQ86" s="402"/>
      <c r="AR86" s="402"/>
      <c r="AS86" s="402"/>
      <c r="AT86" s="402"/>
      <c r="AU86" s="402">
        <f t="shared" si="3"/>
        <v>554.62550876095179</v>
      </c>
      <c r="AV86" s="402">
        <f t="shared" si="3"/>
        <v>581.76524861730036</v>
      </c>
      <c r="AW86" s="402">
        <f t="shared" si="3"/>
        <v>400.68391244799034</v>
      </c>
      <c r="AX86" s="402">
        <f t="shared" si="3"/>
        <v>203.63288028600601</v>
      </c>
      <c r="AY86" s="494"/>
      <c r="AZ86" s="402" t="s">
        <v>371</v>
      </c>
      <c r="BA86" s="402"/>
      <c r="BC86" s="402" t="s">
        <v>371</v>
      </c>
      <c r="BD86" s="402"/>
    </row>
    <row r="87" spans="2:56" outlineLevel="2" x14ac:dyDescent="0.45">
      <c r="B87" s="394" t="s">
        <v>1063</v>
      </c>
      <c r="C87" s="395"/>
      <c r="D87" s="396"/>
      <c r="E87" s="321"/>
      <c r="F87" s="321"/>
      <c r="G87" s="321"/>
      <c r="H87" s="321"/>
      <c r="I87" s="321"/>
      <c r="J87" s="321"/>
      <c r="K87" s="321"/>
      <c r="L87" s="321"/>
      <c r="M87" s="321"/>
      <c r="N87" s="321"/>
      <c r="O87" s="321"/>
      <c r="P87" s="321"/>
      <c r="Q87" s="321"/>
      <c r="R87" s="387"/>
      <c r="S87" s="387"/>
      <c r="T87" s="387"/>
      <c r="U87" s="387"/>
      <c r="V87" s="387"/>
      <c r="W87" s="387"/>
      <c r="X87" s="387"/>
      <c r="Y87" s="387"/>
      <c r="Z87" s="387"/>
      <c r="AA87" s="387"/>
      <c r="AB87" s="387"/>
      <c r="AC87" s="402" t="s">
        <v>371</v>
      </c>
      <c r="AD87" s="402" t="s">
        <v>371</v>
      </c>
      <c r="AE87" s="402">
        <v>1.4765951582033892</v>
      </c>
      <c r="AF87" s="402">
        <v>26.119494003194742</v>
      </c>
      <c r="AG87" s="402">
        <v>37.243000000000002</v>
      </c>
      <c r="AH87" s="402"/>
      <c r="AI87" s="402"/>
      <c r="AJ87" s="402"/>
      <c r="AK87" s="402"/>
      <c r="AL87" s="402"/>
      <c r="AM87" s="402"/>
      <c r="AN87" s="402"/>
      <c r="AO87" s="402"/>
      <c r="AP87" s="494"/>
      <c r="AQ87" s="402"/>
      <c r="AR87" s="402"/>
      <c r="AS87" s="402"/>
      <c r="AT87" s="402"/>
      <c r="AU87" s="402">
        <f t="shared" si="3"/>
        <v>27.59608916139813</v>
      </c>
      <c r="AV87" s="402">
        <f t="shared" si="3"/>
        <v>64.839089161398135</v>
      </c>
      <c r="AW87" s="402">
        <f t="shared" si="3"/>
        <v>63.36249400319474</v>
      </c>
      <c r="AX87" s="402">
        <f t="shared" si="3"/>
        <v>37.243000000000002</v>
      </c>
      <c r="AY87" s="494"/>
      <c r="AZ87" s="402" t="s">
        <v>371</v>
      </c>
      <c r="BA87" s="402"/>
      <c r="BC87" s="402" t="s">
        <v>371</v>
      </c>
      <c r="BD87" s="402"/>
    </row>
    <row r="88" spans="2:56" outlineLevel="2" x14ac:dyDescent="0.45">
      <c r="B88" s="397" t="s">
        <v>450</v>
      </c>
      <c r="C88" s="398"/>
      <c r="D88" s="399"/>
      <c r="E88" s="321"/>
      <c r="F88" s="321"/>
      <c r="G88" s="321"/>
      <c r="H88" s="321"/>
      <c r="I88" s="321"/>
      <c r="J88" s="321"/>
      <c r="K88" s="321"/>
      <c r="L88" s="321"/>
      <c r="M88" s="321"/>
      <c r="N88" s="321"/>
      <c r="O88" s="321"/>
      <c r="P88" s="321"/>
      <c r="Q88" s="321"/>
      <c r="R88" s="387"/>
      <c r="S88" s="387"/>
      <c r="T88" s="387"/>
      <c r="U88" s="387"/>
      <c r="V88" s="387"/>
      <c r="W88" s="387"/>
      <c r="X88" s="387"/>
      <c r="Y88" s="387"/>
      <c r="Z88" s="387"/>
      <c r="AA88" s="387"/>
      <c r="AB88" s="387"/>
      <c r="AC88" s="402">
        <v>784.58100000000002</v>
      </c>
      <c r="AD88" s="402">
        <v>744.22500000000002</v>
      </c>
      <c r="AE88" s="402">
        <v>732.47820399999773</v>
      </c>
      <c r="AF88" s="402">
        <v>850.88199999999995</v>
      </c>
      <c r="AG88" s="402">
        <v>777.66276100000005</v>
      </c>
      <c r="AH88" s="402"/>
      <c r="AI88" s="402"/>
      <c r="AJ88" s="402"/>
      <c r="AK88" s="402"/>
      <c r="AL88" s="402"/>
      <c r="AM88" s="402"/>
      <c r="AN88" s="402"/>
      <c r="AO88" s="402"/>
      <c r="AP88" s="494"/>
      <c r="AQ88" s="402"/>
      <c r="AR88" s="402"/>
      <c r="AS88" s="402"/>
      <c r="AT88" s="402"/>
      <c r="AU88" s="402">
        <f t="shared" si="3"/>
        <v>2327.5852039999977</v>
      </c>
      <c r="AV88" s="402">
        <f t="shared" si="3"/>
        <v>2361.0229649999978</v>
      </c>
      <c r="AW88" s="402">
        <f t="shared" si="3"/>
        <v>1628.5447610000001</v>
      </c>
      <c r="AX88" s="402">
        <f t="shared" si="3"/>
        <v>777.66276100000005</v>
      </c>
      <c r="AY88" s="494"/>
      <c r="AZ88" s="402" t="s">
        <v>371</v>
      </c>
      <c r="BA88" s="402"/>
      <c r="BC88" s="402" t="s">
        <v>371</v>
      </c>
      <c r="BD88" s="402"/>
    </row>
    <row r="89" spans="2:56" outlineLevel="1" x14ac:dyDescent="0.45">
      <c r="B89" s="321"/>
      <c r="C89" s="321"/>
      <c r="D89" s="352"/>
      <c r="E89" s="321"/>
      <c r="F89" s="321"/>
      <c r="G89" s="321"/>
      <c r="H89" s="321"/>
      <c r="I89" s="321"/>
      <c r="J89" s="321"/>
      <c r="K89" s="321"/>
      <c r="L89" s="321"/>
      <c r="M89" s="321"/>
      <c r="N89" s="321"/>
      <c r="O89" s="321"/>
      <c r="P89" s="321"/>
      <c r="Q89" s="321"/>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494"/>
      <c r="AQ89" s="294"/>
      <c r="AR89" s="294"/>
      <c r="AS89" s="294"/>
      <c r="AT89" s="294"/>
      <c r="AU89" s="294"/>
      <c r="AV89" s="294"/>
      <c r="AW89" s="294"/>
      <c r="AX89" s="294"/>
      <c r="AY89" s="494"/>
      <c r="AZ89" s="294"/>
      <c r="BA89" s="294"/>
      <c r="BC89" s="294"/>
      <c r="BD89" s="294"/>
    </row>
    <row r="90" spans="2:56" outlineLevel="1" x14ac:dyDescent="0.45">
      <c r="B90" s="287" t="s">
        <v>1071</v>
      </c>
      <c r="C90" s="288"/>
      <c r="D90" s="288"/>
      <c r="E90" s="288"/>
      <c r="F90" s="288"/>
      <c r="G90" s="288"/>
      <c r="H90" s="288"/>
      <c r="I90" s="288"/>
      <c r="J90" s="288"/>
      <c r="K90" s="288"/>
      <c r="L90" s="288"/>
      <c r="M90" s="288"/>
      <c r="N90" s="288"/>
      <c r="O90" s="288"/>
      <c r="P90" s="288"/>
      <c r="Q90" s="288"/>
      <c r="R90" s="289"/>
      <c r="S90" s="289"/>
      <c r="T90" s="289"/>
      <c r="U90" s="289"/>
      <c r="V90" s="289"/>
      <c r="W90" s="289"/>
      <c r="X90" s="289"/>
      <c r="Y90" s="289"/>
      <c r="Z90" s="289"/>
      <c r="AA90" s="289"/>
      <c r="AB90" s="289"/>
      <c r="AC90" s="289"/>
      <c r="AD90" s="289"/>
      <c r="AE90" s="289"/>
      <c r="AF90" s="289"/>
      <c r="AG90" s="289"/>
      <c r="AH90" s="289"/>
      <c r="AI90" s="289"/>
      <c r="AJ90" s="289"/>
      <c r="AK90" s="289"/>
      <c r="AL90" s="289"/>
      <c r="AM90" s="289"/>
      <c r="AN90" s="289"/>
      <c r="AO90" s="289"/>
      <c r="AP90" s="494"/>
      <c r="AQ90" s="289"/>
      <c r="AR90" s="289"/>
      <c r="AS90" s="289"/>
      <c r="AT90" s="289"/>
      <c r="AU90" s="289"/>
      <c r="AV90" s="289"/>
      <c r="AW90" s="289"/>
      <c r="AX90" s="289"/>
      <c r="AY90" s="494"/>
      <c r="AZ90" s="289"/>
      <c r="BA90" s="289"/>
      <c r="BC90" s="289"/>
      <c r="BD90" s="289"/>
    </row>
    <row r="91" spans="2:56" outlineLevel="2" x14ac:dyDescent="0.45">
      <c r="B91" s="321"/>
      <c r="C91" s="321"/>
      <c r="D91" s="352"/>
      <c r="E91" s="321"/>
      <c r="F91" s="321"/>
      <c r="G91" s="321"/>
      <c r="H91" s="321"/>
      <c r="I91" s="321"/>
      <c r="J91" s="321"/>
      <c r="K91" s="321"/>
      <c r="L91" s="321"/>
      <c r="M91" s="321"/>
      <c r="N91" s="321"/>
      <c r="O91" s="321"/>
      <c r="P91" s="321"/>
      <c r="Q91" s="321"/>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494"/>
      <c r="AQ91" s="294"/>
      <c r="AR91" s="294"/>
      <c r="AS91" s="294"/>
      <c r="AT91" s="294"/>
      <c r="AU91" s="294"/>
      <c r="AV91" s="294"/>
      <c r="AW91" s="294"/>
      <c r="AX91" s="294"/>
      <c r="AY91" s="494"/>
      <c r="AZ91" s="294"/>
      <c r="BA91" s="294"/>
      <c r="BC91" s="294"/>
      <c r="BD91" s="294"/>
    </row>
    <row r="92" spans="2:56" ht="15.5" outlineLevel="2" x14ac:dyDescent="0.45">
      <c r="B92" s="400" t="s">
        <v>1060</v>
      </c>
      <c r="C92" s="321"/>
      <c r="D92" s="352"/>
      <c r="E92" s="321"/>
      <c r="F92" s="321"/>
      <c r="G92" s="321"/>
      <c r="H92" s="321"/>
      <c r="I92" s="321"/>
      <c r="J92" s="321"/>
      <c r="K92" s="321"/>
      <c r="L92" s="321"/>
      <c r="M92" s="321"/>
      <c r="N92" s="321"/>
      <c r="O92" s="321"/>
      <c r="P92" s="321"/>
      <c r="Q92" s="321"/>
      <c r="R92" s="294"/>
      <c r="S92" s="386"/>
      <c r="T92" s="386"/>
      <c r="U92" s="386"/>
      <c r="V92" s="386"/>
      <c r="W92" s="386"/>
      <c r="X92" s="386"/>
      <c r="Y92" s="386"/>
      <c r="Z92" s="386"/>
      <c r="AA92" s="386"/>
      <c r="AB92" s="386"/>
      <c r="AC92" s="408">
        <v>0.21540170862103941</v>
      </c>
      <c r="AD92" s="408">
        <v>0.19688528888399892</v>
      </c>
      <c r="AE92" s="432">
        <v>0.20837499600483256</v>
      </c>
      <c r="AF92" s="432">
        <v>0.19997901977358518</v>
      </c>
      <c r="AG92" s="432">
        <v>0.17578295560516344</v>
      </c>
      <c r="AH92" s="408"/>
      <c r="AI92" s="408"/>
      <c r="AJ92" s="408"/>
      <c r="AK92" s="408"/>
      <c r="AL92" s="408"/>
      <c r="AM92" s="408"/>
      <c r="AN92" s="408"/>
      <c r="AO92" s="408"/>
      <c r="AP92" s="494"/>
      <c r="AQ92" s="432"/>
      <c r="AR92" s="432"/>
      <c r="AS92" s="432"/>
      <c r="AT92" s="432"/>
      <c r="AU92" s="432">
        <f>AVERAGE(AD92:AF92)</f>
        <v>0.20174643488747224</v>
      </c>
      <c r="AV92" s="432">
        <f>AVERAGE(AE92:AG92)</f>
        <v>0.19471232379452705</v>
      </c>
      <c r="AW92" s="432">
        <f>AVERAGE(AF92:AH92)</f>
        <v>0.18788098768937431</v>
      </c>
      <c r="AX92" s="432">
        <f>AVERAGE(AG92:AI92)</f>
        <v>0.17578295560516344</v>
      </c>
      <c r="AY92" s="494"/>
      <c r="AZ92" s="408"/>
      <c r="BA92" s="408"/>
      <c r="BC92" s="408"/>
      <c r="BD92" s="408"/>
    </row>
    <row r="93" spans="2:56" outlineLevel="2" x14ac:dyDescent="0.45">
      <c r="B93" s="394" t="s">
        <v>1061</v>
      </c>
      <c r="C93" s="395"/>
      <c r="D93" s="396"/>
      <c r="E93" s="321"/>
      <c r="F93" s="321"/>
      <c r="G93" s="321"/>
      <c r="H93" s="321"/>
      <c r="I93" s="321"/>
      <c r="J93" s="321"/>
      <c r="K93" s="321"/>
      <c r="L93" s="321"/>
      <c r="M93" s="321"/>
      <c r="N93" s="321"/>
      <c r="O93" s="321"/>
      <c r="P93" s="321"/>
      <c r="Q93" s="321"/>
      <c r="R93" s="387"/>
      <c r="S93" s="387"/>
      <c r="T93" s="387"/>
      <c r="U93" s="387"/>
      <c r="V93" s="387"/>
      <c r="W93" s="387"/>
      <c r="X93" s="387"/>
      <c r="Y93" s="387"/>
      <c r="Z93" s="387"/>
      <c r="AA93" s="387"/>
      <c r="AB93" s="387"/>
      <c r="AC93" s="406">
        <v>0.2651335699918923</v>
      </c>
      <c r="AD93" s="406">
        <v>0.22763155708065486</v>
      </c>
      <c r="AE93" s="406">
        <v>0.25091331546272011</v>
      </c>
      <c r="AF93" s="406">
        <v>0.20502326954882286</v>
      </c>
      <c r="AG93" s="406">
        <v>0.18220756215042103</v>
      </c>
      <c r="AH93" s="406"/>
      <c r="AI93" s="406"/>
      <c r="AJ93" s="406"/>
      <c r="AK93" s="406"/>
      <c r="AL93" s="406"/>
      <c r="AM93" s="406"/>
      <c r="AN93" s="406"/>
      <c r="AO93" s="406"/>
      <c r="AP93" s="494"/>
      <c r="AQ93" s="406"/>
      <c r="AR93" s="406"/>
      <c r="AS93" s="406"/>
      <c r="AT93" s="406"/>
      <c r="AU93" s="406">
        <f t="shared" ref="AS93:AX96" si="4">AVERAGE(AD93:AF93)</f>
        <v>0.22785604736406595</v>
      </c>
      <c r="AV93" s="406">
        <f t="shared" si="4"/>
        <v>0.21271471572065467</v>
      </c>
      <c r="AW93" s="406">
        <f t="shared" si="4"/>
        <v>0.19361541584962194</v>
      </c>
      <c r="AX93" s="406">
        <f t="shared" si="4"/>
        <v>0.18220756215042103</v>
      </c>
      <c r="AY93" s="494"/>
      <c r="AZ93" s="406" t="s">
        <v>371</v>
      </c>
      <c r="BA93" s="406"/>
      <c r="BC93" s="406" t="s">
        <v>371</v>
      </c>
      <c r="BD93" s="406"/>
    </row>
    <row r="94" spans="2:56" outlineLevel="2" x14ac:dyDescent="0.45">
      <c r="B94" s="394" t="s">
        <v>1062</v>
      </c>
      <c r="C94" s="395"/>
      <c r="D94" s="396"/>
      <c r="E94" s="321"/>
      <c r="F94" s="321"/>
      <c r="G94" s="321"/>
      <c r="H94" s="321"/>
      <c r="I94" s="321"/>
      <c r="J94" s="321"/>
      <c r="K94" s="321"/>
      <c r="L94" s="321"/>
      <c r="M94" s="321"/>
      <c r="N94" s="321"/>
      <c r="O94" s="321"/>
      <c r="P94" s="321"/>
      <c r="Q94" s="321"/>
      <c r="R94" s="387"/>
      <c r="S94" s="387"/>
      <c r="T94" s="387"/>
      <c r="U94" s="387"/>
      <c r="V94" s="387"/>
      <c r="W94" s="387"/>
      <c r="X94" s="387"/>
      <c r="Y94" s="387"/>
      <c r="Z94" s="387"/>
      <c r="AA94" s="387"/>
      <c r="AB94" s="387"/>
      <c r="AC94" s="407">
        <v>5.1771807127912128E-2</v>
      </c>
      <c r="AD94" s="407">
        <v>4.8674185129284085E-2</v>
      </c>
      <c r="AE94" s="407">
        <v>5.4856535577027271E-2</v>
      </c>
      <c r="AF94" s="407">
        <v>5.0154668542114221E-2</v>
      </c>
      <c r="AG94" s="406">
        <v>5.2162136356594467E-2</v>
      </c>
      <c r="AH94" s="407"/>
      <c r="AI94" s="407"/>
      <c r="AJ94" s="407"/>
      <c r="AK94" s="407"/>
      <c r="AL94" s="407"/>
      <c r="AM94" s="407"/>
      <c r="AN94" s="407"/>
      <c r="AO94" s="407"/>
      <c r="AP94" s="494"/>
      <c r="AQ94" s="406"/>
      <c r="AR94" s="406"/>
      <c r="AS94" s="406"/>
      <c r="AT94" s="406"/>
      <c r="AU94" s="406">
        <f t="shared" si="4"/>
        <v>5.1228463082808533E-2</v>
      </c>
      <c r="AV94" s="406">
        <f t="shared" si="4"/>
        <v>5.2391113491911993E-2</v>
      </c>
      <c r="AW94" s="406">
        <f t="shared" si="4"/>
        <v>5.1158402449354344E-2</v>
      </c>
      <c r="AX94" s="406">
        <f t="shared" si="4"/>
        <v>5.2162136356594467E-2</v>
      </c>
      <c r="AY94" s="494"/>
      <c r="AZ94" s="407" t="s">
        <v>371</v>
      </c>
      <c r="BA94" s="407"/>
      <c r="BC94" s="407" t="s">
        <v>371</v>
      </c>
      <c r="BD94" s="407"/>
    </row>
    <row r="95" spans="2:56" outlineLevel="2" x14ac:dyDescent="0.45">
      <c r="B95" s="394" t="s">
        <v>1063</v>
      </c>
      <c r="C95" s="395"/>
      <c r="D95" s="396"/>
      <c r="E95" s="321"/>
      <c r="F95" s="321"/>
      <c r="G95" s="321"/>
      <c r="H95" s="321"/>
      <c r="I95" s="321"/>
      <c r="J95" s="321"/>
      <c r="K95" s="321"/>
      <c r="L95" s="321"/>
      <c r="M95" s="321"/>
      <c r="N95" s="321"/>
      <c r="O95" s="321"/>
      <c r="P95" s="321"/>
      <c r="Q95" s="321"/>
      <c r="R95" s="387"/>
      <c r="S95" s="387"/>
      <c r="T95" s="387"/>
      <c r="U95" s="387"/>
      <c r="V95" s="387"/>
      <c r="W95" s="387"/>
      <c r="X95" s="387"/>
      <c r="Y95" s="387"/>
      <c r="Z95" s="387"/>
      <c r="AA95" s="387"/>
      <c r="AB95" s="387"/>
      <c r="AC95" s="402" t="s">
        <v>371</v>
      </c>
      <c r="AD95" s="402" t="s">
        <v>371</v>
      </c>
      <c r="AE95" s="431">
        <v>4.2725554346162882E-2</v>
      </c>
      <c r="AF95" s="431">
        <v>8.3587730424970363E-2</v>
      </c>
      <c r="AG95" s="431">
        <v>0.11052720172031683</v>
      </c>
      <c r="AH95" s="402"/>
      <c r="AI95" s="402"/>
      <c r="AJ95" s="402"/>
      <c r="AK95" s="402"/>
      <c r="AL95" s="402"/>
      <c r="AM95" s="402"/>
      <c r="AN95" s="402"/>
      <c r="AO95" s="402"/>
      <c r="AP95" s="494"/>
      <c r="AQ95" s="431"/>
      <c r="AR95" s="431"/>
      <c r="AS95" s="431"/>
      <c r="AT95" s="431"/>
      <c r="AU95" s="431">
        <f t="shared" si="4"/>
        <v>6.3156642385566619E-2</v>
      </c>
      <c r="AV95" s="431">
        <f t="shared" si="4"/>
        <v>7.8946828830483359E-2</v>
      </c>
      <c r="AW95" s="431">
        <f t="shared" si="4"/>
        <v>9.7057466072643594E-2</v>
      </c>
      <c r="AX95" s="431">
        <f t="shared" si="4"/>
        <v>0.11052720172031683</v>
      </c>
      <c r="AY95" s="494"/>
      <c r="AZ95" s="402" t="s">
        <v>371</v>
      </c>
      <c r="BA95" s="402"/>
      <c r="BC95" s="402" t="s">
        <v>371</v>
      </c>
      <c r="BD95" s="402"/>
    </row>
    <row r="96" spans="2:56" outlineLevel="2" x14ac:dyDescent="0.45">
      <c r="B96" s="397" t="s">
        <v>450</v>
      </c>
      <c r="C96" s="398"/>
      <c r="D96" s="399"/>
      <c r="E96" s="321"/>
      <c r="F96" s="321"/>
      <c r="G96" s="321"/>
      <c r="H96" s="321"/>
      <c r="I96" s="321"/>
      <c r="J96" s="321"/>
      <c r="K96" s="321"/>
      <c r="L96" s="321"/>
      <c r="M96" s="321"/>
      <c r="N96" s="321"/>
      <c r="O96" s="321"/>
      <c r="P96" s="321"/>
      <c r="Q96" s="321"/>
      <c r="R96" s="387"/>
      <c r="S96" s="387"/>
      <c r="T96" s="387"/>
      <c r="U96" s="387"/>
      <c r="V96" s="387"/>
      <c r="W96" s="387"/>
      <c r="X96" s="387"/>
      <c r="Y96" s="387"/>
      <c r="Z96" s="387"/>
      <c r="AA96" s="387"/>
      <c r="AB96" s="387"/>
      <c r="AC96" s="407">
        <v>0.40559407671629483</v>
      </c>
      <c r="AD96" s="407">
        <v>0.4135402057485526</v>
      </c>
      <c r="AE96" s="407">
        <v>0.419229741300365</v>
      </c>
      <c r="AF96" s="407">
        <v>0.43986848325062033</v>
      </c>
      <c r="AG96" s="407">
        <v>0.41693264046751027</v>
      </c>
      <c r="AH96" s="407"/>
      <c r="AI96" s="407"/>
      <c r="AJ96" s="407"/>
      <c r="AK96" s="407"/>
      <c r="AL96" s="407"/>
      <c r="AM96" s="407"/>
      <c r="AN96" s="407"/>
      <c r="AO96" s="407"/>
      <c r="AP96" s="494"/>
      <c r="AQ96" s="407"/>
      <c r="AR96" s="407"/>
      <c r="AS96" s="407"/>
      <c r="AT96" s="407"/>
      <c r="AU96" s="407">
        <f t="shared" si="4"/>
        <v>0.42421281009984596</v>
      </c>
      <c r="AV96" s="407">
        <f t="shared" si="4"/>
        <v>0.42534362167283185</v>
      </c>
      <c r="AW96" s="407">
        <f t="shared" si="4"/>
        <v>0.42840056185906528</v>
      </c>
      <c r="AX96" s="407">
        <f t="shared" si="4"/>
        <v>0.41693264046751027</v>
      </c>
      <c r="AY96" s="494"/>
      <c r="AZ96" s="407" t="s">
        <v>371</v>
      </c>
      <c r="BA96" s="407"/>
      <c r="BC96" s="407" t="s">
        <v>371</v>
      </c>
      <c r="BD96" s="407"/>
    </row>
    <row r="97" spans="2:56" outlineLevel="1" x14ac:dyDescent="0.45">
      <c r="B97" s="321"/>
      <c r="C97" s="321"/>
      <c r="D97" s="352"/>
      <c r="E97" s="321"/>
      <c r="F97" s="321"/>
      <c r="G97" s="321"/>
      <c r="H97" s="321"/>
      <c r="I97" s="321"/>
      <c r="J97" s="321"/>
      <c r="K97" s="321"/>
      <c r="L97" s="321"/>
      <c r="M97" s="321"/>
      <c r="N97" s="321"/>
      <c r="O97" s="321"/>
      <c r="P97" s="321"/>
      <c r="Q97" s="321"/>
      <c r="R97" s="294"/>
      <c r="S97" s="294"/>
      <c r="T97" s="294"/>
      <c r="U97" s="294"/>
      <c r="V97" s="294"/>
      <c r="W97" s="294"/>
      <c r="X97" s="294"/>
      <c r="Y97" s="294"/>
      <c r="Z97" s="294"/>
      <c r="AA97" s="294"/>
      <c r="AB97" s="294"/>
      <c r="AC97" s="294"/>
      <c r="AD97" s="294"/>
      <c r="AE97" s="294"/>
      <c r="AF97" s="294"/>
      <c r="AG97" s="294"/>
      <c r="AH97" s="294"/>
      <c r="AI97" s="294"/>
      <c r="AJ97" s="294"/>
      <c r="AK97" s="294"/>
      <c r="AL97" s="294"/>
      <c r="AM97" s="294"/>
      <c r="AN97" s="294"/>
      <c r="AO97" s="294"/>
      <c r="AP97" s="494"/>
      <c r="AQ97" s="294"/>
      <c r="AR97" s="294"/>
      <c r="AS97" s="294"/>
      <c r="AT97" s="294"/>
      <c r="AU97" s="294"/>
      <c r="AV97" s="294"/>
      <c r="AW97" s="294"/>
      <c r="AX97" s="294"/>
      <c r="AY97" s="494"/>
      <c r="AZ97" s="294"/>
      <c r="BA97" s="294"/>
      <c r="BC97" s="294"/>
      <c r="BD97" s="294"/>
    </row>
    <row r="98" spans="2:56" outlineLevel="1" x14ac:dyDescent="0.45">
      <c r="B98" s="287" t="s">
        <v>1072</v>
      </c>
      <c r="C98" s="288"/>
      <c r="D98" s="288"/>
      <c r="E98" s="288"/>
      <c r="F98" s="288"/>
      <c r="G98" s="288"/>
      <c r="H98" s="288"/>
      <c r="I98" s="288"/>
      <c r="J98" s="288"/>
      <c r="K98" s="288"/>
      <c r="L98" s="288"/>
      <c r="M98" s="288"/>
      <c r="N98" s="288"/>
      <c r="O98" s="288"/>
      <c r="P98" s="288"/>
      <c r="Q98" s="288"/>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494"/>
      <c r="AQ98" s="289"/>
      <c r="AR98" s="289"/>
      <c r="AS98" s="289"/>
      <c r="AT98" s="289"/>
      <c r="AU98" s="289"/>
      <c r="AV98" s="289"/>
      <c r="AW98" s="289"/>
      <c r="AX98" s="289"/>
      <c r="AY98" s="494"/>
      <c r="AZ98" s="289"/>
      <c r="BA98" s="289"/>
      <c r="BC98" s="289"/>
      <c r="BD98" s="289"/>
    </row>
    <row r="99" spans="2:56" outlineLevel="2" x14ac:dyDescent="0.45">
      <c r="B99" s="321"/>
      <c r="C99" s="321"/>
      <c r="D99" s="352"/>
      <c r="E99" s="321"/>
      <c r="F99" s="321"/>
      <c r="G99" s="321"/>
      <c r="H99" s="321"/>
      <c r="I99" s="321"/>
      <c r="J99" s="321"/>
      <c r="K99" s="321"/>
      <c r="L99" s="321"/>
      <c r="M99" s="321"/>
      <c r="N99" s="321"/>
      <c r="O99" s="321"/>
      <c r="P99" s="321"/>
      <c r="Q99" s="321"/>
      <c r="R99" s="294"/>
      <c r="S99" s="294"/>
      <c r="T99" s="294"/>
      <c r="U99" s="294"/>
      <c r="V99" s="294"/>
      <c r="W99" s="294"/>
      <c r="X99" s="294"/>
      <c r="Y99" s="294"/>
      <c r="Z99" s="294"/>
      <c r="AA99" s="294"/>
      <c r="AB99" s="294"/>
      <c r="AC99" s="294"/>
      <c r="AD99" s="294"/>
      <c r="AE99" s="294"/>
      <c r="AF99" s="294"/>
      <c r="AG99" s="294"/>
      <c r="AH99" s="294"/>
      <c r="AI99" s="294"/>
      <c r="AJ99" s="294"/>
      <c r="AK99" s="294"/>
      <c r="AL99" s="294"/>
      <c r="AM99" s="294"/>
      <c r="AN99" s="294"/>
      <c r="AO99" s="294"/>
      <c r="AP99" s="494"/>
      <c r="AQ99" s="294"/>
      <c r="AR99" s="294"/>
      <c r="AS99" s="294"/>
      <c r="AT99" s="294"/>
      <c r="AU99" s="294"/>
      <c r="AV99" s="294"/>
      <c r="AW99" s="294"/>
      <c r="AX99" s="294"/>
      <c r="AY99" s="494"/>
      <c r="AZ99" s="294"/>
      <c r="BA99" s="294"/>
      <c r="BC99" s="294"/>
      <c r="BD99" s="294"/>
    </row>
    <row r="100" spans="2:56" outlineLevel="2" x14ac:dyDescent="0.45">
      <c r="B100" s="321" t="s">
        <v>1073</v>
      </c>
      <c r="C100" s="321"/>
      <c r="D100" s="352"/>
      <c r="E100" s="321"/>
      <c r="F100" s="321"/>
      <c r="G100" s="321"/>
      <c r="H100" s="321"/>
      <c r="I100" s="321"/>
      <c r="J100" s="321"/>
      <c r="K100" s="321"/>
      <c r="L100" s="321"/>
      <c r="M100" s="321"/>
      <c r="N100" s="321"/>
      <c r="O100" s="321"/>
      <c r="P100" s="321"/>
      <c r="Q100" s="321"/>
      <c r="R100" s="294"/>
      <c r="S100" s="294"/>
      <c r="T100" s="294"/>
      <c r="U100" s="294"/>
      <c r="V100" s="294"/>
      <c r="W100" s="294"/>
      <c r="X100" s="294"/>
      <c r="Y100" s="294"/>
      <c r="Z100" s="294"/>
      <c r="AA100" s="294"/>
      <c r="AB100" s="294"/>
      <c r="AC100" s="412">
        <v>9712384.8158620615</v>
      </c>
      <c r="AD100" s="412">
        <v>10200185.349655181</v>
      </c>
      <c r="AE100" s="412">
        <v>10133778.337931059</v>
      </c>
      <c r="AF100" s="412">
        <v>12096766.996120144</v>
      </c>
      <c r="AG100" s="412">
        <f>SUM(AG101:AG103)</f>
        <v>12179020.288793106</v>
      </c>
      <c r="AH100" s="412"/>
      <c r="AI100" s="412"/>
      <c r="AJ100" s="412"/>
      <c r="AK100" s="412"/>
      <c r="AL100" s="412"/>
      <c r="AM100" s="412"/>
      <c r="AN100" s="412"/>
      <c r="AO100" s="412"/>
      <c r="AP100" s="494"/>
      <c r="AQ100" s="412"/>
      <c r="AR100" s="412"/>
      <c r="AS100" s="412"/>
      <c r="AT100" s="412"/>
      <c r="AU100" s="412">
        <f>SUM(AD100:AF100)</f>
        <v>32430730.683706384</v>
      </c>
      <c r="AV100" s="412">
        <f>SUM(AE100:AG100)</f>
        <v>34409565.622844309</v>
      </c>
      <c r="AW100" s="412">
        <f>SUM(AF100:AH100)</f>
        <v>24275787.284913249</v>
      </c>
      <c r="AX100" s="412">
        <f>SUM(AG100:AI100)</f>
        <v>12179020.288793106</v>
      </c>
      <c r="AY100" s="494"/>
      <c r="AZ100" s="412"/>
      <c r="BA100" s="412"/>
      <c r="BC100" s="412"/>
      <c r="BD100" s="412"/>
    </row>
    <row r="101" spans="2:56" outlineLevel="2" x14ac:dyDescent="0.45">
      <c r="B101" s="394" t="s">
        <v>1061</v>
      </c>
      <c r="C101" s="395"/>
      <c r="D101" s="396"/>
      <c r="E101" s="392"/>
      <c r="F101" s="392"/>
      <c r="G101" s="392"/>
      <c r="H101" s="392"/>
      <c r="I101" s="393"/>
      <c r="J101" s="390"/>
      <c r="K101" s="390"/>
      <c r="L101" s="390"/>
      <c r="M101" s="390"/>
      <c r="N101" s="390"/>
      <c r="O101" s="390"/>
      <c r="P101" s="390"/>
      <c r="Q101" s="390"/>
      <c r="R101" s="387"/>
      <c r="S101" s="387"/>
      <c r="T101" s="387"/>
      <c r="U101" s="387"/>
      <c r="V101" s="387"/>
      <c r="W101" s="387"/>
      <c r="X101" s="387"/>
      <c r="Y101" s="387"/>
      <c r="Z101" s="387"/>
      <c r="AA101" s="387"/>
      <c r="AB101" s="387"/>
      <c r="AC101" s="409">
        <v>8251500.7986206813</v>
      </c>
      <c r="AD101" s="413">
        <v>8714941.8237931132</v>
      </c>
      <c r="AE101" s="409">
        <v>8593467.234482782</v>
      </c>
      <c r="AF101" s="409">
        <v>10175706.875430489</v>
      </c>
      <c r="AG101" s="409">
        <v>9815984.0301724169</v>
      </c>
      <c r="AH101" s="413"/>
      <c r="AI101" s="413"/>
      <c r="AJ101" s="413"/>
      <c r="AK101" s="413"/>
      <c r="AL101" s="413"/>
      <c r="AM101" s="413"/>
      <c r="AN101" s="413"/>
      <c r="AO101" s="413"/>
      <c r="AP101" s="494"/>
      <c r="AQ101" s="409"/>
      <c r="AR101" s="409"/>
      <c r="AS101" s="409"/>
      <c r="AT101" s="409"/>
      <c r="AU101" s="409">
        <f t="shared" ref="AS101:AX103" si="5">SUM(AD101:AF101)</f>
        <v>27484115.93370638</v>
      </c>
      <c r="AV101" s="409">
        <f t="shared" si="5"/>
        <v>28585158.14008569</v>
      </c>
      <c r="AW101" s="409">
        <f t="shared" si="5"/>
        <v>19991690.905602906</v>
      </c>
      <c r="AX101" s="409">
        <f t="shared" si="5"/>
        <v>9815984.0301724169</v>
      </c>
      <c r="AY101" s="494"/>
      <c r="AZ101" s="413" t="s">
        <v>371</v>
      </c>
      <c r="BA101" s="413"/>
      <c r="BC101" s="413" t="s">
        <v>371</v>
      </c>
      <c r="BD101" s="413"/>
    </row>
    <row r="102" spans="2:56" outlineLevel="2" x14ac:dyDescent="0.45">
      <c r="B102" s="394" t="s">
        <v>1062</v>
      </c>
      <c r="C102" s="395"/>
      <c r="D102" s="396"/>
      <c r="E102" s="321"/>
      <c r="F102" s="321"/>
      <c r="G102" s="321"/>
      <c r="H102" s="321"/>
      <c r="I102" s="321"/>
      <c r="J102" s="321"/>
      <c r="K102" s="321"/>
      <c r="L102" s="321"/>
      <c r="M102" s="321"/>
      <c r="N102" s="321"/>
      <c r="O102" s="321"/>
      <c r="P102" s="321"/>
      <c r="Q102" s="321"/>
      <c r="R102" s="387"/>
      <c r="S102" s="387"/>
      <c r="T102" s="387"/>
      <c r="U102" s="387"/>
      <c r="V102" s="387"/>
      <c r="W102" s="387"/>
      <c r="X102" s="387"/>
      <c r="Y102" s="387"/>
      <c r="Z102" s="387"/>
      <c r="AA102" s="387"/>
      <c r="AB102" s="387"/>
      <c r="AC102" s="409">
        <v>1460884.0172413799</v>
      </c>
      <c r="AD102" s="413">
        <v>1485243.5258620689</v>
      </c>
      <c r="AE102" s="409">
        <v>1526710.7758620693</v>
      </c>
      <c r="AF102" s="409">
        <v>1688496.1810344823</v>
      </c>
      <c r="AG102" s="409">
        <v>2048893.7586206892</v>
      </c>
      <c r="AH102" s="413"/>
      <c r="AI102" s="413"/>
      <c r="AJ102" s="413"/>
      <c r="AK102" s="413"/>
      <c r="AL102" s="413"/>
      <c r="AM102" s="413"/>
      <c r="AN102" s="413"/>
      <c r="AO102" s="413"/>
      <c r="AP102" s="494"/>
      <c r="AQ102" s="409"/>
      <c r="AR102" s="409"/>
      <c r="AS102" s="409"/>
      <c r="AT102" s="409"/>
      <c r="AU102" s="409">
        <f t="shared" si="5"/>
        <v>4700450.4827586208</v>
      </c>
      <c r="AV102" s="409">
        <f t="shared" si="5"/>
        <v>5264100.7155172415</v>
      </c>
      <c r="AW102" s="409">
        <f t="shared" si="5"/>
        <v>3737389.9396551717</v>
      </c>
      <c r="AX102" s="409">
        <f t="shared" si="5"/>
        <v>2048893.7586206892</v>
      </c>
      <c r="AY102" s="494"/>
      <c r="AZ102" s="413" t="s">
        <v>371</v>
      </c>
      <c r="BA102" s="413"/>
      <c r="BC102" s="413" t="s">
        <v>371</v>
      </c>
      <c r="BD102" s="413"/>
    </row>
    <row r="103" spans="2:56" outlineLevel="2" x14ac:dyDescent="0.45">
      <c r="B103" s="394" t="s">
        <v>1063</v>
      </c>
      <c r="C103" s="395"/>
      <c r="D103" s="396"/>
      <c r="E103" s="321"/>
      <c r="F103" s="321"/>
      <c r="G103" s="321"/>
      <c r="H103" s="321"/>
      <c r="I103" s="321"/>
      <c r="J103" s="321"/>
      <c r="K103" s="321"/>
      <c r="L103" s="321"/>
      <c r="M103" s="321"/>
      <c r="N103" s="321"/>
      <c r="O103" s="321"/>
      <c r="P103" s="321"/>
      <c r="Q103" s="321"/>
      <c r="R103" s="387"/>
      <c r="S103" s="387"/>
      <c r="T103" s="387"/>
      <c r="U103" s="387"/>
      <c r="V103" s="387"/>
      <c r="W103" s="387"/>
      <c r="X103" s="387"/>
      <c r="Y103" s="387"/>
      <c r="Z103" s="387"/>
      <c r="AA103" s="387"/>
      <c r="AB103" s="387"/>
      <c r="AC103" s="410">
        <v>0</v>
      </c>
      <c r="AD103" s="411">
        <v>0</v>
      </c>
      <c r="AE103" s="411">
        <v>13600.327586206899</v>
      </c>
      <c r="AF103" s="411">
        <v>232563.93965517238</v>
      </c>
      <c r="AG103" s="411">
        <v>314142.5</v>
      </c>
      <c r="AH103" s="411"/>
      <c r="AI103" s="411"/>
      <c r="AJ103" s="411"/>
      <c r="AK103" s="411"/>
      <c r="AL103" s="411"/>
      <c r="AM103" s="411"/>
      <c r="AN103" s="411"/>
      <c r="AO103" s="411"/>
      <c r="AP103" s="494"/>
      <c r="AQ103" s="411"/>
      <c r="AR103" s="411"/>
      <c r="AS103" s="411"/>
      <c r="AT103" s="411"/>
      <c r="AU103" s="411">
        <f t="shared" si="5"/>
        <v>246164.26724137928</v>
      </c>
      <c r="AV103" s="411">
        <f t="shared" si="5"/>
        <v>560306.76724137925</v>
      </c>
      <c r="AW103" s="411">
        <f t="shared" si="5"/>
        <v>546706.43965517241</v>
      </c>
      <c r="AX103" s="411">
        <f t="shared" si="5"/>
        <v>314142.5</v>
      </c>
      <c r="AY103" s="494"/>
      <c r="AZ103" s="411" t="s">
        <v>371</v>
      </c>
      <c r="BA103" s="411"/>
      <c r="BC103" s="411" t="s">
        <v>371</v>
      </c>
      <c r="BD103" s="411"/>
    </row>
    <row r="104" spans="2:56" outlineLevel="1" x14ac:dyDescent="0.45">
      <c r="B104" s="321"/>
      <c r="C104" s="321"/>
      <c r="D104" s="352"/>
      <c r="E104" s="321"/>
      <c r="F104" s="321"/>
      <c r="G104" s="321"/>
      <c r="H104" s="321"/>
      <c r="I104" s="321"/>
      <c r="J104" s="321"/>
      <c r="K104" s="321"/>
      <c r="L104" s="321"/>
      <c r="M104" s="321"/>
      <c r="N104" s="321"/>
      <c r="O104" s="321"/>
      <c r="P104" s="321"/>
      <c r="Q104" s="321"/>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c r="AN104" s="294"/>
      <c r="AO104" s="294"/>
      <c r="AP104" s="494"/>
      <c r="AQ104" s="294"/>
      <c r="AR104" s="294"/>
      <c r="AS104" s="294"/>
      <c r="AT104" s="294"/>
      <c r="AU104" s="294"/>
      <c r="AV104" s="294"/>
      <c r="AW104" s="294"/>
      <c r="AX104" s="294"/>
      <c r="AY104" s="494"/>
      <c r="AZ104" s="294"/>
      <c r="BA104" s="294"/>
      <c r="BC104" s="294"/>
      <c r="BD104" s="294"/>
    </row>
    <row r="105" spans="2:56" outlineLevel="1" x14ac:dyDescent="0.45">
      <c r="B105" s="287" t="s">
        <v>1074</v>
      </c>
      <c r="C105" s="288"/>
      <c r="D105" s="288"/>
      <c r="E105" s="288"/>
      <c r="F105" s="288"/>
      <c r="G105" s="288"/>
      <c r="H105" s="288"/>
      <c r="I105" s="288"/>
      <c r="J105" s="288"/>
      <c r="K105" s="288"/>
      <c r="L105" s="288"/>
      <c r="M105" s="288"/>
      <c r="N105" s="288"/>
      <c r="O105" s="288"/>
      <c r="P105" s="288"/>
      <c r="Q105" s="288"/>
      <c r="R105" s="289"/>
      <c r="S105" s="289"/>
      <c r="T105" s="289"/>
      <c r="U105" s="289"/>
      <c r="V105" s="289"/>
      <c r="W105" s="289"/>
      <c r="X105" s="289"/>
      <c r="Y105" s="289"/>
      <c r="Z105" s="289"/>
      <c r="AA105" s="289"/>
      <c r="AB105" s="289"/>
      <c r="AC105" s="289"/>
      <c r="AD105" s="289"/>
      <c r="AE105" s="289"/>
      <c r="AF105" s="289"/>
      <c r="AG105" s="289"/>
      <c r="AH105" s="289"/>
      <c r="AI105" s="289"/>
      <c r="AJ105" s="289"/>
      <c r="AK105" s="289"/>
      <c r="AL105" s="289"/>
      <c r="AM105" s="289"/>
      <c r="AN105" s="289"/>
      <c r="AO105" s="289"/>
      <c r="AP105" s="494"/>
      <c r="AQ105" s="289"/>
      <c r="AR105" s="289"/>
      <c r="AS105" s="289"/>
      <c r="AT105" s="289"/>
      <c r="AU105" s="289"/>
      <c r="AV105" s="289"/>
      <c r="AW105" s="289"/>
      <c r="AX105" s="289"/>
      <c r="AY105" s="494"/>
      <c r="AZ105" s="289"/>
      <c r="BA105" s="289"/>
      <c r="BC105" s="289"/>
      <c r="BD105" s="289"/>
    </row>
    <row r="106" spans="2:56" outlineLevel="2" x14ac:dyDescent="0.45">
      <c r="B106" s="321"/>
      <c r="C106" s="321"/>
      <c r="D106" s="352"/>
      <c r="E106" s="321"/>
      <c r="F106" s="321"/>
      <c r="G106" s="321"/>
      <c r="H106" s="321"/>
      <c r="I106" s="321"/>
      <c r="J106" s="321"/>
      <c r="K106" s="321"/>
      <c r="L106" s="321"/>
      <c r="M106" s="321"/>
      <c r="N106" s="321"/>
      <c r="O106" s="321"/>
      <c r="P106" s="321"/>
      <c r="Q106" s="321"/>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c r="AN106" s="294"/>
      <c r="AO106" s="294"/>
      <c r="AP106" s="494"/>
      <c r="AQ106" s="294"/>
      <c r="AR106" s="294"/>
      <c r="AS106" s="294"/>
      <c r="AT106" s="294"/>
      <c r="AU106" s="294"/>
      <c r="AV106" s="294"/>
      <c r="AW106" s="294"/>
      <c r="AX106" s="294"/>
      <c r="AY106" s="494"/>
      <c r="AZ106" s="294"/>
      <c r="BA106" s="294"/>
      <c r="BC106" s="294"/>
      <c r="BD106" s="294"/>
    </row>
    <row r="107" spans="2:56" outlineLevel="2" x14ac:dyDescent="0.45">
      <c r="B107" s="321" t="s">
        <v>1073</v>
      </c>
      <c r="C107" s="321"/>
      <c r="D107" s="352"/>
      <c r="E107" s="321"/>
      <c r="F107" s="321"/>
      <c r="G107" s="321"/>
      <c r="H107" s="321"/>
      <c r="I107" s="321"/>
      <c r="J107" s="321"/>
      <c r="K107" s="321"/>
      <c r="L107" s="321"/>
      <c r="M107" s="321"/>
      <c r="N107" s="321"/>
      <c r="O107" s="321"/>
      <c r="P107" s="321"/>
      <c r="Q107" s="321"/>
      <c r="R107" s="294"/>
      <c r="S107" s="294"/>
      <c r="T107" s="294"/>
      <c r="U107" s="294"/>
      <c r="V107" s="294"/>
      <c r="W107" s="294"/>
      <c r="X107" s="294"/>
      <c r="Y107" s="294"/>
      <c r="Z107" s="294"/>
      <c r="AA107" s="294"/>
      <c r="AB107" s="294"/>
      <c r="AC107" s="386">
        <v>7.4152251183776627</v>
      </c>
      <c r="AD107" s="386">
        <v>7.3758373264835289</v>
      </c>
      <c r="AE107" s="386">
        <v>7.3237720574986476</v>
      </c>
      <c r="AF107" s="386">
        <v>7.3648383244527444</v>
      </c>
      <c r="AG107" s="386">
        <v>7.3045023673048917</v>
      </c>
      <c r="AH107" s="386"/>
      <c r="AI107" s="386"/>
      <c r="AJ107" s="386"/>
      <c r="AK107" s="386"/>
      <c r="AL107" s="386"/>
      <c r="AM107" s="386"/>
      <c r="AN107" s="386"/>
      <c r="AO107" s="386"/>
      <c r="AP107" s="494"/>
      <c r="AQ107" s="386"/>
      <c r="AR107" s="386"/>
      <c r="AS107" s="386"/>
      <c r="AT107" s="386"/>
      <c r="AU107" s="386">
        <f>AVERAGE(AD107:AF107)</f>
        <v>7.35481590281164</v>
      </c>
      <c r="AV107" s="386">
        <f>AVERAGE(AE107:AG107)</f>
        <v>7.3310375830854282</v>
      </c>
      <c r="AW107" s="386">
        <f>AVERAGE(AF107:AH107)</f>
        <v>7.3346703458788181</v>
      </c>
      <c r="AX107" s="386">
        <f>AVERAGE(AG107:AI107)</f>
        <v>7.3045023673048917</v>
      </c>
      <c r="AY107" s="494"/>
      <c r="AZ107" s="386"/>
      <c r="BA107" s="386"/>
      <c r="BC107" s="386"/>
      <c r="BD107" s="386"/>
    </row>
    <row r="108" spans="2:56" outlineLevel="2" x14ac:dyDescent="0.45">
      <c r="B108" s="394" t="s">
        <v>1061</v>
      </c>
      <c r="C108" s="395"/>
      <c r="D108" s="396"/>
      <c r="E108" s="392"/>
      <c r="F108" s="392"/>
      <c r="G108" s="392"/>
      <c r="H108" s="392"/>
      <c r="I108" s="393"/>
      <c r="J108" s="390"/>
      <c r="K108" s="390"/>
      <c r="L108" s="390"/>
      <c r="M108" s="390"/>
      <c r="N108" s="390"/>
      <c r="O108" s="390"/>
      <c r="P108" s="390"/>
      <c r="Q108" s="390"/>
      <c r="R108" s="387"/>
      <c r="S108" s="387"/>
      <c r="T108" s="387"/>
      <c r="U108" s="387"/>
      <c r="V108" s="387"/>
      <c r="W108" s="387"/>
      <c r="X108" s="387"/>
      <c r="Y108" s="387"/>
      <c r="Z108" s="387"/>
      <c r="AA108" s="387"/>
      <c r="AB108" s="387"/>
      <c r="AC108" s="414">
        <v>7.2847393915927343</v>
      </c>
      <c r="AD108" s="414">
        <v>7.2237692685085815</v>
      </c>
      <c r="AE108" s="414">
        <v>7.1545153787226106</v>
      </c>
      <c r="AF108" s="414">
        <v>7.1693623974748188</v>
      </c>
      <c r="AG108" s="414">
        <v>6.8813849602054074</v>
      </c>
      <c r="AH108" s="414"/>
      <c r="AI108" s="414"/>
      <c r="AJ108" s="414"/>
      <c r="AK108" s="414"/>
      <c r="AL108" s="414"/>
      <c r="AM108" s="414"/>
      <c r="AN108" s="414"/>
      <c r="AO108" s="414"/>
      <c r="AP108" s="494"/>
      <c r="AQ108" s="414"/>
      <c r="AR108" s="414"/>
      <c r="AS108" s="414"/>
      <c r="AT108" s="414"/>
      <c r="AU108" s="414">
        <f t="shared" ref="AS108:AX110" si="6">AVERAGE(AD108:AF108)</f>
        <v>7.1825490149020039</v>
      </c>
      <c r="AV108" s="414">
        <f t="shared" si="6"/>
        <v>7.0684209121342789</v>
      </c>
      <c r="AW108" s="414">
        <f t="shared" si="6"/>
        <v>7.0253736788401131</v>
      </c>
      <c r="AX108" s="414">
        <f t="shared" si="6"/>
        <v>6.8813849602054074</v>
      </c>
      <c r="AY108" s="494"/>
      <c r="AZ108" s="414" t="s">
        <v>371</v>
      </c>
      <c r="BA108" s="414"/>
      <c r="BC108" s="414" t="s">
        <v>371</v>
      </c>
      <c r="BD108" s="414"/>
    </row>
    <row r="109" spans="2:56" outlineLevel="2" x14ac:dyDescent="0.45">
      <c r="B109" s="394" t="s">
        <v>1062</v>
      </c>
      <c r="C109" s="395"/>
      <c r="D109" s="396"/>
      <c r="E109" s="321"/>
      <c r="F109" s="321"/>
      <c r="G109" s="321"/>
      <c r="H109" s="321"/>
      <c r="I109" s="321"/>
      <c r="J109" s="321"/>
      <c r="K109" s="321"/>
      <c r="L109" s="321"/>
      <c r="M109" s="321"/>
      <c r="N109" s="321"/>
      <c r="O109" s="321"/>
      <c r="P109" s="321"/>
      <c r="Q109" s="321"/>
      <c r="R109" s="387"/>
      <c r="S109" s="387"/>
      <c r="T109" s="387"/>
      <c r="U109" s="387"/>
      <c r="V109" s="387"/>
      <c r="W109" s="387"/>
      <c r="X109" s="387"/>
      <c r="Y109" s="387"/>
      <c r="Z109" s="387"/>
      <c r="AA109" s="387"/>
      <c r="AB109" s="387"/>
      <c r="AC109" s="387">
        <v>8.24989473485258</v>
      </c>
      <c r="AD109" s="387">
        <v>8.4153045395779706</v>
      </c>
      <c r="AE109" s="387">
        <v>8.4310774824115651</v>
      </c>
      <c r="AF109" s="387">
        <v>8.5688268795591327</v>
      </c>
      <c r="AG109" s="387">
        <v>10.061703963244941</v>
      </c>
      <c r="AH109" s="387"/>
      <c r="AI109" s="387"/>
      <c r="AJ109" s="387"/>
      <c r="AK109" s="387"/>
      <c r="AL109" s="387"/>
      <c r="AM109" s="387"/>
      <c r="AN109" s="387"/>
      <c r="AO109" s="387"/>
      <c r="AP109" s="494"/>
      <c r="AQ109" s="387"/>
      <c r="AR109" s="387"/>
      <c r="AS109" s="387"/>
      <c r="AT109" s="387"/>
      <c r="AU109" s="387">
        <f t="shared" si="6"/>
        <v>8.4717363005162216</v>
      </c>
      <c r="AV109" s="387">
        <f t="shared" si="6"/>
        <v>9.0205361084052136</v>
      </c>
      <c r="AW109" s="387">
        <f t="shared" si="6"/>
        <v>9.3152654214020369</v>
      </c>
      <c r="AX109" s="387">
        <f t="shared" si="6"/>
        <v>10.061703963244941</v>
      </c>
      <c r="AY109" s="494"/>
      <c r="AZ109" s="387" t="s">
        <v>371</v>
      </c>
      <c r="BA109" s="387"/>
      <c r="BC109" s="387" t="s">
        <v>371</v>
      </c>
      <c r="BD109" s="387"/>
    </row>
    <row r="110" spans="2:56" outlineLevel="2" x14ac:dyDescent="0.45">
      <c r="B110" s="394" t="s">
        <v>1063</v>
      </c>
      <c r="C110" s="395"/>
      <c r="D110" s="396"/>
      <c r="E110" s="321"/>
      <c r="F110" s="321"/>
      <c r="G110" s="321"/>
      <c r="H110" s="321"/>
      <c r="I110" s="321"/>
      <c r="J110" s="321"/>
      <c r="K110" s="321"/>
      <c r="L110" s="321"/>
      <c r="M110" s="321"/>
      <c r="N110" s="321"/>
      <c r="O110" s="321"/>
      <c r="P110" s="321"/>
      <c r="Q110" s="321"/>
      <c r="R110" s="387"/>
      <c r="S110" s="387"/>
      <c r="T110" s="387"/>
      <c r="U110" s="387"/>
      <c r="V110" s="387"/>
      <c r="W110" s="387"/>
      <c r="X110" s="387"/>
      <c r="Y110" s="387"/>
      <c r="Z110" s="387"/>
      <c r="AA110" s="387"/>
      <c r="AB110" s="387"/>
      <c r="AC110" s="402" t="s">
        <v>371</v>
      </c>
      <c r="AD110" s="402" t="s">
        <v>371</v>
      </c>
      <c r="AE110" s="387">
        <v>9.2106001503856767</v>
      </c>
      <c r="AF110" s="387">
        <v>8.9038455196232711</v>
      </c>
      <c r="AG110" s="387">
        <v>8.4349407942432126</v>
      </c>
      <c r="AH110" s="402"/>
      <c r="AI110" s="402"/>
      <c r="AJ110" s="402"/>
      <c r="AK110" s="402"/>
      <c r="AL110" s="402"/>
      <c r="AM110" s="402"/>
      <c r="AN110" s="402"/>
      <c r="AO110" s="402"/>
      <c r="AP110" s="494"/>
      <c r="AQ110" s="387"/>
      <c r="AR110" s="387"/>
      <c r="AS110" s="387"/>
      <c r="AT110" s="387"/>
      <c r="AU110" s="387">
        <f t="shared" si="6"/>
        <v>9.0572228350044739</v>
      </c>
      <c r="AV110" s="387">
        <f t="shared" si="6"/>
        <v>8.8497954880840535</v>
      </c>
      <c r="AW110" s="387">
        <f t="shared" si="6"/>
        <v>8.6693931569332428</v>
      </c>
      <c r="AX110" s="387">
        <f t="shared" si="6"/>
        <v>8.4349407942432126</v>
      </c>
      <c r="AY110" s="494"/>
      <c r="AZ110" s="402" t="s">
        <v>371</v>
      </c>
      <c r="BA110" s="402"/>
      <c r="BC110" s="402" t="s">
        <v>371</v>
      </c>
      <c r="BD110" s="402"/>
    </row>
    <row r="111" spans="2:56" outlineLevel="1" x14ac:dyDescent="0.45">
      <c r="B111" s="321"/>
      <c r="C111" s="321"/>
      <c r="D111" s="352"/>
      <c r="E111" s="321"/>
      <c r="F111" s="321"/>
      <c r="G111" s="321"/>
      <c r="H111" s="321"/>
      <c r="I111" s="321"/>
      <c r="J111" s="321"/>
      <c r="K111" s="321"/>
      <c r="L111" s="321"/>
      <c r="M111" s="321"/>
      <c r="N111" s="321"/>
      <c r="O111" s="321"/>
      <c r="P111" s="321"/>
      <c r="Q111" s="321"/>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c r="AN111" s="294"/>
      <c r="AO111" s="294"/>
      <c r="AP111" s="494"/>
      <c r="AQ111" s="294"/>
      <c r="AR111" s="294"/>
      <c r="AS111" s="294"/>
      <c r="AT111" s="294"/>
      <c r="AU111" s="294"/>
      <c r="AV111" s="294"/>
      <c r="AW111" s="294"/>
      <c r="AX111" s="294"/>
      <c r="AY111" s="494"/>
      <c r="AZ111" s="294"/>
      <c r="BA111" s="294"/>
      <c r="BC111" s="294"/>
      <c r="BD111" s="294"/>
    </row>
    <row r="112" spans="2:56" outlineLevel="1" x14ac:dyDescent="0.45">
      <c r="B112" s="287" t="s">
        <v>1075</v>
      </c>
      <c r="C112" s="288"/>
      <c r="D112" s="288"/>
      <c r="E112" s="288"/>
      <c r="F112" s="288"/>
      <c r="G112" s="288"/>
      <c r="H112" s="288"/>
      <c r="I112" s="288"/>
      <c r="J112" s="288"/>
      <c r="K112" s="288"/>
      <c r="L112" s="288"/>
      <c r="M112" s="288"/>
      <c r="N112" s="288"/>
      <c r="O112" s="288"/>
      <c r="P112" s="288"/>
      <c r="Q112" s="288"/>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494"/>
      <c r="AQ112" s="289"/>
      <c r="AR112" s="289"/>
      <c r="AS112" s="289"/>
      <c r="AT112" s="289"/>
      <c r="AU112" s="289"/>
      <c r="AV112" s="289"/>
      <c r="AW112" s="289"/>
      <c r="AX112" s="289"/>
      <c r="AY112" s="494"/>
      <c r="AZ112" s="289"/>
      <c r="BA112" s="289"/>
      <c r="BC112" s="289"/>
      <c r="BD112" s="289"/>
    </row>
    <row r="113" spans="2:56" outlineLevel="2" x14ac:dyDescent="0.45">
      <c r="B113" s="321"/>
      <c r="C113" s="321"/>
      <c r="D113" s="352"/>
      <c r="E113" s="321"/>
      <c r="F113" s="321"/>
      <c r="G113" s="321"/>
      <c r="H113" s="321"/>
      <c r="I113" s="321"/>
      <c r="J113" s="321"/>
      <c r="K113" s="321"/>
      <c r="L113" s="321"/>
      <c r="M113" s="321"/>
      <c r="N113" s="321"/>
      <c r="O113" s="321"/>
      <c r="P113" s="321"/>
      <c r="Q113" s="321"/>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c r="AN113" s="294"/>
      <c r="AO113" s="294"/>
      <c r="AP113" s="494"/>
      <c r="AQ113" s="294"/>
      <c r="AR113" s="294"/>
      <c r="AS113" s="294"/>
      <c r="AT113" s="294"/>
      <c r="AU113" s="294"/>
      <c r="AV113" s="294"/>
      <c r="AW113" s="294"/>
      <c r="AX113" s="294"/>
      <c r="AY113" s="494"/>
      <c r="AZ113" s="294"/>
      <c r="BA113" s="294"/>
      <c r="BC113" s="294"/>
      <c r="BD113" s="294"/>
    </row>
    <row r="114" spans="2:56" outlineLevel="2" x14ac:dyDescent="0.45">
      <c r="B114" s="321" t="s">
        <v>1073</v>
      </c>
      <c r="C114" s="321"/>
      <c r="D114" s="352"/>
      <c r="E114" s="321"/>
      <c r="F114" s="321"/>
      <c r="G114" s="321"/>
      <c r="H114" s="321"/>
      <c r="I114" s="321"/>
      <c r="J114" s="321"/>
      <c r="K114" s="321"/>
      <c r="L114" s="321"/>
      <c r="M114" s="321"/>
      <c r="N114" s="321"/>
      <c r="O114" s="321"/>
      <c r="P114" s="321"/>
      <c r="Q114" s="321"/>
      <c r="R114" s="294"/>
      <c r="S114" s="294"/>
      <c r="T114" s="294"/>
      <c r="U114" s="294"/>
      <c r="V114" s="294"/>
      <c r="W114" s="294"/>
      <c r="X114" s="294"/>
      <c r="Y114" s="294"/>
      <c r="Z114" s="294"/>
      <c r="AA114" s="294"/>
      <c r="AB114" s="294"/>
      <c r="AC114" s="386">
        <v>-5.7898145489182928</v>
      </c>
      <c r="AD114" s="386">
        <v>1.5844929156442589</v>
      </c>
      <c r="AE114" s="386">
        <v>1.4193593353613549</v>
      </c>
      <c r="AF114" s="386">
        <v>1.1545344908642241</v>
      </c>
      <c r="AG114" s="386">
        <v>1.2216522986049392</v>
      </c>
      <c r="AH114" s="386"/>
      <c r="AI114" s="386"/>
      <c r="AJ114" s="386"/>
      <c r="AK114" s="386"/>
      <c r="AL114" s="386"/>
      <c r="AM114" s="386"/>
      <c r="AN114" s="386"/>
      <c r="AO114" s="386"/>
      <c r="AP114" s="494"/>
      <c r="AQ114" s="386"/>
      <c r="AR114" s="386"/>
      <c r="AS114" s="386"/>
      <c r="AT114" s="386"/>
      <c r="AU114" s="386">
        <f>AVERAGE(AD114:AF114)</f>
        <v>1.3861289139566126</v>
      </c>
      <c r="AV114" s="386">
        <f>AVERAGE(AE114:AG114)</f>
        <v>1.2651820416101727</v>
      </c>
      <c r="AW114" s="386">
        <f>AVERAGE(AF114:AH114)</f>
        <v>1.1880933947345818</v>
      </c>
      <c r="AX114" s="386">
        <f>AVERAGE(AG114:AI114)</f>
        <v>1.2216522986049392</v>
      </c>
      <c r="AY114" s="494"/>
      <c r="AZ114" s="386"/>
      <c r="BA114" s="386"/>
      <c r="BC114" s="386"/>
      <c r="BD114" s="386"/>
    </row>
    <row r="115" spans="2:56" outlineLevel="2" x14ac:dyDescent="0.45">
      <c r="B115" s="394" t="s">
        <v>1061</v>
      </c>
      <c r="C115" s="395"/>
      <c r="D115" s="396"/>
      <c r="E115" s="392"/>
      <c r="F115" s="392"/>
      <c r="G115" s="392"/>
      <c r="H115" s="392"/>
      <c r="I115" s="393"/>
      <c r="J115" s="390"/>
      <c r="K115" s="390"/>
      <c r="L115" s="390"/>
      <c r="M115" s="390"/>
      <c r="N115" s="390"/>
      <c r="O115" s="390"/>
      <c r="P115" s="390"/>
      <c r="Q115" s="390"/>
      <c r="R115" s="387"/>
      <c r="S115" s="387"/>
      <c r="T115" s="387"/>
      <c r="U115" s="387"/>
      <c r="V115" s="387"/>
      <c r="W115" s="387"/>
      <c r="X115" s="387"/>
      <c r="Y115" s="387"/>
      <c r="Z115" s="387"/>
      <c r="AA115" s="387"/>
      <c r="AB115" s="387"/>
      <c r="AC115" s="402" t="s">
        <v>371</v>
      </c>
      <c r="AD115" s="402" t="s">
        <v>371</v>
      </c>
      <c r="AE115" s="402">
        <v>0</v>
      </c>
      <c r="AF115" s="402">
        <v>0</v>
      </c>
      <c r="AG115" s="402">
        <v>0</v>
      </c>
      <c r="AH115" s="402"/>
      <c r="AI115" s="402"/>
      <c r="AJ115" s="402"/>
      <c r="AK115" s="402"/>
      <c r="AL115" s="402"/>
      <c r="AM115" s="402"/>
      <c r="AN115" s="402"/>
      <c r="AO115" s="402"/>
      <c r="AP115" s="494"/>
      <c r="AQ115" s="402"/>
      <c r="AR115" s="402"/>
      <c r="AS115" s="402"/>
      <c r="AT115" s="402"/>
      <c r="AU115" s="402">
        <f t="shared" ref="AS115:AX117" si="7">AVERAGE(AD115:AF115)</f>
        <v>0</v>
      </c>
      <c r="AV115" s="402">
        <f t="shared" si="7"/>
        <v>0</v>
      </c>
      <c r="AW115" s="402">
        <f t="shared" si="7"/>
        <v>0</v>
      </c>
      <c r="AX115" s="402">
        <f t="shared" si="7"/>
        <v>0</v>
      </c>
      <c r="AY115" s="494"/>
      <c r="AZ115" s="402" t="s">
        <v>371</v>
      </c>
      <c r="BA115" s="402"/>
      <c r="BC115" s="402" t="s">
        <v>371</v>
      </c>
      <c r="BD115" s="402"/>
    </row>
    <row r="116" spans="2:56" outlineLevel="2" x14ac:dyDescent="0.45">
      <c r="B116" s="394" t="s">
        <v>1062</v>
      </c>
      <c r="C116" s="395"/>
      <c r="D116" s="396"/>
      <c r="E116" s="321"/>
      <c r="F116" s="321"/>
      <c r="G116" s="321"/>
      <c r="H116" s="321"/>
      <c r="I116" s="321"/>
      <c r="J116" s="321"/>
      <c r="K116" s="321"/>
      <c r="L116" s="321"/>
      <c r="M116" s="321"/>
      <c r="N116" s="321"/>
      <c r="O116" s="321"/>
      <c r="P116" s="321"/>
      <c r="Q116" s="321"/>
      <c r="R116" s="387"/>
      <c r="S116" s="387"/>
      <c r="T116" s="387"/>
      <c r="U116" s="387"/>
      <c r="V116" s="387"/>
      <c r="W116" s="387"/>
      <c r="X116" s="387"/>
      <c r="Y116" s="387"/>
      <c r="Z116" s="387"/>
      <c r="AA116" s="387"/>
      <c r="AB116" s="387"/>
      <c r="AC116" s="402" t="s">
        <v>371</v>
      </c>
      <c r="AD116" s="402" t="s">
        <v>371</v>
      </c>
      <c r="AE116" s="402">
        <v>0</v>
      </c>
      <c r="AF116" s="402">
        <v>0</v>
      </c>
      <c r="AG116" s="402">
        <v>0</v>
      </c>
      <c r="AH116" s="402"/>
      <c r="AI116" s="402"/>
      <c r="AJ116" s="402"/>
      <c r="AK116" s="402"/>
      <c r="AL116" s="402"/>
      <c r="AM116" s="402"/>
      <c r="AN116" s="402"/>
      <c r="AO116" s="402"/>
      <c r="AP116" s="494"/>
      <c r="AQ116" s="402"/>
      <c r="AR116" s="402"/>
      <c r="AS116" s="402"/>
      <c r="AT116" s="402"/>
      <c r="AU116" s="402">
        <f t="shared" si="7"/>
        <v>0</v>
      </c>
      <c r="AV116" s="402">
        <f t="shared" si="7"/>
        <v>0</v>
      </c>
      <c r="AW116" s="402">
        <f t="shared" si="7"/>
        <v>0</v>
      </c>
      <c r="AX116" s="402">
        <f t="shared" si="7"/>
        <v>0</v>
      </c>
      <c r="AY116" s="494"/>
      <c r="AZ116" s="402" t="s">
        <v>371</v>
      </c>
      <c r="BA116" s="402"/>
      <c r="BC116" s="402" t="s">
        <v>371</v>
      </c>
      <c r="BD116" s="402"/>
    </row>
    <row r="117" spans="2:56" outlineLevel="2" x14ac:dyDescent="0.45">
      <c r="B117" s="394" t="s">
        <v>1063</v>
      </c>
      <c r="C117" s="395"/>
      <c r="D117" s="396"/>
      <c r="E117" s="321"/>
      <c r="F117" s="321"/>
      <c r="G117" s="321"/>
      <c r="H117" s="321"/>
      <c r="I117" s="321"/>
      <c r="J117" s="321"/>
      <c r="K117" s="321"/>
      <c r="L117" s="321"/>
      <c r="M117" s="321"/>
      <c r="N117" s="321"/>
      <c r="O117" s="321"/>
      <c r="P117" s="321"/>
      <c r="Q117" s="321"/>
      <c r="R117" s="387"/>
      <c r="S117" s="387"/>
      <c r="T117" s="387"/>
      <c r="U117" s="387"/>
      <c r="V117" s="387"/>
      <c r="W117" s="387"/>
      <c r="X117" s="387"/>
      <c r="Y117" s="387"/>
      <c r="Z117" s="387"/>
      <c r="AA117" s="387"/>
      <c r="AB117" s="387"/>
      <c r="AC117" s="402" t="s">
        <v>371</v>
      </c>
      <c r="AD117" s="402" t="s">
        <v>371</v>
      </c>
      <c r="AE117" s="402">
        <v>0</v>
      </c>
      <c r="AF117" s="402">
        <v>0</v>
      </c>
      <c r="AG117" s="402">
        <v>0</v>
      </c>
      <c r="AH117" s="402"/>
      <c r="AI117" s="402"/>
      <c r="AJ117" s="402"/>
      <c r="AK117" s="402"/>
      <c r="AL117" s="402"/>
      <c r="AM117" s="402"/>
      <c r="AN117" s="402"/>
      <c r="AO117" s="402"/>
      <c r="AP117" s="494"/>
      <c r="AQ117" s="402"/>
      <c r="AR117" s="402"/>
      <c r="AS117" s="402"/>
      <c r="AT117" s="402"/>
      <c r="AU117" s="402">
        <f t="shared" si="7"/>
        <v>0</v>
      </c>
      <c r="AV117" s="402">
        <f t="shared" si="7"/>
        <v>0</v>
      </c>
      <c r="AW117" s="402">
        <f t="shared" si="7"/>
        <v>0</v>
      </c>
      <c r="AX117" s="402">
        <f t="shared" si="7"/>
        <v>0</v>
      </c>
      <c r="AY117" s="494"/>
      <c r="AZ117" s="402" t="s">
        <v>371</v>
      </c>
      <c r="BA117" s="402"/>
      <c r="BC117" s="402" t="s">
        <v>371</v>
      </c>
      <c r="BD117" s="402"/>
    </row>
    <row r="118" spans="2:56" outlineLevel="1" x14ac:dyDescent="0.45">
      <c r="B118" s="321"/>
      <c r="C118" s="321"/>
      <c r="D118" s="352"/>
      <c r="E118" s="321"/>
      <c r="F118" s="321"/>
      <c r="G118" s="321"/>
      <c r="H118" s="321"/>
      <c r="I118" s="321"/>
      <c r="J118" s="321"/>
      <c r="K118" s="321"/>
      <c r="L118" s="321"/>
      <c r="M118" s="321"/>
      <c r="N118" s="321"/>
      <c r="O118" s="321"/>
      <c r="P118" s="321"/>
      <c r="Q118" s="321"/>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c r="AN118" s="294"/>
      <c r="AO118" s="294"/>
      <c r="AP118" s="494"/>
      <c r="AQ118" s="294"/>
      <c r="AR118" s="294"/>
      <c r="AS118" s="294"/>
      <c r="AT118" s="294"/>
      <c r="AU118" s="294"/>
      <c r="AV118" s="294"/>
      <c r="AW118" s="294"/>
      <c r="AX118" s="294"/>
      <c r="AY118" s="494"/>
      <c r="AZ118" s="294"/>
      <c r="BA118" s="294"/>
      <c r="BC118" s="294"/>
      <c r="BD118" s="294"/>
    </row>
    <row r="119" spans="2:56" outlineLevel="1" x14ac:dyDescent="0.45">
      <c r="B119" s="287" t="s">
        <v>1076</v>
      </c>
      <c r="C119" s="288"/>
      <c r="D119" s="288"/>
      <c r="E119" s="288"/>
      <c r="F119" s="288"/>
      <c r="G119" s="288"/>
      <c r="H119" s="288"/>
      <c r="I119" s="288"/>
      <c r="J119" s="288"/>
      <c r="K119" s="288"/>
      <c r="L119" s="288"/>
      <c r="M119" s="288"/>
      <c r="N119" s="288"/>
      <c r="O119" s="288"/>
      <c r="P119" s="288"/>
      <c r="Q119" s="288"/>
      <c r="R119" s="289"/>
      <c r="S119" s="289"/>
      <c r="T119" s="289"/>
      <c r="U119" s="289"/>
      <c r="V119" s="289"/>
      <c r="W119" s="289"/>
      <c r="X119" s="289"/>
      <c r="Y119" s="289"/>
      <c r="Z119" s="289"/>
      <c r="AA119" s="289"/>
      <c r="AB119" s="289"/>
      <c r="AC119" s="289"/>
      <c r="AD119" s="289"/>
      <c r="AE119" s="289"/>
      <c r="AF119" s="289"/>
      <c r="AG119" s="289"/>
      <c r="AH119" s="289"/>
      <c r="AI119" s="289"/>
      <c r="AJ119" s="289"/>
      <c r="AK119" s="289"/>
      <c r="AL119" s="289"/>
      <c r="AM119" s="289"/>
      <c r="AN119" s="289"/>
      <c r="AO119" s="289"/>
      <c r="AP119" s="494"/>
      <c r="AQ119" s="289"/>
      <c r="AR119" s="289"/>
      <c r="AS119" s="289"/>
      <c r="AT119" s="289"/>
      <c r="AU119" s="289"/>
      <c r="AV119" s="289"/>
      <c r="AW119" s="289"/>
      <c r="AX119" s="289"/>
      <c r="AY119" s="494"/>
      <c r="AZ119" s="289"/>
      <c r="BA119" s="289"/>
      <c r="BC119" s="289"/>
      <c r="BD119" s="289"/>
    </row>
    <row r="120" spans="2:56" outlineLevel="2" x14ac:dyDescent="0.45">
      <c r="B120" s="321"/>
      <c r="C120" s="321"/>
      <c r="D120" s="352"/>
      <c r="E120" s="321"/>
      <c r="F120" s="321"/>
      <c r="G120" s="321"/>
      <c r="H120" s="321"/>
      <c r="I120" s="321"/>
      <c r="J120" s="321"/>
      <c r="K120" s="321"/>
      <c r="L120" s="321"/>
      <c r="M120" s="321"/>
      <c r="N120" s="321"/>
      <c r="O120" s="321"/>
      <c r="P120" s="321"/>
      <c r="Q120" s="321"/>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c r="AN120" s="294"/>
      <c r="AO120" s="294"/>
      <c r="AP120" s="494"/>
      <c r="AQ120" s="294"/>
      <c r="AR120" s="294"/>
      <c r="AS120" s="294"/>
      <c r="AT120" s="294"/>
      <c r="AU120" s="294"/>
      <c r="AV120" s="294"/>
      <c r="AW120" s="294"/>
      <c r="AX120" s="294"/>
      <c r="AY120" s="494"/>
      <c r="AZ120" s="294"/>
      <c r="BA120" s="294"/>
      <c r="BC120" s="294"/>
      <c r="BD120" s="294"/>
    </row>
    <row r="121" spans="2:56" outlineLevel="2" x14ac:dyDescent="0.45">
      <c r="B121" s="321" t="s">
        <v>1073</v>
      </c>
      <c r="C121" s="321"/>
      <c r="D121" s="352"/>
      <c r="E121" s="321"/>
      <c r="F121" s="321"/>
      <c r="G121" s="321"/>
      <c r="H121" s="321"/>
      <c r="I121" s="321"/>
      <c r="J121" s="321"/>
      <c r="K121" s="321"/>
      <c r="L121" s="321"/>
      <c r="M121" s="321"/>
      <c r="N121" s="321"/>
      <c r="O121" s="321"/>
      <c r="P121" s="321"/>
      <c r="Q121" s="321"/>
      <c r="R121" s="294"/>
      <c r="S121" s="294"/>
      <c r="T121" s="294"/>
      <c r="U121" s="294"/>
      <c r="V121" s="294"/>
      <c r="W121" s="294"/>
      <c r="X121" s="294"/>
      <c r="Y121" s="294"/>
      <c r="Z121" s="294"/>
      <c r="AA121" s="294"/>
      <c r="AB121" s="294"/>
      <c r="AC121" s="415">
        <v>-0.78080091386153561</v>
      </c>
      <c r="AD121" s="415">
        <v>0.25946992778390376</v>
      </c>
      <c r="AE121" s="415">
        <v>0.19380168091224309</v>
      </c>
      <c r="AF121" s="415">
        <v>0.15676304624786364</v>
      </c>
      <c r="AG121" s="415">
        <v>0.16724647856547778</v>
      </c>
      <c r="AH121" s="415"/>
      <c r="AI121" s="415"/>
      <c r="AJ121" s="415"/>
      <c r="AK121" s="415"/>
      <c r="AL121" s="415"/>
      <c r="AM121" s="415"/>
      <c r="AN121" s="415"/>
      <c r="AO121" s="415"/>
      <c r="AP121" s="494"/>
      <c r="AQ121" s="415"/>
      <c r="AR121" s="415"/>
      <c r="AS121" s="415"/>
      <c r="AT121" s="415"/>
      <c r="AU121" s="415">
        <f>AVERAGE(AD121:AF121)</f>
        <v>0.20334488498133685</v>
      </c>
      <c r="AV121" s="415">
        <f>AVERAGE(AE121:AG121)</f>
        <v>0.17260373524186148</v>
      </c>
      <c r="AW121" s="415">
        <f>AVERAGE(AF121:AH121)</f>
        <v>0.16200476240667072</v>
      </c>
      <c r="AX121" s="415">
        <f>AVERAGE(AG121:AI121)</f>
        <v>0.16724647856547778</v>
      </c>
      <c r="AY121" s="494"/>
      <c r="AZ121" s="415"/>
      <c r="BA121" s="415"/>
      <c r="BC121" s="415"/>
      <c r="BD121" s="415"/>
    </row>
    <row r="122" spans="2:56" outlineLevel="2" x14ac:dyDescent="0.45">
      <c r="B122" s="394" t="s">
        <v>1061</v>
      </c>
      <c r="C122" s="395"/>
      <c r="D122" s="396"/>
      <c r="E122" s="392"/>
      <c r="F122" s="392"/>
      <c r="G122" s="392"/>
      <c r="H122" s="392"/>
      <c r="I122" s="393"/>
      <c r="J122" s="390"/>
      <c r="K122" s="390"/>
      <c r="L122" s="390"/>
      <c r="M122" s="390"/>
      <c r="N122" s="390"/>
      <c r="O122" s="390"/>
      <c r="P122" s="390"/>
      <c r="Q122" s="390"/>
      <c r="R122" s="387"/>
      <c r="S122" s="387"/>
      <c r="T122" s="387"/>
      <c r="U122" s="387"/>
      <c r="V122" s="387"/>
      <c r="W122" s="387"/>
      <c r="X122" s="387"/>
      <c r="Y122" s="387"/>
      <c r="Z122" s="387"/>
      <c r="AA122" s="387"/>
      <c r="AB122" s="387"/>
      <c r="AC122" s="416" t="s">
        <v>371</v>
      </c>
      <c r="AD122" s="416" t="s">
        <v>371</v>
      </c>
      <c r="AE122" s="416" t="s">
        <v>371</v>
      </c>
      <c r="AF122" s="416" t="s">
        <v>371</v>
      </c>
      <c r="AG122" s="416" t="s">
        <v>371</v>
      </c>
      <c r="AH122" s="416"/>
      <c r="AI122" s="416"/>
      <c r="AJ122" s="416"/>
      <c r="AK122" s="416"/>
      <c r="AL122" s="416"/>
      <c r="AM122" s="416"/>
      <c r="AN122" s="416"/>
      <c r="AO122" s="416"/>
      <c r="AP122" s="494"/>
      <c r="AQ122" s="416"/>
      <c r="AR122" s="416"/>
      <c r="AS122" s="416"/>
      <c r="AT122" s="416"/>
      <c r="AU122" s="416" t="s">
        <v>371</v>
      </c>
      <c r="AV122" s="416" t="s">
        <v>371</v>
      </c>
      <c r="AW122" s="416" t="s">
        <v>371</v>
      </c>
      <c r="AX122" s="416" t="s">
        <v>371</v>
      </c>
      <c r="AY122" s="494"/>
      <c r="AZ122" s="416" t="s">
        <v>371</v>
      </c>
      <c r="BA122" s="416"/>
      <c r="BC122" s="416" t="s">
        <v>371</v>
      </c>
      <c r="BD122" s="416"/>
    </row>
    <row r="123" spans="2:56" outlineLevel="2" x14ac:dyDescent="0.45">
      <c r="B123" s="394" t="s">
        <v>1062</v>
      </c>
      <c r="C123" s="395"/>
      <c r="D123" s="396"/>
      <c r="E123" s="321"/>
      <c r="F123" s="321"/>
      <c r="G123" s="321"/>
      <c r="H123" s="321"/>
      <c r="I123" s="321"/>
      <c r="J123" s="321"/>
      <c r="K123" s="321"/>
      <c r="L123" s="321"/>
      <c r="M123" s="321"/>
      <c r="N123" s="321"/>
      <c r="O123" s="321"/>
      <c r="P123" s="321"/>
      <c r="Q123" s="321"/>
      <c r="R123" s="387"/>
      <c r="S123" s="387"/>
      <c r="T123" s="387"/>
      <c r="U123" s="387"/>
      <c r="V123" s="387"/>
      <c r="W123" s="387"/>
      <c r="X123" s="387"/>
      <c r="Y123" s="387"/>
      <c r="Z123" s="387"/>
      <c r="AA123" s="387"/>
      <c r="AB123" s="387"/>
      <c r="AC123" s="402" t="s">
        <v>371</v>
      </c>
      <c r="AD123" s="402" t="s">
        <v>371</v>
      </c>
      <c r="AE123" s="402" t="s">
        <v>371</v>
      </c>
      <c r="AF123" s="402" t="s">
        <v>371</v>
      </c>
      <c r="AG123" s="402" t="s">
        <v>371</v>
      </c>
      <c r="AH123" s="402"/>
      <c r="AI123" s="402"/>
      <c r="AJ123" s="402"/>
      <c r="AK123" s="402"/>
      <c r="AL123" s="402"/>
      <c r="AM123" s="402"/>
      <c r="AN123" s="402"/>
      <c r="AO123" s="402"/>
      <c r="AP123" s="494"/>
      <c r="AQ123" s="402"/>
      <c r="AR123" s="402"/>
      <c r="AS123" s="402"/>
      <c r="AT123" s="402"/>
      <c r="AU123" s="402" t="s">
        <v>371</v>
      </c>
      <c r="AV123" s="402" t="s">
        <v>371</v>
      </c>
      <c r="AW123" s="402" t="s">
        <v>371</v>
      </c>
      <c r="AX123" s="402" t="s">
        <v>371</v>
      </c>
      <c r="AY123" s="494"/>
      <c r="AZ123" s="402" t="s">
        <v>371</v>
      </c>
      <c r="BA123" s="402"/>
      <c r="BC123" s="402" t="s">
        <v>371</v>
      </c>
      <c r="BD123" s="402"/>
    </row>
    <row r="124" spans="2:56" outlineLevel="2" x14ac:dyDescent="0.45">
      <c r="B124" s="394" t="s">
        <v>1063</v>
      </c>
      <c r="C124" s="395"/>
      <c r="D124" s="396"/>
      <c r="E124" s="321"/>
      <c r="F124" s="321"/>
      <c r="G124" s="321"/>
      <c r="H124" s="321"/>
      <c r="I124" s="321"/>
      <c r="J124" s="321"/>
      <c r="K124" s="321"/>
      <c r="L124" s="321"/>
      <c r="M124" s="321"/>
      <c r="N124" s="321"/>
      <c r="O124" s="321"/>
      <c r="P124" s="321"/>
      <c r="Q124" s="321"/>
      <c r="R124" s="387"/>
      <c r="S124" s="387"/>
      <c r="T124" s="387"/>
      <c r="U124" s="387"/>
      <c r="V124" s="387"/>
      <c r="W124" s="387"/>
      <c r="X124" s="387"/>
      <c r="Y124" s="387"/>
      <c r="Z124" s="387"/>
      <c r="AA124" s="387"/>
      <c r="AB124" s="387"/>
      <c r="AC124" s="402" t="s">
        <v>371</v>
      </c>
      <c r="AD124" s="402" t="s">
        <v>371</v>
      </c>
      <c r="AE124" s="402" t="s">
        <v>371</v>
      </c>
      <c r="AF124" s="402" t="s">
        <v>371</v>
      </c>
      <c r="AG124" s="402" t="s">
        <v>371</v>
      </c>
      <c r="AH124" s="402"/>
      <c r="AI124" s="402"/>
      <c r="AJ124" s="402"/>
      <c r="AK124" s="402"/>
      <c r="AL124" s="402"/>
      <c r="AM124" s="402"/>
      <c r="AN124" s="402"/>
      <c r="AO124" s="402"/>
      <c r="AP124" s="494"/>
      <c r="AQ124" s="402"/>
      <c r="AR124" s="402"/>
      <c r="AS124" s="402"/>
      <c r="AT124" s="402"/>
      <c r="AU124" s="402" t="s">
        <v>371</v>
      </c>
      <c r="AV124" s="402" t="s">
        <v>371</v>
      </c>
      <c r="AW124" s="402" t="s">
        <v>371</v>
      </c>
      <c r="AX124" s="402" t="s">
        <v>371</v>
      </c>
      <c r="AY124" s="494"/>
      <c r="AZ124" s="402" t="s">
        <v>371</v>
      </c>
      <c r="BA124" s="402"/>
      <c r="BC124" s="402" t="s">
        <v>371</v>
      </c>
      <c r="BD124" s="402"/>
    </row>
    <row r="125" spans="2:56" outlineLevel="1" x14ac:dyDescent="0.45">
      <c r="B125" s="321"/>
      <c r="C125" s="321"/>
      <c r="D125" s="352"/>
      <c r="E125" s="321"/>
      <c r="F125" s="321"/>
      <c r="G125" s="321"/>
      <c r="H125" s="321"/>
      <c r="I125" s="321"/>
      <c r="J125" s="321"/>
      <c r="K125" s="321"/>
      <c r="L125" s="321"/>
      <c r="M125" s="321"/>
      <c r="N125" s="321"/>
      <c r="O125" s="321"/>
      <c r="P125" s="321"/>
      <c r="Q125" s="321"/>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494"/>
      <c r="AQ125" s="294"/>
      <c r="AR125" s="294"/>
      <c r="AS125" s="294"/>
      <c r="AT125" s="294"/>
      <c r="AU125" s="294"/>
      <c r="AV125" s="294"/>
      <c r="AW125" s="294"/>
      <c r="AX125" s="294"/>
      <c r="AY125" s="494"/>
      <c r="AZ125" s="294"/>
      <c r="BA125" s="294"/>
      <c r="BC125" s="294"/>
      <c r="BD125" s="294"/>
    </row>
    <row r="126" spans="2:56" outlineLevel="1" x14ac:dyDescent="0.45">
      <c r="B126" s="287" t="s">
        <v>1077</v>
      </c>
      <c r="C126" s="288"/>
      <c r="D126" s="288"/>
      <c r="E126" s="288"/>
      <c r="F126" s="288"/>
      <c r="G126" s="288"/>
      <c r="H126" s="288"/>
      <c r="I126" s="288"/>
      <c r="J126" s="288"/>
      <c r="K126" s="288"/>
      <c r="L126" s="288"/>
      <c r="M126" s="288"/>
      <c r="N126" s="288"/>
      <c r="O126" s="288"/>
      <c r="P126" s="288"/>
      <c r="Q126" s="288"/>
      <c r="R126" s="289"/>
      <c r="S126" s="289"/>
      <c r="T126" s="289"/>
      <c r="U126" s="289"/>
      <c r="V126" s="289"/>
      <c r="W126" s="289"/>
      <c r="X126" s="289"/>
      <c r="Y126" s="289"/>
      <c r="Z126" s="289"/>
      <c r="AA126" s="289"/>
      <c r="AB126" s="289"/>
      <c r="AC126" s="289"/>
      <c r="AD126" s="289"/>
      <c r="AE126" s="289"/>
      <c r="AF126" s="289"/>
      <c r="AG126" s="289"/>
      <c r="AH126" s="289"/>
      <c r="AI126" s="289"/>
      <c r="AJ126" s="289"/>
      <c r="AK126" s="289"/>
      <c r="AL126" s="289"/>
      <c r="AM126" s="289"/>
      <c r="AN126" s="289"/>
      <c r="AO126" s="289"/>
      <c r="AP126" s="494"/>
      <c r="AQ126" s="289"/>
      <c r="AR126" s="289"/>
      <c r="AS126" s="289"/>
      <c r="AT126" s="289"/>
      <c r="AU126" s="289"/>
      <c r="AV126" s="289"/>
      <c r="AW126" s="289"/>
      <c r="AX126" s="289"/>
      <c r="AY126" s="494"/>
      <c r="AZ126" s="289"/>
      <c r="BA126" s="289"/>
      <c r="BC126" s="289"/>
      <c r="BD126" s="289"/>
    </row>
    <row r="127" spans="2:56" outlineLevel="2" x14ac:dyDescent="0.45">
      <c r="B127" s="321"/>
      <c r="C127" s="321"/>
      <c r="D127" s="352"/>
      <c r="E127" s="321"/>
      <c r="F127" s="321"/>
      <c r="G127" s="321"/>
      <c r="H127" s="321"/>
      <c r="I127" s="321"/>
      <c r="J127" s="321"/>
      <c r="K127" s="321"/>
      <c r="L127" s="321"/>
      <c r="M127" s="321"/>
      <c r="N127" s="321"/>
      <c r="O127" s="321"/>
      <c r="P127" s="321"/>
      <c r="Q127" s="321"/>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c r="AN127" s="294"/>
      <c r="AO127" s="294"/>
      <c r="AP127" s="494"/>
      <c r="AQ127" s="294"/>
      <c r="AR127" s="294"/>
      <c r="AS127" s="294"/>
      <c r="AT127" s="294"/>
      <c r="AU127" s="294"/>
      <c r="AV127" s="294"/>
      <c r="AW127" s="294"/>
      <c r="AX127" s="294"/>
      <c r="AY127" s="494"/>
      <c r="AZ127" s="294"/>
      <c r="BA127" s="294"/>
      <c r="BC127" s="294"/>
      <c r="BD127" s="294"/>
    </row>
    <row r="128" spans="2:56" outlineLevel="2" x14ac:dyDescent="0.45">
      <c r="B128" s="321" t="s">
        <v>1073</v>
      </c>
      <c r="C128" s="321"/>
      <c r="D128" s="352"/>
      <c r="E128" s="321"/>
      <c r="F128" s="321"/>
      <c r="G128" s="321"/>
      <c r="H128" s="321"/>
      <c r="I128" s="321"/>
      <c r="J128" s="321"/>
      <c r="K128" s="321"/>
      <c r="L128" s="321"/>
      <c r="M128" s="321"/>
      <c r="N128" s="321"/>
      <c r="O128" s="321"/>
      <c r="P128" s="321"/>
      <c r="Q128" s="321"/>
      <c r="R128" s="294"/>
      <c r="S128" s="294"/>
      <c r="T128" s="294"/>
      <c r="U128" s="294"/>
      <c r="V128" s="294"/>
      <c r="W128" s="294"/>
      <c r="X128" s="294"/>
      <c r="Y128" s="294"/>
      <c r="Z128" s="294"/>
      <c r="AA128" s="294"/>
      <c r="AB128" s="294"/>
      <c r="AC128" s="417">
        <v>15766.858467308541</v>
      </c>
      <c r="AD128" s="417">
        <v>16425.419242600936</v>
      </c>
      <c r="AE128" s="433">
        <v>16162.325897816681</v>
      </c>
      <c r="AF128" s="511">
        <v>16480.608986539704</v>
      </c>
      <c r="AG128" s="558">
        <v>15534.464654072839</v>
      </c>
      <c r="AH128" s="417"/>
      <c r="AI128" s="417"/>
      <c r="AJ128" s="417"/>
      <c r="AK128" s="417"/>
      <c r="AL128" s="417"/>
      <c r="AM128" s="417"/>
      <c r="AN128" s="417"/>
      <c r="AO128" s="417"/>
      <c r="AP128" s="494"/>
      <c r="AQ128" s="558"/>
      <c r="AR128" s="558"/>
      <c r="AS128" s="558"/>
      <c r="AT128" s="558"/>
      <c r="AU128" s="558">
        <f>AVERAGE(AD128:AF128)</f>
        <v>16356.118042319105</v>
      </c>
      <c r="AV128" s="558">
        <f>AVERAGE(AE128:AG128)</f>
        <v>16059.133179476406</v>
      </c>
      <c r="AW128" s="558">
        <f>AVERAGE(AF128:AH128)</f>
        <v>16007.536820306272</v>
      </c>
      <c r="AX128" s="558">
        <f>AVERAGE(AG128:AI128)</f>
        <v>15534.464654072839</v>
      </c>
      <c r="AY128" s="494"/>
      <c r="AZ128" s="417"/>
      <c r="BA128" s="417"/>
      <c r="BC128" s="417"/>
      <c r="BD128" s="417"/>
    </row>
    <row r="129" spans="2:56" outlineLevel="2" x14ac:dyDescent="0.45">
      <c r="B129" s="394" t="s">
        <v>1061</v>
      </c>
      <c r="C129" s="395"/>
      <c r="D129" s="396"/>
      <c r="E129" s="392"/>
      <c r="F129" s="392"/>
      <c r="G129" s="392"/>
      <c r="H129" s="392"/>
      <c r="I129" s="393"/>
      <c r="J129" s="390"/>
      <c r="K129" s="390"/>
      <c r="L129" s="390"/>
      <c r="M129" s="390"/>
      <c r="N129" s="390"/>
      <c r="O129" s="390"/>
      <c r="P129" s="390"/>
      <c r="Q129" s="390"/>
      <c r="R129" s="387"/>
      <c r="S129" s="387"/>
      <c r="T129" s="387"/>
      <c r="U129" s="387"/>
      <c r="V129" s="387"/>
      <c r="W129" s="387"/>
      <c r="X129" s="387"/>
      <c r="Y129" s="387"/>
      <c r="Z129" s="387"/>
      <c r="AA129" s="387"/>
      <c r="AB129" s="387"/>
      <c r="AC129" s="416">
        <v>38201.392586206857</v>
      </c>
      <c r="AD129" s="416">
        <v>40346.952887931082</v>
      </c>
      <c r="AE129" s="416">
        <v>39784.570530012883</v>
      </c>
      <c r="AF129" s="416">
        <v>33919.022918101633</v>
      </c>
      <c r="AG129" s="416">
        <v>28618.02924248518</v>
      </c>
      <c r="AH129" s="416"/>
      <c r="AI129" s="416"/>
      <c r="AJ129" s="416"/>
      <c r="AK129" s="416"/>
      <c r="AL129" s="416"/>
      <c r="AM129" s="416"/>
      <c r="AN129" s="416"/>
      <c r="AO129" s="416"/>
      <c r="AP129" s="494"/>
      <c r="AQ129" s="416"/>
      <c r="AR129" s="416"/>
      <c r="AS129" s="416"/>
      <c r="AT129" s="416"/>
      <c r="AU129" s="416">
        <f t="shared" ref="AS129:AX131" si="8">AVERAGE(AD129:AF129)</f>
        <v>38016.848778681866</v>
      </c>
      <c r="AV129" s="416">
        <f t="shared" si="8"/>
        <v>34107.207563533237</v>
      </c>
      <c r="AW129" s="416">
        <f t="shared" si="8"/>
        <v>31268.526080293406</v>
      </c>
      <c r="AX129" s="416">
        <f t="shared" si="8"/>
        <v>28618.02924248518</v>
      </c>
      <c r="AY129" s="494"/>
      <c r="AZ129" s="416" t="s">
        <v>371</v>
      </c>
      <c r="BA129" s="416"/>
      <c r="BC129" s="416" t="s">
        <v>371</v>
      </c>
      <c r="BD129" s="416"/>
    </row>
    <row r="130" spans="2:56" outlineLevel="2" x14ac:dyDescent="0.45">
      <c r="B130" s="394" t="s">
        <v>1062</v>
      </c>
      <c r="C130" s="395"/>
      <c r="D130" s="396"/>
      <c r="E130" s="321"/>
      <c r="F130" s="321"/>
      <c r="G130" s="321"/>
      <c r="H130" s="321"/>
      <c r="I130" s="321"/>
      <c r="J130" s="321"/>
      <c r="K130" s="321"/>
      <c r="L130" s="321"/>
      <c r="M130" s="321"/>
      <c r="N130" s="321"/>
      <c r="O130" s="321"/>
      <c r="P130" s="321"/>
      <c r="Q130" s="321"/>
      <c r="R130" s="387"/>
      <c r="S130" s="387"/>
      <c r="T130" s="387"/>
      <c r="U130" s="387"/>
      <c r="V130" s="387"/>
      <c r="W130" s="387"/>
      <c r="X130" s="387"/>
      <c r="Y130" s="387"/>
      <c r="Z130" s="387"/>
      <c r="AA130" s="387"/>
      <c r="AB130" s="387"/>
      <c r="AC130" s="402">
        <v>3652.2100431034501</v>
      </c>
      <c r="AD130" s="402">
        <v>3667.2679650915279</v>
      </c>
      <c r="AE130" s="402">
        <v>3769.6562366964677</v>
      </c>
      <c r="AF130" s="402">
        <v>4020.2290024630533</v>
      </c>
      <c r="AG130" s="402">
        <v>4878.3184729064023</v>
      </c>
      <c r="AH130" s="402"/>
      <c r="AI130" s="402"/>
      <c r="AJ130" s="402"/>
      <c r="AK130" s="402"/>
      <c r="AL130" s="402"/>
      <c r="AM130" s="402"/>
      <c r="AN130" s="402"/>
      <c r="AO130" s="402"/>
      <c r="AP130" s="494"/>
      <c r="AQ130" s="402"/>
      <c r="AR130" s="402"/>
      <c r="AS130" s="402"/>
      <c r="AT130" s="402"/>
      <c r="AU130" s="402">
        <f t="shared" si="8"/>
        <v>3819.0510680836828</v>
      </c>
      <c r="AV130" s="402">
        <f t="shared" si="8"/>
        <v>4222.7345706886408</v>
      </c>
      <c r="AW130" s="402">
        <f t="shared" si="8"/>
        <v>4449.2737376847281</v>
      </c>
      <c r="AX130" s="402">
        <f t="shared" si="8"/>
        <v>4878.3184729064023</v>
      </c>
      <c r="AY130" s="494"/>
      <c r="AZ130" s="402" t="s">
        <v>371</v>
      </c>
      <c r="BA130" s="402"/>
      <c r="BC130" s="402" t="s">
        <v>371</v>
      </c>
      <c r="BD130" s="402"/>
    </row>
    <row r="131" spans="2:56" outlineLevel="2" x14ac:dyDescent="0.45">
      <c r="B131" s="394" t="s">
        <v>1063</v>
      </c>
      <c r="C131" s="395"/>
      <c r="D131" s="396"/>
      <c r="E131" s="321"/>
      <c r="F131" s="321"/>
      <c r="G131" s="321"/>
      <c r="H131" s="321"/>
      <c r="I131" s="321"/>
      <c r="J131" s="321"/>
      <c r="K131" s="321"/>
      <c r="L131" s="321"/>
      <c r="M131" s="321"/>
      <c r="N131" s="321"/>
      <c r="O131" s="321"/>
      <c r="P131" s="321"/>
      <c r="Q131" s="321"/>
      <c r="R131" s="387"/>
      <c r="S131" s="387"/>
      <c r="T131" s="387"/>
      <c r="U131" s="387"/>
      <c r="V131" s="387"/>
      <c r="W131" s="387"/>
      <c r="X131" s="387"/>
      <c r="Y131" s="387"/>
      <c r="Z131" s="387"/>
      <c r="AA131" s="387"/>
      <c r="AB131" s="387"/>
      <c r="AC131" s="402" t="s">
        <v>371</v>
      </c>
      <c r="AD131" s="402" t="s">
        <v>371</v>
      </c>
      <c r="AE131" s="402">
        <v>2266.7212643678163</v>
      </c>
      <c r="AF131" s="402">
        <v>16611.709975369457</v>
      </c>
      <c r="AG131" s="402">
        <v>22438.75</v>
      </c>
      <c r="AH131" s="402"/>
      <c r="AI131" s="402"/>
      <c r="AJ131" s="402"/>
      <c r="AK131" s="402"/>
      <c r="AL131" s="402"/>
      <c r="AM131" s="402"/>
      <c r="AN131" s="402"/>
      <c r="AO131" s="402"/>
      <c r="AP131" s="494"/>
      <c r="AQ131" s="402"/>
      <c r="AR131" s="402"/>
      <c r="AS131" s="402"/>
      <c r="AT131" s="402"/>
      <c r="AU131" s="402">
        <f t="shared" si="8"/>
        <v>9439.2156198686371</v>
      </c>
      <c r="AV131" s="402">
        <f t="shared" si="8"/>
        <v>13772.39374657909</v>
      </c>
      <c r="AW131" s="402">
        <f t="shared" si="8"/>
        <v>19525.229987684728</v>
      </c>
      <c r="AX131" s="402">
        <f t="shared" si="8"/>
        <v>22438.75</v>
      </c>
      <c r="AY131" s="494"/>
      <c r="AZ131" s="402" t="s">
        <v>371</v>
      </c>
      <c r="BA131" s="402"/>
      <c r="BC131" s="402" t="s">
        <v>371</v>
      </c>
      <c r="BD131" s="402"/>
    </row>
    <row r="132" spans="2:56" outlineLevel="1" x14ac:dyDescent="0.45">
      <c r="B132" s="321"/>
      <c r="C132" s="321"/>
      <c r="D132" s="352"/>
      <c r="E132" s="321"/>
      <c r="F132" s="321"/>
      <c r="G132" s="321"/>
      <c r="H132" s="321"/>
      <c r="I132" s="321"/>
      <c r="J132" s="321"/>
      <c r="K132" s="321"/>
      <c r="L132" s="321"/>
      <c r="M132" s="321"/>
      <c r="N132" s="321"/>
      <c r="O132" s="321"/>
      <c r="P132" s="321"/>
      <c r="Q132" s="321"/>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c r="AN132" s="294"/>
      <c r="AO132" s="294"/>
      <c r="AP132" s="494"/>
      <c r="AQ132" s="294"/>
      <c r="AR132" s="294"/>
      <c r="AS132" s="294"/>
      <c r="AT132" s="294"/>
      <c r="AU132" s="294"/>
      <c r="AV132" s="294"/>
      <c r="AW132" s="294"/>
      <c r="AX132" s="294"/>
      <c r="AY132" s="494"/>
      <c r="AZ132" s="294"/>
      <c r="BA132" s="294"/>
      <c r="BC132" s="294"/>
      <c r="BD132" s="294"/>
    </row>
    <row r="133" spans="2:56" outlineLevel="1" x14ac:dyDescent="0.45">
      <c r="B133" s="287" t="s">
        <v>1078</v>
      </c>
      <c r="C133" s="288"/>
      <c r="D133" s="288"/>
      <c r="E133" s="288"/>
      <c r="F133" s="288"/>
      <c r="G133" s="288"/>
      <c r="H133" s="288"/>
      <c r="I133" s="288"/>
      <c r="J133" s="288"/>
      <c r="K133" s="288"/>
      <c r="L133" s="288"/>
      <c r="M133" s="288"/>
      <c r="N133" s="288"/>
      <c r="O133" s="288"/>
      <c r="P133" s="288"/>
      <c r="Q133" s="288"/>
      <c r="R133" s="289"/>
      <c r="S133" s="289"/>
      <c r="T133" s="289"/>
      <c r="U133" s="289"/>
      <c r="V133" s="289"/>
      <c r="W133" s="289"/>
      <c r="X133" s="289"/>
      <c r="Y133" s="289"/>
      <c r="Z133" s="289"/>
      <c r="AA133" s="289"/>
      <c r="AB133" s="289"/>
      <c r="AC133" s="289"/>
      <c r="AD133" s="289"/>
      <c r="AE133" s="289"/>
      <c r="AF133" s="289"/>
      <c r="AG133" s="289"/>
      <c r="AH133" s="289"/>
      <c r="AI133" s="289"/>
      <c r="AJ133" s="289"/>
      <c r="AK133" s="289"/>
      <c r="AL133" s="289"/>
      <c r="AM133" s="289"/>
      <c r="AN133" s="289"/>
      <c r="AO133" s="289"/>
      <c r="AP133" s="494"/>
      <c r="AQ133" s="289"/>
      <c r="AR133" s="289"/>
      <c r="AS133" s="289"/>
      <c r="AT133" s="289"/>
      <c r="AU133" s="289"/>
      <c r="AV133" s="289"/>
      <c r="AW133" s="289"/>
      <c r="AX133" s="289"/>
      <c r="AY133" s="494"/>
      <c r="AZ133" s="289"/>
      <c r="BA133" s="289"/>
      <c r="BC133" s="289"/>
      <c r="BD133" s="289"/>
    </row>
    <row r="134" spans="2:56" outlineLevel="2" x14ac:dyDescent="0.45">
      <c r="B134" s="321"/>
      <c r="C134" s="321"/>
      <c r="D134" s="352"/>
      <c r="E134" s="321"/>
      <c r="F134" s="321"/>
      <c r="G134" s="321"/>
      <c r="H134" s="321"/>
      <c r="I134" s="321"/>
      <c r="J134" s="321"/>
      <c r="K134" s="321"/>
      <c r="L134" s="321"/>
      <c r="M134" s="321"/>
      <c r="N134" s="321"/>
      <c r="O134" s="321"/>
      <c r="P134" s="321"/>
      <c r="Q134" s="321"/>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c r="AN134" s="294"/>
      <c r="AO134" s="294"/>
      <c r="AP134" s="494"/>
      <c r="AQ134" s="294"/>
      <c r="AR134" s="294"/>
      <c r="AS134" s="294"/>
      <c r="AT134" s="294"/>
      <c r="AU134" s="294"/>
      <c r="AV134" s="294"/>
      <c r="AW134" s="294"/>
      <c r="AX134" s="294"/>
      <c r="AY134" s="494"/>
      <c r="AZ134" s="294"/>
      <c r="BA134" s="294"/>
      <c r="BC134" s="294"/>
      <c r="BD134" s="294"/>
    </row>
    <row r="135" spans="2:56" ht="15.5" outlineLevel="2" x14ac:dyDescent="0.45">
      <c r="B135" s="321" t="s">
        <v>1073</v>
      </c>
      <c r="C135" s="321"/>
      <c r="D135" s="352"/>
      <c r="E135" s="321"/>
      <c r="F135" s="321"/>
      <c r="G135" s="321"/>
      <c r="H135" s="321"/>
      <c r="I135" s="321"/>
      <c r="J135" s="321"/>
      <c r="K135" s="321"/>
      <c r="L135" s="321"/>
      <c r="M135" s="321"/>
      <c r="N135" s="321"/>
      <c r="O135" s="321"/>
      <c r="P135" s="321"/>
      <c r="Q135" s="321"/>
      <c r="R135" s="294"/>
      <c r="S135" s="294"/>
      <c r="T135" s="294"/>
      <c r="U135" s="294"/>
      <c r="V135" s="294"/>
      <c r="W135" s="294"/>
      <c r="X135" s="294"/>
      <c r="Y135" s="294"/>
      <c r="Z135" s="294"/>
      <c r="AA135" s="294"/>
      <c r="AB135" s="294"/>
      <c r="AC135" s="418">
        <v>0.9869537590807187</v>
      </c>
      <c r="AD135" s="418">
        <v>0.99190271590203283</v>
      </c>
      <c r="AE135" s="434">
        <v>0.98056075485790706</v>
      </c>
      <c r="AF135" s="434">
        <v>0.99089200164977731</v>
      </c>
      <c r="AG135" s="434">
        <v>0.98268218982545019</v>
      </c>
      <c r="AH135" s="418"/>
      <c r="AI135" s="418"/>
      <c r="AJ135" s="418"/>
      <c r="AK135" s="418"/>
      <c r="AL135" s="418"/>
      <c r="AM135" s="418"/>
      <c r="AN135" s="418"/>
      <c r="AO135" s="418"/>
      <c r="AP135" s="494"/>
      <c r="AQ135" s="434"/>
      <c r="AR135" s="434"/>
      <c r="AS135" s="434"/>
      <c r="AT135" s="434"/>
      <c r="AU135" s="434">
        <f>AVERAGE(AD135:AF135)</f>
        <v>0.98778515746990569</v>
      </c>
      <c r="AV135" s="434">
        <f>AVERAGE(AE135:AG135)</f>
        <v>0.98471164877771145</v>
      </c>
      <c r="AW135" s="434">
        <f>AVERAGE(AF135:AH135)</f>
        <v>0.9867870957376137</v>
      </c>
      <c r="AX135" s="434">
        <f>AVERAGE(AG135:AI135)</f>
        <v>0.98268218982545019</v>
      </c>
      <c r="AY135" s="494"/>
      <c r="AZ135" s="418"/>
      <c r="BA135" s="418"/>
      <c r="BC135" s="418"/>
      <c r="BD135" s="418"/>
    </row>
    <row r="136" spans="2:56" outlineLevel="2" x14ac:dyDescent="0.45">
      <c r="B136" s="394" t="s">
        <v>1061</v>
      </c>
      <c r="C136" s="395"/>
      <c r="D136" s="396"/>
      <c r="E136" s="392"/>
      <c r="F136" s="392"/>
      <c r="G136" s="392"/>
      <c r="H136" s="392"/>
      <c r="I136" s="393"/>
      <c r="J136" s="390"/>
      <c r="K136" s="390"/>
      <c r="L136" s="390"/>
      <c r="M136" s="390"/>
      <c r="N136" s="390"/>
      <c r="O136" s="390"/>
      <c r="P136" s="390"/>
      <c r="Q136" s="390"/>
      <c r="R136" s="387"/>
      <c r="S136" s="387"/>
      <c r="T136" s="387"/>
      <c r="U136" s="387"/>
      <c r="V136" s="387"/>
      <c r="W136" s="387"/>
      <c r="X136" s="387"/>
      <c r="Y136" s="387"/>
      <c r="Z136" s="387"/>
      <c r="AA136" s="387"/>
      <c r="AB136" s="387"/>
      <c r="AC136" s="406">
        <v>0.99850000000000005</v>
      </c>
      <c r="AD136" s="406">
        <v>0.99750000000000005</v>
      </c>
      <c r="AE136" s="406">
        <v>0.99819999999999998</v>
      </c>
      <c r="AF136" s="406">
        <v>0.99824825492332181</v>
      </c>
      <c r="AG136" s="406">
        <v>0.99192100000000005</v>
      </c>
      <c r="AH136" s="406"/>
      <c r="AI136" s="406"/>
      <c r="AJ136" s="406"/>
      <c r="AK136" s="406"/>
      <c r="AL136" s="406"/>
      <c r="AM136" s="406"/>
      <c r="AN136" s="406"/>
      <c r="AO136" s="406"/>
      <c r="AP136" s="494"/>
      <c r="AQ136" s="406"/>
      <c r="AR136" s="406"/>
      <c r="AS136" s="406"/>
      <c r="AT136" s="406"/>
      <c r="AU136" s="406">
        <f t="shared" ref="AS136:AX138" si="9">AVERAGE(AD136:AF136)</f>
        <v>0.99798275164110739</v>
      </c>
      <c r="AV136" s="406">
        <f t="shared" si="9"/>
        <v>0.99612308497444069</v>
      </c>
      <c r="AW136" s="406">
        <f t="shared" si="9"/>
        <v>0.99508462746166093</v>
      </c>
      <c r="AX136" s="406">
        <f t="shared" si="9"/>
        <v>0.99192100000000005</v>
      </c>
      <c r="AY136" s="494"/>
      <c r="AZ136" s="406" t="s">
        <v>371</v>
      </c>
      <c r="BA136" s="406"/>
      <c r="BC136" s="406" t="s">
        <v>371</v>
      </c>
      <c r="BD136" s="406"/>
    </row>
    <row r="137" spans="2:56" outlineLevel="2" x14ac:dyDescent="0.45">
      <c r="B137" s="394" t="s">
        <v>1062</v>
      </c>
      <c r="C137" s="395"/>
      <c r="D137" s="396"/>
      <c r="E137" s="321"/>
      <c r="F137" s="321"/>
      <c r="G137" s="321"/>
      <c r="H137" s="321"/>
      <c r="I137" s="321"/>
      <c r="J137" s="321"/>
      <c r="K137" s="321"/>
      <c r="L137" s="321"/>
      <c r="M137" s="321"/>
      <c r="N137" s="321"/>
      <c r="O137" s="321"/>
      <c r="P137" s="321"/>
      <c r="Q137" s="321"/>
      <c r="R137" s="387"/>
      <c r="S137" s="387"/>
      <c r="T137" s="387"/>
      <c r="U137" s="387"/>
      <c r="V137" s="387"/>
      <c r="W137" s="387"/>
      <c r="X137" s="387"/>
      <c r="Y137" s="387"/>
      <c r="Z137" s="387"/>
      <c r="AA137" s="387"/>
      <c r="AB137" s="387"/>
      <c r="AC137" s="407">
        <v>0.95960000000000001</v>
      </c>
      <c r="AD137" s="407">
        <v>0.97889999999999999</v>
      </c>
      <c r="AE137" s="407">
        <v>0.97529999999999994</v>
      </c>
      <c r="AF137" s="407">
        <v>0.96965867251407933</v>
      </c>
      <c r="AG137" s="407">
        <v>0.95164061594360361</v>
      </c>
      <c r="AH137" s="407"/>
      <c r="AI137" s="407"/>
      <c r="AJ137" s="407"/>
      <c r="AK137" s="407"/>
      <c r="AL137" s="407"/>
      <c r="AM137" s="407"/>
      <c r="AN137" s="407"/>
      <c r="AO137" s="407"/>
      <c r="AP137" s="494"/>
      <c r="AQ137" s="407"/>
      <c r="AR137" s="407"/>
      <c r="AS137" s="407"/>
      <c r="AT137" s="407"/>
      <c r="AU137" s="407">
        <f t="shared" si="9"/>
        <v>0.97461955750469309</v>
      </c>
      <c r="AV137" s="407">
        <f t="shared" si="9"/>
        <v>0.96553309615256089</v>
      </c>
      <c r="AW137" s="407">
        <f t="shared" si="9"/>
        <v>0.96064964422884147</v>
      </c>
      <c r="AX137" s="407">
        <f t="shared" si="9"/>
        <v>0.95164061594360361</v>
      </c>
      <c r="AY137" s="494"/>
      <c r="AZ137" s="407" t="s">
        <v>371</v>
      </c>
      <c r="BA137" s="407"/>
      <c r="BC137" s="407" t="s">
        <v>371</v>
      </c>
      <c r="BD137" s="407"/>
    </row>
    <row r="138" spans="2:56" outlineLevel="2" x14ac:dyDescent="0.45">
      <c r="B138" s="394" t="s">
        <v>1063</v>
      </c>
      <c r="C138" s="395"/>
      <c r="D138" s="396"/>
      <c r="E138" s="321"/>
      <c r="F138" s="321"/>
      <c r="G138" s="321"/>
      <c r="H138" s="321"/>
      <c r="I138" s="321"/>
      <c r="J138" s="321"/>
      <c r="K138" s="321"/>
      <c r="L138" s="321"/>
      <c r="M138" s="321"/>
      <c r="N138" s="321"/>
      <c r="O138" s="321"/>
      <c r="P138" s="321"/>
      <c r="Q138" s="321"/>
      <c r="R138" s="387"/>
      <c r="S138" s="387"/>
      <c r="T138" s="387"/>
      <c r="U138" s="387"/>
      <c r="V138" s="387"/>
      <c r="W138" s="387"/>
      <c r="X138" s="387"/>
      <c r="Y138" s="387"/>
      <c r="Z138" s="387"/>
      <c r="AA138" s="387"/>
      <c r="AB138" s="387"/>
      <c r="AC138" s="402" t="s">
        <v>371</v>
      </c>
      <c r="AD138" s="402" t="s">
        <v>371</v>
      </c>
      <c r="AE138" s="402" t="s">
        <v>371</v>
      </c>
      <c r="AF138" s="431">
        <v>0.96472942268521211</v>
      </c>
      <c r="AG138" s="431">
        <v>1</v>
      </c>
      <c r="AH138" s="402"/>
      <c r="AI138" s="402"/>
      <c r="AJ138" s="402"/>
      <c r="AK138" s="402"/>
      <c r="AL138" s="402"/>
      <c r="AM138" s="402"/>
      <c r="AN138" s="402"/>
      <c r="AO138" s="402"/>
      <c r="AP138" s="494"/>
      <c r="AQ138" s="431"/>
      <c r="AR138" s="431"/>
      <c r="AS138" s="431"/>
      <c r="AT138" s="431"/>
      <c r="AU138" s="431">
        <f t="shared" si="9"/>
        <v>0.96472942268521211</v>
      </c>
      <c r="AV138" s="431">
        <f t="shared" si="9"/>
        <v>0.98236471134260606</v>
      </c>
      <c r="AW138" s="431">
        <f t="shared" si="9"/>
        <v>0.98236471134260606</v>
      </c>
      <c r="AX138" s="431">
        <f t="shared" si="9"/>
        <v>1</v>
      </c>
      <c r="AY138" s="494"/>
      <c r="AZ138" s="402" t="s">
        <v>371</v>
      </c>
      <c r="BA138" s="402"/>
      <c r="BC138" s="402" t="s">
        <v>371</v>
      </c>
      <c r="BD138" s="402"/>
    </row>
    <row r="139" spans="2:56" outlineLevel="1" x14ac:dyDescent="0.45">
      <c r="B139" s="321"/>
      <c r="C139" s="321"/>
      <c r="D139" s="352"/>
      <c r="E139" s="321"/>
      <c r="F139" s="321"/>
      <c r="G139" s="321"/>
      <c r="H139" s="321"/>
      <c r="I139" s="321"/>
      <c r="J139" s="321"/>
      <c r="K139" s="321"/>
      <c r="L139" s="321"/>
      <c r="M139" s="321"/>
      <c r="N139" s="321"/>
      <c r="O139" s="321"/>
      <c r="P139" s="321"/>
      <c r="Q139" s="321"/>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494"/>
      <c r="AQ139" s="294"/>
      <c r="AR139" s="294"/>
      <c r="AS139" s="294"/>
      <c r="AT139" s="294"/>
      <c r="AU139" s="294"/>
      <c r="AV139" s="294"/>
      <c r="AW139" s="294"/>
      <c r="AX139" s="294"/>
      <c r="AY139" s="494"/>
      <c r="AZ139" s="294"/>
      <c r="BA139" s="294"/>
      <c r="BC139" s="294"/>
      <c r="BD139" s="294"/>
    </row>
    <row r="140" spans="2:56" outlineLevel="1" x14ac:dyDescent="0.45">
      <c r="B140" s="287" t="s">
        <v>1079</v>
      </c>
      <c r="C140" s="288"/>
      <c r="D140" s="288"/>
      <c r="E140" s="288"/>
      <c r="F140" s="288"/>
      <c r="G140" s="288"/>
      <c r="H140" s="288"/>
      <c r="I140" s="288"/>
      <c r="J140" s="288"/>
      <c r="K140" s="288"/>
      <c r="L140" s="288"/>
      <c r="M140" s="288"/>
      <c r="N140" s="288"/>
      <c r="O140" s="288"/>
      <c r="P140" s="288"/>
      <c r="Q140" s="288"/>
      <c r="R140" s="289"/>
      <c r="S140" s="289"/>
      <c r="T140" s="289"/>
      <c r="U140" s="289"/>
      <c r="V140" s="289"/>
      <c r="W140" s="289"/>
      <c r="X140" s="289"/>
      <c r="Y140" s="289"/>
      <c r="Z140" s="289"/>
      <c r="AA140" s="289"/>
      <c r="AB140" s="289"/>
      <c r="AC140" s="289"/>
      <c r="AD140" s="289"/>
      <c r="AE140" s="289"/>
      <c r="AF140" s="289"/>
      <c r="AG140" s="289"/>
      <c r="AH140" s="289"/>
      <c r="AI140" s="289"/>
      <c r="AJ140" s="289"/>
      <c r="AK140" s="289"/>
      <c r="AL140" s="289"/>
      <c r="AM140" s="289"/>
      <c r="AN140" s="289"/>
      <c r="AO140" s="289"/>
      <c r="AP140" s="494"/>
      <c r="AQ140" s="289"/>
      <c r="AR140" s="289"/>
      <c r="AS140" s="289"/>
      <c r="AT140" s="289"/>
      <c r="AU140" s="289"/>
      <c r="AV140" s="289"/>
      <c r="AW140" s="289"/>
      <c r="AX140" s="289"/>
      <c r="AY140" s="494"/>
      <c r="AZ140" s="289"/>
      <c r="BA140" s="289"/>
      <c r="BC140" s="289"/>
      <c r="BD140" s="289"/>
    </row>
    <row r="141" spans="2:56" outlineLevel="2" x14ac:dyDescent="0.45">
      <c r="B141" s="321"/>
      <c r="C141" s="321"/>
      <c r="D141" s="352"/>
      <c r="E141" s="321"/>
      <c r="F141" s="321"/>
      <c r="G141" s="321"/>
      <c r="H141" s="321"/>
      <c r="I141" s="321"/>
      <c r="J141" s="321"/>
      <c r="K141" s="321"/>
      <c r="L141" s="321"/>
      <c r="M141" s="321"/>
      <c r="N141" s="321"/>
      <c r="O141" s="321"/>
      <c r="P141" s="321"/>
      <c r="Q141" s="321"/>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494"/>
      <c r="AQ141" s="294"/>
      <c r="AR141" s="294"/>
      <c r="AS141" s="294"/>
      <c r="AT141" s="294"/>
      <c r="AU141" s="294"/>
      <c r="AV141" s="294"/>
      <c r="AW141" s="294"/>
      <c r="AX141" s="294"/>
      <c r="AY141" s="494"/>
      <c r="AZ141" s="294"/>
      <c r="BA141" s="294"/>
      <c r="BC141" s="294"/>
      <c r="BD141" s="294"/>
    </row>
    <row r="142" spans="2:56" outlineLevel="2" x14ac:dyDescent="0.45">
      <c r="B142" s="321" t="s">
        <v>1073</v>
      </c>
      <c r="C142" s="321"/>
      <c r="D142" s="352"/>
      <c r="E142" s="321"/>
      <c r="F142" s="321"/>
      <c r="G142" s="321"/>
      <c r="H142" s="321"/>
      <c r="I142" s="321"/>
      <c r="J142" s="321"/>
      <c r="K142" s="321"/>
      <c r="L142" s="321"/>
      <c r="M142" s="321"/>
      <c r="N142" s="321"/>
      <c r="O142" s="321"/>
      <c r="P142" s="321"/>
      <c r="Q142" s="321"/>
      <c r="R142" s="294"/>
      <c r="S142" s="294"/>
      <c r="T142" s="294"/>
      <c r="U142" s="294"/>
      <c r="V142" s="294"/>
      <c r="W142" s="294"/>
      <c r="X142" s="294"/>
      <c r="Y142" s="294"/>
      <c r="Z142" s="294"/>
      <c r="AA142" s="294"/>
      <c r="AB142" s="294"/>
      <c r="AC142" s="401">
        <v>13196.420457433605</v>
      </c>
      <c r="AD142" s="401">
        <v>4941.4491479166672</v>
      </c>
      <c r="AE142" s="401">
        <v>9685.959338061466</v>
      </c>
      <c r="AF142" s="401">
        <v>13010.540944927536</v>
      </c>
      <c r="AG142" s="401">
        <v>11678.446820483961</v>
      </c>
      <c r="AH142" s="401"/>
      <c r="AI142" s="401"/>
      <c r="AJ142" s="401"/>
      <c r="AK142" s="401"/>
      <c r="AL142" s="401"/>
      <c r="AM142" s="401"/>
      <c r="AN142" s="401"/>
      <c r="AO142" s="401"/>
      <c r="AP142" s="494"/>
      <c r="AQ142" s="401"/>
      <c r="AR142" s="401"/>
      <c r="AS142" s="401"/>
      <c r="AT142" s="401"/>
      <c r="AU142" s="401">
        <f>AVERAGE(AD142:AF142)</f>
        <v>9212.6498103018894</v>
      </c>
      <c r="AV142" s="401">
        <f>AVERAGE(AE142:AG142)</f>
        <v>11458.315701157655</v>
      </c>
      <c r="AW142" s="401">
        <f>AVERAGE(AF142:AH142)</f>
        <v>12344.493882705749</v>
      </c>
      <c r="AX142" s="401">
        <f>AVERAGE(AG142:AI142)</f>
        <v>11678.446820483961</v>
      </c>
      <c r="AY142" s="494"/>
      <c r="AZ142" s="401"/>
      <c r="BA142" s="401"/>
      <c r="BC142" s="401"/>
      <c r="BD142" s="401"/>
    </row>
    <row r="143" spans="2:56" outlineLevel="2" x14ac:dyDescent="0.45">
      <c r="B143" s="394" t="s">
        <v>1061</v>
      </c>
      <c r="C143" s="395"/>
      <c r="D143" s="396"/>
      <c r="E143" s="392"/>
      <c r="F143" s="392"/>
      <c r="G143" s="392"/>
      <c r="H143" s="392"/>
      <c r="I143" s="393"/>
      <c r="J143" s="390"/>
      <c r="K143" s="390"/>
      <c r="L143" s="390"/>
      <c r="M143" s="390"/>
      <c r="N143" s="390"/>
      <c r="O143" s="390"/>
      <c r="P143" s="390"/>
      <c r="Q143" s="390"/>
      <c r="R143" s="387"/>
      <c r="S143" s="387"/>
      <c r="T143" s="387"/>
      <c r="U143" s="387"/>
      <c r="V143" s="387"/>
      <c r="W143" s="387"/>
      <c r="X143" s="387"/>
      <c r="Y143" s="387"/>
      <c r="Z143" s="387"/>
      <c r="AA143" s="387"/>
      <c r="AB143" s="387"/>
      <c r="AC143" s="416">
        <v>13511.041666666666</v>
      </c>
      <c r="AD143" s="416" t="s">
        <v>371</v>
      </c>
      <c r="AE143" s="416" t="s">
        <v>371</v>
      </c>
      <c r="AF143" s="416">
        <v>12663.176181159419</v>
      </c>
      <c r="AG143" s="416">
        <v>10466</v>
      </c>
      <c r="AH143" s="416"/>
      <c r="AI143" s="416"/>
      <c r="AJ143" s="416"/>
      <c r="AK143" s="416"/>
      <c r="AL143" s="416"/>
      <c r="AM143" s="416"/>
      <c r="AN143" s="416"/>
      <c r="AO143" s="416"/>
      <c r="AP143" s="494"/>
      <c r="AQ143" s="416"/>
      <c r="AR143" s="416"/>
      <c r="AS143" s="416"/>
      <c r="AT143" s="416"/>
      <c r="AU143" s="416">
        <f t="shared" ref="AS143:AX145" si="10">AVERAGE(AD143:AF143)</f>
        <v>12663.176181159419</v>
      </c>
      <c r="AV143" s="416">
        <f t="shared" si="10"/>
        <v>11564.588090579709</v>
      </c>
      <c r="AW143" s="416">
        <f t="shared" si="10"/>
        <v>11564.588090579709</v>
      </c>
      <c r="AX143" s="416">
        <f t="shared" si="10"/>
        <v>10466</v>
      </c>
      <c r="AY143" s="494"/>
      <c r="AZ143" s="416" t="s">
        <v>371</v>
      </c>
      <c r="BA143" s="416"/>
      <c r="BC143" s="416" t="s">
        <v>371</v>
      </c>
      <c r="BD143" s="416"/>
    </row>
    <row r="144" spans="2:56" outlineLevel="2" x14ac:dyDescent="0.45">
      <c r="B144" s="394" t="s">
        <v>1062</v>
      </c>
      <c r="C144" s="395"/>
      <c r="D144" s="396"/>
      <c r="E144" s="321"/>
      <c r="F144" s="321"/>
      <c r="G144" s="321"/>
      <c r="H144" s="321"/>
      <c r="I144" s="321"/>
      <c r="J144" s="321"/>
      <c r="K144" s="321"/>
      <c r="L144" s="321"/>
      <c r="M144" s="321"/>
      <c r="N144" s="321"/>
      <c r="O144" s="321"/>
      <c r="P144" s="321"/>
      <c r="Q144" s="321"/>
      <c r="R144" s="387"/>
      <c r="S144" s="387"/>
      <c r="T144" s="387"/>
      <c r="U144" s="387"/>
      <c r="V144" s="387"/>
      <c r="W144" s="387"/>
      <c r="X144" s="387"/>
      <c r="Y144" s="387"/>
      <c r="Z144" s="387"/>
      <c r="AA144" s="387"/>
      <c r="AB144" s="387"/>
      <c r="AC144" s="402">
        <v>6800.8730306372572</v>
      </c>
      <c r="AD144" s="402">
        <v>4941.4491479166672</v>
      </c>
      <c r="AE144" s="402" t="s">
        <v>371</v>
      </c>
      <c r="AF144" s="402">
        <v>14400</v>
      </c>
      <c r="AG144" s="402">
        <v>14200</v>
      </c>
      <c r="AH144" s="402"/>
      <c r="AI144" s="402"/>
      <c r="AJ144" s="402"/>
      <c r="AK144" s="402"/>
      <c r="AL144" s="402"/>
      <c r="AM144" s="402"/>
      <c r="AN144" s="402"/>
      <c r="AO144" s="402"/>
      <c r="AP144" s="494"/>
      <c r="AQ144" s="402"/>
      <c r="AR144" s="402"/>
      <c r="AS144" s="402"/>
      <c r="AT144" s="402"/>
      <c r="AU144" s="402">
        <f t="shared" si="10"/>
        <v>9670.7245739583341</v>
      </c>
      <c r="AV144" s="402">
        <f t="shared" si="10"/>
        <v>14300</v>
      </c>
      <c r="AW144" s="402">
        <f t="shared" si="10"/>
        <v>14300</v>
      </c>
      <c r="AX144" s="402">
        <f t="shared" si="10"/>
        <v>14200</v>
      </c>
      <c r="AY144" s="494"/>
      <c r="AZ144" s="402" t="s">
        <v>371</v>
      </c>
      <c r="BA144" s="402"/>
      <c r="BC144" s="402" t="s">
        <v>371</v>
      </c>
      <c r="BD144" s="402"/>
    </row>
    <row r="145" spans="2:102" outlineLevel="2" x14ac:dyDescent="0.45">
      <c r="B145" s="394" t="s">
        <v>1063</v>
      </c>
      <c r="C145" s="395"/>
      <c r="D145" s="396"/>
      <c r="E145" s="321"/>
      <c r="F145" s="321"/>
      <c r="G145" s="321"/>
      <c r="H145" s="321"/>
      <c r="I145" s="321"/>
      <c r="J145" s="321"/>
      <c r="K145" s="321"/>
      <c r="L145" s="321"/>
      <c r="M145" s="321"/>
      <c r="N145" s="321"/>
      <c r="O145" s="321"/>
      <c r="P145" s="321"/>
      <c r="Q145" s="321"/>
      <c r="R145" s="387"/>
      <c r="S145" s="387"/>
      <c r="T145" s="387"/>
      <c r="U145" s="387"/>
      <c r="V145" s="387"/>
      <c r="W145" s="387"/>
      <c r="X145" s="387"/>
      <c r="Y145" s="387"/>
      <c r="Z145" s="387"/>
      <c r="AA145" s="387"/>
      <c r="AB145" s="387"/>
      <c r="AC145" s="402" t="s">
        <v>371</v>
      </c>
      <c r="AD145" s="402" t="s">
        <v>371</v>
      </c>
      <c r="AE145" s="402">
        <v>9685.959338061466</v>
      </c>
      <c r="AF145" s="402" t="s">
        <v>371</v>
      </c>
      <c r="AG145" s="402">
        <v>14200</v>
      </c>
      <c r="AH145" s="402"/>
      <c r="AI145" s="402"/>
      <c r="AJ145" s="402"/>
      <c r="AK145" s="402"/>
      <c r="AL145" s="402"/>
      <c r="AM145" s="402"/>
      <c r="AN145" s="402"/>
      <c r="AO145" s="402"/>
      <c r="AP145" s="494"/>
      <c r="AQ145" s="402"/>
      <c r="AR145" s="402"/>
      <c r="AS145" s="402"/>
      <c r="AT145" s="402"/>
      <c r="AU145" s="402">
        <f t="shared" si="10"/>
        <v>9685.959338061466</v>
      </c>
      <c r="AV145" s="402">
        <f t="shared" si="10"/>
        <v>11942.979669030734</v>
      </c>
      <c r="AW145" s="402">
        <f t="shared" si="10"/>
        <v>14200</v>
      </c>
      <c r="AX145" s="402">
        <f t="shared" si="10"/>
        <v>14200</v>
      </c>
      <c r="AY145" s="494"/>
      <c r="AZ145" s="402" t="s">
        <v>371</v>
      </c>
      <c r="BA145" s="402"/>
      <c r="BC145" s="402" t="s">
        <v>371</v>
      </c>
      <c r="BD145" s="402"/>
    </row>
    <row r="146" spans="2:102" outlineLevel="1" x14ac:dyDescent="0.45">
      <c r="B146" s="321"/>
      <c r="C146" s="321"/>
      <c r="D146" s="352"/>
      <c r="E146" s="321"/>
      <c r="F146" s="321"/>
      <c r="G146" s="321"/>
      <c r="H146" s="321"/>
      <c r="I146" s="321"/>
      <c r="J146" s="321"/>
      <c r="K146" s="321"/>
      <c r="L146" s="321"/>
      <c r="M146" s="321"/>
      <c r="N146" s="321"/>
      <c r="O146" s="321"/>
      <c r="P146" s="321"/>
      <c r="Q146" s="321"/>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494"/>
      <c r="AQ146" s="294"/>
      <c r="AR146" s="294"/>
      <c r="AS146" s="294"/>
      <c r="AT146" s="294"/>
      <c r="AU146" s="294"/>
      <c r="AV146" s="294"/>
      <c r="AW146" s="294"/>
      <c r="AX146" s="294"/>
      <c r="AY146" s="494"/>
      <c r="AZ146" s="294"/>
      <c r="BA146" s="294"/>
      <c r="BC146" s="294"/>
      <c r="BD146" s="294"/>
    </row>
    <row r="147" spans="2:102" outlineLevel="1" x14ac:dyDescent="0.45">
      <c r="B147" s="287" t="s">
        <v>1080</v>
      </c>
      <c r="C147" s="288"/>
      <c r="D147" s="288"/>
      <c r="E147" s="288"/>
      <c r="F147" s="288"/>
      <c r="G147" s="288"/>
      <c r="H147" s="288"/>
      <c r="I147" s="288"/>
      <c r="J147" s="288"/>
      <c r="K147" s="288"/>
      <c r="L147" s="288"/>
      <c r="M147" s="288"/>
      <c r="N147" s="288"/>
      <c r="O147" s="288"/>
      <c r="P147" s="288"/>
      <c r="Q147" s="288"/>
      <c r="R147" s="289"/>
      <c r="S147" s="289"/>
      <c r="T147" s="289"/>
      <c r="U147" s="289"/>
      <c r="V147" s="289"/>
      <c r="W147" s="289"/>
      <c r="X147" s="289"/>
      <c r="Y147" s="289"/>
      <c r="Z147" s="289"/>
      <c r="AA147" s="289"/>
      <c r="AB147" s="289"/>
      <c r="AC147" s="289"/>
      <c r="AD147" s="289"/>
      <c r="AE147" s="289"/>
      <c r="AF147" s="289"/>
      <c r="AG147" s="289"/>
      <c r="AH147" s="289"/>
      <c r="AI147" s="289"/>
      <c r="AJ147" s="289"/>
      <c r="AK147" s="289"/>
      <c r="AL147" s="289"/>
      <c r="AM147" s="289"/>
      <c r="AN147" s="289"/>
      <c r="AO147" s="289"/>
      <c r="AP147" s="494"/>
      <c r="AQ147" s="289"/>
      <c r="AR147" s="289"/>
      <c r="AS147" s="289"/>
      <c r="AT147" s="289"/>
      <c r="AU147" s="289"/>
      <c r="AV147" s="289"/>
      <c r="AW147" s="289"/>
      <c r="AX147" s="289"/>
      <c r="AY147" s="494"/>
      <c r="AZ147" s="289"/>
      <c r="BA147" s="289"/>
      <c r="BC147" s="289"/>
      <c r="BD147" s="289"/>
    </row>
    <row r="148" spans="2:102" outlineLevel="3" x14ac:dyDescent="0.45">
      <c r="B148" s="321"/>
      <c r="C148" s="321"/>
      <c r="D148" s="352"/>
      <c r="E148" s="321"/>
      <c r="F148" s="321"/>
      <c r="G148" s="321"/>
      <c r="H148" s="321"/>
      <c r="I148" s="321"/>
      <c r="J148" s="321"/>
      <c r="K148" s="321"/>
      <c r="L148" s="321"/>
      <c r="M148" s="321"/>
      <c r="N148" s="321"/>
      <c r="O148" s="321"/>
      <c r="P148" s="321"/>
      <c r="Q148" s="321"/>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c r="AN148" s="294"/>
      <c r="AO148" s="294"/>
      <c r="AP148" s="494"/>
      <c r="AQ148" s="294"/>
      <c r="AR148" s="294"/>
      <c r="AS148" s="294"/>
      <c r="AT148" s="294"/>
      <c r="AU148" s="294"/>
      <c r="AV148" s="294"/>
      <c r="AW148" s="294"/>
      <c r="AX148" s="294"/>
      <c r="AY148" s="494"/>
      <c r="AZ148" s="294"/>
      <c r="BA148" s="294"/>
      <c r="BC148" s="294"/>
      <c r="BD148" s="294"/>
    </row>
    <row r="149" spans="2:102" outlineLevel="3" x14ac:dyDescent="0.45">
      <c r="B149" s="394" t="s">
        <v>1061</v>
      </c>
      <c r="C149" s="395"/>
      <c r="D149" s="396"/>
      <c r="E149" s="392"/>
      <c r="F149" s="392"/>
      <c r="G149" s="392"/>
      <c r="H149" s="392"/>
      <c r="I149" s="393"/>
      <c r="J149" s="390"/>
      <c r="K149" s="390"/>
      <c r="L149" s="390"/>
      <c r="M149" s="390"/>
      <c r="N149" s="390"/>
      <c r="O149" s="390"/>
      <c r="P149" s="390"/>
      <c r="Q149" s="390"/>
      <c r="R149" s="387"/>
      <c r="S149" s="387"/>
      <c r="T149" s="387"/>
      <c r="U149" s="387"/>
      <c r="V149" s="387"/>
      <c r="W149" s="387"/>
      <c r="X149" s="387"/>
      <c r="Y149" s="387"/>
      <c r="Z149" s="387"/>
      <c r="AA149" s="387"/>
      <c r="AB149" s="387"/>
      <c r="AC149" s="414">
        <v>6.5185185185185182</v>
      </c>
      <c r="AD149" s="414">
        <v>6.7777777777777777</v>
      </c>
      <c r="AE149" s="414">
        <v>7.3472222222222223</v>
      </c>
      <c r="AF149" s="414">
        <v>5.56</v>
      </c>
      <c r="AG149" s="414"/>
      <c r="AH149" s="414"/>
      <c r="AI149" s="414"/>
      <c r="AJ149" s="414"/>
      <c r="AK149" s="414"/>
      <c r="AL149" s="414"/>
      <c r="AM149" s="414"/>
      <c r="AN149" s="414"/>
      <c r="AO149" s="414"/>
      <c r="AP149" s="494"/>
      <c r="AQ149" s="414"/>
      <c r="AR149" s="414"/>
      <c r="AS149" s="414"/>
      <c r="AT149" s="414"/>
      <c r="AU149" s="414">
        <f>AVERAGE(AD149:AF149)</f>
        <v>6.5616666666666665</v>
      </c>
      <c r="AV149" s="414">
        <f>AVERAGE(AE149:AG149)</f>
        <v>6.453611111111111</v>
      </c>
      <c r="AW149" s="414">
        <f>AVERAGE(AF149:AH149)</f>
        <v>5.56</v>
      </c>
      <c r="AX149" s="414" t="e">
        <f>AVERAGE(AG149:AI149)</f>
        <v>#DIV/0!</v>
      </c>
      <c r="AY149" s="494"/>
      <c r="AZ149" s="414" t="s">
        <v>371</v>
      </c>
      <c r="BA149" s="414"/>
      <c r="BC149" s="414" t="s">
        <v>371</v>
      </c>
      <c r="BD149" s="414"/>
    </row>
    <row r="150" spans="2:102" outlineLevel="3" x14ac:dyDescent="0.45">
      <c r="B150" s="394" t="s">
        <v>1062</v>
      </c>
      <c r="C150" s="395"/>
      <c r="D150" s="396"/>
      <c r="E150" s="321"/>
      <c r="F150" s="321"/>
      <c r="G150" s="321"/>
      <c r="H150" s="321"/>
      <c r="I150" s="321"/>
      <c r="J150" s="321"/>
      <c r="K150" s="321"/>
      <c r="L150" s="321"/>
      <c r="M150" s="321"/>
      <c r="N150" s="321"/>
      <c r="O150" s="321"/>
      <c r="P150" s="321"/>
      <c r="Q150" s="321"/>
      <c r="R150" s="387"/>
      <c r="S150" s="387"/>
      <c r="T150" s="387"/>
      <c r="U150" s="387"/>
      <c r="V150" s="387"/>
      <c r="W150" s="387"/>
      <c r="X150" s="387"/>
      <c r="Y150" s="387"/>
      <c r="Z150" s="387"/>
      <c r="AA150" s="387"/>
      <c r="AB150" s="387"/>
      <c r="AC150" s="387">
        <v>7.5138888888888893</v>
      </c>
      <c r="AD150" s="387">
        <v>7.7222222222222223</v>
      </c>
      <c r="AE150" s="387">
        <v>8.5092592592592595</v>
      </c>
      <c r="AF150" s="387">
        <v>6.456666666666667</v>
      </c>
      <c r="AG150" s="387"/>
      <c r="AH150" s="387"/>
      <c r="AI150" s="387"/>
      <c r="AJ150" s="387"/>
      <c r="AK150" s="387"/>
      <c r="AL150" s="387"/>
      <c r="AM150" s="387"/>
      <c r="AN150" s="387"/>
      <c r="AO150" s="387"/>
      <c r="AP150" s="494"/>
      <c r="AQ150" s="387"/>
      <c r="AR150" s="387"/>
      <c r="AS150" s="387"/>
      <c r="AT150" s="387"/>
      <c r="AU150" s="387">
        <f t="shared" ref="AS150:AX150" si="11">AVERAGE(AD150:AF150)</f>
        <v>7.5627160493827157</v>
      </c>
      <c r="AV150" s="387">
        <f t="shared" si="11"/>
        <v>7.4829629629629633</v>
      </c>
      <c r="AW150" s="387">
        <f t="shared" si="11"/>
        <v>6.456666666666667</v>
      </c>
      <c r="AX150" s="387" t="e">
        <f t="shared" si="11"/>
        <v>#DIV/0!</v>
      </c>
      <c r="AY150" s="494"/>
      <c r="AZ150" s="387" t="s">
        <v>371</v>
      </c>
      <c r="BA150" s="387"/>
      <c r="BC150" s="387" t="s">
        <v>371</v>
      </c>
      <c r="BD150" s="387"/>
    </row>
    <row r="151" spans="2:102" s="419" customFormat="1" outlineLevel="2" x14ac:dyDescent="0.45">
      <c r="B151" s="420"/>
      <c r="C151" s="421"/>
      <c r="D151" s="422"/>
      <c r="E151" s="421"/>
      <c r="F151" s="421"/>
      <c r="G151" s="421"/>
      <c r="H151" s="421"/>
      <c r="I151" s="421"/>
      <c r="J151" s="421"/>
      <c r="K151" s="421"/>
      <c r="L151" s="421"/>
      <c r="M151" s="421"/>
      <c r="N151" s="421"/>
      <c r="O151" s="421"/>
      <c r="P151" s="421"/>
      <c r="Q151" s="421"/>
      <c r="R151" s="423"/>
      <c r="S151" s="423"/>
      <c r="T151" s="423"/>
      <c r="U151" s="423"/>
      <c r="V151" s="423"/>
      <c r="W151" s="423"/>
      <c r="X151" s="423"/>
      <c r="Y151" s="423"/>
      <c r="Z151" s="423"/>
      <c r="AA151" s="423"/>
      <c r="AB151" s="423"/>
      <c r="AC151" s="423"/>
      <c r="AD151" s="423"/>
      <c r="AE151" s="424"/>
      <c r="AF151" s="424"/>
      <c r="AG151" s="424"/>
      <c r="AH151" s="424"/>
      <c r="AI151" s="424"/>
      <c r="AJ151" s="424"/>
      <c r="AK151" s="424"/>
      <c r="AL151" s="424"/>
      <c r="AM151" s="424"/>
      <c r="AN151" s="424"/>
      <c r="AO151" s="424"/>
      <c r="AP151" s="494"/>
      <c r="AQ151" s="294"/>
      <c r="AR151" s="294"/>
      <c r="AS151" s="294"/>
      <c r="AT151" s="294"/>
      <c r="AU151" s="294"/>
      <c r="AV151" s="294"/>
      <c r="AW151" s="294"/>
      <c r="AX151" s="294"/>
      <c r="AY151" s="494"/>
      <c r="AZ151" s="294"/>
      <c r="BA151" s="294"/>
      <c r="BB151" s="269"/>
      <c r="BC151" s="294"/>
      <c r="BD151" s="294"/>
      <c r="BE151" s="269"/>
      <c r="BF151" s="269"/>
      <c r="BG151" s="269"/>
      <c r="BH151" s="269"/>
      <c r="BI151" s="269"/>
      <c r="BJ151" s="269"/>
      <c r="BK151" s="269"/>
      <c r="BL151" s="269"/>
      <c r="BM151" s="269"/>
      <c r="BN151" s="269"/>
      <c r="BO151" s="269"/>
      <c r="BP151" s="269"/>
      <c r="BQ151" s="269"/>
      <c r="BR151" s="269"/>
      <c r="BS151" s="269"/>
      <c r="BT151" s="269"/>
      <c r="BU151" s="269"/>
      <c r="BV151" s="269"/>
      <c r="BW151" s="269"/>
      <c r="BX151" s="269"/>
      <c r="BY151" s="269"/>
      <c r="BZ151" s="269"/>
      <c r="CA151" s="269"/>
      <c r="CB151" s="269"/>
      <c r="CC151" s="269"/>
      <c r="CD151" s="269"/>
      <c r="CE151" s="269"/>
      <c r="CF151" s="269"/>
      <c r="CG151" s="269"/>
      <c r="CH151" s="269"/>
      <c r="CI151" s="269"/>
      <c r="CJ151" s="269"/>
      <c r="CK151" s="269"/>
      <c r="CL151" s="269"/>
      <c r="CM151" s="269"/>
      <c r="CN151" s="269"/>
      <c r="CO151" s="269"/>
      <c r="CP151" s="269"/>
      <c r="CQ151" s="269"/>
      <c r="CR151" s="269"/>
      <c r="CS151" s="269"/>
      <c r="CT151" s="269"/>
      <c r="CU151" s="269"/>
      <c r="CV151" s="269"/>
      <c r="CW151" s="269"/>
      <c r="CX151" s="269"/>
    </row>
    <row r="152" spans="2:102" x14ac:dyDescent="0.45">
      <c r="B152" s="321"/>
      <c r="C152" s="321"/>
      <c r="D152" s="352"/>
      <c r="E152" s="321"/>
      <c r="F152" s="321"/>
      <c r="G152" s="321"/>
      <c r="H152" s="321"/>
      <c r="I152" s="321"/>
      <c r="J152" s="321"/>
      <c r="K152" s="321"/>
      <c r="L152" s="321"/>
      <c r="M152" s="321"/>
      <c r="N152" s="321"/>
      <c r="O152" s="321"/>
      <c r="P152" s="321"/>
      <c r="Q152" s="321"/>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494"/>
      <c r="AQ152" s="294"/>
      <c r="AR152" s="294"/>
      <c r="AS152" s="294"/>
      <c r="AT152" s="294"/>
      <c r="AU152" s="294"/>
      <c r="AV152" s="294"/>
      <c r="AW152" s="294"/>
      <c r="AX152" s="294"/>
      <c r="AY152" s="494"/>
      <c r="AZ152" s="294"/>
      <c r="BA152" s="294"/>
      <c r="BC152" s="294"/>
      <c r="BD152" s="294"/>
    </row>
    <row r="153" spans="2:102" x14ac:dyDescent="0.45">
      <c r="B153" s="287" t="s">
        <v>830</v>
      </c>
      <c r="C153" s="287"/>
      <c r="D153" s="288"/>
      <c r="E153" s="288"/>
      <c r="F153" s="288"/>
      <c r="G153" s="288"/>
      <c r="H153" s="288"/>
      <c r="I153" s="288"/>
      <c r="J153" s="288"/>
      <c r="K153" s="288"/>
      <c r="L153" s="288"/>
      <c r="M153" s="288"/>
      <c r="N153" s="288"/>
      <c r="O153" s="288"/>
      <c r="P153" s="288"/>
      <c r="Q153" s="288"/>
      <c r="R153" s="288"/>
      <c r="S153" s="288"/>
      <c r="T153" s="288"/>
      <c r="U153" s="288"/>
      <c r="V153" s="288"/>
      <c r="W153" s="288"/>
      <c r="X153" s="288"/>
      <c r="Y153" s="288"/>
      <c r="Z153" s="288"/>
      <c r="AA153" s="288"/>
      <c r="AB153" s="288"/>
      <c r="AC153" s="288"/>
      <c r="AD153" s="288"/>
      <c r="AE153" s="288"/>
      <c r="AF153" s="288"/>
      <c r="AG153" s="288"/>
      <c r="AH153" s="288"/>
      <c r="AI153" s="288"/>
      <c r="AJ153" s="288"/>
      <c r="AK153" s="288"/>
      <c r="AL153" s="288"/>
      <c r="AM153" s="288"/>
      <c r="AN153" s="288"/>
      <c r="AO153" s="288"/>
      <c r="AP153" s="494"/>
      <c r="AQ153" s="288"/>
      <c r="AR153" s="288"/>
      <c r="AS153" s="288"/>
      <c r="AT153" s="288"/>
      <c r="AU153" s="288"/>
      <c r="AV153" s="288"/>
      <c r="AW153" s="288"/>
      <c r="AX153" s="288"/>
      <c r="AY153" s="494"/>
      <c r="AZ153" s="288"/>
      <c r="BA153" s="288"/>
      <c r="BC153" s="288"/>
      <c r="BD153" s="288"/>
    </row>
    <row r="154" spans="2:102" outlineLevel="1" x14ac:dyDescent="0.45">
      <c r="R154" s="331"/>
      <c r="S154" s="331"/>
      <c r="T154" s="331"/>
      <c r="U154" s="331"/>
      <c r="V154" s="331"/>
      <c r="W154" s="331"/>
      <c r="X154" s="331"/>
      <c r="Y154" s="331"/>
      <c r="Z154" s="331"/>
      <c r="AA154" s="331"/>
      <c r="AB154" s="331"/>
      <c r="AC154" s="331"/>
      <c r="AD154" s="331"/>
      <c r="AE154" s="331"/>
      <c r="AF154" s="331"/>
      <c r="AG154" s="331"/>
      <c r="AH154" s="331"/>
      <c r="AI154" s="331"/>
      <c r="AJ154" s="331"/>
      <c r="AK154" s="331"/>
      <c r="AL154" s="331"/>
      <c r="AM154" s="331"/>
      <c r="AN154" s="331"/>
      <c r="AO154" s="331"/>
      <c r="AP154" s="494"/>
      <c r="AQ154" s="494"/>
      <c r="AR154" s="494"/>
      <c r="AS154" s="494"/>
      <c r="AT154" s="494"/>
      <c r="AU154" s="494"/>
      <c r="AV154" s="494"/>
      <c r="AW154" s="494"/>
      <c r="AX154" s="494"/>
      <c r="AY154" s="494"/>
      <c r="AZ154" s="494"/>
      <c r="BA154" s="494"/>
    </row>
    <row r="155" spans="2:102" ht="14.9" customHeight="1" outlineLevel="2" x14ac:dyDescent="0.45">
      <c r="B155" s="337" t="s">
        <v>595</v>
      </c>
      <c r="C155" s="292"/>
      <c r="D155" s="303"/>
      <c r="E155" s="303"/>
      <c r="F155" s="303"/>
      <c r="G155" s="303"/>
      <c r="H155" s="303"/>
      <c r="I155" s="303"/>
      <c r="J155" s="303"/>
      <c r="K155" s="303"/>
      <c r="L155" s="303"/>
      <c r="M155" s="303"/>
      <c r="N155" s="303"/>
      <c r="O155" s="303"/>
      <c r="P155" s="303"/>
      <c r="Q155" s="303"/>
      <c r="R155" s="220">
        <f>SUMIFS('Data BASE'!R$490:R$960,'Data BASE'!$M$490:$M$960,$B155,'Data BASE'!$K$490:$K$960,$B$163)</f>
        <v>2081191.38</v>
      </c>
      <c r="S155" s="220">
        <f>SUMIFS('Data BASE'!S$490:S$960,'Data BASE'!$M$490:$M$960,$B155,'Data BASE'!$K$490:$K$960,$B$163)</f>
        <v>1422852.08</v>
      </c>
      <c r="T155" s="220">
        <f>SUMIFS('Data BASE'!T$490:T$960,'Data BASE'!$M$490:$M$960,$B155,'Data BASE'!$K$490:$K$960,$B$163)</f>
        <v>2142882.54</v>
      </c>
      <c r="U155" s="220">
        <f>SUMIFS('Data BASE'!U$490:U$960,'Data BASE'!$M$490:$M$960,$B155,'Data BASE'!$K$490:$K$960,$B$163)</f>
        <v>2619896</v>
      </c>
      <c r="V155" s="220">
        <f>SUMIFS('Data BASE'!V$490:V$960,'Data BASE'!$M$490:$M$960,$B155,'Data BASE'!$K$490:$K$960,$B$163)</f>
        <v>2987605</v>
      </c>
      <c r="W155" s="220">
        <f>SUMIFS('Data BASE'!W$490:W$960,'Data BASE'!$M$490:$M$960,$B155,'Data BASE'!$K$490:$K$960,$B$163)</f>
        <v>3202383</v>
      </c>
      <c r="X155" s="220">
        <f>SUMIFS('Data BASE'!X$490:X$960,'Data BASE'!$M$490:$M$960,$B155,'Data BASE'!$K$490:$K$960,$B$163)</f>
        <v>3620472</v>
      </c>
      <c r="Y155" s="220">
        <f>SUMIFS('Data BASE'!Y$490:Y$960,'Data BASE'!$M$490:$M$960,$B155,'Data BASE'!$K$490:$K$960,$B$163)</f>
        <v>4037184.6999999993</v>
      </c>
      <c r="Z155" s="220">
        <f>SUMIFS('Data BASE'!Z$490:Z$960,'Data BASE'!$M$490:$M$960,$B155,'Data BASE'!$K$490:$K$960,$B$163)</f>
        <v>3074861.4800000004</v>
      </c>
      <c r="AA155" s="220">
        <f>SUMIFS('Data BASE'!AA$490:AA$960,'Data BASE'!$M$490:$M$960,$B155,'Data BASE'!$K$490:$K$960,$B$163)</f>
        <v>3854853.4499999993</v>
      </c>
      <c r="AB155" s="220">
        <f>SUMIFS('Data BASE'!AB$490:AB$960,'Data BASE'!$M$490:$M$960,$B155,'Data BASE'!$K$490:$K$960,$B$163)</f>
        <v>4035370.6900000013</v>
      </c>
      <c r="AC155" s="220">
        <f>SUMIFS('Data BASE'!AC$490:AC$960,'Data BASE'!$M$490:$M$960,$B155,'Data BASE'!$K$490:$K$960,$B$163)</f>
        <v>4207022.4099999964</v>
      </c>
      <c r="AD155" s="220">
        <f>SUMIFS('Data BASE'!AD$490:AD$960,'Data BASE'!$M$490:$M$960,$B155,'Data BASE'!$K$490:$K$960,$B$163)</f>
        <v>5415172.4100000001</v>
      </c>
      <c r="AE155" s="220">
        <f>SUMIFS('Data BASE'!AE$490:AE$960,'Data BASE'!$M$490:$M$960,$B155,'Data BASE'!$K$490:$K$960,$B$163)</f>
        <v>5043866.51</v>
      </c>
      <c r="AF155" s="220">
        <f>SUMIFS('Data BASE'!AF$490:AF$960,'Data BASE'!$M$490:$M$960,$B155,'Data BASE'!$K$490:$K$960,$B$163)</f>
        <v>4980031.3499999996</v>
      </c>
      <c r="AG155" s="220">
        <f>SUMIFS('Data BASE'!AG$490:AG$960,'Data BASE'!$M$490:$M$960,$B155,'Data BASE'!$K$490:$K$960,$B$163)</f>
        <v>5227633.32</v>
      </c>
      <c r="AH155" s="220"/>
      <c r="AI155" s="220"/>
      <c r="AJ155" s="220"/>
      <c r="AK155" s="220"/>
      <c r="AL155" s="220"/>
      <c r="AM155" s="220"/>
      <c r="AN155" s="220"/>
      <c r="AO155" s="220"/>
      <c r="AP155" s="298"/>
      <c r="AQ155" s="220">
        <f t="shared" ref="AQ155:AX168" si="12">SUMIFS($R155:$AP155,$R$9:$AP$9,AQ$9,$R$8:$AP$8,AQ$8)</f>
        <v>5646926</v>
      </c>
      <c r="AR155" s="220">
        <f t="shared" si="12"/>
        <v>8809884</v>
      </c>
      <c r="AS155" s="220">
        <f t="shared" si="12"/>
        <v>10732518.18</v>
      </c>
      <c r="AT155" s="220">
        <f t="shared" si="12"/>
        <v>12097246.549999997</v>
      </c>
      <c r="AU155" s="220">
        <f t="shared" si="12"/>
        <v>15439070.27</v>
      </c>
      <c r="AV155" s="220">
        <f t="shared" si="12"/>
        <v>5227633.32</v>
      </c>
      <c r="AW155" s="220">
        <f t="shared" si="12"/>
        <v>0</v>
      </c>
      <c r="AX155" s="220">
        <f t="shared" si="12"/>
        <v>0</v>
      </c>
      <c r="AY155" s="298"/>
      <c r="AZ155" s="220">
        <f t="shared" ref="AZ155:AZ163" si="13">SUM(AQ155:AT155)</f>
        <v>37286574.729999997</v>
      </c>
      <c r="BA155" s="220">
        <f t="shared" ref="BA155:BA163" si="14">SUM(AU155:AX155)</f>
        <v>20666703.59</v>
      </c>
      <c r="BB155" s="299"/>
      <c r="BC155" s="220">
        <f t="shared" ref="BC155:BC181" si="15">SUMIFS($R155:$AD155,$R$8:$AD$8,BC$8,$R$11:$AD$11,BC$11)</f>
        <v>2081191.38</v>
      </c>
      <c r="BD155" s="220">
        <f>SUMIFS($AB155:$AO155,$AB$8:$AO$8,BD$8,$AB$11:$AO$11,BD$11)</f>
        <v>20666703.59</v>
      </c>
    </row>
    <row r="156" spans="2:102" ht="14.9" customHeight="1" outlineLevel="2" x14ac:dyDescent="0.45">
      <c r="B156" s="337" t="s">
        <v>734</v>
      </c>
      <c r="C156" s="292"/>
      <c r="D156" s="296"/>
      <c r="E156" s="296"/>
      <c r="F156" s="296"/>
      <c r="G156" s="296"/>
      <c r="H156" s="296"/>
      <c r="I156" s="296"/>
      <c r="J156" s="296"/>
      <c r="K156" s="296"/>
      <c r="L156" s="296"/>
      <c r="M156" s="296"/>
      <c r="N156" s="296"/>
      <c r="O156" s="296"/>
      <c r="P156" s="296"/>
      <c r="Q156" s="296"/>
      <c r="R156" s="220">
        <f>SUMIFS('Data BASE'!R$490:R$960,'Data BASE'!$M$490:$M$960,$B156,'Data BASE'!$K$490:$K$960,$B$163)</f>
        <v>0</v>
      </c>
      <c r="S156" s="220">
        <f>SUMIFS('Data BASE'!S$490:S$960,'Data BASE'!$M$490:$M$960,$B156,'Data BASE'!$K$490:$K$960,$B$163)</f>
        <v>0</v>
      </c>
      <c r="T156" s="220">
        <f>SUMIFS('Data BASE'!T$490:T$960,'Data BASE'!$M$490:$M$960,$B156,'Data BASE'!$K$490:$K$960,$B$163)</f>
        <v>0</v>
      </c>
      <c r="U156" s="220">
        <f>SUMIFS('Data BASE'!U$490:U$960,'Data BASE'!$M$490:$M$960,$B156,'Data BASE'!$K$490:$K$960,$B$163)</f>
        <v>736413</v>
      </c>
      <c r="V156" s="220">
        <f>SUMIFS('Data BASE'!V$490:V$960,'Data BASE'!$M$490:$M$960,$B156,'Data BASE'!$K$490:$K$960,$B$163)</f>
        <v>1163081.0217583401</v>
      </c>
      <c r="W156" s="220">
        <f>SUMIFS('Data BASE'!W$490:W$960,'Data BASE'!$M$490:$M$960,$B156,'Data BASE'!$K$490:$K$960,$B$163)</f>
        <v>1266692.43168997</v>
      </c>
      <c r="X156" s="220">
        <f>SUMIFS('Data BASE'!X$490:X$960,'Data BASE'!$M$490:$M$960,$B156,'Data BASE'!$K$490:$K$960,$B$163)</f>
        <v>1273177.8437930304</v>
      </c>
      <c r="Y156" s="220">
        <f>SUMIFS('Data BASE'!Y$490:Y$960,'Data BASE'!$M$490:$M$960,$B156,'Data BASE'!$K$490:$K$960,$B$163)</f>
        <v>1013681.6627586596</v>
      </c>
      <c r="Z156" s="220">
        <f>SUMIFS('Data BASE'!Z$490:Z$960,'Data BASE'!$M$490:$M$960,$B156,'Data BASE'!$K$490:$K$960,$B$163)</f>
        <v>1835624.5700000003</v>
      </c>
      <c r="AA156" s="220">
        <f>SUMIFS('Data BASE'!AA$490:AA$960,'Data BASE'!$M$490:$M$960,$B156,'Data BASE'!$K$490:$K$960,$B$163)</f>
        <v>1517006.8899999997</v>
      </c>
      <c r="AB156" s="220">
        <f>SUMIFS('Data BASE'!AB$490:AB$960,'Data BASE'!$M$490:$M$960,$B156,'Data BASE'!$K$490:$K$960,$B$163)</f>
        <v>1220674.9399999995</v>
      </c>
      <c r="AC156" s="220">
        <f>SUMIFS('Data BASE'!AC$490:AC$960,'Data BASE'!$M$490:$M$960,$B156,'Data BASE'!$K$490:$K$960,$B$163)</f>
        <v>1559825.8900000006</v>
      </c>
      <c r="AD156" s="220">
        <f>SUMIFS('Data BASE'!AD$490:AD$960,'Data BASE'!$M$490:$M$960,$B156,'Data BASE'!$K$490:$K$960,$B$163)</f>
        <v>691727.81</v>
      </c>
      <c r="AE156" s="220">
        <f>SUMIFS('Data BASE'!AE$490:AE$960,'Data BASE'!$M$490:$M$960,$B156,'Data BASE'!$K$490:$K$960,$B$163)</f>
        <v>966353.27</v>
      </c>
      <c r="AF156" s="220">
        <f>SUMIFS('Data BASE'!AF$490:AF$960,'Data BASE'!$M$490:$M$960,$B156,'Data BASE'!$K$490:$K$960,$B$163)</f>
        <v>2116240.7999999998</v>
      </c>
      <c r="AG156" s="220">
        <f>SUMIFS('Data BASE'!AG$490:AG$960,'Data BASE'!$M$490:$M$960,$B156,'Data BASE'!$K$490:$K$960,$B$163)</f>
        <v>2005015.54</v>
      </c>
      <c r="AH156" s="220"/>
      <c r="AI156" s="220"/>
      <c r="AJ156" s="220"/>
      <c r="AK156" s="220"/>
      <c r="AL156" s="220"/>
      <c r="AM156" s="220"/>
      <c r="AN156" s="220"/>
      <c r="AO156" s="220"/>
      <c r="AP156" s="298"/>
      <c r="AQ156" s="220">
        <f t="shared" si="12"/>
        <v>0</v>
      </c>
      <c r="AR156" s="220">
        <f t="shared" si="12"/>
        <v>3166186.45344831</v>
      </c>
      <c r="AS156" s="220">
        <f t="shared" si="12"/>
        <v>4122484.0765516902</v>
      </c>
      <c r="AT156" s="220">
        <f t="shared" si="12"/>
        <v>4297507.72</v>
      </c>
      <c r="AU156" s="220">
        <f t="shared" si="12"/>
        <v>3774321.88</v>
      </c>
      <c r="AV156" s="220">
        <f t="shared" si="12"/>
        <v>2005015.54</v>
      </c>
      <c r="AW156" s="220">
        <f t="shared" si="12"/>
        <v>0</v>
      </c>
      <c r="AX156" s="220">
        <f t="shared" si="12"/>
        <v>0</v>
      </c>
      <c r="AY156" s="298"/>
      <c r="AZ156" s="220">
        <f t="shared" si="13"/>
        <v>11586178.25</v>
      </c>
      <c r="BA156" s="220">
        <f t="shared" si="14"/>
        <v>5779337.4199999999</v>
      </c>
      <c r="BB156" s="299"/>
      <c r="BC156" s="220">
        <f t="shared" si="15"/>
        <v>0</v>
      </c>
      <c r="BD156" s="220">
        <f t="shared" ref="BD156:BD163" si="16">SUMIFS($AB156:$AO156,$AB$8:$AO$8,BD$8,$AB$11:$AO$11,BD$11)</f>
        <v>5779337.4199999999</v>
      </c>
    </row>
    <row r="157" spans="2:102" outlineLevel="2" x14ac:dyDescent="0.45">
      <c r="B157" s="337" t="s">
        <v>472</v>
      </c>
      <c r="C157" s="292"/>
      <c r="D157" s="292"/>
      <c r="E157" s="295"/>
      <c r="F157" s="296"/>
      <c r="G157" s="296"/>
      <c r="H157" s="296"/>
      <c r="I157" s="296"/>
      <c r="J157" s="296"/>
      <c r="K157" s="296"/>
      <c r="L157" s="296"/>
      <c r="M157" s="296"/>
      <c r="N157" s="297"/>
      <c r="O157" s="296"/>
      <c r="P157" s="296"/>
      <c r="Q157" s="296"/>
      <c r="R157" s="220">
        <f>SUMIFS('Data BASE'!R$490:R$960,'Data BASE'!$M$490:$M$960,$B157,'Data BASE'!$K$490:$K$960,$B$163)</f>
        <v>1664129.74</v>
      </c>
      <c r="S157" s="220">
        <f>SUMIFS('Data BASE'!S$490:S$960,'Data BASE'!$M$490:$M$960,$B157,'Data BASE'!$K$490:$K$960,$B$163)</f>
        <v>2110640.2699999996</v>
      </c>
      <c r="T157" s="220">
        <f>SUMIFS('Data BASE'!T$490:T$960,'Data BASE'!$M$490:$M$960,$B157,'Data BASE'!$K$490:$K$960,$B$163)</f>
        <v>1920029.8899999997</v>
      </c>
      <c r="U157" s="220">
        <f>SUMIFS('Data BASE'!U$490:U$960,'Data BASE'!$M$490:$M$960,$B157,'Data BASE'!$K$490:$K$960,$B$163)</f>
        <v>2446127.0999999959</v>
      </c>
      <c r="V157" s="220">
        <f>SUMIFS('Data BASE'!V$490:V$960,'Data BASE'!$M$490:$M$960,$B157,'Data BASE'!$K$490:$K$960,$B$163)</f>
        <v>2449367.0000000009</v>
      </c>
      <c r="W157" s="220">
        <f>SUMIFS('Data BASE'!W$490:W$960,'Data BASE'!$M$490:$M$960,$B157,'Data BASE'!$K$490:$K$960,$B$163)</f>
        <v>2557105.3965517245</v>
      </c>
      <c r="X157" s="220">
        <f>SUMIFS('Data BASE'!X$490:X$960,'Data BASE'!$M$490:$M$960,$B157,'Data BASE'!$K$490:$K$960,$B$163)</f>
        <v>2669014.0862068962</v>
      </c>
      <c r="Y157" s="220">
        <f>SUMIFS('Data BASE'!Y$490:Y$960,'Data BASE'!$M$490:$M$960,$B157,'Data BASE'!$K$490:$K$960,$B$163)</f>
        <v>3093846.2772413846</v>
      </c>
      <c r="Z157" s="220">
        <f>SUMIFS('Data BASE'!Z$490:Z$960,'Data BASE'!$M$490:$M$960,$B157,'Data BASE'!$K$490:$K$960,$B$163)</f>
        <v>3470505.129999999</v>
      </c>
      <c r="AA157" s="220">
        <f>SUMIFS('Data BASE'!AA$490:AA$960,'Data BASE'!$M$490:$M$960,$B157,'Data BASE'!$K$490:$K$960,$B$163)</f>
        <v>3634059.4299999997</v>
      </c>
      <c r="AB157" s="220">
        <f>SUMIFS('Data BASE'!AB$490:AB$960,'Data BASE'!$M$490:$M$960,$B157,'Data BASE'!$K$490:$K$960,$B$163)</f>
        <v>3401117.0099999979</v>
      </c>
      <c r="AC157" s="220">
        <f>SUMIFS('Data BASE'!AC$490:AC$960,'Data BASE'!$M$490:$M$960,$B157,'Data BASE'!$K$490:$K$960,$B$163)</f>
        <v>3869226.5900000036</v>
      </c>
      <c r="AD157" s="220">
        <f>SUMIFS('Data BASE'!AD$490:AD$960,'Data BASE'!$M$490:$M$960,$B157,'Data BASE'!$K$490:$K$960,$B$163)</f>
        <v>4139704.08</v>
      </c>
      <c r="AE157" s="220">
        <f>SUMIFS('Data BASE'!AE$490:AE$960,'Data BASE'!$M$490:$M$960,$B157,'Data BASE'!$K$490:$K$960,$B$163)</f>
        <v>4178446.04</v>
      </c>
      <c r="AF157" s="220">
        <f>SUMIFS('Data BASE'!AF$490:AF$960,'Data BASE'!$M$490:$M$960,$B157,'Data BASE'!$K$490:$K$960,$B$163)</f>
        <v>5262837.3899999997</v>
      </c>
      <c r="AG157" s="220">
        <f>SUMIFS('Data BASE'!AG$490:AG$960,'Data BASE'!$M$490:$M$960,$B157,'Data BASE'!$K$490:$K$960,$B$163)</f>
        <v>5615041.540000001</v>
      </c>
      <c r="AH157" s="220"/>
      <c r="AI157" s="220"/>
      <c r="AJ157" s="220"/>
      <c r="AK157" s="220"/>
      <c r="AL157" s="220"/>
      <c r="AM157" s="220"/>
      <c r="AN157" s="220"/>
      <c r="AO157" s="220"/>
      <c r="AP157" s="298"/>
      <c r="AQ157" s="220">
        <f t="shared" si="12"/>
        <v>5694799.8999999994</v>
      </c>
      <c r="AR157" s="220">
        <f t="shared" si="12"/>
        <v>7452599.4965517214</v>
      </c>
      <c r="AS157" s="220">
        <f t="shared" si="12"/>
        <v>9233365.4934482798</v>
      </c>
      <c r="AT157" s="220">
        <f t="shared" si="12"/>
        <v>10904403.030000001</v>
      </c>
      <c r="AU157" s="220">
        <f t="shared" si="12"/>
        <v>13580987.51</v>
      </c>
      <c r="AV157" s="220">
        <f t="shared" si="12"/>
        <v>5615041.540000001</v>
      </c>
      <c r="AW157" s="220">
        <f t="shared" si="12"/>
        <v>0</v>
      </c>
      <c r="AX157" s="220">
        <f t="shared" si="12"/>
        <v>0</v>
      </c>
      <c r="AY157" s="298"/>
      <c r="AZ157" s="220">
        <f t="shared" si="13"/>
        <v>33285167.920000002</v>
      </c>
      <c r="BA157" s="220">
        <f t="shared" si="14"/>
        <v>19196029.050000001</v>
      </c>
      <c r="BB157" s="299"/>
      <c r="BC157" s="220">
        <f t="shared" si="15"/>
        <v>1664129.74</v>
      </c>
      <c r="BD157" s="220">
        <f t="shared" si="16"/>
        <v>19196029.050000001</v>
      </c>
    </row>
    <row r="158" spans="2:102" outlineLevel="2" x14ac:dyDescent="0.45">
      <c r="B158" s="337" t="s">
        <v>760</v>
      </c>
      <c r="C158" s="292"/>
      <c r="D158" s="290"/>
      <c r="E158" s="300"/>
      <c r="F158" s="301"/>
      <c r="G158" s="301"/>
      <c r="H158" s="301"/>
      <c r="I158" s="301"/>
      <c r="J158" s="301"/>
      <c r="K158" s="301"/>
      <c r="L158" s="301"/>
      <c r="M158" s="301"/>
      <c r="N158" s="302"/>
      <c r="O158" s="301"/>
      <c r="P158" s="301"/>
      <c r="Q158" s="301"/>
      <c r="R158" s="220">
        <f>SUMIFS('Data BASE'!R$490:R$960,'Data BASE'!$M$490:$M$960,$B158,'Data BASE'!$K$490:$K$960,$B$163)</f>
        <v>0</v>
      </c>
      <c r="S158" s="220">
        <f>SUMIFS('Data BASE'!S$490:S$960,'Data BASE'!$M$490:$M$960,$B158,'Data BASE'!$K$490:$K$960,$B$163)</f>
        <v>0</v>
      </c>
      <c r="T158" s="220">
        <f>SUMIFS('Data BASE'!T$490:T$960,'Data BASE'!$M$490:$M$960,$B158,'Data BASE'!$K$490:$K$960,$B$163)</f>
        <v>0</v>
      </c>
      <c r="U158" s="220">
        <f>SUMIFS('Data BASE'!U$490:U$960,'Data BASE'!$M$490:$M$960,$B158,'Data BASE'!$K$490:$K$960,$B$163)</f>
        <v>0</v>
      </c>
      <c r="V158" s="220">
        <f>SUMIFS('Data BASE'!V$490:V$960,'Data BASE'!$M$490:$M$960,$B158,'Data BASE'!$K$490:$K$960,$B$163)</f>
        <v>247537.93</v>
      </c>
      <c r="W158" s="220">
        <f>SUMIFS('Data BASE'!W$490:W$960,'Data BASE'!$M$490:$M$960,$B158,'Data BASE'!$K$490:$K$960,$B$163)</f>
        <v>254438.19</v>
      </c>
      <c r="X158" s="220">
        <f>SUMIFS('Data BASE'!X$490:X$960,'Data BASE'!$M$490:$M$960,$B158,'Data BASE'!$K$490:$K$960,$B$163)</f>
        <v>321866.81999999995</v>
      </c>
      <c r="Y158" s="220">
        <f>SUMIFS('Data BASE'!Y$490:Y$960,'Data BASE'!$M$490:$M$960,$B158,'Data BASE'!$K$490:$K$960,$B$163)</f>
        <v>277761.81000000006</v>
      </c>
      <c r="Z158" s="220">
        <f>SUMIFS('Data BASE'!Z$490:Z$960,'Data BASE'!$M$490:$M$960,$B158,'Data BASE'!$K$490:$K$960,$B$163)</f>
        <v>-315713.75</v>
      </c>
      <c r="AA158" s="220">
        <f>SUMIFS('Data BASE'!AA$490:AA$960,'Data BASE'!$M$490:$M$960,$B158,'Data BASE'!$K$490:$K$960,$B$163)</f>
        <v>156875.31000000006</v>
      </c>
      <c r="AB158" s="220">
        <f>SUMIFS('Data BASE'!AB$490:AB$960,'Data BASE'!$M$490:$M$960,$B158,'Data BASE'!$K$490:$K$960,$B$163)</f>
        <v>176756.89999999991</v>
      </c>
      <c r="AC158" s="220">
        <f>SUMIFS('Data BASE'!AC$490:AC$960,'Data BASE'!$M$490:$M$960,$B158,'Data BASE'!$K$490:$K$960,$B$163)</f>
        <v>369213.79000000004</v>
      </c>
      <c r="AD158" s="220">
        <f>SUMIFS('Data BASE'!AD$490:AD$960,'Data BASE'!$M$490:$M$960,$B158,'Data BASE'!$K$490:$K$960,$B$163)</f>
        <v>271072.40999999997</v>
      </c>
      <c r="AE158" s="220">
        <f>SUMIFS('Data BASE'!AE$490:AE$960,'Data BASE'!$M$490:$M$960,$B158,'Data BASE'!$K$490:$K$960,$B$163)</f>
        <v>165328.45000000001</v>
      </c>
      <c r="AF158" s="220">
        <f>SUMIFS('Data BASE'!AF$490:AF$960,'Data BASE'!$M$490:$M$960,$B158,'Data BASE'!$K$490:$K$960,$B$163)</f>
        <v>278042.82000000007</v>
      </c>
      <c r="AG158" s="220">
        <f>SUMIFS('Data BASE'!AG$490:AG$960,'Data BASE'!$M$490:$M$960,$B158,'Data BASE'!$K$490:$K$960,$B$163)</f>
        <v>388136.71999999986</v>
      </c>
      <c r="AH158" s="220"/>
      <c r="AI158" s="220"/>
      <c r="AJ158" s="220"/>
      <c r="AK158" s="220"/>
      <c r="AL158" s="220"/>
      <c r="AM158" s="220"/>
      <c r="AN158" s="220"/>
      <c r="AO158" s="220"/>
      <c r="AP158" s="298"/>
      <c r="AQ158" s="220">
        <f t="shared" si="12"/>
        <v>0</v>
      </c>
      <c r="AR158" s="220">
        <f t="shared" si="12"/>
        <v>501976.12</v>
      </c>
      <c r="AS158" s="220">
        <f t="shared" si="12"/>
        <v>283914.88</v>
      </c>
      <c r="AT158" s="220">
        <f t="shared" si="12"/>
        <v>702846</v>
      </c>
      <c r="AU158" s="220">
        <f t="shared" si="12"/>
        <v>714443.68</v>
      </c>
      <c r="AV158" s="220">
        <f t="shared" si="12"/>
        <v>388136.71999999986</v>
      </c>
      <c r="AW158" s="220">
        <f t="shared" si="12"/>
        <v>0</v>
      </c>
      <c r="AX158" s="220">
        <f t="shared" si="12"/>
        <v>0</v>
      </c>
      <c r="AY158" s="298"/>
      <c r="AZ158" s="220">
        <f t="shared" si="13"/>
        <v>1488737</v>
      </c>
      <c r="BA158" s="220">
        <f t="shared" si="14"/>
        <v>1102580.3999999999</v>
      </c>
      <c r="BB158" s="299"/>
      <c r="BC158" s="220">
        <f t="shared" si="15"/>
        <v>0</v>
      </c>
      <c r="BD158" s="220">
        <f t="shared" si="16"/>
        <v>1102580.3999999999</v>
      </c>
    </row>
    <row r="159" spans="2:102" ht="14.9" customHeight="1" outlineLevel="2" x14ac:dyDescent="0.45">
      <c r="B159" s="337" t="s">
        <v>938</v>
      </c>
      <c r="C159" s="292"/>
      <c r="D159" s="303"/>
      <c r="E159" s="303"/>
      <c r="F159" s="303"/>
      <c r="G159" s="303"/>
      <c r="H159" s="303"/>
      <c r="I159" s="303"/>
      <c r="J159" s="303"/>
      <c r="K159" s="303"/>
      <c r="L159" s="303"/>
      <c r="M159" s="303"/>
      <c r="N159" s="303"/>
      <c r="O159" s="303"/>
      <c r="P159" s="303"/>
      <c r="Q159" s="303"/>
      <c r="R159" s="220">
        <f>SUMIFS('Data BASE'!R$490:R$960,'Data BASE'!$M$490:$M$960,$B159,'Data BASE'!$K$490:$K$960,$B$163)</f>
        <v>0</v>
      </c>
      <c r="S159" s="220">
        <f>SUMIFS('Data BASE'!S$490:S$960,'Data BASE'!$M$490:$M$960,$B159,'Data BASE'!$K$490:$K$960,$B$163)</f>
        <v>0</v>
      </c>
      <c r="T159" s="220">
        <f>SUMIFS('Data BASE'!T$490:T$960,'Data BASE'!$M$490:$M$960,$B159,'Data BASE'!$K$490:$K$960,$B$163)</f>
        <v>0</v>
      </c>
      <c r="U159" s="220">
        <f>SUMIFS('Data BASE'!U$490:U$960,'Data BASE'!$M$490:$M$960,$B159,'Data BASE'!$K$490:$K$960,$B$163)</f>
        <v>0</v>
      </c>
      <c r="V159" s="220">
        <f>SUMIFS('Data BASE'!V$490:V$960,'Data BASE'!$M$490:$M$960,$B159,'Data BASE'!$K$490:$K$960,$B$163)</f>
        <v>0</v>
      </c>
      <c r="W159" s="220">
        <f>SUMIFS('Data BASE'!W$490:W$960,'Data BASE'!$M$490:$M$960,$B159,'Data BASE'!$K$490:$K$960,$B$163)</f>
        <v>0</v>
      </c>
      <c r="X159" s="220">
        <f>SUMIFS('Data BASE'!X$490:X$960,'Data BASE'!$M$490:$M$960,$B159,'Data BASE'!$K$490:$K$960,$B$163)</f>
        <v>0</v>
      </c>
      <c r="Y159" s="220">
        <f>SUMIFS('Data BASE'!Y$490:Y$960,'Data BASE'!$M$490:$M$960,$B159,'Data BASE'!$K$490:$K$960,$B$163)</f>
        <v>0</v>
      </c>
      <c r="Z159" s="220">
        <f>SUMIFS('Data BASE'!Z$490:Z$960,'Data BASE'!$M$490:$M$960,$B159,'Data BASE'!$K$490:$K$960,$B$163)</f>
        <v>759692.65</v>
      </c>
      <c r="AA159" s="220">
        <f>SUMIFS('Data BASE'!AA$490:AA$960,'Data BASE'!$M$490:$M$960,$B159,'Data BASE'!$K$490:$K$960,$B$163)</f>
        <v>259694.68999999994</v>
      </c>
      <c r="AB159" s="220">
        <f>SUMIFS('Data BASE'!AB$490:AB$960,'Data BASE'!$M$490:$M$960,$B159,'Data BASE'!$K$490:$K$960,$B$163)</f>
        <v>232556.45000000007</v>
      </c>
      <c r="AC159" s="220">
        <f>SUMIFS('Data BASE'!AC$490:AC$960,'Data BASE'!$M$490:$M$960,$B159,'Data BASE'!$K$490:$K$960,$B$163)</f>
        <v>222782.28000000003</v>
      </c>
      <c r="AD159" s="220">
        <f>SUMIFS('Data BASE'!AD$490:AD$960,'Data BASE'!$M$490:$M$960,$B159,'Data BASE'!$K$490:$K$960,$B$163)</f>
        <v>206606.9</v>
      </c>
      <c r="AE159" s="220">
        <f>SUMIFS('Data BASE'!AE$490:AE$960,'Data BASE'!$M$490:$M$960,$B159,'Data BASE'!$K$490:$K$960,$B$163)</f>
        <v>255783.62000000002</v>
      </c>
      <c r="AF159" s="220">
        <f>SUMIFS('Data BASE'!AF$490:AF$960,'Data BASE'!$M$490:$M$960,$B159,'Data BASE'!$K$490:$K$960,$B$163)</f>
        <v>376546.54999999993</v>
      </c>
      <c r="AG159" s="220">
        <f>SUMIFS('Data BASE'!AG$490:AG$960,'Data BASE'!$M$490:$M$960,$B159,'Data BASE'!$K$490:$K$960,$B$163)</f>
        <v>316710.33999999997</v>
      </c>
      <c r="AH159" s="220"/>
      <c r="AI159" s="220"/>
      <c r="AJ159" s="220"/>
      <c r="AK159" s="220"/>
      <c r="AL159" s="220"/>
      <c r="AM159" s="220"/>
      <c r="AN159" s="220"/>
      <c r="AO159" s="220"/>
      <c r="AP159" s="298"/>
      <c r="AQ159" s="220">
        <f t="shared" si="12"/>
        <v>0</v>
      </c>
      <c r="AR159" s="220">
        <f t="shared" si="12"/>
        <v>0</v>
      </c>
      <c r="AS159" s="220">
        <f t="shared" si="12"/>
        <v>759692.65</v>
      </c>
      <c r="AT159" s="220">
        <f t="shared" si="12"/>
        <v>715033.42</v>
      </c>
      <c r="AU159" s="220">
        <f t="shared" si="12"/>
        <v>838937.07</v>
      </c>
      <c r="AV159" s="220">
        <f t="shared" si="12"/>
        <v>316710.33999999997</v>
      </c>
      <c r="AW159" s="220">
        <f t="shared" si="12"/>
        <v>0</v>
      </c>
      <c r="AX159" s="220">
        <f t="shared" si="12"/>
        <v>0</v>
      </c>
      <c r="AY159" s="298"/>
      <c r="AZ159" s="220">
        <f t="shared" si="13"/>
        <v>1474726.07</v>
      </c>
      <c r="BA159" s="220">
        <f t="shared" si="14"/>
        <v>1155647.4099999999</v>
      </c>
      <c r="BB159" s="299"/>
      <c r="BC159" s="220">
        <f t="shared" si="15"/>
        <v>0</v>
      </c>
      <c r="BD159" s="220">
        <f t="shared" si="16"/>
        <v>1155647.4099999999</v>
      </c>
    </row>
    <row r="160" spans="2:102" outlineLevel="2" x14ac:dyDescent="0.45">
      <c r="B160" s="268" t="s">
        <v>451</v>
      </c>
      <c r="C160" s="292"/>
      <c r="D160" s="268"/>
      <c r="E160" s="304"/>
      <c r="F160" s="302"/>
      <c r="G160" s="302"/>
      <c r="H160" s="302"/>
      <c r="I160" s="302"/>
      <c r="J160" s="302"/>
      <c r="K160" s="302"/>
      <c r="L160" s="302"/>
      <c r="M160" s="302"/>
      <c r="N160" s="302"/>
      <c r="O160" s="302"/>
      <c r="P160" s="302"/>
      <c r="Q160" s="302"/>
      <c r="R160" s="220">
        <f>SUMIFS('Data BASE'!R$490:R$960,'Data BASE'!$M$490:$M$960,$B160,'Data BASE'!$K$490:$K$960,$B$163)</f>
        <v>1001267.9000000001</v>
      </c>
      <c r="S160" s="220">
        <f>SUMIFS('Data BASE'!S$490:S$960,'Data BASE'!$M$490:$M$960,$B160,'Data BASE'!$K$490:$K$960,$B$163)</f>
        <v>1001267.9000000001</v>
      </c>
      <c r="T160" s="220">
        <f>SUMIFS('Data BASE'!T$490:T$960,'Data BASE'!$M$490:$M$960,$B160,'Data BASE'!$K$490:$K$960,$B$163)</f>
        <v>1001267.8999999999</v>
      </c>
      <c r="U160" s="220">
        <f>SUMIFS('Data BASE'!U$490:U$960,'Data BASE'!$M$490:$M$960,$B160,'Data BASE'!$K$490:$K$960,$B$163)</f>
        <v>1001267.8999999999</v>
      </c>
      <c r="V160" s="220">
        <f>SUMIFS('Data BASE'!V$490:V$960,'Data BASE'!$M$490:$M$960,$B160,'Data BASE'!$K$490:$K$960,$B$163)</f>
        <v>1001267.9000000008</v>
      </c>
      <c r="W160" s="220">
        <f>SUMIFS('Data BASE'!W$490:W$960,'Data BASE'!$M$490:$M$960,$B160,'Data BASE'!$K$490:$K$960,$B$163)</f>
        <v>1084226.5099999988</v>
      </c>
      <c r="X160" s="220">
        <f>SUMIFS('Data BASE'!X$490:X$960,'Data BASE'!$M$490:$M$960,$B160,'Data BASE'!$K$490:$K$960,$B$163)</f>
        <v>1084226.5099999998</v>
      </c>
      <c r="Y160" s="220">
        <f>SUMIFS('Data BASE'!Y$490:Y$960,'Data BASE'!$M$490:$M$960,$B160,'Data BASE'!$K$490:$K$960,$B$163)</f>
        <v>1084226.5100000016</v>
      </c>
      <c r="Z160" s="220">
        <f>SUMIFS('Data BASE'!Z$490:Z$960,'Data BASE'!$M$490:$M$960,$B160,'Data BASE'!$K$490:$K$960,$B$163)</f>
        <v>1084226.5099999998</v>
      </c>
      <c r="AA160" s="220">
        <f>SUMIFS('Data BASE'!AA$490:AA$960,'Data BASE'!$M$490:$M$960,$B160,'Data BASE'!$K$490:$K$960,$B$163)</f>
        <v>1084226.5099999998</v>
      </c>
      <c r="AB160" s="220">
        <f>SUMIFS('Data BASE'!AB$490:AB$960,'Data BASE'!$M$490:$M$960,$B160,'Data BASE'!$K$490:$K$960,$B$163)</f>
        <v>1084226.5099999998</v>
      </c>
      <c r="AC160" s="220">
        <f>SUMIFS('Data BASE'!AC$490:AC$960,'Data BASE'!$M$490:$M$960,$B160,'Data BASE'!$K$490:$K$960,$B$163)</f>
        <v>1084226.5099999998</v>
      </c>
      <c r="AD160" s="220">
        <f>SUMIFS('Data BASE'!AD$490:AD$960,'Data BASE'!$M$490:$M$960,$B160,'Data BASE'!$K$490:$K$960,$B$163)</f>
        <v>1048437.91</v>
      </c>
      <c r="AE160" s="220">
        <f>SUMIFS('Data BASE'!AE$490:AE$960,'Data BASE'!$M$490:$M$960,$B160,'Data BASE'!$K$490:$K$960,$B$163)</f>
        <v>1048437.91</v>
      </c>
      <c r="AF160" s="220">
        <f>SUMIFS('Data BASE'!AF$490:AF$960,'Data BASE'!$M$490:$M$960,$B160,'Data BASE'!$K$490:$K$960,$B$163)</f>
        <v>1048437.9099999999</v>
      </c>
      <c r="AG160" s="220">
        <f>SUMIFS('Data BASE'!AG$490:AG$960,'Data BASE'!$M$490:$M$960,$B160,'Data BASE'!$K$490:$K$960,$B$163)</f>
        <v>1048437.9100000001</v>
      </c>
      <c r="AH160" s="305"/>
      <c r="AI160" s="305"/>
      <c r="AJ160" s="305"/>
      <c r="AK160" s="305"/>
      <c r="AL160" s="305"/>
      <c r="AM160" s="305"/>
      <c r="AN160" s="305"/>
      <c r="AO160" s="305"/>
      <c r="AP160" s="298"/>
      <c r="AQ160" s="305">
        <f t="shared" si="12"/>
        <v>3003803.7</v>
      </c>
      <c r="AR160" s="305">
        <f t="shared" si="12"/>
        <v>3086762.3099999996</v>
      </c>
      <c r="AS160" s="305">
        <f t="shared" si="12"/>
        <v>3252679.5300000012</v>
      </c>
      <c r="AT160" s="305">
        <f t="shared" si="12"/>
        <v>3252679.5299999993</v>
      </c>
      <c r="AU160" s="305">
        <f t="shared" si="12"/>
        <v>3145313.73</v>
      </c>
      <c r="AV160" s="305">
        <f t="shared" si="12"/>
        <v>1048437.9100000001</v>
      </c>
      <c r="AW160" s="305">
        <f t="shared" si="12"/>
        <v>0</v>
      </c>
      <c r="AX160" s="305">
        <f t="shared" si="12"/>
        <v>0</v>
      </c>
      <c r="AY160" s="298"/>
      <c r="AZ160" s="305">
        <f t="shared" si="13"/>
        <v>12595925.07</v>
      </c>
      <c r="BA160" s="305">
        <f t="shared" si="14"/>
        <v>4193751.64</v>
      </c>
      <c r="BB160" s="299"/>
      <c r="BC160" s="305">
        <f t="shared" si="15"/>
        <v>1001267.9000000001</v>
      </c>
      <c r="BD160" s="305">
        <f t="shared" si="16"/>
        <v>4193751.64</v>
      </c>
    </row>
    <row r="161" spans="2:65" outlineLevel="2" x14ac:dyDescent="0.45">
      <c r="B161" s="337" t="s">
        <v>463</v>
      </c>
      <c r="C161" s="306"/>
      <c r="D161" s="301"/>
      <c r="E161" s="301"/>
      <c r="F161" s="301"/>
      <c r="G161" s="301"/>
      <c r="H161" s="301"/>
      <c r="I161" s="301"/>
      <c r="J161" s="301"/>
      <c r="K161" s="301"/>
      <c r="L161" s="301"/>
      <c r="M161" s="301"/>
      <c r="N161" s="301"/>
      <c r="O161" s="301"/>
      <c r="P161" s="301"/>
      <c r="Q161" s="301"/>
      <c r="R161" s="220">
        <f>SUMIFS('Data BASE'!R$490:R$960,'Data BASE'!$M$490:$M$960,$B161,'Data BASE'!$K$490:$K$960,$B$163)</f>
        <v>2478649.41</v>
      </c>
      <c r="S161" s="220">
        <f>SUMIFS('Data BASE'!S$490:S$960,'Data BASE'!$M$490:$M$960,$B161,'Data BASE'!$K$490:$K$960,$B$163)</f>
        <v>2538872.7799999993</v>
      </c>
      <c r="T161" s="220">
        <f>SUMIFS('Data BASE'!T$490:T$960,'Data BASE'!$M$490:$M$960,$B161,'Data BASE'!$K$490:$K$960,$B$163)</f>
        <v>2538275.41</v>
      </c>
      <c r="U161" s="220">
        <f>SUMIFS('Data BASE'!U$490:U$960,'Data BASE'!$M$490:$M$960,$B161,'Data BASE'!$K$490:$K$960,$B$163)</f>
        <v>2754046.3200000003</v>
      </c>
      <c r="V161" s="220">
        <f>SUMIFS('Data BASE'!V$490:V$960,'Data BASE'!$M$490:$M$960,$B161,'Data BASE'!$K$490:$K$960,$B$163)</f>
        <v>2618748.5</v>
      </c>
      <c r="W161" s="220">
        <f>SUMIFS('Data BASE'!W$490:W$960,'Data BASE'!$M$490:$M$960,$B161,'Data BASE'!$K$490:$K$960,$B$163)</f>
        <v>2658144.7199999988</v>
      </c>
      <c r="X161" s="220">
        <f>SUMIFS('Data BASE'!X$490:X$960,'Data BASE'!$M$490:$M$960,$B161,'Data BASE'!$K$490:$K$960,$B$163)</f>
        <v>2574771.339999998</v>
      </c>
      <c r="Y161" s="220">
        <f>SUMIFS('Data BASE'!Y$490:Y$960,'Data BASE'!$M$490:$M$960,$B161,'Data BASE'!$K$490:$K$960,$B$163)</f>
        <v>2845715.9400000013</v>
      </c>
      <c r="Z161" s="220">
        <f>SUMIFS('Data BASE'!Z$490:Z$960,'Data BASE'!$M$490:$M$960,$B161,'Data BASE'!$K$490:$K$960,$B$163)</f>
        <v>2740929.0500000007</v>
      </c>
      <c r="AA161" s="220">
        <f>SUMIFS('Data BASE'!AA$490:AA$960,'Data BASE'!$M$490:$M$960,$B161,'Data BASE'!$K$490:$K$960,$B$163)</f>
        <v>2439282.25</v>
      </c>
      <c r="AB161" s="220">
        <f>SUMIFS('Data BASE'!AB$490:AB$960,'Data BASE'!$M$490:$M$960,$B161,'Data BASE'!$K$490:$K$960,$B$163)</f>
        <v>2694104.0999999978</v>
      </c>
      <c r="AC161" s="220">
        <f>SUMIFS('Data BASE'!AC$490:AC$960,'Data BASE'!$M$490:$M$960,$B161,'Data BASE'!$K$490:$K$960,$B$163)</f>
        <v>2373420.8000000007</v>
      </c>
      <c r="AD161" s="220">
        <f>SUMIFS('Data BASE'!AD$490:AD$960,'Data BASE'!$M$490:$M$960,$B161,'Data BASE'!$K$490:$K$960,$B$163)</f>
        <v>2344947.86</v>
      </c>
      <c r="AE161" s="220">
        <f>SUMIFS('Data BASE'!AE$490:AE$960,'Data BASE'!$M$490:$M$960,$B161,'Data BASE'!$K$490:$K$960,$B$163)</f>
        <v>2185068.6800000002</v>
      </c>
      <c r="AF161" s="220">
        <f>SUMIFS('Data BASE'!AF$490:AF$960,'Data BASE'!$M$490:$M$960,$B161,'Data BASE'!$K$490:$K$960,$B$163)</f>
        <v>2226069.84</v>
      </c>
      <c r="AG161" s="220">
        <f>SUMIFS('Data BASE'!AG$490:AG$960,'Data BASE'!$M$490:$M$960,$B161,'Data BASE'!$K$490:$K$960,$B$163)</f>
        <v>1593337.4500000002</v>
      </c>
      <c r="AH161" s="220"/>
      <c r="AI161" s="220"/>
      <c r="AJ161" s="220"/>
      <c r="AK161" s="220"/>
      <c r="AL161" s="220"/>
      <c r="AM161" s="220"/>
      <c r="AN161" s="220"/>
      <c r="AO161" s="220"/>
      <c r="AP161" s="298"/>
      <c r="AQ161" s="220">
        <f t="shared" si="12"/>
        <v>7555797.5999999996</v>
      </c>
      <c r="AR161" s="220">
        <f t="shared" si="12"/>
        <v>8030939.5399999991</v>
      </c>
      <c r="AS161" s="220">
        <f t="shared" si="12"/>
        <v>8161416.3300000001</v>
      </c>
      <c r="AT161" s="220">
        <f t="shared" si="12"/>
        <v>7506807.1499999985</v>
      </c>
      <c r="AU161" s="220">
        <f t="shared" si="12"/>
        <v>6756086.3799999999</v>
      </c>
      <c r="AV161" s="220">
        <f t="shared" si="12"/>
        <v>1593337.4500000002</v>
      </c>
      <c r="AW161" s="220">
        <f t="shared" si="12"/>
        <v>0</v>
      </c>
      <c r="AX161" s="220">
        <f t="shared" si="12"/>
        <v>0</v>
      </c>
      <c r="AY161" s="298"/>
      <c r="AZ161" s="220">
        <f t="shared" si="13"/>
        <v>31254960.619999997</v>
      </c>
      <c r="BA161" s="220">
        <f t="shared" si="14"/>
        <v>8349423.8300000001</v>
      </c>
      <c r="BB161" s="299"/>
      <c r="BC161" s="220">
        <f t="shared" si="15"/>
        <v>2478649.41</v>
      </c>
      <c r="BD161" s="220">
        <f t="shared" si="16"/>
        <v>8349423.8300000001</v>
      </c>
      <c r="BE161" s="554"/>
    </row>
    <row r="162" spans="2:65" outlineLevel="2" x14ac:dyDescent="0.45">
      <c r="B162" s="337" t="s">
        <v>1028</v>
      </c>
      <c r="C162" s="306"/>
      <c r="D162" s="301"/>
      <c r="E162" s="301"/>
      <c r="F162" s="301"/>
      <c r="G162" s="301"/>
      <c r="H162" s="301"/>
      <c r="I162" s="301"/>
      <c r="J162" s="301"/>
      <c r="K162" s="301"/>
      <c r="L162" s="301"/>
      <c r="M162" s="301"/>
      <c r="N162" s="301"/>
      <c r="O162" s="301"/>
      <c r="P162" s="301"/>
      <c r="Q162" s="301"/>
      <c r="R162" s="220">
        <f>SUMIFS('Data BASE'!R$490:R$2000,'Data BASE'!$M$490:$M$2000,$B162,'Data BASE'!$K$490:$K$2000,$B$163)</f>
        <v>59388</v>
      </c>
      <c r="S162" s="220">
        <f>SUMIFS('Data BASE'!S$490:S$2000,'Data BASE'!$M$490:$M$2000,$B162,'Data BASE'!$K$490:$K$2000,$B$163)</f>
        <v>90638</v>
      </c>
      <c r="T162" s="220">
        <f>SUMIFS('Data BASE'!T$490:T$2000,'Data BASE'!$M$490:$M$2000,$B162,'Data BASE'!$K$490:$K$2000,$B$163)</f>
        <v>75013</v>
      </c>
      <c r="U162" s="220">
        <f>SUMIFS('Data BASE'!U$490:U$2000,'Data BASE'!$M$490:$M$2000,$B162,'Data BASE'!$K$490:$K$2000,$B$163)</f>
        <v>75013</v>
      </c>
      <c r="V162" s="220">
        <f>SUMIFS('Data BASE'!V$490:V$2000,'Data BASE'!$M$490:$M$2000,$B162,'Data BASE'!$K$490:$K$2000,$B$163)</f>
        <v>882817.06999999983</v>
      </c>
      <c r="W162" s="220">
        <f>SUMIFS('Data BASE'!W$490:W$2000,'Data BASE'!$M$490:$M$2000,$B162,'Data BASE'!$K$490:$K$2000,$B$163)</f>
        <v>246886.00000000023</v>
      </c>
      <c r="X162" s="220">
        <f>SUMIFS('Data BASE'!X$490:X$2000,'Data BASE'!$M$490:$M$2000,$B162,'Data BASE'!$K$490:$K$2000,$B$163)</f>
        <v>75013</v>
      </c>
      <c r="Y162" s="220">
        <f>SUMIFS('Data BASE'!Y$490:Y$2000,'Data BASE'!$M$490:$M$2000,$B162,'Data BASE'!$K$490:$K$2000,$B$163)</f>
        <v>173449</v>
      </c>
      <c r="Z162" s="220">
        <f>SUMIFS('Data BASE'!Z$490:Z$2000,'Data BASE'!$M$490:$M$2000,$B162,'Data BASE'!$K$490:$K$2000,$B$163)</f>
        <v>4272483</v>
      </c>
      <c r="AA162" s="220">
        <f>SUMIFS('Data BASE'!AA$490:AA$2000,'Data BASE'!$M$490:$M$2000,$B162,'Data BASE'!$K$490:$K$2000,$B$163)</f>
        <v>962342.11</v>
      </c>
      <c r="AB162" s="220">
        <f>SUMIFS('Data BASE'!AB$490:AB$2000,'Data BASE'!$M$490:$M$2000,$B162,'Data BASE'!$K$490:$K$2000,$B$163)</f>
        <v>173449</v>
      </c>
      <c r="AC162" s="220">
        <f>SUMIFS('Data BASE'!AC$490:AC$2000,'Data BASE'!$M$490:$M$2000,$B162,'Data BASE'!$K$490:$K$2000,$B$163)</f>
        <v>174795.09</v>
      </c>
      <c r="AD162" s="220">
        <f>SUMIFS('Data BASE'!AD$490:AD$2000,'Data BASE'!$M$490:$M$2000,$B162,'Data BASE'!$K$490:$K$2000,$B$163)</f>
        <v>555187.33000000007</v>
      </c>
      <c r="AE162" s="220">
        <f>SUMIFS('Data BASE'!AE$490:AE$2000,'Data BASE'!$M$490:$M$2000,$B162,'Data BASE'!$K$490:$K$2000,$B$163)</f>
        <v>556333.66999999993</v>
      </c>
      <c r="AF162" s="559">
        <f>SUMIFS('Data BASE'!AF$490:AF$2000,'Data BASE'!$M$490:$M$2000,$B162,'Data BASE'!$K$490:$K$2000,$B$163)</f>
        <v>657952</v>
      </c>
      <c r="AG162" s="220">
        <f>SUMIFS('Data BASE'!AG$490:AG$2000,'Data BASE'!$M$490:$M$2000,$B162,'Data BASE'!$K$490:$K$2000,$B$163)</f>
        <v>457364.5</v>
      </c>
      <c r="AH162" s="220"/>
      <c r="AI162" s="220"/>
      <c r="AJ162" s="220"/>
      <c r="AK162" s="220"/>
      <c r="AL162" s="220"/>
      <c r="AM162" s="220"/>
      <c r="AN162" s="220"/>
      <c r="AO162" s="220"/>
      <c r="AP162" s="298"/>
      <c r="AQ162" s="220">
        <f t="shared" si="12"/>
        <v>225039</v>
      </c>
      <c r="AR162" s="220">
        <f t="shared" si="12"/>
        <v>1204716.07</v>
      </c>
      <c r="AS162" s="220">
        <f t="shared" si="12"/>
        <v>4520945</v>
      </c>
      <c r="AT162" s="220">
        <f t="shared" si="12"/>
        <v>1310586.2</v>
      </c>
      <c r="AU162" s="220">
        <f t="shared" si="12"/>
        <v>1769473</v>
      </c>
      <c r="AV162" s="220">
        <f t="shared" si="12"/>
        <v>457364.5</v>
      </c>
      <c r="AW162" s="220">
        <f t="shared" si="12"/>
        <v>0</v>
      </c>
      <c r="AX162" s="220">
        <f t="shared" si="12"/>
        <v>0</v>
      </c>
      <c r="AY162" s="298"/>
      <c r="AZ162" s="220">
        <f t="shared" si="13"/>
        <v>7261286.2700000005</v>
      </c>
      <c r="BA162" s="220">
        <f t="shared" si="14"/>
        <v>2226837.5</v>
      </c>
      <c r="BB162" s="299"/>
      <c r="BC162" s="220">
        <f t="shared" si="15"/>
        <v>59388</v>
      </c>
      <c r="BD162" s="220">
        <f t="shared" si="16"/>
        <v>2226837.5</v>
      </c>
    </row>
    <row r="163" spans="2:65" outlineLevel="1" x14ac:dyDescent="0.45">
      <c r="B163" s="49" t="s">
        <v>449</v>
      </c>
      <c r="C163" s="293"/>
      <c r="D163" s="293"/>
      <c r="E163" s="307"/>
      <c r="F163" s="308"/>
      <c r="G163" s="308"/>
      <c r="H163" s="308"/>
      <c r="I163" s="308"/>
      <c r="J163" s="308"/>
      <c r="K163" s="308"/>
      <c r="L163" s="308"/>
      <c r="M163" s="308"/>
      <c r="N163" s="308"/>
      <c r="O163" s="308"/>
      <c r="P163" s="308"/>
      <c r="Q163" s="308"/>
      <c r="R163" s="229">
        <f t="shared" ref="R163:AC163" si="17">SUM(R155:R162)</f>
        <v>7284626.4300000006</v>
      </c>
      <c r="S163" s="229">
        <f t="shared" si="17"/>
        <v>7164271.0299999993</v>
      </c>
      <c r="T163" s="229">
        <f t="shared" si="17"/>
        <v>7677468.7400000002</v>
      </c>
      <c r="U163" s="229">
        <f t="shared" si="17"/>
        <v>9632763.3199999966</v>
      </c>
      <c r="V163" s="229">
        <f t="shared" si="17"/>
        <v>11350424.421758343</v>
      </c>
      <c r="W163" s="229">
        <f t="shared" si="17"/>
        <v>11269876.248241693</v>
      </c>
      <c r="X163" s="229">
        <f t="shared" si="17"/>
        <v>11618541.599999925</v>
      </c>
      <c r="Y163" s="229">
        <f t="shared" si="17"/>
        <v>12525865.900000047</v>
      </c>
      <c r="Z163" s="229">
        <f t="shared" si="17"/>
        <v>16922608.640000001</v>
      </c>
      <c r="AA163" s="229">
        <f t="shared" si="17"/>
        <v>13908340.639999999</v>
      </c>
      <c r="AB163" s="229">
        <f t="shared" si="17"/>
        <v>13018255.599999996</v>
      </c>
      <c r="AC163" s="229">
        <f t="shared" si="17"/>
        <v>13860513.359999999</v>
      </c>
      <c r="AD163" s="229">
        <f>SUM(AD155:AD162)</f>
        <v>14672856.710000001</v>
      </c>
      <c r="AE163" s="229">
        <f>SUM(AE155:AE162)</f>
        <v>14399618.149999999</v>
      </c>
      <c r="AF163" s="229">
        <f t="shared" ref="AF163:AO163" si="18">SUM(AF155:AF162)</f>
        <v>16946158.66</v>
      </c>
      <c r="AG163" s="229">
        <f t="shared" si="18"/>
        <v>16651677.320000004</v>
      </c>
      <c r="AH163" s="229">
        <f t="shared" si="18"/>
        <v>0</v>
      </c>
      <c r="AI163" s="229">
        <f t="shared" si="18"/>
        <v>0</v>
      </c>
      <c r="AJ163" s="229">
        <f t="shared" si="18"/>
        <v>0</v>
      </c>
      <c r="AK163" s="229">
        <f t="shared" si="18"/>
        <v>0</v>
      </c>
      <c r="AL163" s="229">
        <f t="shared" si="18"/>
        <v>0</v>
      </c>
      <c r="AM163" s="229">
        <f t="shared" si="18"/>
        <v>0</v>
      </c>
      <c r="AN163" s="229">
        <f t="shared" si="18"/>
        <v>0</v>
      </c>
      <c r="AO163" s="229">
        <f t="shared" si="18"/>
        <v>0</v>
      </c>
      <c r="AP163" s="298"/>
      <c r="AQ163" s="496">
        <f t="shared" si="12"/>
        <v>22126366.200000003</v>
      </c>
      <c r="AR163" s="496">
        <f t="shared" si="12"/>
        <v>32253063.990000032</v>
      </c>
      <c r="AS163" s="496">
        <f t="shared" si="12"/>
        <v>41067016.139999971</v>
      </c>
      <c r="AT163" s="496">
        <f t="shared" si="12"/>
        <v>40787109.599999994</v>
      </c>
      <c r="AU163" s="496">
        <f t="shared" si="12"/>
        <v>46018633.519999996</v>
      </c>
      <c r="AV163" s="496">
        <f t="shared" si="12"/>
        <v>16651677.320000004</v>
      </c>
      <c r="AW163" s="496">
        <f t="shared" si="12"/>
        <v>0</v>
      </c>
      <c r="AX163" s="496">
        <f t="shared" si="12"/>
        <v>0</v>
      </c>
      <c r="AY163" s="298"/>
      <c r="AZ163" s="496">
        <f t="shared" si="13"/>
        <v>136233555.93000001</v>
      </c>
      <c r="BA163" s="496">
        <f t="shared" si="14"/>
        <v>62670310.840000004</v>
      </c>
      <c r="BB163" s="299"/>
      <c r="BC163" s="496">
        <f t="shared" si="15"/>
        <v>7284626.4300000006</v>
      </c>
      <c r="BD163" s="496">
        <f t="shared" si="16"/>
        <v>62670310.840000004</v>
      </c>
    </row>
    <row r="164" spans="2:65" outlineLevel="1" x14ac:dyDescent="0.45">
      <c r="R164" s="545"/>
      <c r="S164" s="545"/>
      <c r="T164" s="545"/>
      <c r="U164" s="545"/>
      <c r="V164" s="545"/>
      <c r="W164" s="545"/>
      <c r="X164" s="545"/>
      <c r="Y164" s="545"/>
      <c r="Z164" s="545"/>
      <c r="AA164" s="545"/>
      <c r="AB164" s="545"/>
      <c r="AC164" s="545"/>
      <c r="AD164" s="313"/>
      <c r="AE164" s="524"/>
      <c r="AF164" s="524"/>
      <c r="AG164" s="524"/>
      <c r="AH164" s="313"/>
      <c r="AI164" s="313"/>
      <c r="AJ164" s="313"/>
      <c r="AK164" s="313"/>
      <c r="AL164" s="313"/>
      <c r="AM164" s="313"/>
      <c r="AN164" s="313"/>
      <c r="AO164" s="313"/>
      <c r="AP164" s="298"/>
      <c r="AQ164" s="497"/>
      <c r="AR164" s="497"/>
      <c r="AS164" s="497"/>
      <c r="AT164" s="497"/>
      <c r="AU164" s="497"/>
      <c r="AV164" s="497"/>
      <c r="AW164" s="497"/>
      <c r="AX164" s="497"/>
      <c r="AY164" s="298"/>
      <c r="AZ164" s="497"/>
      <c r="BA164" s="497"/>
      <c r="BB164" s="299"/>
      <c r="BC164" s="497"/>
      <c r="BD164" s="497"/>
    </row>
    <row r="165" spans="2:65" outlineLevel="2" x14ac:dyDescent="0.45">
      <c r="B165" s="81" t="s">
        <v>521</v>
      </c>
      <c r="C165" s="309"/>
      <c r="D165" s="339"/>
      <c r="E165" s="295"/>
      <c r="F165" s="296"/>
      <c r="G165" s="296"/>
      <c r="H165" s="296"/>
      <c r="I165" s="296"/>
      <c r="J165" s="296"/>
      <c r="K165" s="296"/>
      <c r="L165" s="296"/>
      <c r="M165" s="296"/>
      <c r="N165" s="296"/>
      <c r="O165" s="296"/>
      <c r="P165" s="296"/>
      <c r="Q165" s="296"/>
      <c r="R165" s="220">
        <f>-SUMIFS('Data BASE'!R$490:R$960,'Data BASE'!$M$490:$M$960,$B165,'Data BASE'!$K$490:$K$960,$B$181)</f>
        <v>-1718992.26</v>
      </c>
      <c r="S165" s="220">
        <f>-SUMIFS('Data BASE'!S$490:S$960,'Data BASE'!$M$490:$M$960,$B165,'Data BASE'!$K$490:$K$960,$B$181)</f>
        <v>-1749916</v>
      </c>
      <c r="T165" s="220">
        <f>-SUMIFS('Data BASE'!T$490:T$960,'Data BASE'!$M$490:$M$960,$B165,'Data BASE'!$K$490:$K$960,$B$181)</f>
        <v>-1871875.9500000002</v>
      </c>
      <c r="U165" s="220">
        <f>-SUMIFS('Data BASE'!U$490:U$960,'Data BASE'!$M$490:$M$960,$B165,'Data BASE'!$K$490:$K$960,$B$181)</f>
        <v>-1968141.5400000003</v>
      </c>
      <c r="V165" s="220">
        <f>-SUMIFS('Data BASE'!V$490:V$960,'Data BASE'!$M$490:$M$960,$B165,'Data BASE'!$K$490:$K$960,$B$181)</f>
        <v>-2564203.16</v>
      </c>
      <c r="W165" s="220">
        <f>-SUMIFS('Data BASE'!W$490:W$960,'Data BASE'!$M$490:$M$960,$B165,'Data BASE'!$K$490:$K$960,$B$181)</f>
        <v>-2669024.66</v>
      </c>
      <c r="X165" s="220">
        <f>-SUMIFS('Data BASE'!X$490:X$960,'Data BASE'!$M$490:$M$960,$B165,'Data BASE'!$K$490:$K$960,$B$181)</f>
        <v>-2850364.2600000002</v>
      </c>
      <c r="Y165" s="220">
        <f>-SUMIFS('Data BASE'!Y$490:Y$960,'Data BASE'!$M$490:$M$960,$B165,'Data BASE'!$K$490:$K$960,$B$181)</f>
        <v>-2948654.83</v>
      </c>
      <c r="Z165" s="220">
        <f>-SUMIFS('Data BASE'!Z$490:Z$960,'Data BASE'!$M$490:$M$960,$B165,'Data BASE'!$K$490:$K$960,$B$181)</f>
        <v>-4151953.7399999993</v>
      </c>
      <c r="AA165" s="220">
        <f>-SUMIFS('Data BASE'!AA$490:AA$960,'Data BASE'!$M$490:$M$960,$B165,'Data BASE'!$K$490:$K$960,$B$181)</f>
        <v>-3331895.2000000011</v>
      </c>
      <c r="AB165" s="220">
        <f>-SUMIFS('Data BASE'!AB$490:AB$960,'Data BASE'!$M$490:$M$960,$B165,'Data BASE'!$K$490:$K$960,$B$181)</f>
        <v>-3858839.9899999984</v>
      </c>
      <c r="AC165" s="220">
        <f>-SUMIFS('Data BASE'!AC$490:AC$960,'Data BASE'!$M$490:$M$960,$B165,'Data BASE'!$K$490:$K$960,$B$181)</f>
        <v>-3313078.8100000005</v>
      </c>
      <c r="AD165" s="220">
        <f>-SUMIFS('Data BASE'!AD$490:AD$960,'Data BASE'!$M$490:$M$960,$B165,'Data BASE'!$K$490:$K$960,$B$181)</f>
        <v>-3752882.27</v>
      </c>
      <c r="AE165" s="220">
        <f>-SUMIFS('Data BASE'!AE$490:AE$960,'Data BASE'!$M$490:$M$960,$B165,'Data BASE'!$K$490:$K$960,$B$181)</f>
        <v>-4757873.1300000008</v>
      </c>
      <c r="AF165" s="220">
        <f>-SUMIFS('Data BASE'!AF$490:AF$960,'Data BASE'!$M$490:$M$960,$B165,'Data BASE'!$K$490:$K$960,$B$181)</f>
        <v>-7059254.2199999988</v>
      </c>
      <c r="AG165" s="560">
        <f>-SUMIFS('Data BASE'!AG$490:AG$2000,'Data BASE'!$M$490:$M$2000,$B165,'Data BASE'!$K$490:$K$2000,$B$181)</f>
        <v>-4783408.0000000019</v>
      </c>
      <c r="AH165" s="220"/>
      <c r="AI165" s="220"/>
      <c r="AJ165" s="220"/>
      <c r="AK165" s="220"/>
      <c r="AL165" s="220"/>
      <c r="AM165" s="220"/>
      <c r="AN165" s="220"/>
      <c r="AO165" s="220"/>
      <c r="AP165" s="298"/>
      <c r="AQ165" s="220">
        <f t="shared" si="12"/>
        <v>-5340784.21</v>
      </c>
      <c r="AR165" s="220">
        <f t="shared" si="12"/>
        <v>-7201369.3600000003</v>
      </c>
      <c r="AS165" s="220">
        <f t="shared" si="12"/>
        <v>-9950972.8299999982</v>
      </c>
      <c r="AT165" s="220">
        <f t="shared" si="12"/>
        <v>-10503814</v>
      </c>
      <c r="AU165" s="220">
        <f t="shared" si="12"/>
        <v>-15570009.619999999</v>
      </c>
      <c r="AV165" s="220">
        <f t="shared" si="12"/>
        <v>-4783408.0000000019</v>
      </c>
      <c r="AW165" s="220">
        <f t="shared" si="12"/>
        <v>0</v>
      </c>
      <c r="AX165" s="220">
        <f t="shared" si="12"/>
        <v>0</v>
      </c>
      <c r="AY165" s="298"/>
      <c r="AZ165" s="220">
        <f t="shared" ref="AZ165:AZ181" si="19">SUM(AQ165:AT165)</f>
        <v>-32996940.399999999</v>
      </c>
      <c r="BA165" s="220">
        <f t="shared" ref="BA165:BA181" si="20">SUM(AU165:AX165)</f>
        <v>-20353417.620000001</v>
      </c>
      <c r="BB165" s="299"/>
      <c r="BC165" s="220">
        <f t="shared" si="15"/>
        <v>-1718992.26</v>
      </c>
      <c r="BD165" s="220">
        <f t="shared" ref="BD165:BD172" si="21">SUMIFS($AB165:$AO165,$AB$8:$AO$8,BD$8,$AB$11:$AO$11,BD$11)</f>
        <v>-20353417.620000001</v>
      </c>
      <c r="BE165" s="196">
        <f>AG165-AF165</f>
        <v>2275846.2199999969</v>
      </c>
      <c r="BF165" s="278">
        <f>AG165-BE165</f>
        <v>-7059254.2199999988</v>
      </c>
    </row>
    <row r="166" spans="2:65" ht="14.15" customHeight="1" outlineLevel="2" x14ac:dyDescent="0.45">
      <c r="B166" s="81" t="s">
        <v>848</v>
      </c>
      <c r="C166" s="309"/>
      <c r="D166" s="339"/>
      <c r="E166" s="295"/>
      <c r="F166" s="296"/>
      <c r="G166" s="296"/>
      <c r="H166" s="296"/>
      <c r="I166" s="296"/>
      <c r="J166" s="296"/>
      <c r="K166" s="296"/>
      <c r="L166" s="296"/>
      <c r="M166" s="296"/>
      <c r="N166" s="296"/>
      <c r="O166" s="296"/>
      <c r="P166" s="296"/>
      <c r="Q166" s="296"/>
      <c r="R166" s="220">
        <f>-SUMIFS('Data BASE'!R$490:R$960,'Data BASE'!$M$490:$M$960,$B166,'Data BASE'!$K$490:$K$960,$B$181)</f>
        <v>-1962055.0899999999</v>
      </c>
      <c r="S166" s="220">
        <f>-SUMIFS('Data BASE'!S$490:S$960,'Data BASE'!$M$490:$M$960,$B166,'Data BASE'!$K$490:$K$960,$B$181)</f>
        <v>-2065932</v>
      </c>
      <c r="T166" s="220">
        <f>-SUMIFS('Data BASE'!T$490:T$960,'Data BASE'!$M$490:$M$960,$B166,'Data BASE'!$K$490:$K$960,$B$181)</f>
        <v>-1896945.54</v>
      </c>
      <c r="U166" s="220">
        <f>-SUMIFS('Data BASE'!U$490:U$960,'Data BASE'!$M$490:$M$960,$B166,'Data BASE'!$K$490:$K$960,$B$181)</f>
        <v>-2579388.9099999992</v>
      </c>
      <c r="V166" s="220">
        <f>-SUMIFS('Data BASE'!V$490:V$960,'Data BASE'!$M$490:$M$960,$B166,'Data BASE'!$K$490:$K$960,$B$181)</f>
        <v>-2565420.370000001</v>
      </c>
      <c r="W166" s="220">
        <f>-SUMIFS('Data BASE'!W$490:W$960,'Data BASE'!$M$490:$M$960,$B166,'Data BASE'!$K$490:$K$960,$B$181)</f>
        <v>-2572961.8199999984</v>
      </c>
      <c r="X166" s="220">
        <f>-SUMIFS('Data BASE'!X$490:X$960,'Data BASE'!$M$490:$M$960,$B166,'Data BASE'!$K$490:$K$960,$B$181)</f>
        <v>-2549564.75</v>
      </c>
      <c r="Y166" s="220">
        <f>-SUMIFS('Data BASE'!Y$490:Y$960,'Data BASE'!$M$490:$M$960,$B166,'Data BASE'!$K$490:$K$960,$B$181)</f>
        <v>-4353587.660000002</v>
      </c>
      <c r="Z166" s="220">
        <f>-SUMIFS('Data BASE'!Z$490:Z$960,'Data BASE'!$M$490:$M$960,$B166,'Data BASE'!$K$490:$K$960,$B$181)</f>
        <v>-2603105.8500000015</v>
      </c>
      <c r="AA166" s="220">
        <f>-SUMIFS('Data BASE'!AA$490:AA$960,'Data BASE'!$M$490:$M$960,$B166,'Data BASE'!$K$490:$K$960,$B$181)</f>
        <v>-2309931.0699999966</v>
      </c>
      <c r="AB166" s="220">
        <f>-SUMIFS('Data BASE'!AB$490:AB$960,'Data BASE'!$M$490:$M$960,$B166,'Data BASE'!$K$490:$K$960,$B$181)</f>
        <v>-2564751.9900000021</v>
      </c>
      <c r="AC166" s="220">
        <f>-SUMIFS('Data BASE'!AC$490:AC$960,'Data BASE'!$M$490:$M$960,$B166,'Data BASE'!$K$490:$K$960,$B$181)</f>
        <v>-2241374.3899999969</v>
      </c>
      <c r="AD166" s="220">
        <f>-SUMIFS('Data BASE'!AD$490:AD$960,'Data BASE'!$M$490:$M$960,$B166,'Data BASE'!$K$490:$K$960,$B$181)</f>
        <v>-2214223</v>
      </c>
      <c r="AE166" s="220">
        <f>-SUMIFS('Data BASE'!AE$490:AE$960,'Data BASE'!$M$490:$M$960,$B166,'Data BASE'!$K$490:$K$960,$B$181)</f>
        <v>-2077068.6799999997</v>
      </c>
      <c r="AF166" s="220">
        <f>-SUMIFS('Data BASE'!AF$490:AF$960,'Data BASE'!$M$490:$M$960,$B166,'Data BASE'!$K$490:$K$960,$B$181)</f>
        <v>-2112669.84</v>
      </c>
      <c r="AG166" s="220">
        <f>-SUMIFS('Data BASE'!AG$490:AG$2000,'Data BASE'!$M$490:$M$2000,$B166,'Data BASE'!$K$490:$K$2000,$B$181)</f>
        <v>-1945462.3000000007</v>
      </c>
      <c r="AH166" s="220"/>
      <c r="AI166" s="220"/>
      <c r="AJ166" s="220"/>
      <c r="AK166" s="220"/>
      <c r="AL166" s="220"/>
      <c r="AM166" s="220"/>
      <c r="AN166" s="220"/>
      <c r="AO166" s="220"/>
      <c r="AP166" s="298"/>
      <c r="AQ166" s="220">
        <f t="shared" si="12"/>
        <v>-5924932.6299999999</v>
      </c>
      <c r="AR166" s="220">
        <f t="shared" si="12"/>
        <v>-7717771.0999999987</v>
      </c>
      <c r="AS166" s="220">
        <f t="shared" si="12"/>
        <v>-9506258.2600000035</v>
      </c>
      <c r="AT166" s="220">
        <f t="shared" si="12"/>
        <v>-7116057.4499999955</v>
      </c>
      <c r="AU166" s="220">
        <f t="shared" si="12"/>
        <v>-6403961.5199999996</v>
      </c>
      <c r="AV166" s="220">
        <f t="shared" si="12"/>
        <v>-1945462.3000000007</v>
      </c>
      <c r="AW166" s="220">
        <f t="shared" si="12"/>
        <v>0</v>
      </c>
      <c r="AX166" s="220">
        <f t="shared" si="12"/>
        <v>0</v>
      </c>
      <c r="AY166" s="298"/>
      <c r="AZ166" s="220">
        <f t="shared" si="19"/>
        <v>-30265019.439999998</v>
      </c>
      <c r="BA166" s="220">
        <f t="shared" si="20"/>
        <v>-8349423.8200000003</v>
      </c>
      <c r="BB166" s="299"/>
      <c r="BC166" s="220">
        <f t="shared" si="15"/>
        <v>-1962055.0899999999</v>
      </c>
      <c r="BD166" s="220">
        <f t="shared" si="21"/>
        <v>-8349423.8200000003</v>
      </c>
      <c r="BE166" s="196">
        <f t="shared" ref="BE166:BE181" si="22">AG166-AF166</f>
        <v>167207.53999999911</v>
      </c>
      <c r="BF166" s="278">
        <f>AG166-BE166</f>
        <v>-2112669.84</v>
      </c>
    </row>
    <row r="167" spans="2:65" outlineLevel="2" x14ac:dyDescent="0.45">
      <c r="B167" s="81" t="s">
        <v>538</v>
      </c>
      <c r="C167" s="292"/>
      <c r="D167" s="339"/>
      <c r="E167" s="295"/>
      <c r="F167" s="296"/>
      <c r="G167" s="296"/>
      <c r="H167" s="296"/>
      <c r="I167" s="296"/>
      <c r="J167" s="296"/>
      <c r="K167" s="296"/>
      <c r="L167" s="296"/>
      <c r="M167" s="296"/>
      <c r="N167" s="296"/>
      <c r="O167" s="296"/>
      <c r="P167" s="296"/>
      <c r="Q167" s="296"/>
      <c r="R167" s="220">
        <f>-SUMIFS('Data BASE'!R$490:R$960,'Data BASE'!$M$490:$M$960,$B167,'Data BASE'!$K$490:$K$960,$B$181)</f>
        <v>-85257.15</v>
      </c>
      <c r="S167" s="220">
        <f>-SUMIFS('Data BASE'!S$490:S$960,'Data BASE'!$M$490:$M$960,$B167,'Data BASE'!$K$490:$K$960,$B$181)</f>
        <v>-319164.84999999998</v>
      </c>
      <c r="T167" s="220">
        <f>-SUMIFS('Data BASE'!T$490:T$960,'Data BASE'!$M$490:$M$960,$B167,'Data BASE'!$K$490:$K$960,$B$181)</f>
        <v>-300684.20999999996</v>
      </c>
      <c r="U167" s="220">
        <f>-SUMIFS('Data BASE'!U$490:U$960,'Data BASE'!$M$490:$M$960,$B167,'Data BASE'!$K$490:$K$960,$B$181)</f>
        <v>-184239.84999999998</v>
      </c>
      <c r="V167" s="220">
        <f>-SUMIFS('Data BASE'!V$490:V$960,'Data BASE'!$M$490:$M$960,$B167,'Data BASE'!$K$490:$K$960,$B$181)</f>
        <v>-232693.02000000014</v>
      </c>
      <c r="W167" s="220">
        <f>-SUMIFS('Data BASE'!W$490:W$960,'Data BASE'!$M$490:$M$960,$B167,'Data BASE'!$K$490:$K$960,$B$181)</f>
        <v>-314938.37000000011</v>
      </c>
      <c r="X167" s="220">
        <f>-SUMIFS('Data BASE'!X$490:X$960,'Data BASE'!$M$490:$M$960,$B167,'Data BASE'!$K$490:$K$960,$B$181)</f>
        <v>-338208.73999999976</v>
      </c>
      <c r="Y167" s="220">
        <f>-SUMIFS('Data BASE'!Y$490:Y$960,'Data BASE'!$M$490:$M$960,$B167,'Data BASE'!$K$490:$K$960,$B$181)</f>
        <v>-365572.9700000002</v>
      </c>
      <c r="Z167" s="220">
        <f>-SUMIFS('Data BASE'!Z$490:Z$960,'Data BASE'!$M$490:$M$960,$B167,'Data BASE'!$K$490:$K$960,$B$181)</f>
        <v>-350376.98</v>
      </c>
      <c r="AA167" s="220">
        <f>-SUMIFS('Data BASE'!AA$490:AA$960,'Data BASE'!$M$490:$M$960,$B167,'Data BASE'!$K$490:$K$960,$B$181)</f>
        <v>-409330.96999999974</v>
      </c>
      <c r="AB167" s="220">
        <f>-SUMIFS('Data BASE'!AB$490:AB$960,'Data BASE'!$M$490:$M$960,$B167,'Data BASE'!$K$490:$K$960,$B$181)</f>
        <v>-406526.31000000006</v>
      </c>
      <c r="AC167" s="220">
        <f>-SUMIFS('Data BASE'!AC$490:AC$960,'Data BASE'!$M$490:$M$960,$B167,'Data BASE'!$K$490:$K$960,$B$181)</f>
        <v>-427072.29000000004</v>
      </c>
      <c r="AD167" s="220">
        <f>-SUMIFS('Data BASE'!AD$490:AD$960,'Data BASE'!$M$490:$M$960,$B167,'Data BASE'!$K$490:$K$960,$B$181)</f>
        <v>-411750.78</v>
      </c>
      <c r="AE167" s="220">
        <f>-SUMIFS('Data BASE'!AE$490:AE$960,'Data BASE'!$M$490:$M$960,$B167,'Data BASE'!$K$490:$K$960,$B$181)</f>
        <v>-457750.17999999993</v>
      </c>
      <c r="AF167" s="220">
        <f>-SUMIFS('Data BASE'!AF$490:AF$960,'Data BASE'!$M$490:$M$960,$B167,'Data BASE'!$K$490:$K$960,$B$181)</f>
        <v>-843430.42999999993</v>
      </c>
      <c r="AG167" s="220">
        <f>-SUMIFS('Data BASE'!AG$490:AG$2000,'Data BASE'!$M$490:$M$2000,$B167,'Data BASE'!$K$490:$K$2000,$B$181)</f>
        <v>-965813.84000000008</v>
      </c>
      <c r="AH167" s="220"/>
      <c r="AI167" s="220"/>
      <c r="AJ167" s="220"/>
      <c r="AK167" s="220"/>
      <c r="AL167" s="220"/>
      <c r="AM167" s="220"/>
      <c r="AN167" s="220"/>
      <c r="AO167" s="220"/>
      <c r="AP167" s="298"/>
      <c r="AQ167" s="220">
        <f t="shared" si="12"/>
        <v>-705106.21</v>
      </c>
      <c r="AR167" s="220">
        <f t="shared" si="12"/>
        <v>-731871.24000000022</v>
      </c>
      <c r="AS167" s="220">
        <f t="shared" si="12"/>
        <v>-1054158.69</v>
      </c>
      <c r="AT167" s="220">
        <f t="shared" si="12"/>
        <v>-1242929.5699999998</v>
      </c>
      <c r="AU167" s="220">
        <f t="shared" si="12"/>
        <v>-1712931.39</v>
      </c>
      <c r="AV167" s="220">
        <f t="shared" si="12"/>
        <v>-965813.84000000008</v>
      </c>
      <c r="AW167" s="220">
        <f t="shared" si="12"/>
        <v>0</v>
      </c>
      <c r="AX167" s="220">
        <f t="shared" si="12"/>
        <v>0</v>
      </c>
      <c r="AY167" s="298"/>
      <c r="AZ167" s="220">
        <f t="shared" si="19"/>
        <v>-3734065.71</v>
      </c>
      <c r="BA167" s="220">
        <f t="shared" si="20"/>
        <v>-2678745.23</v>
      </c>
      <c r="BB167" s="299"/>
      <c r="BC167" s="220">
        <f t="shared" si="15"/>
        <v>-85257.15</v>
      </c>
      <c r="BD167" s="220">
        <f t="shared" si="21"/>
        <v>-2678745.23</v>
      </c>
      <c r="BE167" s="196">
        <f t="shared" si="22"/>
        <v>-122383.41000000015</v>
      </c>
      <c r="BF167" s="278">
        <f>AG167-BE167</f>
        <v>-843430.42999999993</v>
      </c>
      <c r="BG167" s="504"/>
      <c r="BH167" s="278"/>
    </row>
    <row r="168" spans="2:65" outlineLevel="2" x14ac:dyDescent="0.45">
      <c r="B168" s="81" t="s">
        <v>537</v>
      </c>
      <c r="C168" s="292"/>
      <c r="D168" s="339"/>
      <c r="E168" s="295"/>
      <c r="F168" s="296"/>
      <c r="G168" s="296"/>
      <c r="H168" s="296"/>
      <c r="I168" s="296"/>
      <c r="J168" s="296"/>
      <c r="K168" s="296"/>
      <c r="L168" s="296"/>
      <c r="M168" s="296"/>
      <c r="N168" s="296"/>
      <c r="O168" s="296"/>
      <c r="P168" s="296"/>
      <c r="Q168" s="296"/>
      <c r="R168" s="220">
        <f>-SUMIFS('Data BASE'!R$490:R$960,'Data BASE'!$M$490:$M$960,$B168,'Data BASE'!$K$490:$K$960,$B$181)</f>
        <v>0</v>
      </c>
      <c r="S168" s="220">
        <f>-SUMIFS('Data BASE'!S$490:S$960,'Data BASE'!$M$490:$M$960,$B168,'Data BASE'!$K$490:$K$960,$B$181)</f>
        <v>-189468.59</v>
      </c>
      <c r="T168" s="220">
        <f>-SUMIFS('Data BASE'!T$490:T$960,'Data BASE'!$M$490:$M$960,$B168,'Data BASE'!$K$490:$K$960,$B$181)</f>
        <v>-149272.64999999997</v>
      </c>
      <c r="U168" s="220">
        <f>-SUMIFS('Data BASE'!U$490:U$960,'Data BASE'!$M$490:$M$960,$B168,'Data BASE'!$K$490:$K$960,$B$181)</f>
        <v>-162374.44999999998</v>
      </c>
      <c r="V168" s="220">
        <f>-SUMIFS('Data BASE'!V$490:V$960,'Data BASE'!$M$490:$M$960,$B168,'Data BASE'!$K$490:$K$960,$B$181)</f>
        <v>-169269.99000000011</v>
      </c>
      <c r="W168" s="220">
        <f>-SUMIFS('Data BASE'!W$490:W$960,'Data BASE'!$M$490:$M$960,$B168,'Data BASE'!$K$490:$K$960,$B$181)</f>
        <v>-122750.47999999986</v>
      </c>
      <c r="X168" s="220">
        <f>-SUMIFS('Data BASE'!X$490:X$960,'Data BASE'!$M$490:$M$960,$B168,'Data BASE'!$K$490:$K$960,$B$181)</f>
        <v>-98528.100000000093</v>
      </c>
      <c r="Y168" s="220">
        <f>-SUMIFS('Data BASE'!Y$490:Y$960,'Data BASE'!$M$490:$M$960,$B168,'Data BASE'!$K$490:$K$960,$B$181)</f>
        <v>-108598.69999999995</v>
      </c>
      <c r="Z168" s="220">
        <f>-SUMIFS('Data BASE'!Z$490:Z$960,'Data BASE'!$M$490:$M$960,$B168,'Data BASE'!$K$490:$K$960,$B$181)</f>
        <v>-114435.69000000006</v>
      </c>
      <c r="AA168" s="220">
        <f>-SUMIFS('Data BASE'!AA$490:AA$960,'Data BASE'!$M$490:$M$960,$B168,'Data BASE'!$K$490:$K$960,$B$181)</f>
        <v>-117437.0199999999</v>
      </c>
      <c r="AB168" s="220">
        <f>-SUMIFS('Data BASE'!AB$490:AB$960,'Data BASE'!$M$490:$M$960,$B168,'Data BASE'!$K$490:$K$960,$B$181)</f>
        <v>-106630.40000000004</v>
      </c>
      <c r="AC168" s="220">
        <f>-SUMIFS('Data BASE'!AC$490:AC$960,'Data BASE'!$M$490:$M$960,$B168,'Data BASE'!$K$490:$K$960,$B$181)</f>
        <v>-128638.91999999993</v>
      </c>
      <c r="AD168" s="220">
        <f>-SUMIFS('Data BASE'!AD$490:AD$960,'Data BASE'!$M$490:$M$960,$B168,'Data BASE'!$K$490:$K$960,$B$181)</f>
        <v>-114247.56999999999</v>
      </c>
      <c r="AE168" s="220">
        <f>-SUMIFS('Data BASE'!AE$490:AE$960,'Data BASE'!$M$490:$M$960,$B168,'Data BASE'!$K$490:$K$960,$B$181)</f>
        <v>-128043.87</v>
      </c>
      <c r="AF168" s="220">
        <f>-SUMIFS('Data BASE'!AF$490:AF$960,'Data BASE'!$M$490:$M$960,$B168,'Data BASE'!$K$490:$K$960,$B$181)</f>
        <v>-164533.25</v>
      </c>
      <c r="AG168" s="220">
        <f>-SUMIFS('Data BASE'!AG$490:AG$2000,'Data BASE'!$M$490:$M$2000,$B168,'Data BASE'!$K$490:$K$2000,$B$181)</f>
        <v>-161265.87000000002</v>
      </c>
      <c r="AH168" s="220"/>
      <c r="AI168" s="220"/>
      <c r="AJ168" s="220"/>
      <c r="AK168" s="220"/>
      <c r="AL168" s="220"/>
      <c r="AM168" s="220"/>
      <c r="AN168" s="220"/>
      <c r="AO168" s="220"/>
      <c r="AP168" s="298"/>
      <c r="AQ168" s="220">
        <f t="shared" si="12"/>
        <v>-338741.24</v>
      </c>
      <c r="AR168" s="220">
        <f t="shared" si="12"/>
        <v>-454394.91999999993</v>
      </c>
      <c r="AS168" s="220">
        <f t="shared" si="12"/>
        <v>-321562.49000000011</v>
      </c>
      <c r="AT168" s="220">
        <f t="shared" si="12"/>
        <v>-352706.33999999985</v>
      </c>
      <c r="AU168" s="220">
        <f t="shared" si="12"/>
        <v>-406824.69</v>
      </c>
      <c r="AV168" s="220">
        <f t="shared" si="12"/>
        <v>-161265.87000000002</v>
      </c>
      <c r="AW168" s="220">
        <f t="shared" si="12"/>
        <v>0</v>
      </c>
      <c r="AX168" s="220">
        <f t="shared" si="12"/>
        <v>0</v>
      </c>
      <c r="AY168" s="298"/>
      <c r="AZ168" s="220">
        <f t="shared" si="19"/>
        <v>-1467404.9899999998</v>
      </c>
      <c r="BA168" s="220">
        <f t="shared" si="20"/>
        <v>-568090.56000000006</v>
      </c>
      <c r="BB168" s="299"/>
      <c r="BC168" s="220">
        <f t="shared" si="15"/>
        <v>0</v>
      </c>
      <c r="BD168" s="220">
        <f t="shared" si="21"/>
        <v>-568090.56000000006</v>
      </c>
      <c r="BE168" s="196">
        <f t="shared" si="22"/>
        <v>3267.3799999999756</v>
      </c>
      <c r="BF168" s="278">
        <f t="shared" ref="BF168:BF171" si="23">AG168-BE168</f>
        <v>-164533.25</v>
      </c>
    </row>
    <row r="169" spans="2:65" outlineLevel="2" x14ac:dyDescent="0.45">
      <c r="B169" s="81" t="s">
        <v>1033</v>
      </c>
      <c r="C169" s="309"/>
      <c r="D169" s="339"/>
      <c r="E169" s="300"/>
      <c r="F169" s="301"/>
      <c r="G169" s="301"/>
      <c r="H169" s="301"/>
      <c r="I169" s="301"/>
      <c r="J169" s="301"/>
      <c r="K169" s="301"/>
      <c r="L169" s="301"/>
      <c r="M169" s="301"/>
      <c r="N169" s="301"/>
      <c r="O169" s="301"/>
      <c r="P169" s="301"/>
      <c r="Q169" s="301"/>
      <c r="R169" s="220">
        <f>-SUMIFS('Data BASE'!R$490:R$960,'Data BASE'!$M$490:$M$960,$B169,'Data BASE'!$K$490:$K$960,$B$181)</f>
        <v>0</v>
      </c>
      <c r="S169" s="220">
        <f>-SUMIFS('Data BASE'!S$490:S$960,'Data BASE'!$M$490:$M$960,$B169,'Data BASE'!$K$490:$K$960,$B$181)</f>
        <v>0</v>
      </c>
      <c r="T169" s="220">
        <f>-SUMIFS('Data BASE'!T$490:T$960,'Data BASE'!$M$490:$M$960,$B169,'Data BASE'!$K$490:$K$960,$B$181)</f>
        <v>0</v>
      </c>
      <c r="U169" s="220">
        <f>-SUMIFS('Data BASE'!U$490:U$960,'Data BASE'!$M$490:$M$960,$B169,'Data BASE'!$K$490:$K$960,$B$181)</f>
        <v>0</v>
      </c>
      <c r="V169" s="220">
        <f>-SUMIFS('Data BASE'!V$490:V$960,'Data BASE'!$M$490:$M$960,$B169,'Data BASE'!$K$490:$K$960,$B$181)</f>
        <v>0</v>
      </c>
      <c r="W169" s="220">
        <f>-SUMIFS('Data BASE'!W$490:W$960,'Data BASE'!$M$490:$M$960,$B169,'Data BASE'!$K$490:$K$960,$B$181)</f>
        <v>0</v>
      </c>
      <c r="X169" s="220">
        <f>-SUMIFS('Data BASE'!X$490:X$960,'Data BASE'!$M$490:$M$960,$B169,'Data BASE'!$K$490:$K$960,$B$181)</f>
        <v>0</v>
      </c>
      <c r="Y169" s="220">
        <f>-SUMIFS('Data BASE'!Y$490:Y$960,'Data BASE'!$M$490:$M$960,$B169,'Data BASE'!$K$490:$K$960,$B$181)</f>
        <v>0</v>
      </c>
      <c r="Z169" s="220">
        <f>-SUMIFS('Data BASE'!Z$490:Z$960,'Data BASE'!$M$490:$M$960,$B169,'Data BASE'!$K$490:$K$960,$B$181)</f>
        <v>0</v>
      </c>
      <c r="AA169" s="220">
        <f>-SUMIFS('Data BASE'!AA$490:AA$960,'Data BASE'!$M$490:$M$960,$B169,'Data BASE'!$K$490:$K$960,$B$181)</f>
        <v>0</v>
      </c>
      <c r="AB169" s="220">
        <f>-SUMIFS('Data BASE'!AB$490:AB$960,'Data BASE'!$M$490:$M$960,$B169,'Data BASE'!$K$490:$K$960,$B$181)</f>
        <v>-25476.35</v>
      </c>
      <c r="AC169" s="220">
        <f>-SUMIFS('Data BASE'!AC$490:AC$960,'Data BASE'!$M$490:$M$960,$B169,'Data BASE'!$K$490:$K$960,$B$181)</f>
        <v>-279344.77</v>
      </c>
      <c r="AD169" s="220">
        <f>-SUMIFS('Data BASE'!AD$490:AD$960,'Data BASE'!$M$490:$M$960,$B169,'Data BASE'!$K$490:$K$960,$B$181)</f>
        <v>-16722.439999999999</v>
      </c>
      <c r="AE169" s="220">
        <f>-SUMIFS('Data BASE'!AE$490:AE$960,'Data BASE'!$M$490:$M$960,$B169,'Data BASE'!$K$490:$K$960,$B$181)</f>
        <v>-43746.17</v>
      </c>
      <c r="AF169" s="220">
        <f>-SUMIFS('Data BASE'!AF$490:AF$960,'Data BASE'!$M$490:$M$960,$B169,'Data BASE'!$K$490:$K$960,$B$181)</f>
        <v>-32234.729999999996</v>
      </c>
      <c r="AG169" s="220">
        <f>-SUMIFS('Data BASE'!AG$490:AG$2000,'Data BASE'!$M$490:$M$2000,$B169,'Data BASE'!$K$490:$K$2000,$B$181)</f>
        <v>-86762.93</v>
      </c>
      <c r="AH169" s="220"/>
      <c r="AI169" s="220"/>
      <c r="AJ169" s="220"/>
      <c r="AK169" s="220"/>
      <c r="AL169" s="220"/>
      <c r="AM169" s="220"/>
      <c r="AN169" s="220"/>
      <c r="AO169" s="220"/>
      <c r="AP169" s="298"/>
      <c r="AQ169" s="220">
        <f t="shared" ref="AQ169:AX181" si="24">SUMIFS($R169:$AP169,$R$9:$AP$9,AQ$9,$R$8:$AP$8,AQ$8)</f>
        <v>0</v>
      </c>
      <c r="AR169" s="220">
        <f t="shared" si="24"/>
        <v>0</v>
      </c>
      <c r="AS169" s="220">
        <f t="shared" si="24"/>
        <v>0</v>
      </c>
      <c r="AT169" s="220">
        <f t="shared" si="24"/>
        <v>-304821.12</v>
      </c>
      <c r="AU169" s="220">
        <f t="shared" si="24"/>
        <v>-92703.34</v>
      </c>
      <c r="AV169" s="220">
        <f t="shared" si="24"/>
        <v>-86762.93</v>
      </c>
      <c r="AW169" s="220">
        <f t="shared" si="24"/>
        <v>0</v>
      </c>
      <c r="AX169" s="220">
        <f t="shared" si="24"/>
        <v>0</v>
      </c>
      <c r="AY169" s="298"/>
      <c r="AZ169" s="220">
        <f t="shared" si="19"/>
        <v>-304821.12</v>
      </c>
      <c r="BA169" s="220">
        <f t="shared" si="20"/>
        <v>-179466.27</v>
      </c>
      <c r="BB169" s="299"/>
      <c r="BC169" s="220">
        <f t="shared" si="15"/>
        <v>0</v>
      </c>
      <c r="BD169" s="220">
        <f t="shared" si="21"/>
        <v>-179466.27</v>
      </c>
      <c r="BE169" s="196">
        <f t="shared" si="22"/>
        <v>-54528.2</v>
      </c>
      <c r="BF169" s="278"/>
    </row>
    <row r="170" spans="2:65" outlineLevel="2" x14ac:dyDescent="0.45">
      <c r="B170" s="102" t="s">
        <v>944</v>
      </c>
      <c r="C170" s="318"/>
      <c r="D170" s="342"/>
      <c r="E170" s="304"/>
      <c r="F170" s="302"/>
      <c r="G170" s="302"/>
      <c r="H170" s="302"/>
      <c r="I170" s="302"/>
      <c r="J170" s="302"/>
      <c r="K170" s="302"/>
      <c r="L170" s="302"/>
      <c r="M170" s="302"/>
      <c r="N170" s="302"/>
      <c r="O170" s="302"/>
      <c r="P170" s="302"/>
      <c r="Q170" s="302"/>
      <c r="R170" s="220">
        <f>-SUMIFS('Data BASE'!R$490:R$960,'Data BASE'!$M$490:$M$960,$B170,'Data BASE'!$K$490:$K$960,$B$181)</f>
        <v>0</v>
      </c>
      <c r="S170" s="220">
        <f>-SUMIFS('Data BASE'!S$490:S$960,'Data BASE'!$M$490:$M$960,$B170,'Data BASE'!$K$490:$K$960,$B$181)</f>
        <v>-5087.5</v>
      </c>
      <c r="T170" s="220">
        <f>-SUMIFS('Data BASE'!T$490:T$960,'Data BASE'!$M$490:$M$960,$B170,'Data BASE'!$K$490:$K$960,$B$181)</f>
        <v>0</v>
      </c>
      <c r="U170" s="220">
        <f>-SUMIFS('Data BASE'!U$490:U$960,'Data BASE'!$M$490:$M$960,$B170,'Data BASE'!$K$490:$K$960,$B$181)</f>
        <v>-12343.95</v>
      </c>
      <c r="V170" s="220">
        <f>-SUMIFS('Data BASE'!V$490:V$960,'Data BASE'!$M$490:$M$960,$B170,'Data BASE'!$K$490:$K$960,$B$181)</f>
        <v>-12343.95</v>
      </c>
      <c r="W170" s="220">
        <f>-SUMIFS('Data BASE'!W$490:W$960,'Data BASE'!$M$490:$M$960,$B170,'Data BASE'!$K$490:$K$960,$B$181)</f>
        <v>-12343.950000000004</v>
      </c>
      <c r="X170" s="220">
        <f>-SUMIFS('Data BASE'!X$490:X$960,'Data BASE'!$M$490:$M$960,$B170,'Data BASE'!$K$490:$K$960,$B$181)</f>
        <v>-22710.419999999991</v>
      </c>
      <c r="Y170" s="220">
        <f>-SUMIFS('Data BASE'!Y$490:Y$960,'Data BASE'!$M$490:$M$960,$B170,'Data BASE'!$K$490:$K$960,$B$181)</f>
        <v>-23884.65</v>
      </c>
      <c r="Z170" s="220">
        <f>-SUMIFS('Data BASE'!Z$490:Z$960,'Data BASE'!$M$490:$M$960,$B170,'Data BASE'!$K$490:$K$960,$B$181)</f>
        <v>-48995.039999999994</v>
      </c>
      <c r="AA170" s="220">
        <f>-SUMIFS('Data BASE'!AA$490:AA$960,'Data BASE'!$M$490:$M$960,$B170,'Data BASE'!$K$490:$K$960,$B$181)</f>
        <v>-50499.430000000022</v>
      </c>
      <c r="AB170" s="220">
        <f>-SUMIFS('Data BASE'!AB$490:AB$960,'Data BASE'!$M$490:$M$960,$B170,'Data BASE'!$K$490:$K$960,$B$181)</f>
        <v>-347253.74</v>
      </c>
      <c r="AC170" s="220">
        <f>-SUMIFS('Data BASE'!AC$490:AC$960,'Data BASE'!$M$490:$M$960,$B170,'Data BASE'!$K$490:$K$960,$B$181)</f>
        <v>-353044.80000000005</v>
      </c>
      <c r="AD170" s="220">
        <f>-SUMIFS('Data BASE'!AD$490:AD$960,'Data BASE'!$M$490:$M$960,$B170,'Data BASE'!$K$490:$K$960,$B$181)</f>
        <v>-50580.61</v>
      </c>
      <c r="AE170" s="220">
        <f>-SUMIFS('Data BASE'!AE$490:AE$960,'Data BASE'!$M$490:$M$960,$B170,'Data BASE'!$K$490:$K$960,$B$181)</f>
        <v>-49823.05</v>
      </c>
      <c r="AF170" s="220">
        <f>-SUMIFS('Data BASE'!AF$490:AF$960,'Data BASE'!$M$490:$M$960,$B170,'Data BASE'!$K$490:$K$960,$B$181)</f>
        <v>-266602.05999999994</v>
      </c>
      <c r="AG170" s="220">
        <f>-SUMIFS('Data BASE'!AG$490:AG$2000,'Data BASE'!$M$490:$M$2000,$B170,'Data BASE'!$K$490:$K$2000,$B$181)</f>
        <v>-263889.99</v>
      </c>
      <c r="AH170" s="73"/>
      <c r="AI170" s="73"/>
      <c r="AJ170" s="73"/>
      <c r="AK170" s="73"/>
      <c r="AL170" s="73"/>
      <c r="AM170" s="73"/>
      <c r="AN170" s="73"/>
      <c r="AO170" s="73"/>
      <c r="AP170" s="298"/>
      <c r="AQ170" s="73">
        <f t="shared" si="24"/>
        <v>-5087.5</v>
      </c>
      <c r="AR170" s="73">
        <f t="shared" si="24"/>
        <v>-37031.850000000006</v>
      </c>
      <c r="AS170" s="73">
        <f t="shared" si="24"/>
        <v>-95590.109999999986</v>
      </c>
      <c r="AT170" s="73">
        <f t="shared" si="24"/>
        <v>-750797.97000000009</v>
      </c>
      <c r="AU170" s="73">
        <f t="shared" si="24"/>
        <v>-367005.72</v>
      </c>
      <c r="AV170" s="73">
        <f t="shared" si="24"/>
        <v>-263889.99</v>
      </c>
      <c r="AW170" s="73">
        <f t="shared" si="24"/>
        <v>0</v>
      </c>
      <c r="AX170" s="73">
        <f t="shared" si="24"/>
        <v>0</v>
      </c>
      <c r="AY170" s="298"/>
      <c r="AZ170" s="73">
        <f>SUM(AQ170:AT170)</f>
        <v>-888507.43</v>
      </c>
      <c r="BA170" s="73">
        <f>SUM(AU170:AX170)</f>
        <v>-630895.71</v>
      </c>
      <c r="BB170" s="299"/>
      <c r="BC170" s="73">
        <f>SUMIFS($R170:$AD170,$R$8:$AD$8,BC$8,$R$11:$AD$11,BC$11)</f>
        <v>0</v>
      </c>
      <c r="BD170" s="73">
        <f t="shared" si="21"/>
        <v>-630895.71</v>
      </c>
      <c r="BE170" s="196">
        <f t="shared" si="22"/>
        <v>2712.0699999999488</v>
      </c>
      <c r="BF170" s="278"/>
    </row>
    <row r="171" spans="2:65" outlineLevel="2" x14ac:dyDescent="0.45">
      <c r="B171" s="81" t="s">
        <v>495</v>
      </c>
      <c r="C171" s="309"/>
      <c r="D171" s="339"/>
      <c r="E171" s="295"/>
      <c r="F171" s="296"/>
      <c r="G171" s="296"/>
      <c r="H171" s="296"/>
      <c r="I171" s="296"/>
      <c r="J171" s="296"/>
      <c r="K171" s="296"/>
      <c r="L171" s="296"/>
      <c r="M171" s="296"/>
      <c r="N171" s="296"/>
      <c r="O171" s="296"/>
      <c r="P171" s="296"/>
      <c r="Q171" s="296"/>
      <c r="R171" s="220">
        <f>-SUMIFS('Data BASE'!R$490:R$960,'Data BASE'!$M$490:$M$960,$B171,'Data BASE'!$K$490:$K$960,$B$181)</f>
        <v>-527434.38</v>
      </c>
      <c r="S171" s="220">
        <f>-SUMIFS('Data BASE'!S$490:S$960,'Data BASE'!$M$490:$M$960,$B171,'Data BASE'!$K$490:$K$960,$B$181)</f>
        <v>-369184.66</v>
      </c>
      <c r="T171" s="220">
        <f>-SUMIFS('Data BASE'!T$490:T$960,'Data BASE'!$M$490:$M$960,$B171,'Data BASE'!$K$490:$K$960,$B$181)</f>
        <v>-535255.62</v>
      </c>
      <c r="U171" s="220">
        <f>-SUMIFS('Data BASE'!U$490:U$960,'Data BASE'!$M$490:$M$960,$B171,'Data BASE'!$K$490:$K$960,$B$181)</f>
        <v>-190805</v>
      </c>
      <c r="V171" s="220">
        <f>-SUMIFS('Data BASE'!V$490:V$960,'Data BASE'!$M$490:$M$960,$B171,'Data BASE'!$K$490:$K$960,$B$181)</f>
        <v>-358281.8600000001</v>
      </c>
      <c r="W171" s="220">
        <f>-SUMIFS('Data BASE'!W$490:W$960,'Data BASE'!$M$490:$M$960,$B171,'Data BASE'!$K$490:$K$960,$B$181)</f>
        <v>-404848.2200000002</v>
      </c>
      <c r="X171" s="220">
        <f>-SUMIFS('Data BASE'!X$490:X$960,'Data BASE'!$M$490:$M$960,$B171,'Data BASE'!$K$490:$K$960,$B$181)</f>
        <v>-291777.39999999991</v>
      </c>
      <c r="Y171" s="220">
        <f>-SUMIFS('Data BASE'!Y$490:Y$960,'Data BASE'!$M$490:$M$960,$B171,'Data BASE'!$K$490:$K$960,$B$181)</f>
        <v>54280.350000000093</v>
      </c>
      <c r="Z171" s="220">
        <f>-SUMIFS('Data BASE'!Z$490:Z$960,'Data BASE'!$M$490:$M$960,$B171,'Data BASE'!$K$490:$K$960,$B$181)</f>
        <v>-470250.99000000022</v>
      </c>
      <c r="AA171" s="220">
        <f>-SUMIFS('Data BASE'!AA$490:AA$960,'Data BASE'!$M$490:$M$960,$B171,'Data BASE'!$K$490:$K$960,$B$181)</f>
        <v>-318242.43999999994</v>
      </c>
      <c r="AB171" s="220">
        <f>-SUMIFS('Data BASE'!AB$490:AB$960,'Data BASE'!$M$490:$M$960,$B171,'Data BASE'!$K$490:$K$960,$B$181)</f>
        <v>-343298.39999999991</v>
      </c>
      <c r="AC171" s="220">
        <f>-SUMIFS('Data BASE'!AC$490:AC$960,'Data BASE'!$M$490:$M$960,$B171,'Data BASE'!$K$490:$K$960,$B$181)</f>
        <v>-387257.06000000006</v>
      </c>
      <c r="AD171" s="220">
        <f>-SUMIFS('Data BASE'!AD$490:AD$960,'Data BASE'!$M$490:$M$960,$B171,'Data BASE'!$K$490:$K$960,$B$181)</f>
        <v>-387247.08</v>
      </c>
      <c r="AE171" s="220">
        <f>-SUMIFS('Data BASE'!AE$490:AE$960,'Data BASE'!$M$490:$M$960,$B171,'Data BASE'!$K$490:$K$960,$B$181)</f>
        <v>-633209.75</v>
      </c>
      <c r="AF171" s="220">
        <f>-SUMIFS('Data BASE'!AF$490:AF$960,'Data BASE'!$M$490:$M$960,$B171,'Data BASE'!$K$490:$K$960,$B$181)</f>
        <v>-654771.39</v>
      </c>
      <c r="AG171" s="220">
        <f>-SUMIFS('Data BASE'!AG$490:AG$2000,'Data BASE'!$M$490:$M$2000,$B171,'Data BASE'!$K$490:$K$2000,$B$181)</f>
        <v>-533540.49</v>
      </c>
      <c r="AH171" s="220"/>
      <c r="AI171" s="220"/>
      <c r="AJ171" s="220"/>
      <c r="AK171" s="220"/>
      <c r="AL171" s="220"/>
      <c r="AM171" s="220"/>
      <c r="AN171" s="220"/>
      <c r="AO171" s="220"/>
      <c r="AP171" s="298"/>
      <c r="AQ171" s="220">
        <f t="shared" si="24"/>
        <v>-1431874.6600000001</v>
      </c>
      <c r="AR171" s="220">
        <f t="shared" si="24"/>
        <v>-953935.08000000031</v>
      </c>
      <c r="AS171" s="220">
        <f t="shared" si="24"/>
        <v>-707748.04</v>
      </c>
      <c r="AT171" s="220">
        <f t="shared" si="24"/>
        <v>-1048797.8999999999</v>
      </c>
      <c r="AU171" s="220">
        <f t="shared" si="24"/>
        <v>-1675228.2200000002</v>
      </c>
      <c r="AV171" s="220">
        <f t="shared" si="24"/>
        <v>-533540.49</v>
      </c>
      <c r="AW171" s="220">
        <f t="shared" si="24"/>
        <v>0</v>
      </c>
      <c r="AX171" s="220">
        <f t="shared" si="24"/>
        <v>0</v>
      </c>
      <c r="AY171" s="298"/>
      <c r="AZ171" s="220">
        <f>SUM(AQ171:AT171)</f>
        <v>-4142355.68</v>
      </c>
      <c r="BA171" s="220">
        <f>SUM(AU171:AX171)</f>
        <v>-2208768.71</v>
      </c>
      <c r="BB171" s="299"/>
      <c r="BC171" s="220">
        <f>SUMIFS($R171:$AD171,$R$8:$AD$8,BC$8,$R$11:$AD$11,BC$11)</f>
        <v>-527434.38</v>
      </c>
      <c r="BD171" s="220">
        <f t="shared" si="21"/>
        <v>-2208768.71</v>
      </c>
      <c r="BE171" s="196">
        <f t="shared" si="22"/>
        <v>121230.90000000002</v>
      </c>
      <c r="BF171" s="278">
        <f t="shared" si="23"/>
        <v>-654771.39</v>
      </c>
    </row>
    <row r="172" spans="2:65" outlineLevel="2" x14ac:dyDescent="0.45">
      <c r="B172" s="81" t="s">
        <v>2032</v>
      </c>
      <c r="C172" s="309"/>
      <c r="D172" s="341"/>
      <c r="E172" s="295"/>
      <c r="F172" s="296"/>
      <c r="G172" s="296"/>
      <c r="H172" s="296"/>
      <c r="I172" s="296"/>
      <c r="J172" s="296"/>
      <c r="K172" s="296"/>
      <c r="L172" s="296"/>
      <c r="M172" s="296"/>
      <c r="N172" s="296"/>
      <c r="O172" s="296"/>
      <c r="P172" s="296"/>
      <c r="Q172" s="296"/>
      <c r="R172" s="220">
        <f>-SUMIFS('Data BASE'!R$490:R$960,'Data BASE'!$M$490:$M$960,$B172,'Data BASE'!$K$490:$K$960,$B$181)</f>
        <v>-240465.21</v>
      </c>
      <c r="S172" s="220">
        <f>-SUMIFS('Data BASE'!S$490:S$960,'Data BASE'!$M$490:$M$960,$B172,'Data BASE'!$K$490:$K$960,$B$181)</f>
        <v>-250415.19999999998</v>
      </c>
      <c r="T172" s="220">
        <f>-SUMIFS('Data BASE'!T$490:T$960,'Data BASE'!$M$490:$M$960,$B172,'Data BASE'!$K$490:$K$960,$B$181)</f>
        <v>-121435.20000000001</v>
      </c>
      <c r="U172" s="220">
        <f>-SUMIFS('Data BASE'!U$490:U$960,'Data BASE'!$M$490:$M$960,$B172,'Data BASE'!$K$490:$K$960,$B$181)</f>
        <v>-248667.76000000013</v>
      </c>
      <c r="V172" s="220">
        <f>-SUMIFS('Data BASE'!V$490:V$960,'Data BASE'!$M$490:$M$960,$B172,'Data BASE'!$K$490:$K$960,$B$181)</f>
        <v>-370660.26999999979</v>
      </c>
      <c r="W172" s="220">
        <f>-SUMIFS('Data BASE'!W$490:W$960,'Data BASE'!$M$490:$M$960,$B172,'Data BASE'!$K$490:$K$960,$B$181)</f>
        <v>-169275.90000000014</v>
      </c>
      <c r="X172" s="220">
        <f>-SUMIFS('Data BASE'!X$490:X$960,'Data BASE'!$M$490:$M$960,$B172,'Data BASE'!$K$490:$K$960,$B$181)</f>
        <v>-421339.91999999993</v>
      </c>
      <c r="Y172" s="220">
        <f>-SUMIFS('Data BASE'!Y$490:Y$960,'Data BASE'!$M$490:$M$960,$B172,'Data BASE'!$K$490:$K$960,$B$181)</f>
        <v>-170622.10000000009</v>
      </c>
      <c r="Z172" s="220">
        <f>-SUMIFS('Data BASE'!Z$490:Z$960,'Data BASE'!$M$490:$M$960,$B172,'Data BASE'!$K$490:$K$960,$B$181)</f>
        <v>-159111.57999999961</v>
      </c>
      <c r="AA172" s="220">
        <f>-SUMIFS('Data BASE'!AA$490:AA$960,'Data BASE'!$M$490:$M$960,$B172,'Data BASE'!$K$490:$K$960,$B$181)</f>
        <v>-217115.49000000022</v>
      </c>
      <c r="AB172" s="220">
        <f>-SUMIFS('Data BASE'!AB$490:AB$960,'Data BASE'!$M$490:$M$960,$B172,'Data BASE'!$K$490:$K$960,$B$181)</f>
        <v>-128949.41999999993</v>
      </c>
      <c r="AC172" s="220">
        <f>-SUMIFS('Data BASE'!AC$490:AC$960,'Data BASE'!$M$490:$M$960,$B172,'Data BASE'!$K$490:$K$960,$B$181)</f>
        <v>-218370.17000000039</v>
      </c>
      <c r="AD172" s="220">
        <f>-SUMIFS('Data BASE'!AD$490:AD$960,'Data BASE'!$M$490:$M$960,$B172,'Data BASE'!$K$490:$K$960,$B$181)</f>
        <v>-143801.75</v>
      </c>
      <c r="AE172" s="220">
        <f>-SUMIFS('Data BASE'!AE$490:AE$960,'Data BASE'!$M$490:$M$960,$B172,'Data BASE'!$K$490:$K$960,$B$181)</f>
        <v>-167938.38</v>
      </c>
      <c r="AF172" s="220">
        <f>-SUMIFS('Data BASE'!AF$490:AF$960,'Data BASE'!$M$490:$M$960,$B172,'Data BASE'!$K$490:$K$960,$B$181)</f>
        <v>-456275.74000000011</v>
      </c>
      <c r="AG172" s="220">
        <f>-SUMIFS('Data BASE'!AG$490:AG$2000,'Data BASE'!$M$490:$M$2000,$B172,'Data BASE'!$K$490:$K$2000,$B$181)</f>
        <v>-113256.97999999986</v>
      </c>
      <c r="AH172" s="340"/>
      <c r="AI172" s="340"/>
      <c r="AJ172" s="340"/>
      <c r="AK172" s="340"/>
      <c r="AL172" s="340"/>
      <c r="AM172" s="340"/>
      <c r="AN172" s="340"/>
      <c r="AO172" s="340"/>
      <c r="AP172" s="298"/>
      <c r="AQ172" s="340"/>
      <c r="AR172" s="340"/>
      <c r="AS172" s="340"/>
      <c r="AT172" s="340"/>
      <c r="AU172" s="340"/>
      <c r="AV172" s="340"/>
      <c r="AW172" s="340"/>
      <c r="AX172" s="340"/>
      <c r="AY172" s="298"/>
      <c r="AZ172" s="340"/>
      <c r="BA172" s="340"/>
      <c r="BB172" s="299"/>
      <c r="BC172" s="340">
        <f t="shared" si="15"/>
        <v>-240465.21</v>
      </c>
      <c r="BD172" s="340">
        <f t="shared" si="21"/>
        <v>-881272.85</v>
      </c>
      <c r="BE172" s="196">
        <f t="shared" si="22"/>
        <v>343018.76000000024</v>
      </c>
    </row>
    <row r="173" spans="2:65" outlineLevel="1" x14ac:dyDescent="0.45">
      <c r="B173" s="49" t="s">
        <v>867</v>
      </c>
      <c r="C173" s="49"/>
      <c r="D173" s="229"/>
      <c r="E173" s="49"/>
      <c r="F173" s="49"/>
      <c r="G173" s="49"/>
      <c r="H173" s="49"/>
      <c r="I173" s="49"/>
      <c r="J173" s="49"/>
      <c r="K173" s="49"/>
      <c r="L173" s="49"/>
      <c r="M173" s="49"/>
      <c r="N173" s="49"/>
      <c r="O173" s="49"/>
      <c r="P173" s="49"/>
      <c r="Q173" s="49"/>
      <c r="R173" s="527">
        <f t="shared" ref="R173:AC173" si="25">SUM(R165:R172)</f>
        <v>-4534204.09</v>
      </c>
      <c r="S173" s="527">
        <f t="shared" si="25"/>
        <v>-4949168.8000000007</v>
      </c>
      <c r="T173" s="527">
        <f t="shared" si="25"/>
        <v>-4875469.1700000009</v>
      </c>
      <c r="U173" s="527">
        <f t="shared" si="25"/>
        <v>-5345961.459999999</v>
      </c>
      <c r="V173" s="527">
        <f t="shared" si="25"/>
        <v>-6272872.620000002</v>
      </c>
      <c r="W173" s="527">
        <f t="shared" si="25"/>
        <v>-6266143.3999999985</v>
      </c>
      <c r="X173" s="527">
        <f t="shared" si="25"/>
        <v>-6572493.5899999999</v>
      </c>
      <c r="Y173" s="527">
        <f t="shared" si="25"/>
        <v>-7916640.5600000024</v>
      </c>
      <c r="Z173" s="527">
        <f t="shared" si="25"/>
        <v>-7898229.870000001</v>
      </c>
      <c r="AA173" s="527">
        <f t="shared" si="25"/>
        <v>-6754451.6199999973</v>
      </c>
      <c r="AB173" s="527">
        <f t="shared" si="25"/>
        <v>-7781726.6000000015</v>
      </c>
      <c r="AC173" s="527">
        <f t="shared" si="25"/>
        <v>-7348181.2099999972</v>
      </c>
      <c r="AD173" s="527">
        <f>SUM(AD165:AD172)</f>
        <v>-7091455.5000000009</v>
      </c>
      <c r="AE173" s="527">
        <f>SUM(AE165:AE172)</f>
        <v>-8315453.21</v>
      </c>
      <c r="AF173" s="527">
        <f t="shared" ref="AF173:AO173" si="26">SUM(AF165:AF172)</f>
        <v>-11589771.66</v>
      </c>
      <c r="AG173" s="527">
        <f t="shared" si="26"/>
        <v>-8853400.4000000022</v>
      </c>
      <c r="AH173" s="527">
        <f t="shared" si="26"/>
        <v>0</v>
      </c>
      <c r="AI173" s="527">
        <f t="shared" si="26"/>
        <v>0</v>
      </c>
      <c r="AJ173" s="527">
        <f t="shared" si="26"/>
        <v>0</v>
      </c>
      <c r="AK173" s="527">
        <f t="shared" si="26"/>
        <v>0</v>
      </c>
      <c r="AL173" s="527">
        <f t="shared" si="26"/>
        <v>0</v>
      </c>
      <c r="AM173" s="527">
        <f t="shared" si="26"/>
        <v>0</v>
      </c>
      <c r="AN173" s="527">
        <f t="shared" si="26"/>
        <v>0</v>
      </c>
      <c r="AO173" s="527">
        <f t="shared" si="26"/>
        <v>0</v>
      </c>
      <c r="AP173" s="298"/>
      <c r="AQ173" s="496">
        <f t="shared" si="24"/>
        <v>-14358842.060000002</v>
      </c>
      <c r="AR173" s="496">
        <f t="shared" si="24"/>
        <v>-17884977.48</v>
      </c>
      <c r="AS173" s="496">
        <f t="shared" si="24"/>
        <v>-22387364.020000003</v>
      </c>
      <c r="AT173" s="496">
        <f t="shared" si="24"/>
        <v>-21884359.429999996</v>
      </c>
      <c r="AU173" s="496">
        <f t="shared" si="24"/>
        <v>-26996680.370000001</v>
      </c>
      <c r="AV173" s="496">
        <f t="shared" si="24"/>
        <v>-8853400.4000000022</v>
      </c>
      <c r="AW173" s="496">
        <f t="shared" si="24"/>
        <v>0</v>
      </c>
      <c r="AX173" s="496">
        <f t="shared" si="24"/>
        <v>0</v>
      </c>
      <c r="AY173" s="298"/>
      <c r="AZ173" s="496">
        <f t="shared" si="19"/>
        <v>-76515542.989999995</v>
      </c>
      <c r="BA173" s="496">
        <f t="shared" si="20"/>
        <v>-35850080.770000003</v>
      </c>
      <c r="BB173" s="299"/>
      <c r="BC173" s="496">
        <f>SUMIFS($R173:$AD173,$R$8:$AD$8,BC$8,$R$11:$AD$11,BC$11)</f>
        <v>-4534204.09</v>
      </c>
      <c r="BD173" s="496">
        <f>SUMIFS($AB173:$AO173,$AB$8:$AO$8,BD$8,$AB$11:$AO$11,BD$11)</f>
        <v>-35850080.770000003</v>
      </c>
      <c r="BE173" s="196">
        <f t="shared" si="22"/>
        <v>2736371.2599999979</v>
      </c>
    </row>
    <row r="174" spans="2:65" outlineLevel="2" x14ac:dyDescent="0.45">
      <c r="B174" s="81" t="s">
        <v>716</v>
      </c>
      <c r="C174" s="309"/>
      <c r="D174" s="339"/>
      <c r="E174" s="300"/>
      <c r="F174" s="301"/>
      <c r="G174" s="301"/>
      <c r="H174" s="301"/>
      <c r="I174" s="301"/>
      <c r="J174" s="301"/>
      <c r="K174" s="301"/>
      <c r="L174" s="301"/>
      <c r="M174" s="301"/>
      <c r="N174" s="301"/>
      <c r="O174" s="301"/>
      <c r="P174" s="301"/>
      <c r="Q174" s="301"/>
      <c r="R174" s="220">
        <f>-SUMIFS('Data BASE'!R$490:R$960,'Data BASE'!$M$490:$M$960,$B174,'Data BASE'!$K$490:$K$960,$B$181)</f>
        <v>0</v>
      </c>
      <c r="S174" s="220">
        <f>-SUMIFS('Data BASE'!S$490:S$960,'Data BASE'!$M$490:$M$960,$B174,'Data BASE'!$K$490:$K$960,$B$181)</f>
        <v>0</v>
      </c>
      <c r="T174" s="220">
        <f>-SUMIFS('Data BASE'!T$490:T$960,'Data BASE'!$M$490:$M$960,$B174,'Data BASE'!$K$490:$K$960,$B$181)</f>
        <v>-28036.66</v>
      </c>
      <c r="U174" s="220">
        <f>-SUMIFS('Data BASE'!U$490:U$960,'Data BASE'!$M$490:$M$960,$B174,'Data BASE'!$K$490:$K$960,$B$181)</f>
        <v>-65200</v>
      </c>
      <c r="V174" s="220">
        <f>-SUMIFS('Data BASE'!V$490:V$960,'Data BASE'!$M$490:$M$960,$B174,'Data BASE'!$K$490:$K$960,$B$181)</f>
        <v>-65200</v>
      </c>
      <c r="W174" s="220">
        <f>-SUMIFS('Data BASE'!W$490:W$960,'Data BASE'!$M$490:$M$960,$B174,'Data BASE'!$K$490:$K$960,$B$181)</f>
        <v>-64656.670000000013</v>
      </c>
      <c r="X174" s="220">
        <f>-SUMIFS('Data BASE'!X$490:X$960,'Data BASE'!$M$490:$M$960,$B174,'Data BASE'!$K$490:$K$960,$B$181)</f>
        <v>-121823.32999999996</v>
      </c>
      <c r="Y174" s="220">
        <f>-SUMIFS('Data BASE'!Y$490:Y$960,'Data BASE'!$M$490:$M$960,$B174,'Data BASE'!$K$490:$K$960,$B$181)</f>
        <v>-177560</v>
      </c>
      <c r="Z174" s="220">
        <f>-SUMIFS('Data BASE'!Z$490:Z$960,'Data BASE'!$M$490:$M$960,$B174,'Data BASE'!$K$490:$K$960,$B$181)</f>
        <v>-210159.99999999994</v>
      </c>
      <c r="AA174" s="220">
        <f>-SUMIFS('Data BASE'!AA$490:AA$960,'Data BASE'!$M$490:$M$960,$B174,'Data BASE'!$K$490:$K$960,$B$181)</f>
        <v>-191987.34000000008</v>
      </c>
      <c r="AB174" s="220">
        <f>-SUMIFS('Data BASE'!AB$490:AB$960,'Data BASE'!$M$490:$M$960,$B174,'Data BASE'!$K$490:$K$960,$B$181)</f>
        <v>-192230</v>
      </c>
      <c r="AC174" s="220">
        <f>-SUMIFS('Data BASE'!AC$490:AC$960,'Data BASE'!$M$490:$M$960,$B174,'Data BASE'!$K$490:$K$960,$B$181)</f>
        <v>-309195.33000000007</v>
      </c>
      <c r="AD174" s="220">
        <f>-SUMIFS('Data BASE'!AD$490:AD$960,'Data BASE'!$M$490:$M$960,$B174,'Data BASE'!$K$490:$K$960,$B$181)</f>
        <v>-197800</v>
      </c>
      <c r="AE174" s="220">
        <f>-SUMIFS('Data BASE'!AE$490:AE$960,'Data BASE'!$M$490:$M$960,$B174,'Data BASE'!$K$490:$K$960,$B$181)</f>
        <v>-211942</v>
      </c>
      <c r="AF174" s="220">
        <f>-SUMIFS('Data BASE'!AF$490:AF$960,'Data BASE'!$M$490:$M$960,$B174,'Data BASE'!$K$490:$K$960,$B$181)</f>
        <v>-220069</v>
      </c>
      <c r="AG174" s="220">
        <f>-SUMIFS('Data BASE'!AG$490:AG$2000,'Data BASE'!$M$490:$M$2000,$B174,'Data BASE'!$K$490:$K$2000,$B$181)</f>
        <v>-254623.69999999995</v>
      </c>
      <c r="AH174" s="220"/>
      <c r="AI174" s="220"/>
      <c r="AJ174" s="220"/>
      <c r="AK174" s="220"/>
      <c r="AL174" s="220"/>
      <c r="AM174" s="220"/>
      <c r="AN174" s="220"/>
      <c r="AO174" s="220"/>
      <c r="AP174" s="298"/>
      <c r="AQ174" s="220">
        <f t="shared" si="24"/>
        <v>-28036.66</v>
      </c>
      <c r="AR174" s="220">
        <f t="shared" si="24"/>
        <v>-195056.67</v>
      </c>
      <c r="AS174" s="220">
        <f t="shared" si="24"/>
        <v>-509543.3299999999</v>
      </c>
      <c r="AT174" s="220">
        <f t="shared" si="24"/>
        <v>-693412.67000000016</v>
      </c>
      <c r="AU174" s="220">
        <f t="shared" si="24"/>
        <v>-629811</v>
      </c>
      <c r="AV174" s="220">
        <f t="shared" si="24"/>
        <v>-254623.69999999995</v>
      </c>
      <c r="AW174" s="220">
        <f t="shared" si="24"/>
        <v>0</v>
      </c>
      <c r="AX174" s="220">
        <f t="shared" si="24"/>
        <v>0</v>
      </c>
      <c r="AY174" s="298"/>
      <c r="AZ174" s="220">
        <f t="shared" si="19"/>
        <v>-1426049.33</v>
      </c>
      <c r="BA174" s="220">
        <f t="shared" si="20"/>
        <v>-884434.7</v>
      </c>
      <c r="BB174" s="299"/>
      <c r="BC174" s="220">
        <f t="shared" si="15"/>
        <v>0</v>
      </c>
      <c r="BD174" s="220">
        <f t="shared" ref="BD174:BD181" si="27">SUMIFS($AB174:$AO174,$AB$8:$AO$8,BD$8,$AB$11:$AO$11,BD$11)</f>
        <v>-884434.7</v>
      </c>
      <c r="BE174" s="196">
        <f t="shared" si="22"/>
        <v>-34554.699999999953</v>
      </c>
    </row>
    <row r="175" spans="2:65" outlineLevel="2" x14ac:dyDescent="0.45">
      <c r="B175" s="81" t="s">
        <v>668</v>
      </c>
      <c r="C175" s="309"/>
      <c r="D175" s="339"/>
      <c r="E175" s="300"/>
      <c r="F175" s="301"/>
      <c r="G175" s="301"/>
      <c r="H175" s="301"/>
      <c r="I175" s="301"/>
      <c r="J175" s="301"/>
      <c r="K175" s="301"/>
      <c r="L175" s="301"/>
      <c r="M175" s="301"/>
      <c r="N175" s="301"/>
      <c r="O175" s="301"/>
      <c r="P175" s="301"/>
      <c r="Q175" s="301"/>
      <c r="R175" s="220">
        <f>-SUMIFS('Data BASE'!R$490:R$960,'Data BASE'!$M$490:$M$960,$B175,'Data BASE'!$K$490:$K$960,$B$181)</f>
        <v>-200627.8</v>
      </c>
      <c r="S175" s="220">
        <f>-SUMIFS('Data BASE'!S$490:S$960,'Data BASE'!$M$490:$M$960,$B175,'Data BASE'!$K$490:$K$960,$B$181)</f>
        <v>-200031.90000000002</v>
      </c>
      <c r="T175" s="220">
        <f>-SUMIFS('Data BASE'!T$490:T$960,'Data BASE'!$M$490:$M$960,$B175,'Data BASE'!$K$490:$K$960,$B$181)</f>
        <v>-242350.99999999994</v>
      </c>
      <c r="U175" s="220">
        <f>-SUMIFS('Data BASE'!U$490:U$960,'Data BASE'!$M$490:$M$960,$B175,'Data BASE'!$K$490:$K$960,$B$181)</f>
        <v>-227202</v>
      </c>
      <c r="V175" s="220">
        <f>-SUMIFS('Data BASE'!V$490:V$960,'Data BASE'!$M$490:$M$960,$B175,'Data BASE'!$K$490:$K$960,$B$181)</f>
        <v>-151468</v>
      </c>
      <c r="W175" s="220">
        <f>-SUMIFS('Data BASE'!W$490:W$960,'Data BASE'!$M$490:$M$960,$B175,'Data BASE'!$K$490:$K$960,$B$181)</f>
        <v>-241740</v>
      </c>
      <c r="X175" s="220">
        <f>-SUMIFS('Data BASE'!X$490:X$960,'Data BASE'!$M$490:$M$960,$B175,'Data BASE'!$K$490:$K$960,$B$181)</f>
        <v>-227202</v>
      </c>
      <c r="Y175" s="220">
        <f>-SUMIFS('Data BASE'!Y$490:Y$960,'Data BASE'!$M$490:$M$960,$B175,'Data BASE'!$K$490:$K$960,$B$181)</f>
        <v>-212538</v>
      </c>
      <c r="Z175" s="220">
        <f>-SUMIFS('Data BASE'!Z$490:Z$960,'Data BASE'!$M$490:$M$960,$B175,'Data BASE'!$K$490:$K$960,$B$181)</f>
        <v>-167508</v>
      </c>
      <c r="AA175" s="220">
        <f>-SUMIFS('Data BASE'!AA$490:AA$960,'Data BASE'!$M$490:$M$960,$B175,'Data BASE'!$K$490:$K$960,$B$181)</f>
        <v>-251507.00000000023</v>
      </c>
      <c r="AB175" s="220">
        <f>-SUMIFS('Data BASE'!AB$490:AB$960,'Data BASE'!$M$490:$M$960,$B175,'Data BASE'!$K$490:$K$960,$B$181)</f>
        <v>-277379.19999999972</v>
      </c>
      <c r="AC175" s="220">
        <f>-SUMIFS('Data BASE'!AC$490:AC$960,'Data BASE'!$M$490:$M$960,$B175,'Data BASE'!$K$490:$K$960,$B$181)</f>
        <v>-251073.10999999987</v>
      </c>
      <c r="AD175" s="220">
        <f>-SUMIFS('Data BASE'!AD$490:AD$960,'Data BASE'!$M$490:$M$960,$B175,'Data BASE'!$K$490:$K$960,$B$181)</f>
        <v>-279195.08999999997</v>
      </c>
      <c r="AE175" s="220">
        <f>-SUMIFS('Data BASE'!AE$490:AE$960,'Data BASE'!$M$490:$M$960,$B175,'Data BASE'!$K$490:$K$960,$B$181)</f>
        <v>-295162.08999999997</v>
      </c>
      <c r="AF175" s="220">
        <f>-SUMIFS('Data BASE'!AF$490:AF$960,'Data BASE'!$M$490:$M$960,$B175,'Data BASE'!$K$490:$K$960,$B$181)</f>
        <v>-557134</v>
      </c>
      <c r="AG175" s="220">
        <f>-SUMIFS('Data BASE'!AG$490:AG$2000,'Data BASE'!$M$490:$M$2000,$B175,'Data BASE'!$K$490:$K$2000,$B$181)</f>
        <v>-355194</v>
      </c>
      <c r="AH175" s="220"/>
      <c r="AI175" s="220"/>
      <c r="AJ175" s="220"/>
      <c r="AK175" s="220"/>
      <c r="AL175" s="220"/>
      <c r="AM175" s="220"/>
      <c r="AN175" s="220"/>
      <c r="AO175" s="220"/>
      <c r="AP175" s="298"/>
      <c r="AQ175" s="220">
        <f t="shared" si="24"/>
        <v>-643010.69999999995</v>
      </c>
      <c r="AR175" s="220">
        <f t="shared" si="24"/>
        <v>-620410</v>
      </c>
      <c r="AS175" s="220">
        <f t="shared" si="24"/>
        <v>-607248</v>
      </c>
      <c r="AT175" s="220">
        <f t="shared" si="24"/>
        <v>-779959.30999999982</v>
      </c>
      <c r="AU175" s="220">
        <f t="shared" si="24"/>
        <v>-1131491.18</v>
      </c>
      <c r="AV175" s="220">
        <f t="shared" si="24"/>
        <v>-355194</v>
      </c>
      <c r="AW175" s="220">
        <f t="shared" si="24"/>
        <v>0</v>
      </c>
      <c r="AX175" s="220">
        <f t="shared" si="24"/>
        <v>0</v>
      </c>
      <c r="AY175" s="298"/>
      <c r="AZ175" s="220">
        <f t="shared" si="19"/>
        <v>-2650628.0099999998</v>
      </c>
      <c r="BA175" s="220">
        <f t="shared" si="20"/>
        <v>-1486685.18</v>
      </c>
      <c r="BB175" s="299"/>
      <c r="BC175" s="220">
        <f t="shared" si="15"/>
        <v>-200627.8</v>
      </c>
      <c r="BD175" s="220">
        <f t="shared" si="27"/>
        <v>-1486685.18</v>
      </c>
      <c r="BE175" s="196">
        <f t="shared" si="22"/>
        <v>201940</v>
      </c>
      <c r="BF175" s="27"/>
      <c r="BG175" s="27"/>
      <c r="BH175" s="27"/>
      <c r="BI175" s="27"/>
      <c r="BJ175" s="27"/>
      <c r="BK175" s="27"/>
      <c r="BL175" s="27"/>
      <c r="BM175" s="27"/>
    </row>
    <row r="176" spans="2:65" outlineLevel="2" x14ac:dyDescent="0.45">
      <c r="B176" s="81" t="s">
        <v>493</v>
      </c>
      <c r="C176" s="309"/>
      <c r="D176" s="339"/>
      <c r="E176" s="300"/>
      <c r="F176" s="301"/>
      <c r="G176" s="301"/>
      <c r="H176" s="301"/>
      <c r="I176" s="301"/>
      <c r="J176" s="301"/>
      <c r="K176" s="301"/>
      <c r="L176" s="301"/>
      <c r="M176" s="301"/>
      <c r="N176" s="301"/>
      <c r="O176" s="301"/>
      <c r="P176" s="301"/>
      <c r="Q176" s="301"/>
      <c r="R176" s="220">
        <f>-SUMIFS('Data BASE'!R$490:R$960,'Data BASE'!$M$490:$M$960,$B176,'Data BASE'!$K$490:$K$960,$B$181)</f>
        <v>-4470.24</v>
      </c>
      <c r="S176" s="220">
        <f>-SUMIFS('Data BASE'!S$490:S$960,'Data BASE'!$M$490:$M$960,$B176,'Data BASE'!$K$490:$K$960,$B$181)</f>
        <v>-1717.23</v>
      </c>
      <c r="T176" s="220">
        <f>-SUMIFS('Data BASE'!T$490:T$960,'Data BASE'!$M$490:$M$960,$B176,'Data BASE'!$K$490:$K$960,$B$181)</f>
        <v>-8342.69</v>
      </c>
      <c r="U176" s="220">
        <f>-SUMIFS('Data BASE'!U$490:U$960,'Data BASE'!$M$490:$M$960,$B176,'Data BASE'!$K$490:$K$960,$B$181)</f>
        <v>-1359.3999999999996</v>
      </c>
      <c r="V176" s="220">
        <f>-SUMIFS('Data BASE'!V$490:V$960,'Data BASE'!$M$490:$M$960,$B176,'Data BASE'!$K$490:$K$960,$B$181)</f>
        <v>-33335.300000000003</v>
      </c>
      <c r="W176" s="220">
        <f>-SUMIFS('Data BASE'!W$490:W$960,'Data BASE'!$M$490:$M$960,$B176,'Data BASE'!$K$490:$K$960,$B$181)</f>
        <v>-2536.2799999999988</v>
      </c>
      <c r="X176" s="220">
        <f>-SUMIFS('Data BASE'!X$490:X$960,'Data BASE'!$M$490:$M$960,$B176,'Data BASE'!$K$490:$K$960,$B$181)</f>
        <v>-9850.7200000000012</v>
      </c>
      <c r="Y176" s="220">
        <f>-SUMIFS('Data BASE'!Y$490:Y$960,'Data BASE'!$M$490:$M$960,$B176,'Data BASE'!$K$490:$K$960,$B$181)</f>
        <v>-4277.9099999999962</v>
      </c>
      <c r="Z176" s="220">
        <f>-SUMIFS('Data BASE'!Z$490:Z$960,'Data BASE'!$M$490:$M$960,$B176,'Data BASE'!$K$490:$K$960,$B$181)</f>
        <v>-9702.919999999991</v>
      </c>
      <c r="AA176" s="220">
        <f>-SUMIFS('Data BASE'!AA$490:AA$960,'Data BASE'!$M$490:$M$960,$B176,'Data BASE'!$K$490:$K$960,$B$181)</f>
        <v>-10068.000000000015</v>
      </c>
      <c r="AB176" s="220">
        <f>-SUMIFS('Data BASE'!AB$490:AB$960,'Data BASE'!$M$490:$M$960,$B176,'Data BASE'!$K$490:$K$960,$B$181)</f>
        <v>-5550</v>
      </c>
      <c r="AC176" s="220">
        <f>-SUMIFS('Data BASE'!AC$490:AC$960,'Data BASE'!$M$490:$M$960,$B176,'Data BASE'!$K$490:$K$960,$B$181)</f>
        <v>-12105.439999999988</v>
      </c>
      <c r="AD176" s="220">
        <f>-SUMIFS('Data BASE'!AD$490:AD$960,'Data BASE'!$M$490:$M$960,$B176,'Data BASE'!$K$490:$K$960,$B$181)</f>
        <v>-20751.260000000002</v>
      </c>
      <c r="AE176" s="220">
        <f>-SUMIFS('Data BASE'!AE$490:AE$960,'Data BASE'!$M$490:$M$960,$B176,'Data BASE'!$K$490:$K$960,$B$181)</f>
        <v>-10588.849999999999</v>
      </c>
      <c r="AF176" s="220">
        <f>-SUMIFS('Data BASE'!AF$490:AF$960,'Data BASE'!$M$490:$M$960,$B176,'Data BASE'!$K$490:$K$960,$B$181)</f>
        <v>-19645.72</v>
      </c>
      <c r="AG176" s="220">
        <f>-SUMIFS('Data BASE'!AG$490:AG$2000,'Data BASE'!$M$490:$M$2000,$B176,'Data BASE'!$K$490:$K$2000,$B$181)</f>
        <v>-79477.259999999995</v>
      </c>
      <c r="AH176" s="220"/>
      <c r="AI176" s="220"/>
      <c r="AJ176" s="220"/>
      <c r="AK176" s="220"/>
      <c r="AL176" s="220"/>
      <c r="AM176" s="220"/>
      <c r="AN176" s="220"/>
      <c r="AO176" s="220"/>
      <c r="AP176" s="298"/>
      <c r="AQ176" s="220">
        <f t="shared" si="24"/>
        <v>-14530.16</v>
      </c>
      <c r="AR176" s="220">
        <f t="shared" si="24"/>
        <v>-37230.980000000003</v>
      </c>
      <c r="AS176" s="220">
        <f t="shared" si="24"/>
        <v>-23831.549999999988</v>
      </c>
      <c r="AT176" s="220">
        <f t="shared" si="24"/>
        <v>-27723.440000000002</v>
      </c>
      <c r="AU176" s="220">
        <f t="shared" si="24"/>
        <v>-50985.83</v>
      </c>
      <c r="AV176" s="220">
        <f t="shared" si="24"/>
        <v>-79477.259999999995</v>
      </c>
      <c r="AW176" s="220">
        <f t="shared" si="24"/>
        <v>0</v>
      </c>
      <c r="AX176" s="220">
        <f t="shared" si="24"/>
        <v>0</v>
      </c>
      <c r="AY176" s="298"/>
      <c r="AZ176" s="220">
        <f t="shared" si="19"/>
        <v>-103316.12999999999</v>
      </c>
      <c r="BA176" s="220">
        <f t="shared" si="20"/>
        <v>-130463.09</v>
      </c>
      <c r="BB176" s="299"/>
      <c r="BC176" s="220">
        <f t="shared" si="15"/>
        <v>-4470.24</v>
      </c>
      <c r="BD176" s="220">
        <f t="shared" si="27"/>
        <v>-130463.09</v>
      </c>
      <c r="BE176" s="196">
        <f t="shared" si="22"/>
        <v>-59831.539999999994</v>
      </c>
      <c r="BF176" s="27"/>
      <c r="BG176" s="27"/>
      <c r="BH176" s="27"/>
      <c r="BI176" s="27"/>
      <c r="BJ176" s="27"/>
      <c r="BK176" s="27"/>
      <c r="BL176" s="27"/>
      <c r="BM176" s="27"/>
    </row>
    <row r="177" spans="2:57" outlineLevel="2" x14ac:dyDescent="0.45">
      <c r="B177" s="81" t="s">
        <v>686</v>
      </c>
      <c r="C177" s="309"/>
      <c r="D177" s="339"/>
      <c r="E177" s="300"/>
      <c r="F177" s="301"/>
      <c r="G177" s="301"/>
      <c r="H177" s="301"/>
      <c r="I177" s="301"/>
      <c r="J177" s="301"/>
      <c r="K177" s="301"/>
      <c r="L177" s="301"/>
      <c r="M177" s="301"/>
      <c r="N177" s="301"/>
      <c r="O177" s="301"/>
      <c r="P177" s="301"/>
      <c r="Q177" s="301"/>
      <c r="R177" s="220">
        <f>-SUMIFS('Data BASE'!R$490:R$960,'Data BASE'!$M$490:$M$960,$B177,'Data BASE'!$K$490:$K$960,$B$181)</f>
        <v>0</v>
      </c>
      <c r="S177" s="220">
        <f>-SUMIFS('Data BASE'!S$490:S$960,'Data BASE'!$M$490:$M$960,$B177,'Data BASE'!$K$490:$K$960,$B$181)</f>
        <v>0</v>
      </c>
      <c r="T177" s="220">
        <f>-SUMIFS('Data BASE'!T$490:T$960,'Data BASE'!$M$490:$M$960,$B177,'Data BASE'!$K$490:$K$960,$B$181)</f>
        <v>0</v>
      </c>
      <c r="U177" s="220">
        <f>-SUMIFS('Data BASE'!U$490:U$960,'Data BASE'!$M$490:$M$960,$B177,'Data BASE'!$K$490:$K$960,$B$181)</f>
        <v>0</v>
      </c>
      <c r="V177" s="220">
        <f>-SUMIFS('Data BASE'!V$490:V$960,'Data BASE'!$M$490:$M$960,$B177,'Data BASE'!$K$490:$K$960,$B$181)</f>
        <v>0</v>
      </c>
      <c r="W177" s="220">
        <f>-SUMIFS('Data BASE'!W$490:W$960,'Data BASE'!$M$490:$M$960,$B177,'Data BASE'!$K$490:$K$960,$B$181)</f>
        <v>0</v>
      </c>
      <c r="X177" s="220">
        <f>-SUMIFS('Data BASE'!X$490:X$960,'Data BASE'!$M$490:$M$960,$B177,'Data BASE'!$K$490:$K$960,$B$181)</f>
        <v>0</v>
      </c>
      <c r="Y177" s="220">
        <f>-SUMIFS('Data BASE'!Y$490:Y$960,'Data BASE'!$M$490:$M$960,$B177,'Data BASE'!$K$490:$K$960,$B$181)</f>
        <v>0</v>
      </c>
      <c r="Z177" s="220">
        <f>-SUMIFS('Data BASE'!Z$490:Z$960,'Data BASE'!$M$490:$M$960,$B177,'Data BASE'!$K$490:$K$960,$B$181)</f>
        <v>0</v>
      </c>
      <c r="AA177" s="220">
        <f>-SUMIFS('Data BASE'!AA$490:AA$960,'Data BASE'!$M$490:$M$960,$B177,'Data BASE'!$K$490:$K$960,$B$181)</f>
        <v>0</v>
      </c>
      <c r="AB177" s="220">
        <f>-SUMIFS('Data BASE'!AB$490:AB$960,'Data BASE'!$M$490:$M$960,$B177,'Data BASE'!$K$490:$K$960,$B$181)</f>
        <v>0</v>
      </c>
      <c r="AC177" s="220">
        <f>-SUMIFS('Data BASE'!AC$490:AC$960,'Data BASE'!$M$490:$M$960,$B177,'Data BASE'!$K$490:$K$960,$B$181)</f>
        <v>-60408.160000000003</v>
      </c>
      <c r="AD177" s="220">
        <f>-SUMIFS('Data BASE'!AD$490:AD$960,'Data BASE'!$M$490:$M$960,$B177,'Data BASE'!$K$490:$K$960,$B$181)</f>
        <v>-269397.87</v>
      </c>
      <c r="AE177" s="220">
        <f>-SUMIFS('Data BASE'!AE$490:AE$960,'Data BASE'!$M$490:$M$960,$B177,'Data BASE'!$K$490:$K$960,$B$181)</f>
        <v>0</v>
      </c>
      <c r="AF177" s="220">
        <f>-SUMIFS('Data BASE'!AF$490:AF$960,'Data BASE'!$M$490:$M$960,$B177,'Data BASE'!$K$490:$K$960,$B$181)</f>
        <v>-154131.08000000002</v>
      </c>
      <c r="AG177" s="220">
        <f>-SUMIFS('Data BASE'!AG$490:AG$2000,'Data BASE'!$M$490:$M$2000,$B177,'Data BASE'!$K$490:$K$2000,$B$181)</f>
        <v>-88677.950000000012</v>
      </c>
      <c r="AH177" s="220"/>
      <c r="AI177" s="220"/>
      <c r="AJ177" s="220"/>
      <c r="AK177" s="220"/>
      <c r="AL177" s="220"/>
      <c r="AM177" s="220"/>
      <c r="AN177" s="220"/>
      <c r="AO177" s="220"/>
      <c r="AP177" s="298"/>
      <c r="AQ177" s="220">
        <f t="shared" si="24"/>
        <v>0</v>
      </c>
      <c r="AR177" s="220">
        <f t="shared" si="24"/>
        <v>0</v>
      </c>
      <c r="AS177" s="220">
        <f t="shared" si="24"/>
        <v>0</v>
      </c>
      <c r="AT177" s="220">
        <f t="shared" si="24"/>
        <v>-60408.160000000003</v>
      </c>
      <c r="AU177" s="220">
        <f t="shared" si="24"/>
        <v>-423528.95</v>
      </c>
      <c r="AV177" s="220">
        <f t="shared" si="24"/>
        <v>-88677.950000000012</v>
      </c>
      <c r="AW177" s="220">
        <f t="shared" si="24"/>
        <v>0</v>
      </c>
      <c r="AX177" s="220">
        <f t="shared" si="24"/>
        <v>0</v>
      </c>
      <c r="AY177" s="298"/>
      <c r="AZ177" s="220">
        <f t="shared" si="19"/>
        <v>-60408.160000000003</v>
      </c>
      <c r="BA177" s="220">
        <f t="shared" si="20"/>
        <v>-512206.9</v>
      </c>
      <c r="BB177" s="299"/>
      <c r="BC177" s="220">
        <f t="shared" si="15"/>
        <v>0</v>
      </c>
      <c r="BD177" s="220">
        <f t="shared" si="27"/>
        <v>-512206.9</v>
      </c>
      <c r="BE177" s="196">
        <f t="shared" si="22"/>
        <v>65453.130000000005</v>
      </c>
    </row>
    <row r="178" spans="2:57" outlineLevel="3" x14ac:dyDescent="0.45">
      <c r="B178" s="102" t="s">
        <v>462</v>
      </c>
      <c r="C178" s="268"/>
      <c r="D178" s="342"/>
      <c r="E178" s="304"/>
      <c r="F178" s="302"/>
      <c r="G178" s="302"/>
      <c r="H178" s="302"/>
      <c r="I178" s="302"/>
      <c r="J178" s="302"/>
      <c r="K178" s="302"/>
      <c r="L178" s="302"/>
      <c r="M178" s="302"/>
      <c r="N178" s="302"/>
      <c r="O178" s="302"/>
      <c r="P178" s="302"/>
      <c r="Q178" s="302"/>
      <c r="R178" s="220">
        <f>-SUMIFS('Data BASE'!R$490:R$960,'Data BASE'!$M$490:$M$960,$B178,'Data BASE'!$K$490:$K$960,$B$181)</f>
        <v>-698383.65</v>
      </c>
      <c r="S178" s="220">
        <f>-SUMIFS('Data BASE'!S$490:S$960,'Data BASE'!$M$490:$M$960,$B178,'Data BASE'!$K$490:$K$960,$B$181)</f>
        <v>-828905.32000000018</v>
      </c>
      <c r="T178" s="220">
        <f>-SUMIFS('Data BASE'!T$490:T$960,'Data BASE'!$M$490:$M$960,$B178,'Data BASE'!$K$490:$K$960,$B$181)</f>
        <v>-756003.11999999965</v>
      </c>
      <c r="U178" s="220">
        <f>-SUMIFS('Data BASE'!U$490:U$960,'Data BASE'!$M$490:$M$960,$B178,'Data BASE'!$K$490:$K$960,$B$181)</f>
        <v>-1603706.7000000007</v>
      </c>
      <c r="V178" s="220">
        <f>-SUMIFS('Data BASE'!V$490:V$960,'Data BASE'!$M$490:$M$960,$B178,'Data BASE'!$K$490:$K$960,$B$181)</f>
        <v>-1457802.7999999993</v>
      </c>
      <c r="W178" s="220">
        <f>-SUMIFS('Data BASE'!W$490:W$960,'Data BASE'!$M$490:$M$960,$B178,'Data BASE'!$K$490:$K$960,$B$181)</f>
        <v>-1451409.0599999996</v>
      </c>
      <c r="X178" s="220">
        <f>-SUMIFS('Data BASE'!X$490:X$960,'Data BASE'!$M$490:$M$960,$B178,'Data BASE'!$K$490:$K$960,$B$181)</f>
        <v>-1575838.8900000015</v>
      </c>
      <c r="Y178" s="220">
        <f>-SUMIFS('Data BASE'!Y$490:Y$960,'Data BASE'!$M$490:$M$960,$B178,'Data BASE'!$K$490:$K$960,$B$181)</f>
        <v>-1603938.6699999981</v>
      </c>
      <c r="Z178" s="220">
        <f>-SUMIFS('Data BASE'!Z$490:Z$960,'Data BASE'!$M$490:$M$960,$B178,'Data BASE'!$K$490:$K$960,$B$181)</f>
        <v>-1597101.8000000007</v>
      </c>
      <c r="AA178" s="220">
        <f>-SUMIFS('Data BASE'!AA$490:AA$960,'Data BASE'!$M$490:$M$960,$B178,'Data BASE'!$K$490:$K$960,$B$181)</f>
        <v>-1618556.8000000007</v>
      </c>
      <c r="AB178" s="220">
        <f>-SUMIFS('Data BASE'!AB$490:AB$960,'Data BASE'!$M$490:$M$960,$B178,'Data BASE'!$K$490:$K$960,$B$181)</f>
        <v>-1829792.3299999982</v>
      </c>
      <c r="AC178" s="220">
        <f>-SUMIFS('Data BASE'!AC$490:AC$960,'Data BASE'!$M$490:$M$960,$B178,'Data BASE'!$K$490:$K$960,$B$181)</f>
        <v>-6787643.4199999999</v>
      </c>
      <c r="AD178" s="220">
        <f t="shared" ref="AD178:AF178" si="28">AD359</f>
        <v>-1414194.52</v>
      </c>
      <c r="AE178" s="220">
        <f t="shared" si="28"/>
        <v>-1493755.1899999997</v>
      </c>
      <c r="AF178" s="220">
        <f t="shared" si="28"/>
        <v>-1884117.45</v>
      </c>
      <c r="AG178" s="220">
        <f>AG359</f>
        <v>-1880132.26</v>
      </c>
      <c r="AH178" s="220">
        <f t="shared" ref="AH178:AO178" si="29">AH359</f>
        <v>0</v>
      </c>
      <c r="AI178" s="220">
        <f t="shared" si="29"/>
        <v>0</v>
      </c>
      <c r="AJ178" s="220">
        <f t="shared" si="29"/>
        <v>0</v>
      </c>
      <c r="AK178" s="220">
        <f t="shared" si="29"/>
        <v>0</v>
      </c>
      <c r="AL178" s="220">
        <f t="shared" si="29"/>
        <v>0</v>
      </c>
      <c r="AM178" s="220">
        <f t="shared" si="29"/>
        <v>0</v>
      </c>
      <c r="AN178" s="220">
        <f t="shared" si="29"/>
        <v>0</v>
      </c>
      <c r="AO178" s="220">
        <f t="shared" si="29"/>
        <v>0</v>
      </c>
      <c r="AP178" s="298"/>
      <c r="AQ178" s="73">
        <f t="shared" si="24"/>
        <v>-2283292.09</v>
      </c>
      <c r="AR178" s="73">
        <f t="shared" si="24"/>
        <v>-4512918.5599999996</v>
      </c>
      <c r="AS178" s="73">
        <f t="shared" si="24"/>
        <v>-4776879.3600000003</v>
      </c>
      <c r="AT178" s="73">
        <f t="shared" si="24"/>
        <v>-10235992.549999999</v>
      </c>
      <c r="AU178" s="73">
        <f t="shared" si="24"/>
        <v>-4792067.16</v>
      </c>
      <c r="AV178" s="73">
        <f t="shared" si="24"/>
        <v>-1880132.26</v>
      </c>
      <c r="AW178" s="73">
        <f t="shared" si="24"/>
        <v>0</v>
      </c>
      <c r="AX178" s="73">
        <f t="shared" si="24"/>
        <v>0</v>
      </c>
      <c r="AY178" s="298"/>
      <c r="AZ178" s="73">
        <f t="shared" si="19"/>
        <v>-21809082.559999999</v>
      </c>
      <c r="BA178" s="73">
        <f t="shared" si="20"/>
        <v>-6672199.4199999999</v>
      </c>
      <c r="BB178" s="299"/>
      <c r="BC178" s="73">
        <f t="shared" si="15"/>
        <v>-698383.65</v>
      </c>
      <c r="BD178" s="73">
        <f t="shared" si="27"/>
        <v>-6672199.4199999999</v>
      </c>
      <c r="BE178" s="196">
        <f t="shared" si="22"/>
        <v>3985.1899999999441</v>
      </c>
    </row>
    <row r="179" spans="2:57" outlineLevel="3" x14ac:dyDescent="0.45">
      <c r="B179" s="102" t="s">
        <v>1055</v>
      </c>
      <c r="C179" s="268"/>
      <c r="D179" s="342"/>
      <c r="E179" s="304"/>
      <c r="F179" s="302"/>
      <c r="G179" s="302"/>
      <c r="H179" s="302"/>
      <c r="I179" s="302"/>
      <c r="J179" s="302"/>
      <c r="K179" s="302"/>
      <c r="L179" s="302"/>
      <c r="M179" s="302"/>
      <c r="N179" s="302"/>
      <c r="O179" s="302"/>
      <c r="P179" s="302"/>
      <c r="Q179" s="302"/>
      <c r="R179" s="73"/>
      <c r="S179" s="73"/>
      <c r="T179" s="73"/>
      <c r="U179" s="73"/>
      <c r="V179" s="73"/>
      <c r="W179" s="73"/>
      <c r="X179" s="73"/>
      <c r="Y179" s="73"/>
      <c r="Z179" s="73"/>
      <c r="AA179" s="73"/>
      <c r="AB179" s="73"/>
      <c r="AC179" s="73"/>
      <c r="AD179" s="220">
        <f>AD384</f>
        <v>-1141899.57</v>
      </c>
      <c r="AE179" s="220">
        <f>AE384</f>
        <v>-1141899.57</v>
      </c>
      <c r="AF179" s="220">
        <f>AF384</f>
        <v>-1413581.2400000002</v>
      </c>
      <c r="AG179" s="220">
        <f>AG384</f>
        <v>-1406899</v>
      </c>
      <c r="AH179" s="220">
        <f t="shared" ref="AH179:AO179" si="30">AH384</f>
        <v>0</v>
      </c>
      <c r="AI179" s="220">
        <f t="shared" si="30"/>
        <v>0</v>
      </c>
      <c r="AJ179" s="220">
        <f t="shared" si="30"/>
        <v>0</v>
      </c>
      <c r="AK179" s="220">
        <f t="shared" si="30"/>
        <v>0</v>
      </c>
      <c r="AL179" s="220">
        <f t="shared" si="30"/>
        <v>0</v>
      </c>
      <c r="AM179" s="220">
        <f t="shared" si="30"/>
        <v>0</v>
      </c>
      <c r="AN179" s="220">
        <f t="shared" si="30"/>
        <v>0</v>
      </c>
      <c r="AO179" s="220">
        <f t="shared" si="30"/>
        <v>0</v>
      </c>
      <c r="AP179" s="298"/>
      <c r="AQ179" s="73"/>
      <c r="AR179" s="73"/>
      <c r="AS179" s="73"/>
      <c r="AT179" s="73"/>
      <c r="AU179" s="73"/>
      <c r="AV179" s="73"/>
      <c r="AW179" s="73"/>
      <c r="AX179" s="73"/>
      <c r="AY179" s="298"/>
      <c r="AZ179" s="73"/>
      <c r="BA179" s="73"/>
      <c r="BB179" s="299"/>
      <c r="BC179" s="73">
        <f t="shared" si="15"/>
        <v>0</v>
      </c>
      <c r="BD179" s="73">
        <f t="shared" si="27"/>
        <v>-5104279.3800000008</v>
      </c>
      <c r="BE179" s="196">
        <f t="shared" si="22"/>
        <v>6682.2400000002235</v>
      </c>
    </row>
    <row r="180" spans="2:57" outlineLevel="2" x14ac:dyDescent="0.45">
      <c r="B180" s="81" t="s">
        <v>822</v>
      </c>
      <c r="C180" s="309"/>
      <c r="D180" s="339"/>
      <c r="E180" s="300"/>
      <c r="F180" s="301"/>
      <c r="G180" s="301"/>
      <c r="H180" s="301"/>
      <c r="I180" s="301"/>
      <c r="J180" s="301"/>
      <c r="K180" s="301"/>
      <c r="L180" s="301"/>
      <c r="M180" s="301"/>
      <c r="N180" s="301"/>
      <c r="O180" s="301"/>
      <c r="P180" s="301"/>
      <c r="Q180" s="301"/>
      <c r="R180" s="220">
        <f>-SUMIFS('Data BASE'!R$490:R$960,'Data BASE'!$M$490:$M$960,$B180,'Data BASE'!$K$490:$K$960,$B$181)</f>
        <v>0</v>
      </c>
      <c r="S180" s="220">
        <f>-SUMIFS('Data BASE'!S$490:S$960,'Data BASE'!$M$490:$M$960,$B180,'Data BASE'!$K$490:$K$960,$B$181)</f>
        <v>0</v>
      </c>
      <c r="T180" s="220">
        <f>-SUMIFS('Data BASE'!T$490:T$960,'Data BASE'!$M$490:$M$960,$B180,'Data BASE'!$K$490:$K$960,$B$181)</f>
        <v>0</v>
      </c>
      <c r="U180" s="220">
        <f>-SUMIFS('Data BASE'!U$490:U$960,'Data BASE'!$M$490:$M$960,$B180,'Data BASE'!$K$490:$K$960,$B$181)</f>
        <v>0</v>
      </c>
      <c r="V180" s="220">
        <f>-SUMIFS('Data BASE'!V$490:V$960,'Data BASE'!$M$490:$M$960,$B180,'Data BASE'!$K$490:$K$960,$B$181)</f>
        <v>0</v>
      </c>
      <c r="W180" s="220">
        <f>-SUMIFS('Data BASE'!W$490:W$960,'Data BASE'!$M$490:$M$960,$B180,'Data BASE'!$K$490:$K$960,$B$181)</f>
        <v>0</v>
      </c>
      <c r="X180" s="220">
        <f>-SUMIFS('Data BASE'!X$490:X$960,'Data BASE'!$M$490:$M$960,$B180,'Data BASE'!$K$490:$K$960,$B$181)</f>
        <v>0</v>
      </c>
      <c r="Y180" s="220">
        <f>-SUMIFS('Data BASE'!Y$490:Y$960,'Data BASE'!$M$490:$M$960,$B180,'Data BASE'!$K$490:$K$960,$B$181)</f>
        <v>0</v>
      </c>
      <c r="Z180" s="220">
        <f>-SUMIFS('Data BASE'!Z$490:Z$960,'Data BASE'!$M$490:$M$960,$B180,'Data BASE'!$K$490:$K$960,$B$181)</f>
        <v>0</v>
      </c>
      <c r="AA180" s="220">
        <f>-SUMIFS('Data BASE'!AA$490:AA$960,'Data BASE'!$M$490:$M$960,$B180,'Data BASE'!$K$490:$K$960,$B$181)</f>
        <v>0</v>
      </c>
      <c r="AB180" s="220">
        <f>-SUMIFS('Data BASE'!AB$490:AB$960,'Data BASE'!$M$490:$M$960,$B180,'Data BASE'!$K$490:$K$960,$B$181)</f>
        <v>0</v>
      </c>
      <c r="AC180" s="220">
        <f>-SUMIFS('Data BASE'!AC$490:AC$960,'Data BASE'!$M$490:$M$960,$B180,'Data BASE'!$K$490:$K$960,$B$181)</f>
        <v>-1756623.08</v>
      </c>
      <c r="AD180" s="220">
        <f>-SUMIFS('Data BASE'!AD$490:AD$960,'Data BASE'!$M$490:$M$960,$B180,'Data BASE'!$K$490:$K$960,$B$181)</f>
        <v>-94146.46</v>
      </c>
      <c r="AE180" s="220">
        <f>-SUMIFS('Data BASE'!AE$490:AE$960,'Data BASE'!$M$490:$M$960,$B180,'Data BASE'!$K$490:$K$960,$B$181)</f>
        <v>-103139.39</v>
      </c>
      <c r="AF180" s="220">
        <f>-SUMIFS('Data BASE'!AF$490:AF$960,'Data BASE'!$M$490:$M$960,$B180,'Data BASE'!$K$490:$K$960,$B$181)</f>
        <v>-129297.98000000001</v>
      </c>
      <c r="AG180" s="220">
        <f>-SUMIFS('Data BASE'!AG$490:AG$2000,'Data BASE'!$M$490:$M$2000,$B180,'Data BASE'!$K$490:$K$2000,$B$181)</f>
        <v>0</v>
      </c>
      <c r="AH180" s="220"/>
      <c r="AI180" s="220"/>
      <c r="AJ180" s="220"/>
      <c r="AK180" s="220"/>
      <c r="AL180" s="220"/>
      <c r="AM180" s="220"/>
      <c r="AN180" s="220"/>
      <c r="AO180" s="220"/>
      <c r="AP180" s="298"/>
      <c r="AQ180" s="220">
        <f t="shared" si="24"/>
        <v>0</v>
      </c>
      <c r="AR180" s="220">
        <f t="shared" si="24"/>
        <v>0</v>
      </c>
      <c r="AS180" s="220">
        <f t="shared" si="24"/>
        <v>0</v>
      </c>
      <c r="AT180" s="220">
        <f t="shared" si="24"/>
        <v>-1756623.08</v>
      </c>
      <c r="AU180" s="220">
        <f t="shared" si="24"/>
        <v>-326583.83</v>
      </c>
      <c r="AV180" s="220">
        <f t="shared" si="24"/>
        <v>0</v>
      </c>
      <c r="AW180" s="220">
        <f t="shared" si="24"/>
        <v>0</v>
      </c>
      <c r="AX180" s="220">
        <f t="shared" si="24"/>
        <v>0</v>
      </c>
      <c r="AY180" s="298"/>
      <c r="AZ180" s="220">
        <f t="shared" si="19"/>
        <v>-1756623.08</v>
      </c>
      <c r="BA180" s="220">
        <f t="shared" si="20"/>
        <v>-326583.83</v>
      </c>
      <c r="BB180" s="299"/>
      <c r="BC180" s="220">
        <f t="shared" si="15"/>
        <v>0</v>
      </c>
      <c r="BD180" s="220">
        <f t="shared" si="27"/>
        <v>-326583.83</v>
      </c>
      <c r="BE180" s="196">
        <f t="shared" si="22"/>
        <v>129297.98000000001</v>
      </c>
    </row>
    <row r="181" spans="2:57" outlineLevel="1" x14ac:dyDescent="0.45">
      <c r="B181" s="49" t="s">
        <v>1030</v>
      </c>
      <c r="C181" s="49"/>
      <c r="D181" s="338"/>
      <c r="E181" s="49"/>
      <c r="F181" s="49"/>
      <c r="G181" s="49"/>
      <c r="H181" s="49"/>
      <c r="I181" s="49"/>
      <c r="J181" s="49"/>
      <c r="K181" s="49"/>
      <c r="L181" s="49"/>
      <c r="M181" s="49"/>
      <c r="N181" s="49"/>
      <c r="O181" s="49"/>
      <c r="P181" s="49"/>
      <c r="Q181" s="49"/>
      <c r="R181" s="229">
        <f>SUM(R174:R180)</f>
        <v>-903481.69</v>
      </c>
      <c r="S181" s="229">
        <f t="shared" ref="S181:AC181" si="31">SUM(S174:S180)</f>
        <v>-1030654.4500000002</v>
      </c>
      <c r="T181" s="229">
        <f t="shared" si="31"/>
        <v>-1034733.4699999995</v>
      </c>
      <c r="U181" s="229">
        <f t="shared" si="31"/>
        <v>-1897468.1000000006</v>
      </c>
      <c r="V181" s="229">
        <f t="shared" si="31"/>
        <v>-1707806.0999999994</v>
      </c>
      <c r="W181" s="229">
        <f t="shared" si="31"/>
        <v>-1760342.0099999998</v>
      </c>
      <c r="X181" s="229">
        <f t="shared" si="31"/>
        <v>-1934714.9400000013</v>
      </c>
      <c r="Y181" s="229">
        <f t="shared" si="31"/>
        <v>-1998314.579999998</v>
      </c>
      <c r="Z181" s="229">
        <f t="shared" si="31"/>
        <v>-1984472.7200000007</v>
      </c>
      <c r="AA181" s="229">
        <f t="shared" si="31"/>
        <v>-2072119.1400000011</v>
      </c>
      <c r="AB181" s="229">
        <f t="shared" si="31"/>
        <v>-2304951.5299999979</v>
      </c>
      <c r="AC181" s="229">
        <f t="shared" si="31"/>
        <v>-9177048.5399999991</v>
      </c>
      <c r="AD181" s="527">
        <f>SUM(AD174:AD180)</f>
        <v>-3417384.7700000005</v>
      </c>
      <c r="AE181" s="527">
        <f>SUM(AE174:AE180)</f>
        <v>-3256487.09</v>
      </c>
      <c r="AF181" s="527">
        <f t="shared" ref="AF181:AO181" si="32">SUM(AF174:AF180)</f>
        <v>-4377976.4700000007</v>
      </c>
      <c r="AG181" s="527">
        <f t="shared" si="32"/>
        <v>-4065004.17</v>
      </c>
      <c r="AH181" s="527">
        <f t="shared" si="32"/>
        <v>0</v>
      </c>
      <c r="AI181" s="527">
        <f t="shared" si="32"/>
        <v>0</v>
      </c>
      <c r="AJ181" s="527">
        <f t="shared" si="32"/>
        <v>0</v>
      </c>
      <c r="AK181" s="527">
        <f t="shared" si="32"/>
        <v>0</v>
      </c>
      <c r="AL181" s="527">
        <f t="shared" si="32"/>
        <v>0</v>
      </c>
      <c r="AM181" s="527">
        <f t="shared" si="32"/>
        <v>0</v>
      </c>
      <c r="AN181" s="527">
        <f t="shared" si="32"/>
        <v>0</v>
      </c>
      <c r="AO181" s="527">
        <f t="shared" si="32"/>
        <v>0</v>
      </c>
      <c r="AP181" s="298"/>
      <c r="AQ181" s="496">
        <f t="shared" si="24"/>
        <v>-2968869.6099999994</v>
      </c>
      <c r="AR181" s="496">
        <f t="shared" si="24"/>
        <v>-5365616.21</v>
      </c>
      <c r="AS181" s="496">
        <f t="shared" si="24"/>
        <v>-5917502.2400000002</v>
      </c>
      <c r="AT181" s="496">
        <f t="shared" si="24"/>
        <v>-13554119.209999997</v>
      </c>
      <c r="AU181" s="496">
        <f t="shared" si="24"/>
        <v>-11051848.330000002</v>
      </c>
      <c r="AV181" s="496">
        <f t="shared" si="24"/>
        <v>-4065004.17</v>
      </c>
      <c r="AW181" s="496">
        <f t="shared" si="24"/>
        <v>0</v>
      </c>
      <c r="AX181" s="496">
        <f t="shared" si="24"/>
        <v>0</v>
      </c>
      <c r="AY181" s="298"/>
      <c r="AZ181" s="496">
        <f t="shared" si="19"/>
        <v>-27806107.269999996</v>
      </c>
      <c r="BA181" s="496">
        <f t="shared" si="20"/>
        <v>-15116852.500000002</v>
      </c>
      <c r="BB181" s="299"/>
      <c r="BC181" s="496">
        <f t="shared" si="15"/>
        <v>-903481.69</v>
      </c>
      <c r="BD181" s="496">
        <f t="shared" si="27"/>
        <v>-15116852.500000002</v>
      </c>
      <c r="BE181" s="196">
        <f t="shared" si="22"/>
        <v>312972.30000000075</v>
      </c>
    </row>
    <row r="182" spans="2:57" outlineLevel="1" x14ac:dyDescent="0.45">
      <c r="R182" s="313"/>
      <c r="S182" s="313"/>
      <c r="T182" s="313"/>
      <c r="U182" s="313"/>
      <c r="V182" s="313"/>
      <c r="W182" s="313"/>
      <c r="X182" s="313"/>
      <c r="Y182" s="313"/>
      <c r="Z182" s="313"/>
      <c r="AA182" s="313"/>
      <c r="AB182" s="313"/>
      <c r="AC182" s="313"/>
      <c r="AD182" s="313"/>
      <c r="AE182" s="524"/>
      <c r="AF182" s="524"/>
      <c r="AG182" s="524"/>
      <c r="AH182" s="313"/>
      <c r="AI182" s="313"/>
      <c r="AJ182" s="313"/>
      <c r="AK182" s="313"/>
      <c r="AL182" s="313"/>
      <c r="AM182" s="313"/>
      <c r="AN182" s="313"/>
      <c r="AO182" s="313"/>
      <c r="AP182" s="298"/>
      <c r="AQ182" s="497"/>
      <c r="AR182" s="497"/>
      <c r="AS182" s="497"/>
      <c r="AT182" s="497"/>
      <c r="AU182" s="497"/>
      <c r="AV182" s="497"/>
      <c r="AW182" s="497"/>
      <c r="AX182" s="497"/>
      <c r="AY182" s="298"/>
      <c r="AZ182" s="497"/>
      <c r="BA182" s="497"/>
      <c r="BB182" s="299"/>
      <c r="BC182" s="497"/>
      <c r="BD182" s="497"/>
    </row>
    <row r="183" spans="2:57" outlineLevel="1" x14ac:dyDescent="0.45">
      <c r="B183" s="49" t="s">
        <v>811</v>
      </c>
      <c r="C183" s="49"/>
      <c r="D183" s="338"/>
      <c r="E183" s="49"/>
      <c r="F183" s="49"/>
      <c r="G183" s="49"/>
      <c r="H183" s="49"/>
      <c r="I183" s="49"/>
      <c r="J183" s="49"/>
      <c r="K183" s="49"/>
      <c r="L183" s="49"/>
      <c r="M183" s="49"/>
      <c r="N183" s="49"/>
      <c r="O183" s="49"/>
      <c r="P183" s="49"/>
      <c r="Q183" s="49"/>
      <c r="R183" s="229">
        <f t="shared" ref="R183:AD183" si="33">R181+R173+R163</f>
        <v>1846940.6500000013</v>
      </c>
      <c r="S183" s="229">
        <f t="shared" si="33"/>
        <v>1184447.7799999984</v>
      </c>
      <c r="T183" s="229">
        <f t="shared" si="33"/>
        <v>1767266.0999999996</v>
      </c>
      <c r="U183" s="229">
        <f t="shared" si="33"/>
        <v>2389333.759999997</v>
      </c>
      <c r="V183" s="229">
        <f t="shared" si="33"/>
        <v>3369745.7017583409</v>
      </c>
      <c r="W183" s="229">
        <f t="shared" si="33"/>
        <v>3243390.8382416945</v>
      </c>
      <c r="X183" s="229">
        <f t="shared" si="33"/>
        <v>3111333.0699999239</v>
      </c>
      <c r="Y183" s="229">
        <f t="shared" si="33"/>
        <v>2610910.7600000463</v>
      </c>
      <c r="Z183" s="229">
        <f t="shared" si="33"/>
        <v>7039906.0499999989</v>
      </c>
      <c r="AA183" s="229">
        <f t="shared" si="33"/>
        <v>5081769.8800000008</v>
      </c>
      <c r="AB183" s="229">
        <f t="shared" si="33"/>
        <v>2931577.4699999969</v>
      </c>
      <c r="AC183" s="229">
        <f t="shared" si="33"/>
        <v>-2664716.3899999969</v>
      </c>
      <c r="AD183" s="229">
        <f t="shared" si="33"/>
        <v>4164016.4399999995</v>
      </c>
      <c r="AE183" s="229">
        <f t="shared" ref="AE183:AF183" si="34">AE181+AE173+AE163</f>
        <v>2827677.8499999978</v>
      </c>
      <c r="AF183" s="229">
        <f t="shared" si="34"/>
        <v>978410.52999999933</v>
      </c>
      <c r="AG183" s="229">
        <f>AG181+AG173+AG163</f>
        <v>3733272.7500000019</v>
      </c>
      <c r="AH183" s="229">
        <f t="shared" ref="AH183:AO183" si="35">AH181+AH173+AH163</f>
        <v>0</v>
      </c>
      <c r="AI183" s="229">
        <f t="shared" si="35"/>
        <v>0</v>
      </c>
      <c r="AJ183" s="229">
        <f t="shared" si="35"/>
        <v>0</v>
      </c>
      <c r="AK183" s="229">
        <f t="shared" si="35"/>
        <v>0</v>
      </c>
      <c r="AL183" s="229">
        <f t="shared" si="35"/>
        <v>0</v>
      </c>
      <c r="AM183" s="229">
        <f t="shared" si="35"/>
        <v>0</v>
      </c>
      <c r="AN183" s="229">
        <f t="shared" si="35"/>
        <v>0</v>
      </c>
      <c r="AO183" s="229">
        <f t="shared" si="35"/>
        <v>0</v>
      </c>
      <c r="AP183" s="298"/>
      <c r="AQ183" s="496">
        <f t="shared" ref="AQ183:AX183" si="36">SUMIFS($R183:$AP183,$R$9:$AP$9,AQ$9,$R$8:$AP$8,AQ$8)</f>
        <v>4798654.5299999993</v>
      </c>
      <c r="AR183" s="496">
        <f t="shared" si="36"/>
        <v>9002470.3000000324</v>
      </c>
      <c r="AS183" s="496">
        <f t="shared" si="36"/>
        <v>12762149.879999969</v>
      </c>
      <c r="AT183" s="496">
        <f t="shared" si="36"/>
        <v>5348630.9600000009</v>
      </c>
      <c r="AU183" s="496">
        <f t="shared" si="36"/>
        <v>7970104.8199999966</v>
      </c>
      <c r="AV183" s="496">
        <f t="shared" si="36"/>
        <v>3733272.7500000019</v>
      </c>
      <c r="AW183" s="496">
        <f t="shared" si="36"/>
        <v>0</v>
      </c>
      <c r="AX183" s="496">
        <f t="shared" si="36"/>
        <v>0</v>
      </c>
      <c r="AY183" s="298"/>
      <c r="AZ183" s="496">
        <f t="shared" ref="AZ183" si="37">SUM(AQ183:AT183)</f>
        <v>31911905.670000002</v>
      </c>
      <c r="BA183" s="496">
        <f t="shared" ref="BA183" si="38">SUM(AU183:AX183)</f>
        <v>11703377.569999998</v>
      </c>
      <c r="BB183" s="299"/>
      <c r="BC183" s="496">
        <f t="shared" ref="BC183" si="39">SUMIFS($R183:$AD183,$R$8:$AD$8,BC$8,$R$11:$AD$11,BC$11)</f>
        <v>1846940.6500000013</v>
      </c>
      <c r="BD183" s="229">
        <f t="shared" ref="BD183" si="40">BD181+BD173+BD163</f>
        <v>11703377.57</v>
      </c>
    </row>
    <row r="184" spans="2:57" outlineLevel="1" x14ac:dyDescent="0.45">
      <c r="B184" s="269" t="s">
        <v>842</v>
      </c>
      <c r="F184" s="315"/>
      <c r="G184" s="315"/>
      <c r="H184" s="315"/>
      <c r="I184" s="315"/>
      <c r="J184" s="315"/>
      <c r="K184" s="315"/>
      <c r="L184" s="315"/>
      <c r="M184" s="315"/>
      <c r="N184" s="315"/>
      <c r="O184" s="315"/>
      <c r="P184" s="315"/>
      <c r="Q184" s="315"/>
      <c r="R184" s="336">
        <f t="shared" ref="R184:AO184" si="41">+IFERROR(R183/R$163,0)</f>
        <v>0.25353951472292602</v>
      </c>
      <c r="S184" s="336">
        <f t="shared" si="41"/>
        <v>0.16532704793553832</v>
      </c>
      <c r="T184" s="336">
        <f t="shared" si="41"/>
        <v>0.23018864157563468</v>
      </c>
      <c r="U184" s="336">
        <f t="shared" si="41"/>
        <v>0.24804240285226875</v>
      </c>
      <c r="V184" s="336">
        <f t="shared" si="41"/>
        <v>0.29688279279659918</v>
      </c>
      <c r="W184" s="336">
        <f t="shared" si="41"/>
        <v>0.28779294171466374</v>
      </c>
      <c r="X184" s="336">
        <f t="shared" si="41"/>
        <v>0.26779032834895078</v>
      </c>
      <c r="Y184" s="336">
        <f t="shared" si="41"/>
        <v>0.2084415385606225</v>
      </c>
      <c r="Z184" s="336">
        <f t="shared" si="41"/>
        <v>0.41600595982346128</v>
      </c>
      <c r="AA184" s="336">
        <f t="shared" si="41"/>
        <v>0.36537571314474226</v>
      </c>
      <c r="AB184" s="336">
        <f t="shared" si="41"/>
        <v>0.22518973048892954</v>
      </c>
      <c r="AC184" s="336">
        <f t="shared" si="41"/>
        <v>-0.19225235897034604</v>
      </c>
      <c r="AD184" s="551">
        <f t="shared" ref="AD184:AF184" si="42">+IFERROR(AD183/(AD$163-AD161),0)</f>
        <v>0.33777151426618462</v>
      </c>
      <c r="AE184" s="551">
        <f t="shared" si="42"/>
        <v>0.2315007898527098</v>
      </c>
      <c r="AF184" s="551">
        <f t="shared" si="42"/>
        <v>6.6467705593640528E-2</v>
      </c>
      <c r="AG184" s="551">
        <f>+IFERROR(AG183/(AG$163-AG161),0)</f>
        <v>0.24792060627065662</v>
      </c>
      <c r="AH184" s="336">
        <f t="shared" si="41"/>
        <v>0</v>
      </c>
      <c r="AI184" s="336">
        <f t="shared" si="41"/>
        <v>0</v>
      </c>
      <c r="AJ184" s="336">
        <f t="shared" si="41"/>
        <v>0</v>
      </c>
      <c r="AK184" s="336">
        <f t="shared" si="41"/>
        <v>0</v>
      </c>
      <c r="AL184" s="336">
        <f t="shared" si="41"/>
        <v>0</v>
      </c>
      <c r="AM184" s="336">
        <f t="shared" si="41"/>
        <v>0</v>
      </c>
      <c r="AN184" s="336">
        <f t="shared" si="41"/>
        <v>0</v>
      </c>
      <c r="AO184" s="336">
        <f t="shared" si="41"/>
        <v>0</v>
      </c>
      <c r="AP184" s="498"/>
      <c r="AQ184" s="499">
        <f t="shared" ref="AQ184:AX184" si="43">+SUMIFS($G184:$AC184,$G$9:$AC$9,AQ$9,$G$8:$AC$8,AQ$8)</f>
        <v>0.64905520423409901</v>
      </c>
      <c r="AR184" s="499">
        <f t="shared" si="43"/>
        <v>0.83271813736353162</v>
      </c>
      <c r="AS184" s="499">
        <f t="shared" si="43"/>
        <v>0.89223782673303464</v>
      </c>
      <c r="AT184" s="499">
        <f t="shared" si="43"/>
        <v>0.39831308466332577</v>
      </c>
      <c r="AU184" s="499">
        <f t="shared" si="43"/>
        <v>0</v>
      </c>
      <c r="AV184" s="499">
        <f t="shared" si="43"/>
        <v>0</v>
      </c>
      <c r="AW184" s="499">
        <f t="shared" si="43"/>
        <v>0</v>
      </c>
      <c r="AX184" s="499">
        <f t="shared" si="43"/>
        <v>0</v>
      </c>
      <c r="AY184" s="498"/>
      <c r="AZ184" s="499">
        <f>+SUMIF($F$8:$AC$8,AZ$8,$F184:$AC184)</f>
        <v>2.7723242529939909</v>
      </c>
      <c r="BA184" s="499">
        <f>+SUMIF($F$8:$AC$8,BA$8,$F184:$AC184)</f>
        <v>0</v>
      </c>
      <c r="BB184" s="500"/>
      <c r="BC184" s="499">
        <f>SUMIF($G$11:$AC$11, "Actual", $G184:$AC184)</f>
        <v>0.25353951472292602</v>
      </c>
      <c r="BD184" s="551">
        <f>+IFERROR(BD183/(BD$163-BD161),0)</f>
        <v>0.21544894080697743</v>
      </c>
    </row>
    <row r="185" spans="2:57" outlineLevel="1" x14ac:dyDescent="0.45">
      <c r="R185" s="525"/>
      <c r="S185" s="525"/>
      <c r="T185" s="525"/>
      <c r="U185" s="525"/>
      <c r="V185" s="525"/>
      <c r="W185" s="525"/>
      <c r="X185" s="525"/>
      <c r="Y185" s="525"/>
      <c r="Z185" s="525"/>
      <c r="AA185" s="525"/>
      <c r="AB185" s="525"/>
      <c r="AC185" s="525"/>
      <c r="AD185" s="298"/>
      <c r="AE185" s="525"/>
      <c r="AF185" s="525"/>
      <c r="AG185" s="525"/>
      <c r="AH185" s="298"/>
      <c r="AI185" s="298"/>
      <c r="AJ185" s="298"/>
      <c r="AK185" s="298"/>
      <c r="AL185" s="298"/>
      <c r="AM185" s="298"/>
      <c r="AN185" s="298"/>
      <c r="AO185" s="298"/>
      <c r="AP185" s="298"/>
      <c r="AQ185" s="298"/>
      <c r="AR185" s="298"/>
      <c r="AS185" s="298"/>
      <c r="AT185" s="298"/>
      <c r="AU185" s="298"/>
      <c r="AV185" s="298"/>
      <c r="AW185" s="298"/>
      <c r="AX185" s="298"/>
      <c r="AY185" s="298"/>
      <c r="AZ185" s="298"/>
      <c r="BA185" s="298"/>
      <c r="BB185" s="299"/>
      <c r="BC185" s="298"/>
      <c r="BD185" s="298"/>
    </row>
    <row r="186" spans="2:57" outlineLevel="1" x14ac:dyDescent="0.45">
      <c r="B186" s="49" t="s">
        <v>2060</v>
      </c>
      <c r="C186" s="49"/>
      <c r="D186" s="338"/>
      <c r="E186" s="49"/>
      <c r="F186" s="49"/>
      <c r="G186" s="49"/>
      <c r="H186" s="49"/>
      <c r="I186" s="49"/>
      <c r="J186" s="49"/>
      <c r="K186" s="49"/>
      <c r="L186" s="49"/>
      <c r="M186" s="49"/>
      <c r="N186" s="49"/>
      <c r="O186" s="49"/>
      <c r="P186" s="49"/>
      <c r="Q186" s="49"/>
      <c r="R186" s="229">
        <f t="shared" ref="R186:AC186" si="44">R183-(R161+R166)</f>
        <v>1330346.330000001</v>
      </c>
      <c r="S186" s="229">
        <f t="shared" si="44"/>
        <v>711506.99999999907</v>
      </c>
      <c r="T186" s="229">
        <f t="shared" si="44"/>
        <v>1125936.2299999995</v>
      </c>
      <c r="U186" s="229">
        <f t="shared" si="44"/>
        <v>2214676.3499999959</v>
      </c>
      <c r="V186" s="229">
        <f t="shared" si="44"/>
        <v>3316417.571758342</v>
      </c>
      <c r="W186" s="229">
        <f t="shared" si="44"/>
        <v>3158207.9382416941</v>
      </c>
      <c r="X186" s="229">
        <f t="shared" si="44"/>
        <v>3086126.4799999259</v>
      </c>
      <c r="Y186" s="229">
        <f t="shared" si="44"/>
        <v>4118782.480000047</v>
      </c>
      <c r="Z186" s="229">
        <f t="shared" si="44"/>
        <v>6902082.8499999996</v>
      </c>
      <c r="AA186" s="229">
        <f t="shared" si="44"/>
        <v>4952418.6999999974</v>
      </c>
      <c r="AB186" s="229">
        <f t="shared" si="44"/>
        <v>2802225.3600000013</v>
      </c>
      <c r="AC186" s="229">
        <f t="shared" si="44"/>
        <v>-2796762.8000000007</v>
      </c>
      <c r="AD186" s="229">
        <f>AD183-(AD161+AD166)</f>
        <v>4033291.5799999996</v>
      </c>
      <c r="AE186" s="229">
        <f t="shared" ref="AE186" si="45">AE183-(AE161+AE166)</f>
        <v>2719677.8499999973</v>
      </c>
      <c r="AF186" s="229">
        <f>AF183-(AF161+AF166)</f>
        <v>865010.52999999933</v>
      </c>
      <c r="AG186" s="229">
        <f>AG183-(AG161+AG166)</f>
        <v>4085397.6000000024</v>
      </c>
      <c r="AH186" s="229">
        <f t="shared" ref="AH186:AO186" si="46">AH183-(AH161+AH166)</f>
        <v>0</v>
      </c>
      <c r="AI186" s="229">
        <f t="shared" si="46"/>
        <v>0</v>
      </c>
      <c r="AJ186" s="229">
        <f t="shared" si="46"/>
        <v>0</v>
      </c>
      <c r="AK186" s="229">
        <f t="shared" si="46"/>
        <v>0</v>
      </c>
      <c r="AL186" s="229">
        <f t="shared" si="46"/>
        <v>0</v>
      </c>
      <c r="AM186" s="229">
        <f t="shared" si="46"/>
        <v>0</v>
      </c>
      <c r="AN186" s="229">
        <f t="shared" si="46"/>
        <v>0</v>
      </c>
      <c r="AO186" s="229">
        <f t="shared" si="46"/>
        <v>0</v>
      </c>
      <c r="AP186" s="298"/>
      <c r="AQ186" s="496"/>
      <c r="AR186" s="496"/>
      <c r="AS186" s="496"/>
      <c r="AT186" s="496"/>
      <c r="AU186" s="496"/>
      <c r="AV186" s="496"/>
      <c r="AW186" s="496"/>
      <c r="AX186" s="496"/>
      <c r="AY186" s="298"/>
      <c r="AZ186" s="496"/>
      <c r="BA186" s="496"/>
      <c r="BB186" s="299"/>
      <c r="BC186" s="496"/>
      <c r="BD186" s="229">
        <f>BD183-(BD161+BD166)</f>
        <v>11703377.560000001</v>
      </c>
    </row>
    <row r="187" spans="2:57" outlineLevel="1" x14ac:dyDescent="0.45">
      <c r="R187" s="551">
        <f t="shared" ref="R187:AC187" si="47">+IFERROR(R186/R$163,0)</f>
        <v>0.18262382330565177</v>
      </c>
      <c r="S187" s="551">
        <f t="shared" si="47"/>
        <v>9.9313244434863196E-2</v>
      </c>
      <c r="T187" s="551">
        <f t="shared" si="47"/>
        <v>0.14665461601084936</v>
      </c>
      <c r="U187" s="551">
        <f t="shared" si="47"/>
        <v>0.22991080299894637</v>
      </c>
      <c r="V187" s="551">
        <f t="shared" si="47"/>
        <v>0.29218445482980288</v>
      </c>
      <c r="W187" s="551">
        <f t="shared" si="47"/>
        <v>0.28023448249792737</v>
      </c>
      <c r="X187" s="551">
        <f t="shared" si="47"/>
        <v>0.26562081423368539</v>
      </c>
      <c r="Y187" s="551">
        <f t="shared" si="47"/>
        <v>0.32882217587847812</v>
      </c>
      <c r="Z187" s="551">
        <f t="shared" si="47"/>
        <v>0.40786163627784511</v>
      </c>
      <c r="AA187" s="551">
        <f t="shared" si="47"/>
        <v>0.35607545344100788</v>
      </c>
      <c r="AB187" s="551">
        <f t="shared" si="47"/>
        <v>0.21525352137040557</v>
      </c>
      <c r="AC187" s="551">
        <f t="shared" si="47"/>
        <v>-0.20177916411603969</v>
      </c>
      <c r="AD187" s="551">
        <f>+IFERROR(AD186/AD$163,0)</f>
        <v>0.27488114003397768</v>
      </c>
      <c r="AE187" s="551">
        <f>+IFERROR(AE186/AE$163,0)</f>
        <v>0.18887152573556248</v>
      </c>
      <c r="AF187" s="551">
        <f>+IFERROR(AF186/AF$163,0)</f>
        <v>5.1044637746829602E-2</v>
      </c>
      <c r="AG187" s="551">
        <f>+IFERROR(AG186/AG$163,0)</f>
        <v>0.24534450923410048</v>
      </c>
      <c r="AH187" s="551">
        <f t="shared" ref="AH187:AO187" si="48">+IFERROR(AH186/AH$163,0)</f>
        <v>0</v>
      </c>
      <c r="AI187" s="551">
        <f t="shared" si="48"/>
        <v>0</v>
      </c>
      <c r="AJ187" s="551">
        <f t="shared" si="48"/>
        <v>0</v>
      </c>
      <c r="AK187" s="551">
        <f t="shared" si="48"/>
        <v>0</v>
      </c>
      <c r="AL187" s="551">
        <f t="shared" si="48"/>
        <v>0</v>
      </c>
      <c r="AM187" s="551">
        <f t="shared" si="48"/>
        <v>0</v>
      </c>
      <c r="AN187" s="551">
        <f t="shared" si="48"/>
        <v>0</v>
      </c>
      <c r="AO187" s="551">
        <f t="shared" si="48"/>
        <v>0</v>
      </c>
      <c r="AP187" s="298"/>
      <c r="AQ187" s="298"/>
      <c r="AR187" s="298"/>
      <c r="AS187" s="298"/>
      <c r="AT187" s="298"/>
      <c r="AU187" s="298"/>
      <c r="AV187" s="298"/>
      <c r="AW187" s="298"/>
      <c r="AX187" s="298"/>
      <c r="AY187" s="298"/>
      <c r="AZ187" s="298"/>
      <c r="BA187" s="298"/>
      <c r="BB187" s="299"/>
      <c r="BC187" s="298"/>
      <c r="BD187" s="551">
        <f>+IFERROR(BD186/BD$163,0)</f>
        <v>0.18674516534438812</v>
      </c>
    </row>
    <row r="188" spans="2:57" outlineLevel="1" x14ac:dyDescent="0.45">
      <c r="R188" s="551"/>
      <c r="S188" s="551"/>
      <c r="T188" s="551"/>
      <c r="U188" s="551"/>
      <c r="V188" s="551"/>
      <c r="W188" s="551"/>
      <c r="X188" s="551"/>
      <c r="Y188" s="551"/>
      <c r="Z188" s="551"/>
      <c r="AA188" s="551"/>
      <c r="AB188" s="551"/>
      <c r="AC188" s="551"/>
      <c r="AD188" s="551"/>
      <c r="AE188" s="551"/>
      <c r="AF188" s="551"/>
      <c r="AG188" s="551"/>
      <c r="AH188" s="298"/>
      <c r="AI188" s="298"/>
      <c r="AJ188" s="298"/>
      <c r="AK188" s="298"/>
      <c r="AL188" s="298"/>
      <c r="AM188" s="298"/>
      <c r="AN188" s="298"/>
      <c r="AO188" s="298"/>
      <c r="AP188" s="298"/>
      <c r="AQ188" s="298"/>
      <c r="AR188" s="298"/>
      <c r="AS188" s="298"/>
      <c r="AT188" s="298"/>
      <c r="AU188" s="298"/>
      <c r="AV188" s="298"/>
      <c r="AW188" s="298"/>
      <c r="AX188" s="298"/>
      <c r="AY188" s="298"/>
      <c r="AZ188" s="298"/>
      <c r="BA188" s="298"/>
      <c r="BB188" s="299"/>
      <c r="BC188" s="298"/>
      <c r="BD188" s="551"/>
    </row>
    <row r="189" spans="2:57" outlineLevel="2" x14ac:dyDescent="0.45">
      <c r="B189" s="53" t="s">
        <v>849</v>
      </c>
      <c r="C189" s="310"/>
      <c r="D189" s="339"/>
      <c r="E189" s="311"/>
      <c r="F189" s="312"/>
      <c r="G189" s="312"/>
      <c r="H189" s="312"/>
      <c r="I189" s="312"/>
      <c r="J189" s="312"/>
      <c r="K189" s="312"/>
      <c r="L189" s="312"/>
      <c r="M189" s="312"/>
      <c r="N189" s="312"/>
      <c r="O189" s="312"/>
      <c r="P189" s="312"/>
      <c r="Q189" s="312"/>
      <c r="R189" s="51">
        <f t="shared" ref="R189:AC189" si="49">SUM(R190:R193)</f>
        <v>-1113567.77</v>
      </c>
      <c r="S189" s="51">
        <f t="shared" si="49"/>
        <v>-1193995.2000000002</v>
      </c>
      <c r="T189" s="51">
        <f t="shared" si="49"/>
        <v>-1320090.18</v>
      </c>
      <c r="U189" s="51">
        <f t="shared" si="49"/>
        <v>-1332910.3399999999</v>
      </c>
      <c r="V189" s="51">
        <f t="shared" si="49"/>
        <v>-1681290.3700000003</v>
      </c>
      <c r="W189" s="51">
        <f t="shared" si="49"/>
        <v>-1292711.5799999994</v>
      </c>
      <c r="X189" s="51">
        <f t="shared" si="49"/>
        <v>-1265136.6663596584</v>
      </c>
      <c r="Y189" s="51">
        <f t="shared" si="49"/>
        <v>-1168677.5536403414</v>
      </c>
      <c r="Z189" s="51">
        <f t="shared" si="49"/>
        <v>-1273285.0700000003</v>
      </c>
      <c r="AA189" s="51">
        <f t="shared" si="49"/>
        <v>-1395667.5354474131</v>
      </c>
      <c r="AB189" s="51">
        <f t="shared" si="49"/>
        <v>-1519410.9445525878</v>
      </c>
      <c r="AC189" s="51">
        <f t="shared" si="49"/>
        <v>-2439069.4715055758</v>
      </c>
      <c r="AD189" s="51">
        <f>SUM(AD190:AD193)</f>
        <v>-2073494.8966666667</v>
      </c>
      <c r="AE189" s="51">
        <f>SUM(AE190:AE193)</f>
        <v>-2548701.4566666661</v>
      </c>
      <c r="AF189" s="51">
        <f t="shared" ref="AF189:AO189" si="50">SUM(AF190:AF193)</f>
        <v>-2190084.3966666665</v>
      </c>
      <c r="AG189" s="51">
        <f t="shared" si="50"/>
        <v>-2530154.4866666663</v>
      </c>
      <c r="AH189" s="51">
        <f t="shared" si="50"/>
        <v>0</v>
      </c>
      <c r="AI189" s="51">
        <f t="shared" si="50"/>
        <v>0</v>
      </c>
      <c r="AJ189" s="51">
        <f t="shared" si="50"/>
        <v>0</v>
      </c>
      <c r="AK189" s="51">
        <f t="shared" si="50"/>
        <v>0</v>
      </c>
      <c r="AL189" s="51">
        <f t="shared" si="50"/>
        <v>0</v>
      </c>
      <c r="AM189" s="51">
        <f t="shared" si="50"/>
        <v>0</v>
      </c>
      <c r="AN189" s="51">
        <f t="shared" si="50"/>
        <v>0</v>
      </c>
      <c r="AO189" s="51">
        <f t="shared" si="50"/>
        <v>0</v>
      </c>
      <c r="AP189" s="298"/>
      <c r="AQ189" s="51">
        <f t="shared" ref="AQ189:AX214" si="51">SUMIFS($R189:$AP189,$R$9:$AP$9,AQ$9,$R$8:$AP$8,AQ$8)</f>
        <v>-3627653.1500000004</v>
      </c>
      <c r="AR189" s="51">
        <f t="shared" si="51"/>
        <v>-4306912.2899999991</v>
      </c>
      <c r="AS189" s="51">
        <f t="shared" si="51"/>
        <v>-3707099.29</v>
      </c>
      <c r="AT189" s="51">
        <f t="shared" si="51"/>
        <v>-5354147.9515055772</v>
      </c>
      <c r="AU189" s="51">
        <f t="shared" si="51"/>
        <v>-6812280.7499999991</v>
      </c>
      <c r="AV189" s="51">
        <f t="shared" si="51"/>
        <v>-2530154.4866666663</v>
      </c>
      <c r="AW189" s="51">
        <f t="shared" si="51"/>
        <v>0</v>
      </c>
      <c r="AX189" s="51">
        <f t="shared" si="51"/>
        <v>0</v>
      </c>
      <c r="AY189" s="298"/>
      <c r="AZ189" s="51">
        <f t="shared" ref="AZ189:AZ212" si="52">SUM(AQ189:AT189)</f>
        <v>-16995812.681505576</v>
      </c>
      <c r="BA189" s="51">
        <f t="shared" ref="BA189:BA212" si="53">SUM(AU189:AX189)</f>
        <v>-9342435.2366666645</v>
      </c>
      <c r="BB189" s="299"/>
      <c r="BC189" s="51">
        <f t="shared" ref="BC189:BC217" si="54">SUMIFS($R189:$AD189,$R$8:$AD$8,BC$8,$R$11:$AD$11,BC$11)</f>
        <v>-1113567.77</v>
      </c>
      <c r="BD189" s="51">
        <f t="shared" ref="BD189:BD212" si="55">SUMIFS($AB189:$AO189,$AB$8:$AO$8,BD$8,$AB$11:$AO$11,BD$11)</f>
        <v>-9342435.2366666645</v>
      </c>
      <c r="BE189" s="196">
        <f t="shared" ref="BE189:BE212" si="56">AG189-AF189</f>
        <v>-340070.08999999985</v>
      </c>
    </row>
    <row r="190" spans="2:57" outlineLevel="3" x14ac:dyDescent="0.45">
      <c r="B190" s="102" t="s">
        <v>540</v>
      </c>
      <c r="C190" s="318"/>
      <c r="D190" s="342"/>
      <c r="E190" s="304"/>
      <c r="F190" s="302"/>
      <c r="G190" s="302"/>
      <c r="H190" s="302"/>
      <c r="I190" s="302"/>
      <c r="J190" s="302"/>
      <c r="K190" s="302"/>
      <c r="L190" s="302"/>
      <c r="M190" s="302"/>
      <c r="N190" s="302"/>
      <c r="O190" s="302"/>
      <c r="P190" s="302"/>
      <c r="Q190" s="302"/>
      <c r="R190" s="73">
        <f>-SUMIFS('Data BASE'!R$490:R$960,'Data BASE'!$M$490:$M$960,$B190,'Data BASE'!$K$490:$K$960,$B$212)</f>
        <v>-779150.19000000006</v>
      </c>
      <c r="S190" s="73">
        <f>-SUMIFS('Data BASE'!S$490:S$960,'Data BASE'!$M$490:$M$960,$B190,'Data BASE'!$K$490:$K$960,$B$212)</f>
        <v>-878458.20000000007</v>
      </c>
      <c r="T190" s="73">
        <f>-SUMIFS('Data BASE'!T$490:T$960,'Data BASE'!$M$490:$M$960,$B190,'Data BASE'!$K$490:$K$960,$B$212)</f>
        <v>-924666.5</v>
      </c>
      <c r="U190" s="73">
        <f>-SUMIFS('Data BASE'!U$490:U$960,'Data BASE'!$M$490:$M$960,$B190,'Data BASE'!$K$490:$K$960,$B$212)</f>
        <v>-961689.76</v>
      </c>
      <c r="V190" s="73">
        <f>-SUMIFS('Data BASE'!V$490:V$960,'Data BASE'!$M$490:$M$960,$B190,'Data BASE'!$K$490:$K$960,$B$212)</f>
        <v>-995537.74000000022</v>
      </c>
      <c r="W190" s="73">
        <f>-SUMIFS('Data BASE'!W$490:W$960,'Data BASE'!$M$490:$M$960,$B190,'Data BASE'!$K$490:$K$960,$B$212)</f>
        <v>-917147.1099999994</v>
      </c>
      <c r="X190" s="73">
        <f>-SUMIFS('Data BASE'!X$490:X$960,'Data BASE'!$M$490:$M$960,$B190,'Data BASE'!$K$490:$K$960,$B$212)</f>
        <v>-889913.38000000035</v>
      </c>
      <c r="Y190" s="73">
        <f>-SUMIFS('Data BASE'!Y$490:Y$960,'Data BASE'!$M$490:$M$960,$B190,'Data BASE'!$K$490:$K$960,$B$212)</f>
        <v>-822778.66999999958</v>
      </c>
      <c r="Z190" s="73">
        <f>-SUMIFS('Data BASE'!Z$490:Z$960,'Data BASE'!$M$490:$M$960,$B190,'Data BASE'!$K$490:$K$960,$B$212)</f>
        <v>-937537.67000000016</v>
      </c>
      <c r="AA190" s="73">
        <f>-SUMIFS('Data BASE'!AA$490:AA$960,'Data BASE'!$M$490:$M$960,$B190,'Data BASE'!$K$490:$K$960,$B$212)</f>
        <v>-1026587.5399999998</v>
      </c>
      <c r="AB190" s="73">
        <f>-SUMIFS('Data BASE'!AB$490:AB$960,'Data BASE'!$M$490:$M$960,$B190,'Data BASE'!$K$490:$K$960,$B$212)</f>
        <v>-1139954.9300000009</v>
      </c>
      <c r="AC190" s="73">
        <f>-SUMIFS('Data BASE'!AC$490:AC$960,'Data BASE'!$M$490:$M$960,$B190,'Data BASE'!$K$490:$K$960,$B$212)</f>
        <v>-1292383.1199999987</v>
      </c>
      <c r="AD190" s="73">
        <f>-SUMIFS('Data BASE'!AD$490:AD$960,'Data BASE'!$M$490:$M$960,$B190,'Data BASE'!$K$490:$K$960,$B$212)</f>
        <v>-1421592.8299999998</v>
      </c>
      <c r="AE190" s="73">
        <f>-SUMIFS('Data BASE'!AE$490:AE$960,'Data BASE'!$M$490:$M$960,$B190,'Data BASE'!$K$490:$K$960,$B$212)</f>
        <v>-1518131.4200000004</v>
      </c>
      <c r="AF190" s="73">
        <f>-SUMIFS('Data BASE'!AF$490:AF$960,'Data BASE'!$M$490:$M$960,$B190,'Data BASE'!$K$490:$K$960,$B$212)</f>
        <v>-1444645.9699999997</v>
      </c>
      <c r="AG190" s="73">
        <f>-SUMIFS('Data BASE'!AG$490:AG$2000,'Data BASE'!$M$490:$M$2000,$B190,'Data BASE'!$K$490:$K$2000,$B$212)</f>
        <v>-1767987.2799999996</v>
      </c>
      <c r="AH190" s="73"/>
      <c r="AI190" s="73"/>
      <c r="AJ190" s="73"/>
      <c r="AK190" s="73"/>
      <c r="AL190" s="73"/>
      <c r="AM190" s="73"/>
      <c r="AN190" s="73"/>
      <c r="AO190" s="73"/>
      <c r="AP190" s="298"/>
      <c r="AQ190" s="73">
        <f t="shared" si="51"/>
        <v>-2582274.89</v>
      </c>
      <c r="AR190" s="73">
        <f t="shared" si="51"/>
        <v>-2874374.6099999994</v>
      </c>
      <c r="AS190" s="73">
        <f t="shared" si="51"/>
        <v>-2650229.7199999997</v>
      </c>
      <c r="AT190" s="73">
        <f t="shared" si="51"/>
        <v>-3458925.5899999994</v>
      </c>
      <c r="AU190" s="73">
        <f t="shared" si="51"/>
        <v>-4384370.22</v>
      </c>
      <c r="AV190" s="73">
        <f t="shared" si="51"/>
        <v>-1767987.2799999996</v>
      </c>
      <c r="AW190" s="73">
        <f t="shared" si="51"/>
        <v>0</v>
      </c>
      <c r="AX190" s="73">
        <f t="shared" si="51"/>
        <v>0</v>
      </c>
      <c r="AY190" s="298"/>
      <c r="AZ190" s="73">
        <f t="shared" si="52"/>
        <v>-11565804.809999999</v>
      </c>
      <c r="BA190" s="73">
        <f t="shared" si="53"/>
        <v>-6152357.4999999991</v>
      </c>
      <c r="BB190" s="299"/>
      <c r="BC190" s="73">
        <f t="shared" si="54"/>
        <v>-779150.19000000006</v>
      </c>
      <c r="BD190" s="73">
        <f t="shared" si="55"/>
        <v>-6152357.4999999991</v>
      </c>
      <c r="BE190" s="196">
        <f t="shared" si="56"/>
        <v>-323341.30999999982</v>
      </c>
    </row>
    <row r="191" spans="2:57" outlineLevel="3" x14ac:dyDescent="0.45">
      <c r="B191" s="102" t="s">
        <v>477</v>
      </c>
      <c r="C191" s="318"/>
      <c r="D191" s="342"/>
      <c r="E191" s="304"/>
      <c r="F191" s="302"/>
      <c r="G191" s="302"/>
      <c r="H191" s="302"/>
      <c r="I191" s="302"/>
      <c r="J191" s="302"/>
      <c r="K191" s="302"/>
      <c r="L191" s="302"/>
      <c r="M191" s="302"/>
      <c r="N191" s="302"/>
      <c r="O191" s="302"/>
      <c r="P191" s="302"/>
      <c r="Q191" s="302"/>
      <c r="R191" s="73">
        <f>-SUMIFS('Data BASE'!R$490:R$960,'Data BASE'!$M$490:$M$960,$B191,'Data BASE'!$K$490:$K$960,$B$212)</f>
        <v>-73278</v>
      </c>
      <c r="S191" s="73">
        <f>-SUMIFS('Data BASE'!S$490:S$960,'Data BASE'!$M$490:$M$960,$B191,'Data BASE'!$K$490:$K$960,$B$212)</f>
        <v>-73278</v>
      </c>
      <c r="T191" s="73">
        <f>-SUMIFS('Data BASE'!T$490:T$960,'Data BASE'!$M$490:$M$960,$B191,'Data BASE'!$K$490:$K$960,$B$212)</f>
        <v>-73278</v>
      </c>
      <c r="U191" s="73">
        <f>-SUMIFS('Data BASE'!U$490:U$960,'Data BASE'!$M$490:$M$960,$B191,'Data BASE'!$K$490:$K$960,$B$212)</f>
        <v>-73278</v>
      </c>
      <c r="V191" s="73">
        <f>-SUMIFS('Data BASE'!V$490:V$960,'Data BASE'!$M$490:$M$960,$B191,'Data BASE'!$K$490:$K$960,$B$212)</f>
        <v>-73278</v>
      </c>
      <c r="W191" s="73">
        <f>-SUMIFS('Data BASE'!W$490:W$960,'Data BASE'!$M$490:$M$960,$B191,'Data BASE'!$K$490:$K$960,$B$212)</f>
        <v>-73278</v>
      </c>
      <c r="X191" s="73">
        <f>-SUMIFS('Data BASE'!X$490:X$960,'Data BASE'!$M$490:$M$960,$B191,'Data BASE'!$K$490:$K$960,$B$212)</f>
        <v>-73277.956359657983</v>
      </c>
      <c r="Y191" s="73">
        <f>-SUMIFS('Data BASE'!Y$490:Y$960,'Data BASE'!$M$490:$M$960,$B191,'Data BASE'!$K$490:$K$960,$B$212)</f>
        <v>-73278.043640342017</v>
      </c>
      <c r="Z191" s="73">
        <f>-SUMIFS('Data BASE'!Z$490:Z$960,'Data BASE'!$M$490:$M$960,$B191,'Data BASE'!$K$490:$K$960,$B$212)</f>
        <v>-73278</v>
      </c>
      <c r="AA191" s="73">
        <f>-SUMIFS('Data BASE'!AA$490:AA$960,'Data BASE'!$M$490:$M$960,$B191,'Data BASE'!$K$490:$K$960,$B$212)</f>
        <v>-73277.905447412981</v>
      </c>
      <c r="AB191" s="73">
        <f>-SUMIFS('Data BASE'!AB$490:AB$960,'Data BASE'!$M$490:$M$960,$B191,'Data BASE'!$K$490:$K$960,$B$212)</f>
        <v>-73278.094552587019</v>
      </c>
      <c r="AC191" s="73">
        <f>-SUMIFS('Data BASE'!AC$490:AC$960,'Data BASE'!$M$490:$M$960,$B191,'Data BASE'!$K$490:$K$960,$B$212)</f>
        <v>-73277.871505577001</v>
      </c>
      <c r="AD191" s="73">
        <f>-SUMIFS('Data BASE'!AD$490:AD$960,'Data BASE'!$M$490:$M$960,$B191,'Data BASE'!$K$490:$K$960,$B$212)</f>
        <v>-203268.63666666701</v>
      </c>
      <c r="AE191" s="73">
        <f>-SUMIFS('Data BASE'!AE$490:AE$960,'Data BASE'!$M$490:$M$960,$B191,'Data BASE'!$K$490:$K$960,$B$212)</f>
        <v>-203268.63666666602</v>
      </c>
      <c r="AF191" s="73">
        <f>-SUMIFS('Data BASE'!AF$490:AF$960,'Data BASE'!$M$490:$M$960,$B191,'Data BASE'!$K$490:$K$960,$B$212)</f>
        <v>-203268.63666666701</v>
      </c>
      <c r="AG191" s="73">
        <f>-SUMIFS('Data BASE'!AG$490:AG$2000,'Data BASE'!$M$490:$M$2000,$B191,'Data BASE'!$K$490:$K$2000,$B$212)</f>
        <v>-203268.63666666695</v>
      </c>
      <c r="AH191" s="73"/>
      <c r="AI191" s="73"/>
      <c r="AJ191" s="73"/>
      <c r="AK191" s="73"/>
      <c r="AL191" s="73"/>
      <c r="AM191" s="73"/>
      <c r="AN191" s="73"/>
      <c r="AO191" s="73"/>
      <c r="AP191" s="298"/>
      <c r="AQ191" s="73">
        <f t="shared" si="51"/>
        <v>-219834</v>
      </c>
      <c r="AR191" s="73">
        <f t="shared" si="51"/>
        <v>-219834</v>
      </c>
      <c r="AS191" s="73">
        <f t="shared" si="51"/>
        <v>-219834</v>
      </c>
      <c r="AT191" s="73">
        <f t="shared" si="51"/>
        <v>-219833.871505577</v>
      </c>
      <c r="AU191" s="73">
        <f t="shared" si="51"/>
        <v>-609805.91</v>
      </c>
      <c r="AV191" s="73">
        <f t="shared" si="51"/>
        <v>-203268.63666666695</v>
      </c>
      <c r="AW191" s="73">
        <f t="shared" si="51"/>
        <v>0</v>
      </c>
      <c r="AX191" s="73">
        <f t="shared" si="51"/>
        <v>0</v>
      </c>
      <c r="AY191" s="298"/>
      <c r="AZ191" s="73">
        <f t="shared" si="52"/>
        <v>-879335.871505577</v>
      </c>
      <c r="BA191" s="73">
        <f t="shared" si="53"/>
        <v>-813074.54666666698</v>
      </c>
      <c r="BB191" s="299"/>
      <c r="BC191" s="73">
        <f t="shared" si="54"/>
        <v>-73278</v>
      </c>
      <c r="BD191" s="73">
        <f t="shared" si="55"/>
        <v>-813074.54666666698</v>
      </c>
      <c r="BE191" s="196">
        <f t="shared" si="56"/>
        <v>0</v>
      </c>
    </row>
    <row r="192" spans="2:57" outlineLevel="3" x14ac:dyDescent="0.45">
      <c r="B192" s="102" t="s">
        <v>542</v>
      </c>
      <c r="C192" s="318"/>
      <c r="D192" s="342"/>
      <c r="E192" s="304"/>
      <c r="F192" s="302"/>
      <c r="G192" s="302"/>
      <c r="H192" s="302"/>
      <c r="I192" s="302"/>
      <c r="J192" s="302"/>
      <c r="K192" s="302"/>
      <c r="L192" s="302"/>
      <c r="M192" s="302"/>
      <c r="N192" s="302"/>
      <c r="O192" s="302"/>
      <c r="P192" s="302"/>
      <c r="Q192" s="302"/>
      <c r="R192" s="73">
        <f>-SUMIFS('Data BASE'!R$490:R$960,'Data BASE'!$M$490:$M$960,$B192,'Data BASE'!$K$490:$K$960,$B$212)</f>
        <v>-258110.58000000002</v>
      </c>
      <c r="S192" s="73">
        <f>-SUMIFS('Data BASE'!S$490:S$960,'Data BASE'!$M$490:$M$960,$B192,'Data BASE'!$K$490:$K$960,$B$212)</f>
        <v>-234634.00000000003</v>
      </c>
      <c r="T192" s="73">
        <f>-SUMIFS('Data BASE'!T$490:T$960,'Data BASE'!$M$490:$M$960,$B192,'Data BASE'!$K$490:$K$960,$B$212)</f>
        <v>-316818.68</v>
      </c>
      <c r="U192" s="73">
        <f>-SUMIFS('Data BASE'!U$490:U$960,'Data BASE'!$M$490:$M$960,$B192,'Data BASE'!$K$490:$K$960,$B$212)</f>
        <v>-292615.57999999996</v>
      </c>
      <c r="V192" s="73">
        <f>-SUMIFS('Data BASE'!V$490:V$960,'Data BASE'!$M$490:$M$960,$B192,'Data BASE'!$K$490:$K$960,$B$212)</f>
        <v>-375668.53</v>
      </c>
      <c r="W192" s="73">
        <f>-SUMIFS('Data BASE'!W$490:W$960,'Data BASE'!$M$490:$M$960,$B192,'Data BASE'!$K$490:$K$960,$B$212)</f>
        <v>-291632.46999999991</v>
      </c>
      <c r="X192" s="73">
        <f>-SUMIFS('Data BASE'!X$490:X$960,'Data BASE'!$M$490:$M$960,$B192,'Data BASE'!$K$490:$K$960,$B$212)</f>
        <v>-291291.33000000007</v>
      </c>
      <c r="Y192" s="73">
        <f>-SUMIFS('Data BASE'!Y$490:Y$960,'Data BASE'!$M$490:$M$960,$B192,'Data BASE'!$K$490:$K$960,$B$212)</f>
        <v>-261966.83999999985</v>
      </c>
      <c r="Z192" s="73">
        <f>-SUMIFS('Data BASE'!Z$490:Z$960,'Data BASE'!$M$490:$M$960,$B192,'Data BASE'!$K$490:$K$960,$B$212)</f>
        <v>-251815.40000000005</v>
      </c>
      <c r="AA192" s="73">
        <f>-SUMIFS('Data BASE'!AA$490:AA$960,'Data BASE'!$M$490:$M$960,$B192,'Data BASE'!$K$490:$K$960,$B$212)</f>
        <v>-335509.19000000018</v>
      </c>
      <c r="AB192" s="73">
        <f>-SUMIFS('Data BASE'!AB$490:AB$960,'Data BASE'!$M$490:$M$960,$B192,'Data BASE'!$K$490:$K$960,$B$212)</f>
        <v>-295523.92</v>
      </c>
      <c r="AC192" s="73">
        <f>-SUMIFS('Data BASE'!AC$490:AC$960,'Data BASE'!$M$490:$M$960,$B192,'Data BASE'!$K$490:$K$960,$B$212)</f>
        <v>-489632.37999999989</v>
      </c>
      <c r="AD192" s="73">
        <f>-SUMIFS('Data BASE'!AD$490:AD$960,'Data BASE'!$M$490:$M$960,$B192,'Data BASE'!$K$490:$K$960,$B$212)</f>
        <v>-432094.00999999995</v>
      </c>
      <c r="AE192" s="73">
        <f>-SUMIFS('Data BASE'!AE$490:AE$960,'Data BASE'!$M$490:$M$960,$B192,'Data BASE'!$K$490:$K$960,$B$212)</f>
        <v>-810761.98</v>
      </c>
      <c r="AF192" s="73">
        <f>-SUMIFS('Data BASE'!AF$490:AF$960,'Data BASE'!$M$490:$M$960,$B192,'Data BASE'!$K$490:$K$960,$B$212)</f>
        <v>-525630.37</v>
      </c>
      <c r="AG192" s="73">
        <f>-SUMIFS('Data BASE'!AG$490:AG$2000,'Data BASE'!$M$490:$M$2000,$B192,'Data BASE'!$K$490:$K$2000,$B$212)</f>
        <v>-542359.15</v>
      </c>
      <c r="AH192" s="73"/>
      <c r="AI192" s="73"/>
      <c r="AJ192" s="73"/>
      <c r="AK192" s="73"/>
      <c r="AL192" s="73"/>
      <c r="AM192" s="73"/>
      <c r="AN192" s="73"/>
      <c r="AO192" s="73"/>
      <c r="AP192" s="298"/>
      <c r="AQ192" s="73">
        <f t="shared" si="51"/>
        <v>-809563.26</v>
      </c>
      <c r="AR192" s="73">
        <f t="shared" si="51"/>
        <v>-959916.57999999984</v>
      </c>
      <c r="AS192" s="73">
        <f t="shared" si="51"/>
        <v>-805073.57</v>
      </c>
      <c r="AT192" s="73">
        <f t="shared" si="51"/>
        <v>-1120665.49</v>
      </c>
      <c r="AU192" s="73">
        <f t="shared" si="51"/>
        <v>-1768486.3599999999</v>
      </c>
      <c r="AV192" s="73">
        <f t="shared" si="51"/>
        <v>-542359.15</v>
      </c>
      <c r="AW192" s="73">
        <f t="shared" si="51"/>
        <v>0</v>
      </c>
      <c r="AX192" s="73">
        <f t="shared" si="51"/>
        <v>0</v>
      </c>
      <c r="AY192" s="298"/>
      <c r="AZ192" s="73">
        <f t="shared" si="52"/>
        <v>-3695218.8999999994</v>
      </c>
      <c r="BA192" s="73">
        <f t="shared" si="53"/>
        <v>-2310845.5099999998</v>
      </c>
      <c r="BB192" s="299"/>
      <c r="BC192" s="73">
        <f t="shared" si="54"/>
        <v>-258110.58000000002</v>
      </c>
      <c r="BD192" s="73">
        <f t="shared" si="55"/>
        <v>-2310845.5099999998</v>
      </c>
      <c r="BE192" s="196">
        <f t="shared" si="56"/>
        <v>-16728.780000000028</v>
      </c>
    </row>
    <row r="193" spans="2:57" outlineLevel="3" x14ac:dyDescent="0.45">
      <c r="B193" s="102" t="s">
        <v>543</v>
      </c>
      <c r="C193" s="318"/>
      <c r="D193" s="342"/>
      <c r="E193" s="304"/>
      <c r="F193" s="302"/>
      <c r="G193" s="302"/>
      <c r="H193" s="302"/>
      <c r="I193" s="302"/>
      <c r="J193" s="302"/>
      <c r="K193" s="302"/>
      <c r="L193" s="302"/>
      <c r="M193" s="302"/>
      <c r="N193" s="302"/>
      <c r="O193" s="302"/>
      <c r="P193" s="302"/>
      <c r="Q193" s="302"/>
      <c r="R193" s="73">
        <f>-SUMIFS('Data BASE'!R$490:R$960,'Data BASE'!$M$490:$M$960,$B193,'Data BASE'!$K$490:$K$960,$B$212)</f>
        <v>-3029</v>
      </c>
      <c r="S193" s="73">
        <f>-SUMIFS('Data BASE'!S$490:S$960,'Data BASE'!$M$490:$M$960,$B193,'Data BASE'!$K$490:$K$960,$B$212)</f>
        <v>-7625</v>
      </c>
      <c r="T193" s="73">
        <f>-SUMIFS('Data BASE'!T$490:T$960,'Data BASE'!$M$490:$M$960,$B193,'Data BASE'!$K$490:$K$960,$B$212)</f>
        <v>-5327</v>
      </c>
      <c r="U193" s="73">
        <f>-SUMIFS('Data BASE'!U$490:U$960,'Data BASE'!$M$490:$M$960,$B193,'Data BASE'!$K$490:$K$960,$B$212)</f>
        <v>-5327</v>
      </c>
      <c r="V193" s="73">
        <f>-SUMIFS('Data BASE'!V$490:V$960,'Data BASE'!$M$490:$M$960,$B193,'Data BASE'!$K$490:$K$960,$B$212)</f>
        <v>-236806.1</v>
      </c>
      <c r="W193" s="73">
        <f>-SUMIFS('Data BASE'!W$490:W$960,'Data BASE'!$M$490:$M$960,$B193,'Data BASE'!$K$490:$K$960,$B$212)</f>
        <v>-10653.999999999971</v>
      </c>
      <c r="X193" s="73">
        <f>-SUMIFS('Data BASE'!X$490:X$960,'Data BASE'!$M$490:$M$960,$B193,'Data BASE'!$K$490:$K$960,$B$212)</f>
        <v>-10654</v>
      </c>
      <c r="Y193" s="73">
        <f>-SUMIFS('Data BASE'!Y$490:Y$960,'Data BASE'!$M$490:$M$960,$B193,'Data BASE'!$K$490:$K$960,$B$212)</f>
        <v>-10654</v>
      </c>
      <c r="Z193" s="73">
        <f>-SUMIFS('Data BASE'!Z$490:Z$960,'Data BASE'!$M$490:$M$960,$B193,'Data BASE'!$K$490:$K$960,$B$212)</f>
        <v>-10654</v>
      </c>
      <c r="AA193" s="73">
        <f>-SUMIFS('Data BASE'!AA$490:AA$960,'Data BASE'!$M$490:$M$960,$B193,'Data BASE'!$K$490:$K$960,$B$212)</f>
        <v>39707.099999999977</v>
      </c>
      <c r="AB193" s="73">
        <f>-SUMIFS('Data BASE'!AB$490:AB$960,'Data BASE'!$M$490:$M$960,$B193,'Data BASE'!$K$490:$K$960,$B$212)</f>
        <v>-10654</v>
      </c>
      <c r="AC193" s="73">
        <f>-SUMIFS('Data BASE'!AC$490:AC$960,'Data BASE'!$M$490:$M$960,$B193,'Data BASE'!$K$490:$K$960,$B$212)</f>
        <v>-583776.1</v>
      </c>
      <c r="AD193" s="73">
        <f>-SUMIFS('Data BASE'!AD$490:AD$960,'Data BASE'!$M$490:$M$960,$B193,'Data BASE'!$K$490:$K$960,$B$212)</f>
        <v>-16539.419999999998</v>
      </c>
      <c r="AE193" s="73">
        <f>-SUMIFS('Data BASE'!AE$490:AE$960,'Data BASE'!$M$490:$M$960,$B193,'Data BASE'!$K$490:$K$960,$B$212)</f>
        <v>-16539.419999999998</v>
      </c>
      <c r="AF193" s="73">
        <f>-SUMIFS('Data BASE'!AF$490:AF$960,'Data BASE'!$M$490:$M$960,$B193,'Data BASE'!$K$490:$K$960,$B$212)</f>
        <v>-16539.420000000006</v>
      </c>
      <c r="AG193" s="73">
        <f>-SUMIFS('Data BASE'!AG$490:AG$2000,'Data BASE'!$M$490:$M$2000,$B193,'Data BASE'!$K$490:$K$2000,$B$212)</f>
        <v>-16539.419999999991</v>
      </c>
      <c r="AH193" s="73"/>
      <c r="AI193" s="73"/>
      <c r="AJ193" s="73"/>
      <c r="AK193" s="73"/>
      <c r="AL193" s="73"/>
      <c r="AM193" s="73"/>
      <c r="AN193" s="73"/>
      <c r="AO193" s="73"/>
      <c r="AP193" s="298"/>
      <c r="AQ193" s="73">
        <f t="shared" si="51"/>
        <v>-15981</v>
      </c>
      <c r="AR193" s="73">
        <f t="shared" si="51"/>
        <v>-252787.09999999998</v>
      </c>
      <c r="AS193" s="73">
        <f t="shared" si="51"/>
        <v>-31962</v>
      </c>
      <c r="AT193" s="73">
        <f t="shared" si="51"/>
        <v>-554723</v>
      </c>
      <c r="AU193" s="73">
        <f t="shared" si="51"/>
        <v>-49618.26</v>
      </c>
      <c r="AV193" s="73">
        <f t="shared" si="51"/>
        <v>-16539.419999999991</v>
      </c>
      <c r="AW193" s="73">
        <f t="shared" si="51"/>
        <v>0</v>
      </c>
      <c r="AX193" s="73">
        <f t="shared" si="51"/>
        <v>0</v>
      </c>
      <c r="AY193" s="298"/>
      <c r="AZ193" s="73">
        <f t="shared" si="52"/>
        <v>-855453.1</v>
      </c>
      <c r="BA193" s="73">
        <f t="shared" si="53"/>
        <v>-66157.679999999993</v>
      </c>
      <c r="BB193" s="299"/>
      <c r="BC193" s="73">
        <f t="shared" si="54"/>
        <v>-3029</v>
      </c>
      <c r="BD193" s="73">
        <f t="shared" si="55"/>
        <v>-66157.679999999993</v>
      </c>
      <c r="BE193" s="196">
        <f t="shared" si="56"/>
        <v>0</v>
      </c>
    </row>
    <row r="194" spans="2:57" outlineLevel="2" x14ac:dyDescent="0.45">
      <c r="B194" s="53" t="s">
        <v>843</v>
      </c>
      <c r="C194" s="310"/>
      <c r="D194" s="339"/>
      <c r="E194" s="311"/>
      <c r="F194" s="312"/>
      <c r="G194" s="312"/>
      <c r="H194" s="312"/>
      <c r="I194" s="312"/>
      <c r="J194" s="312"/>
      <c r="K194" s="312"/>
      <c r="L194" s="312"/>
      <c r="M194" s="312"/>
      <c r="N194" s="312"/>
      <c r="O194" s="312"/>
      <c r="P194" s="312"/>
      <c r="Q194" s="312"/>
      <c r="R194" s="51">
        <f t="shared" ref="R194:AC194" si="57">SUM(R195:R198)</f>
        <v>0</v>
      </c>
      <c r="S194" s="51">
        <f t="shared" si="57"/>
        <v>0</v>
      </c>
      <c r="T194" s="51">
        <f t="shared" si="57"/>
        <v>0</v>
      </c>
      <c r="U194" s="51">
        <f t="shared" si="57"/>
        <v>0</v>
      </c>
      <c r="V194" s="51">
        <f t="shared" si="57"/>
        <v>0</v>
      </c>
      <c r="W194" s="51">
        <f t="shared" si="57"/>
        <v>0</v>
      </c>
      <c r="X194" s="51">
        <f t="shared" si="57"/>
        <v>0</v>
      </c>
      <c r="Y194" s="51">
        <f t="shared" si="57"/>
        <v>-312170.95999999996</v>
      </c>
      <c r="Z194" s="51">
        <f t="shared" si="57"/>
        <v>-331145.13</v>
      </c>
      <c r="AA194" s="51">
        <f t="shared" si="57"/>
        <v>-324953.30000000005</v>
      </c>
      <c r="AB194" s="51">
        <f t="shared" si="57"/>
        <v>-361941.2</v>
      </c>
      <c r="AC194" s="51">
        <f t="shared" si="57"/>
        <v>-458603.3299999999</v>
      </c>
      <c r="AD194" s="51">
        <f>SUM(AD195:AD198)</f>
        <v>-444944.85999999993</v>
      </c>
      <c r="AE194" s="51">
        <f>SUM(AE195:AE198)</f>
        <v>-493220.06</v>
      </c>
      <c r="AF194" s="51">
        <f t="shared" ref="AF194:AO194" si="58">SUM(AF195:AF198)</f>
        <v>-416967.92000000004</v>
      </c>
      <c r="AG194" s="51">
        <f t="shared" si="58"/>
        <v>-589725.6100000001</v>
      </c>
      <c r="AH194" s="51">
        <f t="shared" si="58"/>
        <v>0</v>
      </c>
      <c r="AI194" s="51">
        <f t="shared" si="58"/>
        <v>0</v>
      </c>
      <c r="AJ194" s="51">
        <f t="shared" si="58"/>
        <v>0</v>
      </c>
      <c r="AK194" s="51">
        <f t="shared" si="58"/>
        <v>0</v>
      </c>
      <c r="AL194" s="51">
        <f t="shared" si="58"/>
        <v>0</v>
      </c>
      <c r="AM194" s="51">
        <f t="shared" si="58"/>
        <v>0</v>
      </c>
      <c r="AN194" s="51">
        <f t="shared" si="58"/>
        <v>0</v>
      </c>
      <c r="AO194" s="51">
        <f t="shared" si="58"/>
        <v>0</v>
      </c>
      <c r="AP194" s="298"/>
      <c r="AQ194" s="51">
        <f t="shared" si="51"/>
        <v>0</v>
      </c>
      <c r="AR194" s="51">
        <f t="shared" si="51"/>
        <v>0</v>
      </c>
      <c r="AS194" s="51">
        <f t="shared" si="51"/>
        <v>-643316.09</v>
      </c>
      <c r="AT194" s="51">
        <f t="shared" si="51"/>
        <v>-1145497.8299999998</v>
      </c>
      <c r="AU194" s="51">
        <f t="shared" si="51"/>
        <v>-1355132.8399999999</v>
      </c>
      <c r="AV194" s="51">
        <f t="shared" si="51"/>
        <v>-589725.6100000001</v>
      </c>
      <c r="AW194" s="51">
        <f t="shared" si="51"/>
        <v>0</v>
      </c>
      <c r="AX194" s="51">
        <f t="shared" si="51"/>
        <v>0</v>
      </c>
      <c r="AY194" s="298"/>
      <c r="AZ194" s="51">
        <f t="shared" si="52"/>
        <v>-1788813.92</v>
      </c>
      <c r="BA194" s="51">
        <f t="shared" si="53"/>
        <v>-1944858.45</v>
      </c>
      <c r="BB194" s="299"/>
      <c r="BC194" s="51">
        <f t="shared" si="54"/>
        <v>0</v>
      </c>
      <c r="BD194" s="51">
        <f t="shared" si="55"/>
        <v>-1944858.45</v>
      </c>
      <c r="BE194" s="196">
        <f t="shared" si="56"/>
        <v>-172757.69000000006</v>
      </c>
    </row>
    <row r="195" spans="2:57" outlineLevel="3" x14ac:dyDescent="0.45">
      <c r="B195" s="102" t="s">
        <v>540</v>
      </c>
      <c r="C195" s="268"/>
      <c r="D195" s="342"/>
      <c r="E195" s="304"/>
      <c r="F195" s="302"/>
      <c r="G195" s="302"/>
      <c r="H195" s="302"/>
      <c r="I195" s="302"/>
      <c r="J195" s="302"/>
      <c r="K195" s="302"/>
      <c r="L195" s="302"/>
      <c r="M195" s="302"/>
      <c r="N195" s="302"/>
      <c r="O195" s="302"/>
      <c r="P195" s="302"/>
      <c r="Q195" s="302"/>
      <c r="R195" s="73">
        <f>-SUMIFS('Data BASE'!R$490:R$960,'Data BASE'!$M$490:$M$960,$B195,'Data BASE'!$K$490:$K$960,$B$181)</f>
        <v>0</v>
      </c>
      <c r="S195" s="73">
        <f>-SUMIFS('Data BASE'!S$490:S$960,'Data BASE'!$M$490:$M$960,$B195,'Data BASE'!$K$490:$K$960,$B$181)</f>
        <v>0</v>
      </c>
      <c r="T195" s="73">
        <f>-SUMIFS('Data BASE'!T$490:T$960,'Data BASE'!$M$490:$M$960,$B195,'Data BASE'!$K$490:$K$960,$B$181)</f>
        <v>0</v>
      </c>
      <c r="U195" s="73">
        <f>-SUMIFS('Data BASE'!U$490:U$960,'Data BASE'!$M$490:$M$960,$B195,'Data BASE'!$K$490:$K$960,$B$181)</f>
        <v>0</v>
      </c>
      <c r="V195" s="73">
        <f>-SUMIFS('Data BASE'!V$490:V$960,'Data BASE'!$M$490:$M$960,$B195,'Data BASE'!$K$490:$K$960,$B$181)</f>
        <v>0</v>
      </c>
      <c r="W195" s="73">
        <f>-SUMIFS('Data BASE'!W$490:W$960,'Data BASE'!$M$490:$M$960,$B195,'Data BASE'!$K$490:$K$960,$B$181)</f>
        <v>0</v>
      </c>
      <c r="X195" s="73">
        <f>-SUMIFS('Data BASE'!X$490:X$960,'Data BASE'!$M$490:$M$960,$B195,'Data BASE'!$K$490:$K$960,$B$181)</f>
        <v>0</v>
      </c>
      <c r="Y195" s="73">
        <f>-SUMIFS('Data BASE'!Y$490:Y$960,'Data BASE'!$M$490:$M$960,$B195,'Data BASE'!$K$490:$K$960,$B$181)</f>
        <v>-208102.44999999998</v>
      </c>
      <c r="Z195" s="73">
        <f>-SUMIFS('Data BASE'!Z$490:Z$960,'Data BASE'!$M$490:$M$960,$B195,'Data BASE'!$K$490:$K$960,$B$181)</f>
        <v>-222123.8</v>
      </c>
      <c r="AA195" s="73">
        <f>-SUMIFS('Data BASE'!AA$490:AA$960,'Data BASE'!$M$490:$M$960,$B195,'Data BASE'!$K$490:$K$960,$B$181)</f>
        <v>-218507.43000000005</v>
      </c>
      <c r="AB195" s="73">
        <f>-SUMIFS('Data BASE'!AB$490:AB$960,'Data BASE'!$M$490:$M$960,$B195,'Data BASE'!$K$490:$K$960,$B$181)</f>
        <v>-250610.59999999998</v>
      </c>
      <c r="AC195" s="73">
        <f>-SUMIFS('Data BASE'!AC$490:AC$960,'Data BASE'!$M$490:$M$960,$B195,'Data BASE'!$K$490:$K$960,$B$181)</f>
        <v>-285349.0799999999</v>
      </c>
      <c r="AD195" s="73">
        <f>-SUMIFS('Data BASE'!AD$490:AD$960,'Data BASE'!$M$490:$M$960,$B195,'Data BASE'!$K$490:$K$960,$B$181)</f>
        <v>-306652.63999999996</v>
      </c>
      <c r="AE195" s="73">
        <f>-SUMIFS('Data BASE'!AE$490:AE$960,'Data BASE'!$M$490:$M$960,$B195,'Data BASE'!$K$490:$K$960,$B$181)</f>
        <v>-349595.79</v>
      </c>
      <c r="AF195" s="73">
        <f>-SUMIFS('Data BASE'!AF$490:AF$960,'Data BASE'!$M$490:$M$960,$B195,'Data BASE'!$K$490:$K$960,$B$181)</f>
        <v>-357665.96</v>
      </c>
      <c r="AG195" s="73">
        <f>-SUMIFS('Data BASE'!AG$490:AG$2000,'Data BASE'!$M$490:$M$2000,$B195,'Data BASE'!$K$490:$K$2000,$B$181)</f>
        <v>-418781.03000000009</v>
      </c>
      <c r="AH195" s="73"/>
      <c r="AI195" s="73"/>
      <c r="AJ195" s="73"/>
      <c r="AK195" s="73"/>
      <c r="AL195" s="73"/>
      <c r="AM195" s="73"/>
      <c r="AN195" s="73"/>
      <c r="AO195" s="73"/>
      <c r="AP195" s="298"/>
      <c r="AQ195" s="73">
        <f t="shared" si="51"/>
        <v>0</v>
      </c>
      <c r="AR195" s="73">
        <f t="shared" si="51"/>
        <v>0</v>
      </c>
      <c r="AS195" s="73">
        <f t="shared" si="51"/>
        <v>-430226.25</v>
      </c>
      <c r="AT195" s="73">
        <f t="shared" si="51"/>
        <v>-754467.10999999987</v>
      </c>
      <c r="AU195" s="73">
        <f t="shared" si="51"/>
        <v>-1013914.3899999999</v>
      </c>
      <c r="AV195" s="73">
        <f t="shared" si="51"/>
        <v>-418781.03000000009</v>
      </c>
      <c r="AW195" s="73">
        <f t="shared" si="51"/>
        <v>0</v>
      </c>
      <c r="AX195" s="73">
        <f t="shared" si="51"/>
        <v>0</v>
      </c>
      <c r="AY195" s="298"/>
      <c r="AZ195" s="73">
        <f t="shared" si="52"/>
        <v>-1184693.3599999999</v>
      </c>
      <c r="BA195" s="73">
        <f t="shared" si="53"/>
        <v>-1432695.42</v>
      </c>
      <c r="BB195" s="299"/>
      <c r="BC195" s="73">
        <f t="shared" si="54"/>
        <v>0</v>
      </c>
      <c r="BD195" s="73">
        <f t="shared" si="55"/>
        <v>-1432695.42</v>
      </c>
      <c r="BE195" s="196">
        <f t="shared" si="56"/>
        <v>-61115.070000000065</v>
      </c>
    </row>
    <row r="196" spans="2:57" outlineLevel="3" x14ac:dyDescent="0.45">
      <c r="B196" s="102" t="s">
        <v>477</v>
      </c>
      <c r="C196" s="268"/>
      <c r="D196" s="342"/>
      <c r="E196" s="304"/>
      <c r="F196" s="302"/>
      <c r="G196" s="302"/>
      <c r="H196" s="302"/>
      <c r="I196" s="302"/>
      <c r="J196" s="302"/>
      <c r="K196" s="302"/>
      <c r="L196" s="302"/>
      <c r="M196" s="302"/>
      <c r="N196" s="302"/>
      <c r="O196" s="302"/>
      <c r="P196" s="302"/>
      <c r="Q196" s="302"/>
      <c r="R196" s="73">
        <f>-SUMIFS('Data BASE'!R$490:R$960,'Data BASE'!$M$490:$M$960,$B196,'Data BASE'!$K$490:$K$960,$B$181)</f>
        <v>0</v>
      </c>
      <c r="S196" s="73">
        <f>-SUMIFS('Data BASE'!S$490:S$960,'Data BASE'!$M$490:$M$960,$B196,'Data BASE'!$K$490:$K$960,$B$181)</f>
        <v>0</v>
      </c>
      <c r="T196" s="73">
        <f>-SUMIFS('Data BASE'!T$490:T$960,'Data BASE'!$M$490:$M$960,$B196,'Data BASE'!$K$490:$K$960,$B$181)</f>
        <v>0</v>
      </c>
      <c r="U196" s="73">
        <f>-SUMIFS('Data BASE'!U$490:U$960,'Data BASE'!$M$490:$M$960,$B196,'Data BASE'!$K$490:$K$960,$B$181)</f>
        <v>0</v>
      </c>
      <c r="V196" s="73">
        <f>-SUMIFS('Data BASE'!V$490:V$960,'Data BASE'!$M$490:$M$960,$B196,'Data BASE'!$K$490:$K$960,$B$181)</f>
        <v>0</v>
      </c>
      <c r="W196" s="73">
        <f>-SUMIFS('Data BASE'!W$490:W$960,'Data BASE'!$M$490:$M$960,$B196,'Data BASE'!$K$490:$K$960,$B$181)</f>
        <v>0</v>
      </c>
      <c r="X196" s="73">
        <f>-SUMIFS('Data BASE'!X$490:X$960,'Data BASE'!$M$490:$M$960,$B196,'Data BASE'!$K$490:$K$960,$B$181)</f>
        <v>0</v>
      </c>
      <c r="Y196" s="73">
        <f>-SUMIFS('Data BASE'!Y$490:Y$960,'Data BASE'!$M$490:$M$960,$B196,'Data BASE'!$K$490:$K$960,$B$181)</f>
        <v>0</v>
      </c>
      <c r="Z196" s="73">
        <f>-SUMIFS('Data BASE'!Z$490:Z$960,'Data BASE'!$M$490:$M$960,$B196,'Data BASE'!$K$490:$K$960,$B$181)</f>
        <v>0</v>
      </c>
      <c r="AA196" s="73">
        <f>-SUMIFS('Data BASE'!AA$490:AA$960,'Data BASE'!$M$490:$M$960,$B196,'Data BASE'!$K$490:$K$960,$B$181)</f>
        <v>0</v>
      </c>
      <c r="AB196" s="73">
        <f>-SUMIFS('Data BASE'!AB$490:AB$960,'Data BASE'!$M$490:$M$960,$B196,'Data BASE'!$K$490:$K$960,$B$181)</f>
        <v>0</v>
      </c>
      <c r="AC196" s="73">
        <f>-SUMIFS('Data BASE'!AC$490:AC$960,'Data BASE'!$M$490:$M$960,$B196,'Data BASE'!$K$490:$K$960,$B$181)</f>
        <v>0</v>
      </c>
      <c r="AD196" s="73">
        <f>-SUMIFS('Data BASE'!AD$490:AD$960,'Data BASE'!$M$490:$M$960,$B196,'Data BASE'!$K$490:$K$960,$B$181)</f>
        <v>0</v>
      </c>
      <c r="AE196" s="73">
        <f>-SUMIFS('Data BASE'!AE$490:AE$960,'Data BASE'!$M$490:$M$960,$B196,'Data BASE'!$K$490:$K$960,$B$181)</f>
        <v>0</v>
      </c>
      <c r="AF196" s="73">
        <f>-SUMIFS('Data BASE'!AF$490:AF$960,'Data BASE'!$M$490:$M$960,$B196,'Data BASE'!$K$490:$K$960,$B$181)</f>
        <v>0</v>
      </c>
      <c r="AG196" s="73">
        <f>-SUMIFS('Data BASE'!AG$490:AG$2000,'Data BASE'!$M$490:$M$2000,$B196,'Data BASE'!$K$490:$K$2000,$B$181)</f>
        <v>0</v>
      </c>
      <c r="AH196" s="73"/>
      <c r="AI196" s="73"/>
      <c r="AJ196" s="73"/>
      <c r="AK196" s="73"/>
      <c r="AL196" s="73"/>
      <c r="AM196" s="73"/>
      <c r="AN196" s="73"/>
      <c r="AO196" s="73"/>
      <c r="AP196" s="298"/>
      <c r="AQ196" s="73">
        <f t="shared" si="51"/>
        <v>0</v>
      </c>
      <c r="AR196" s="73">
        <f t="shared" si="51"/>
        <v>0</v>
      </c>
      <c r="AS196" s="73">
        <f t="shared" si="51"/>
        <v>0</v>
      </c>
      <c r="AT196" s="73">
        <f t="shared" si="51"/>
        <v>0</v>
      </c>
      <c r="AU196" s="73">
        <f t="shared" si="51"/>
        <v>0</v>
      </c>
      <c r="AV196" s="73">
        <f t="shared" si="51"/>
        <v>0</v>
      </c>
      <c r="AW196" s="73">
        <f t="shared" si="51"/>
        <v>0</v>
      </c>
      <c r="AX196" s="73">
        <f t="shared" si="51"/>
        <v>0</v>
      </c>
      <c r="AY196" s="298"/>
      <c r="AZ196" s="73">
        <f t="shared" si="52"/>
        <v>0</v>
      </c>
      <c r="BA196" s="73">
        <f t="shared" si="53"/>
        <v>0</v>
      </c>
      <c r="BB196" s="299"/>
      <c r="BC196" s="73">
        <f t="shared" si="54"/>
        <v>0</v>
      </c>
      <c r="BD196" s="73">
        <f t="shared" si="55"/>
        <v>0</v>
      </c>
      <c r="BE196" s="196">
        <f t="shared" si="56"/>
        <v>0</v>
      </c>
    </row>
    <row r="197" spans="2:57" outlineLevel="3" x14ac:dyDescent="0.45">
      <c r="B197" s="102" t="s">
        <v>542</v>
      </c>
      <c r="C197" s="268"/>
      <c r="D197" s="342"/>
      <c r="E197" s="304"/>
      <c r="F197" s="302"/>
      <c r="G197" s="302"/>
      <c r="H197" s="302"/>
      <c r="I197" s="302"/>
      <c r="J197" s="302"/>
      <c r="K197" s="302"/>
      <c r="L197" s="302"/>
      <c r="M197" s="302"/>
      <c r="N197" s="302"/>
      <c r="O197" s="302"/>
      <c r="P197" s="302"/>
      <c r="Q197" s="302"/>
      <c r="R197" s="73">
        <f>-SUMIFS('Data BASE'!R$490:R$960,'Data BASE'!$M$490:$M$960,$B197,'Data BASE'!$K$490:$K$960,$B$181)</f>
        <v>0</v>
      </c>
      <c r="S197" s="73">
        <f>-SUMIFS('Data BASE'!S$490:S$960,'Data BASE'!$M$490:$M$960,$B197,'Data BASE'!$K$490:$K$960,$B$181)</f>
        <v>0</v>
      </c>
      <c r="T197" s="73">
        <f>-SUMIFS('Data BASE'!T$490:T$960,'Data BASE'!$M$490:$M$960,$B197,'Data BASE'!$K$490:$K$960,$B$181)</f>
        <v>0</v>
      </c>
      <c r="U197" s="73">
        <f>-SUMIFS('Data BASE'!U$490:U$960,'Data BASE'!$M$490:$M$960,$B197,'Data BASE'!$K$490:$K$960,$B$181)</f>
        <v>0</v>
      </c>
      <c r="V197" s="73">
        <f>-SUMIFS('Data BASE'!V$490:V$960,'Data BASE'!$M$490:$M$960,$B197,'Data BASE'!$K$490:$K$960,$B$181)</f>
        <v>0</v>
      </c>
      <c r="W197" s="73">
        <f>-SUMIFS('Data BASE'!W$490:W$960,'Data BASE'!$M$490:$M$960,$B197,'Data BASE'!$K$490:$K$960,$B$181)</f>
        <v>0</v>
      </c>
      <c r="X197" s="73">
        <f>-SUMIFS('Data BASE'!X$490:X$960,'Data BASE'!$M$490:$M$960,$B197,'Data BASE'!$K$490:$K$960,$B$181)</f>
        <v>0</v>
      </c>
      <c r="Y197" s="73">
        <f>-SUMIFS('Data BASE'!Y$490:Y$960,'Data BASE'!$M$490:$M$960,$B197,'Data BASE'!$K$490:$K$960,$B$181)</f>
        <v>-104068.51</v>
      </c>
      <c r="Z197" s="73">
        <f>-SUMIFS('Data BASE'!Z$490:Z$960,'Data BASE'!$M$490:$M$960,$B197,'Data BASE'!$K$490:$K$960,$B$181)</f>
        <v>-109021.33</v>
      </c>
      <c r="AA197" s="73">
        <f>-SUMIFS('Data BASE'!AA$490:AA$960,'Data BASE'!$M$490:$M$960,$B197,'Data BASE'!$K$490:$K$960,$B$181)</f>
        <v>-106445.87</v>
      </c>
      <c r="AB197" s="73">
        <f>-SUMIFS('Data BASE'!AB$490:AB$960,'Data BASE'!$M$490:$M$960,$B197,'Data BASE'!$K$490:$K$960,$B$181)</f>
        <v>-111330.60000000002</v>
      </c>
      <c r="AC197" s="73">
        <f>-SUMIFS('Data BASE'!AC$490:AC$960,'Data BASE'!$M$490:$M$960,$B197,'Data BASE'!$K$490:$K$960,$B$181)</f>
        <v>-173254.25</v>
      </c>
      <c r="AD197" s="73">
        <f>-SUMIFS('Data BASE'!AD$490:AD$960,'Data BASE'!$M$490:$M$960,$B197,'Data BASE'!$K$490:$K$960,$B$181)</f>
        <v>-138292.21999999997</v>
      </c>
      <c r="AE197" s="73">
        <f>-SUMIFS('Data BASE'!AE$490:AE$960,'Data BASE'!$M$490:$M$960,$B197,'Data BASE'!$K$490:$K$960,$B$181)</f>
        <v>-143624.27000000002</v>
      </c>
      <c r="AF197" s="73">
        <f>-SUMIFS('Data BASE'!AF$490:AF$960,'Data BASE'!$M$490:$M$960,$B197,'Data BASE'!$K$490:$K$960,$B$181)</f>
        <v>-59301.959999999992</v>
      </c>
      <c r="AG197" s="73">
        <f>-SUMIFS('Data BASE'!AG$490:AG$2000,'Data BASE'!$M$490:$M$2000,$B197,'Data BASE'!$K$490:$K$2000,$B$181)</f>
        <v>-170944.58000000002</v>
      </c>
      <c r="AH197" s="73"/>
      <c r="AI197" s="73"/>
      <c r="AJ197" s="73"/>
      <c r="AK197" s="73"/>
      <c r="AL197" s="73"/>
      <c r="AM197" s="73"/>
      <c r="AN197" s="73"/>
      <c r="AO197" s="73"/>
      <c r="AP197" s="298"/>
      <c r="AQ197" s="73">
        <f t="shared" si="51"/>
        <v>0</v>
      </c>
      <c r="AR197" s="73">
        <f t="shared" si="51"/>
        <v>0</v>
      </c>
      <c r="AS197" s="73">
        <f t="shared" si="51"/>
        <v>-213089.84</v>
      </c>
      <c r="AT197" s="73">
        <f t="shared" si="51"/>
        <v>-391030.72000000003</v>
      </c>
      <c r="AU197" s="73">
        <f t="shared" si="51"/>
        <v>-341218.44999999995</v>
      </c>
      <c r="AV197" s="73">
        <f t="shared" si="51"/>
        <v>-170944.58000000002</v>
      </c>
      <c r="AW197" s="73">
        <f t="shared" si="51"/>
        <v>0</v>
      </c>
      <c r="AX197" s="73">
        <f t="shared" si="51"/>
        <v>0</v>
      </c>
      <c r="AY197" s="298"/>
      <c r="AZ197" s="73">
        <f t="shared" si="52"/>
        <v>-604120.56000000006</v>
      </c>
      <c r="BA197" s="73">
        <f t="shared" si="53"/>
        <v>-512163.02999999997</v>
      </c>
      <c r="BB197" s="299"/>
      <c r="BC197" s="73">
        <f t="shared" si="54"/>
        <v>0</v>
      </c>
      <c r="BD197" s="73">
        <f t="shared" si="55"/>
        <v>-512163.02999999997</v>
      </c>
      <c r="BE197" s="196">
        <f t="shared" si="56"/>
        <v>-111642.62000000002</v>
      </c>
    </row>
    <row r="198" spans="2:57" outlineLevel="3" x14ac:dyDescent="0.45">
      <c r="B198" s="102" t="s">
        <v>543</v>
      </c>
      <c r="C198" s="268"/>
      <c r="D198" s="342"/>
      <c r="E198" s="304"/>
      <c r="F198" s="302"/>
      <c r="G198" s="302"/>
      <c r="H198" s="302"/>
      <c r="I198" s="302"/>
      <c r="J198" s="302"/>
      <c r="K198" s="302"/>
      <c r="L198" s="302"/>
      <c r="M198" s="302"/>
      <c r="N198" s="302"/>
      <c r="O198" s="302"/>
      <c r="P198" s="302"/>
      <c r="Q198" s="302"/>
      <c r="R198" s="73">
        <f>-SUMIFS('Data BASE'!R$490:R$960,'Data BASE'!$M$490:$M$960,$B198,'Data BASE'!$K$490:$K$960,$B$181)</f>
        <v>0</v>
      </c>
      <c r="S198" s="73">
        <f>-SUMIFS('Data BASE'!S$490:S$960,'Data BASE'!$M$490:$M$960,$B198,'Data BASE'!$K$490:$K$960,$B$181)</f>
        <v>0</v>
      </c>
      <c r="T198" s="73">
        <f>-SUMIFS('Data BASE'!T$490:T$960,'Data BASE'!$M$490:$M$960,$B198,'Data BASE'!$K$490:$K$960,$B$181)</f>
        <v>0</v>
      </c>
      <c r="U198" s="73">
        <f>-SUMIFS('Data BASE'!U$490:U$960,'Data BASE'!$M$490:$M$960,$B198,'Data BASE'!$K$490:$K$960,$B$181)</f>
        <v>0</v>
      </c>
      <c r="V198" s="73">
        <f>-SUMIFS('Data BASE'!V$490:V$960,'Data BASE'!$M$490:$M$960,$B198,'Data BASE'!$K$490:$K$960,$B$181)</f>
        <v>0</v>
      </c>
      <c r="W198" s="73">
        <f>-SUMIFS('Data BASE'!W$490:W$960,'Data BASE'!$M$490:$M$960,$B198,'Data BASE'!$K$490:$K$960,$B$181)</f>
        <v>0</v>
      </c>
      <c r="X198" s="73">
        <f>-SUMIFS('Data BASE'!X$490:X$960,'Data BASE'!$M$490:$M$960,$B198,'Data BASE'!$K$490:$K$960,$B$181)</f>
        <v>0</v>
      </c>
      <c r="Y198" s="73">
        <f>-SUMIFS('Data BASE'!Y$490:Y$960,'Data BASE'!$M$490:$M$960,$B198,'Data BASE'!$K$490:$K$960,$B$181)</f>
        <v>0</v>
      </c>
      <c r="Z198" s="73">
        <f>-SUMIFS('Data BASE'!Z$490:Z$960,'Data BASE'!$M$490:$M$960,$B198,'Data BASE'!$K$490:$K$960,$B$181)</f>
        <v>0</v>
      </c>
      <c r="AA198" s="73">
        <f>-SUMIFS('Data BASE'!AA$490:AA$960,'Data BASE'!$M$490:$M$960,$B198,'Data BASE'!$K$490:$K$960,$B$181)</f>
        <v>0</v>
      </c>
      <c r="AB198" s="73">
        <f>-SUMIFS('Data BASE'!AB$490:AB$960,'Data BASE'!$M$490:$M$960,$B198,'Data BASE'!$K$490:$K$960,$B$181)</f>
        <v>0</v>
      </c>
      <c r="AC198" s="73">
        <f>-SUMIFS('Data BASE'!AC$490:AC$960,'Data BASE'!$M$490:$M$960,$B198,'Data BASE'!$K$490:$K$960,$B$181)</f>
        <v>0</v>
      </c>
      <c r="AD198" s="73">
        <f>-SUMIFS('Data BASE'!AD$490:AD$960,'Data BASE'!$M$490:$M$960,$B198,'Data BASE'!$K$490:$K$960,$B$181)</f>
        <v>0</v>
      </c>
      <c r="AE198" s="73">
        <f>-SUMIFS('Data BASE'!AE$490:AE$960,'Data BASE'!$M$490:$M$960,$B198,'Data BASE'!$K$490:$K$960,$B$181)</f>
        <v>0</v>
      </c>
      <c r="AF198" s="73">
        <f>-SUMIFS('Data BASE'!AF$490:AF$960,'Data BASE'!$M$490:$M$960,$B198,'Data BASE'!$K$490:$K$960,$B$181)</f>
        <v>0</v>
      </c>
      <c r="AG198" s="73">
        <f>-SUMIFS('Data BASE'!AG$490:AG$2000,'Data BASE'!$M$490:$M$2000,$B198,'Data BASE'!$K$490:$K$2000,$B$181)</f>
        <v>0</v>
      </c>
      <c r="AH198" s="73"/>
      <c r="AI198" s="73"/>
      <c r="AJ198" s="73"/>
      <c r="AK198" s="73"/>
      <c r="AL198" s="73"/>
      <c r="AM198" s="73"/>
      <c r="AN198" s="73"/>
      <c r="AO198" s="73"/>
      <c r="AP198" s="298"/>
      <c r="AQ198" s="73">
        <f t="shared" si="51"/>
        <v>0</v>
      </c>
      <c r="AR198" s="73">
        <f t="shared" si="51"/>
        <v>0</v>
      </c>
      <c r="AS198" s="73">
        <f t="shared" si="51"/>
        <v>0</v>
      </c>
      <c r="AT198" s="73">
        <f t="shared" si="51"/>
        <v>0</v>
      </c>
      <c r="AU198" s="73">
        <f t="shared" si="51"/>
        <v>0</v>
      </c>
      <c r="AV198" s="73">
        <f t="shared" si="51"/>
        <v>0</v>
      </c>
      <c r="AW198" s="73">
        <f t="shared" si="51"/>
        <v>0</v>
      </c>
      <c r="AX198" s="73">
        <f t="shared" si="51"/>
        <v>0</v>
      </c>
      <c r="AY198" s="298"/>
      <c r="AZ198" s="73">
        <f t="shared" si="52"/>
        <v>0</v>
      </c>
      <c r="BA198" s="73">
        <f t="shared" si="53"/>
        <v>0</v>
      </c>
      <c r="BB198" s="299"/>
      <c r="BC198" s="73">
        <f t="shared" si="54"/>
        <v>0</v>
      </c>
      <c r="BD198" s="73">
        <f t="shared" si="55"/>
        <v>0</v>
      </c>
      <c r="BE198" s="196">
        <f t="shared" si="56"/>
        <v>0</v>
      </c>
    </row>
    <row r="199" spans="2:57" outlineLevel="2" x14ac:dyDescent="0.45">
      <c r="B199" s="102" t="s">
        <v>487</v>
      </c>
      <c r="C199" s="268"/>
      <c r="D199" s="342"/>
      <c r="E199" s="304"/>
      <c r="F199" s="302"/>
      <c r="G199" s="302"/>
      <c r="H199" s="302"/>
      <c r="I199" s="302"/>
      <c r="J199" s="302"/>
      <c r="K199" s="302"/>
      <c r="L199" s="302"/>
      <c r="M199" s="302"/>
      <c r="N199" s="302"/>
      <c r="O199" s="302"/>
      <c r="P199" s="302"/>
      <c r="Q199" s="302"/>
      <c r="R199" s="548">
        <f>-SUMIFS('Data BASE'!R$490:R$960,'Data BASE'!$M$490:$M$960,$B199,'Data BASE'!$K$490:$K$960,$B$212)</f>
        <v>-116999.99</v>
      </c>
      <c r="S199" s="73">
        <f>-SUMIFS('Data BASE'!S$490:S$960,'Data BASE'!$M$490:$M$960,$B199,'Data BASE'!$K$490:$K$960,$B$212)</f>
        <v>-70999.999999999985</v>
      </c>
      <c r="T199" s="73">
        <f>-SUMIFS('Data BASE'!T$490:T$960,'Data BASE'!$M$490:$M$960,$B199,'Data BASE'!$K$490:$K$960,$B$212)</f>
        <v>-29999.989999999991</v>
      </c>
      <c r="U199" s="73">
        <f>-SUMIFS('Data BASE'!U$490:U$960,'Data BASE'!$M$490:$M$960,$B199,'Data BASE'!$K$490:$K$960,$B$212)</f>
        <v>-96999.990000000049</v>
      </c>
      <c r="V199" s="73">
        <f>-SUMIFS('Data BASE'!V$490:V$960,'Data BASE'!$M$490:$M$960,$B199,'Data BASE'!$K$490:$K$960,$B$212)</f>
        <v>-20129.999999999942</v>
      </c>
      <c r="W199" s="73">
        <f>-SUMIFS('Data BASE'!W$490:W$960,'Data BASE'!$M$490:$M$960,$B199,'Data BASE'!$K$490:$K$960,$B$212)</f>
        <v>-131999.99</v>
      </c>
      <c r="X199" s="73">
        <f>-SUMIFS('Data BASE'!X$490:X$960,'Data BASE'!$M$490:$M$960,$B199,'Data BASE'!$K$490:$K$960,$B$212)</f>
        <v>-26000.000000000058</v>
      </c>
      <c r="Y199" s="73">
        <f>-SUMIFS('Data BASE'!Y$490:Y$960,'Data BASE'!$M$490:$M$960,$B199,'Data BASE'!$K$490:$K$960,$B$212)</f>
        <v>-190999.99999999994</v>
      </c>
      <c r="Z199" s="73">
        <f>-SUMIFS('Data BASE'!Z$490:Z$960,'Data BASE'!$M$490:$M$960,$B199,'Data BASE'!$K$490:$K$960,$B$212)</f>
        <v>-41298.270000000019</v>
      </c>
      <c r="AA199" s="73">
        <f>-SUMIFS('Data BASE'!AA$490:AA$960,'Data BASE'!$M$490:$M$960,$B199,'Data BASE'!$K$490:$K$960,$B$212)</f>
        <v>-110344.82000000007</v>
      </c>
      <c r="AB199" s="73">
        <f>-SUMIFS('Data BASE'!AB$490:AB$960,'Data BASE'!$M$490:$M$960,$B199,'Data BASE'!$K$490:$K$960,$B$212)</f>
        <v>0</v>
      </c>
      <c r="AC199" s="73">
        <f>-SUMIFS('Data BASE'!AC$490:AC$960,'Data BASE'!$M$490:$M$960,$B199,'Data BASE'!$K$490:$K$960,$B$212)</f>
        <v>-262125</v>
      </c>
      <c r="AD199" s="73">
        <f>-SUMIFS('Data BASE'!AD$490:AD$960,'Data BASE'!$M$490:$M$960,$B199,'Data BASE'!$K$490:$K$960,$B$212)</f>
        <v>-90080.89</v>
      </c>
      <c r="AE199" s="73">
        <f>-SUMIFS('Data BASE'!AE$490:AE$960,'Data BASE'!$M$490:$M$960,$B199,'Data BASE'!$K$490:$K$960,$B$212)</f>
        <v>-51890.000000000015</v>
      </c>
      <c r="AF199" s="73">
        <f>-SUMIFS('Data BASE'!AF$490:AF$960,'Data BASE'!$M$490:$M$960,$B199,'Data BASE'!$K$490:$K$960,$B$212)</f>
        <v>-139531.53999999998</v>
      </c>
      <c r="AG199" s="73">
        <f>-SUMIFS('Data BASE'!AG$490:AG$2000,'Data BASE'!$M$490:$M$2000,$B199,'Data BASE'!$K$490:$K$2000,$B$212)</f>
        <v>-834134.48</v>
      </c>
      <c r="AH199" s="73"/>
      <c r="AI199" s="73"/>
      <c r="AJ199" s="73"/>
      <c r="AK199" s="73"/>
      <c r="AL199" s="73"/>
      <c r="AM199" s="73"/>
      <c r="AN199" s="73"/>
      <c r="AO199" s="73"/>
      <c r="AP199" s="298"/>
      <c r="AQ199" s="73">
        <f t="shared" si="51"/>
        <v>-217999.97999999998</v>
      </c>
      <c r="AR199" s="73">
        <f t="shared" si="51"/>
        <v>-249129.97999999998</v>
      </c>
      <c r="AS199" s="73">
        <f t="shared" si="51"/>
        <v>-258298.27000000002</v>
      </c>
      <c r="AT199" s="73">
        <f t="shared" si="51"/>
        <v>-372469.82000000007</v>
      </c>
      <c r="AU199" s="73">
        <f t="shared" si="51"/>
        <v>-281502.43</v>
      </c>
      <c r="AV199" s="73">
        <f t="shared" si="51"/>
        <v>-834134.48</v>
      </c>
      <c r="AW199" s="73">
        <f t="shared" si="51"/>
        <v>0</v>
      </c>
      <c r="AX199" s="73">
        <f t="shared" si="51"/>
        <v>0</v>
      </c>
      <c r="AY199" s="298"/>
      <c r="AZ199" s="73">
        <f t="shared" si="52"/>
        <v>-1097898.05</v>
      </c>
      <c r="BA199" s="73">
        <f t="shared" si="53"/>
        <v>-1115636.9099999999</v>
      </c>
      <c r="BB199" s="299"/>
      <c r="BC199" s="73">
        <f t="shared" si="54"/>
        <v>-116999.99</v>
      </c>
      <c r="BD199" s="73">
        <f t="shared" si="55"/>
        <v>-1115636.9099999999</v>
      </c>
      <c r="BE199" s="196">
        <f t="shared" si="56"/>
        <v>-694602.94</v>
      </c>
    </row>
    <row r="200" spans="2:57" outlineLevel="2" x14ac:dyDescent="0.45">
      <c r="B200" s="102" t="s">
        <v>503</v>
      </c>
      <c r="C200" s="268"/>
      <c r="D200" s="342"/>
      <c r="E200" s="304"/>
      <c r="F200" s="302"/>
      <c r="G200" s="302"/>
      <c r="H200" s="302"/>
      <c r="I200" s="302"/>
      <c r="J200" s="302"/>
      <c r="K200" s="302"/>
      <c r="L200" s="302"/>
      <c r="M200" s="302"/>
      <c r="N200" s="302"/>
      <c r="O200" s="302"/>
      <c r="P200" s="302"/>
      <c r="Q200" s="302"/>
      <c r="R200" s="548">
        <f>-SUMIFS('Data BASE'!R$490:R$960,'Data BASE'!$M$490:$M$960,$B200,'Data BASE'!$K$490:$K$960,$B$212)</f>
        <v>-36368.32</v>
      </c>
      <c r="S200" s="73">
        <f>-SUMIFS('Data BASE'!S$490:S$960,'Data BASE'!$M$490:$M$960,$B200,'Data BASE'!$K$490:$K$960,$B$212)</f>
        <v>-15966.66</v>
      </c>
      <c r="T200" s="73">
        <f>-SUMIFS('Data BASE'!T$490:T$960,'Data BASE'!$M$490:$M$960,$B200,'Data BASE'!$K$490:$K$960,$B$212)</f>
        <v>-323466.66000000003</v>
      </c>
      <c r="U200" s="73">
        <f>-SUMIFS('Data BASE'!U$490:U$960,'Data BASE'!$M$490:$M$960,$B200,'Data BASE'!$K$490:$K$960,$B$212)</f>
        <v>-184894.65999999997</v>
      </c>
      <c r="V200" s="73">
        <f>-SUMIFS('Data BASE'!V$490:V$960,'Data BASE'!$M$490:$M$960,$B200,'Data BASE'!$K$490:$K$960,$B$212)</f>
        <v>-19450.660000000003</v>
      </c>
      <c r="W200" s="73">
        <f>-SUMIFS('Data BASE'!W$490:W$960,'Data BASE'!$M$490:$M$960,$B200,'Data BASE'!$K$490:$K$960,$B$212)</f>
        <v>-151099.66000000003</v>
      </c>
      <c r="X200" s="73">
        <f>-SUMIFS('Data BASE'!X$490:X$960,'Data BASE'!$M$490:$M$960,$B200,'Data BASE'!$K$490:$K$960,$B$212)</f>
        <v>-261527.91999999998</v>
      </c>
      <c r="Y200" s="73">
        <f>-SUMIFS('Data BASE'!Y$490:Y$960,'Data BASE'!$M$490:$M$960,$B200,'Data BASE'!$K$490:$K$960,$B$212)</f>
        <v>-146315.66</v>
      </c>
      <c r="Z200" s="73">
        <f>-SUMIFS('Data BASE'!Z$490:Z$960,'Data BASE'!$M$490:$M$960,$B200,'Data BASE'!$K$490:$K$960,$B$212)</f>
        <v>-232912.66</v>
      </c>
      <c r="AA200" s="73">
        <f>-SUMIFS('Data BASE'!AA$490:AA$960,'Data BASE'!$M$490:$M$960,$B200,'Data BASE'!$K$490:$K$960,$B$212)</f>
        <v>-377716.99999999988</v>
      </c>
      <c r="AB200" s="73">
        <f>-SUMIFS('Data BASE'!AB$490:AB$960,'Data BASE'!$M$490:$M$960,$B200,'Data BASE'!$K$490:$K$960,$B$212)</f>
        <v>-578634</v>
      </c>
      <c r="AC200" s="73">
        <f>-SUMIFS('Data BASE'!AC$490:AC$960,'Data BASE'!$M$490:$M$960,$B200,'Data BASE'!$K$490:$K$960,$B$212)</f>
        <v>-343724.51999999996</v>
      </c>
      <c r="AD200" s="73">
        <f>-SUMIFS('Data BASE'!AD$490:AD$960,'Data BASE'!$M$490:$M$960,$B200,'Data BASE'!$K$490:$K$960,$B$212)</f>
        <v>-60797</v>
      </c>
      <c r="AE200" s="73">
        <f>-SUMIFS('Data BASE'!AE$490:AE$960,'Data BASE'!$M$490:$M$960,$B200,'Data BASE'!$K$490:$K$960,$B$212)</f>
        <v>-328174.52999999997</v>
      </c>
      <c r="AF200" s="73">
        <f>-SUMIFS('Data BASE'!AF$490:AF$960,'Data BASE'!$M$490:$M$960,$B200,'Data BASE'!$K$490:$K$960,$B$212)</f>
        <v>-418400.93</v>
      </c>
      <c r="AG200" s="73">
        <f>-SUMIFS('Data BASE'!AG$490:AG$2000,'Data BASE'!$M$490:$M$2000,$B200,'Data BASE'!$K$490:$K$2000,$B$212)</f>
        <v>-494125.82000000007</v>
      </c>
      <c r="AH200" s="73"/>
      <c r="AI200" s="73"/>
      <c r="AJ200" s="73"/>
      <c r="AK200" s="73"/>
      <c r="AL200" s="73"/>
      <c r="AM200" s="73"/>
      <c r="AN200" s="73"/>
      <c r="AO200" s="73"/>
      <c r="AP200" s="298"/>
      <c r="AQ200" s="73">
        <f t="shared" si="51"/>
        <v>-375801.64</v>
      </c>
      <c r="AR200" s="73">
        <f t="shared" si="51"/>
        <v>-355444.98</v>
      </c>
      <c r="AS200" s="73">
        <f t="shared" si="51"/>
        <v>-640756.24</v>
      </c>
      <c r="AT200" s="73">
        <f t="shared" si="51"/>
        <v>-1300075.5199999998</v>
      </c>
      <c r="AU200" s="73">
        <f t="shared" si="51"/>
        <v>-807372.46</v>
      </c>
      <c r="AV200" s="73">
        <f t="shared" si="51"/>
        <v>-494125.82000000007</v>
      </c>
      <c r="AW200" s="73">
        <f t="shared" si="51"/>
        <v>0</v>
      </c>
      <c r="AX200" s="73">
        <f t="shared" si="51"/>
        <v>0</v>
      </c>
      <c r="AY200" s="298"/>
      <c r="AZ200" s="73">
        <f t="shared" si="52"/>
        <v>-2672078.38</v>
      </c>
      <c r="BA200" s="73">
        <f t="shared" si="53"/>
        <v>-1301498.28</v>
      </c>
      <c r="BB200" s="299"/>
      <c r="BC200" s="73">
        <f t="shared" si="54"/>
        <v>-36368.32</v>
      </c>
      <c r="BD200" s="73">
        <f t="shared" si="55"/>
        <v>-1301498.28</v>
      </c>
      <c r="BE200" s="196">
        <f t="shared" si="56"/>
        <v>-75724.890000000072</v>
      </c>
    </row>
    <row r="201" spans="2:57" outlineLevel="2" x14ac:dyDescent="0.45">
      <c r="B201" s="102" t="s">
        <v>904</v>
      </c>
      <c r="C201" s="268"/>
      <c r="D201" s="342"/>
      <c r="E201" s="304"/>
      <c r="F201" s="302"/>
      <c r="G201" s="302"/>
      <c r="H201" s="302"/>
      <c r="I201" s="302"/>
      <c r="J201" s="302"/>
      <c r="K201" s="302"/>
      <c r="L201" s="302"/>
      <c r="M201" s="302"/>
      <c r="N201" s="302"/>
      <c r="O201" s="302"/>
      <c r="P201" s="302"/>
      <c r="Q201" s="302"/>
      <c r="R201" s="548">
        <f>-SUMIFS('Data BASE'!R$490:R$960,'Data BASE'!$M$490:$M$960,$B201,'Data BASE'!$K$490:$K$960,$B$212)</f>
        <v>0</v>
      </c>
      <c r="S201" s="73">
        <f>-SUMIFS('Data BASE'!S$490:S$960,'Data BASE'!$M$490:$M$960,$B201,'Data BASE'!$K$490:$K$960,$B$212)</f>
        <v>0</v>
      </c>
      <c r="T201" s="73">
        <f>-SUMIFS('Data BASE'!T$490:T$960,'Data BASE'!$M$490:$M$960,$B201,'Data BASE'!$K$490:$K$960,$B$212)</f>
        <v>-11122</v>
      </c>
      <c r="U201" s="73">
        <f>-SUMIFS('Data BASE'!U$490:U$960,'Data BASE'!$M$490:$M$960,$B201,'Data BASE'!$K$490:$K$960,$B$212)</f>
        <v>0</v>
      </c>
      <c r="V201" s="73">
        <f>-SUMIFS('Data BASE'!V$490:V$960,'Data BASE'!$M$490:$M$960,$B201,'Data BASE'!$K$490:$K$960,$B$212)</f>
        <v>-8337.34</v>
      </c>
      <c r="W201" s="73">
        <f>-SUMIFS('Data BASE'!W$490:W$960,'Data BASE'!$M$490:$M$960,$B201,'Data BASE'!$K$490:$K$960,$B$212)</f>
        <v>-25745.359999999997</v>
      </c>
      <c r="X201" s="73">
        <f>-SUMIFS('Data BASE'!X$490:X$960,'Data BASE'!$M$490:$M$960,$B201,'Data BASE'!$K$490:$K$960,$B$212)</f>
        <v>-5782.8000000000029</v>
      </c>
      <c r="Y201" s="73">
        <f>-SUMIFS('Data BASE'!Y$490:Y$960,'Data BASE'!$M$490:$M$960,$B201,'Data BASE'!$K$490:$K$960,$B$212)</f>
        <v>-36942.710000000006</v>
      </c>
      <c r="Z201" s="73">
        <f>-SUMIFS('Data BASE'!Z$490:Z$960,'Data BASE'!$M$490:$M$960,$B201,'Data BASE'!$K$490:$K$960,$B$212)</f>
        <v>-24748.210000000006</v>
      </c>
      <c r="AA201" s="73">
        <f>-SUMIFS('Data BASE'!AA$490:AA$960,'Data BASE'!$M$490:$M$960,$B201,'Data BASE'!$K$490:$K$960,$B$212)</f>
        <v>-35737.729999999981</v>
      </c>
      <c r="AB201" s="73">
        <f>-SUMIFS('Data BASE'!AB$490:AB$960,'Data BASE'!$M$490:$M$960,$B201,'Data BASE'!$K$490:$K$960,$B$212)</f>
        <v>-26935.279999999999</v>
      </c>
      <c r="AC201" s="73">
        <f>-SUMIFS('Data BASE'!AC$490:AC$960,'Data BASE'!$M$490:$M$960,$B201,'Data BASE'!$K$490:$K$960,$B$212)</f>
        <v>-29138.630000000005</v>
      </c>
      <c r="AD201" s="73">
        <f>-SUMIFS('Data BASE'!AD$490:AD$960,'Data BASE'!$M$490:$M$960,$B201,'Data BASE'!$K$490:$K$960,$B$212)</f>
        <v>-54941.599999999999</v>
      </c>
      <c r="AE201" s="73">
        <f>-SUMIFS('Data BASE'!AE$490:AE$960,'Data BASE'!$M$490:$M$960,$B201,'Data BASE'!$K$490:$K$960,$B$212)</f>
        <v>-47935.98</v>
      </c>
      <c r="AF201" s="73">
        <f>-SUMIFS('Data BASE'!AF$490:AF$960,'Data BASE'!$M$490:$M$960,$B201,'Data BASE'!$K$490:$K$960,$B$212)</f>
        <v>-96832.04</v>
      </c>
      <c r="AG201" s="73">
        <f>-SUMIFS('Data BASE'!AG$490:AG$2000,'Data BASE'!$M$490:$M$2000,$B201,'Data BASE'!$K$490:$K$2000,$B$212)</f>
        <v>-47103.37</v>
      </c>
      <c r="AH201" s="73"/>
      <c r="AI201" s="73"/>
      <c r="AJ201" s="73"/>
      <c r="AK201" s="73"/>
      <c r="AL201" s="73"/>
      <c r="AM201" s="73"/>
      <c r="AN201" s="73"/>
      <c r="AO201" s="73"/>
      <c r="AP201" s="298"/>
      <c r="AQ201" s="73">
        <f t="shared" si="51"/>
        <v>-11122</v>
      </c>
      <c r="AR201" s="73">
        <f t="shared" si="51"/>
        <v>-34082.699999999997</v>
      </c>
      <c r="AS201" s="73">
        <f t="shared" si="51"/>
        <v>-67473.720000000016</v>
      </c>
      <c r="AT201" s="73">
        <f t="shared" si="51"/>
        <v>-91811.639999999985</v>
      </c>
      <c r="AU201" s="73">
        <f t="shared" si="51"/>
        <v>-199709.62</v>
      </c>
      <c r="AV201" s="73">
        <f t="shared" si="51"/>
        <v>-47103.37</v>
      </c>
      <c r="AW201" s="73">
        <f t="shared" si="51"/>
        <v>0</v>
      </c>
      <c r="AX201" s="73">
        <f t="shared" si="51"/>
        <v>0</v>
      </c>
      <c r="AY201" s="298"/>
      <c r="AZ201" s="73">
        <f t="shared" si="52"/>
        <v>-204490.06</v>
      </c>
      <c r="BA201" s="73">
        <f t="shared" si="53"/>
        <v>-246812.99</v>
      </c>
      <c r="BB201" s="299"/>
      <c r="BC201" s="73">
        <f t="shared" si="54"/>
        <v>0</v>
      </c>
      <c r="BD201" s="73">
        <f t="shared" si="55"/>
        <v>-246812.99</v>
      </c>
      <c r="BE201" s="196">
        <f t="shared" si="56"/>
        <v>49728.669999999991</v>
      </c>
    </row>
    <row r="202" spans="2:57" outlineLevel="2" x14ac:dyDescent="0.45">
      <c r="B202" s="102" t="s">
        <v>937</v>
      </c>
      <c r="C202" s="268"/>
      <c r="D202" s="342"/>
      <c r="E202" s="304"/>
      <c r="F202" s="302"/>
      <c r="G202" s="302"/>
      <c r="H202" s="302"/>
      <c r="I202" s="302"/>
      <c r="J202" s="302"/>
      <c r="K202" s="302"/>
      <c r="L202" s="302"/>
      <c r="M202" s="302"/>
      <c r="N202" s="302"/>
      <c r="O202" s="302"/>
      <c r="P202" s="302"/>
      <c r="Q202" s="302"/>
      <c r="R202" s="548">
        <f>-SUMIFS('Data BASE'!R$490:R$960,'Data BASE'!$M$490:$M$960,$B202,'Data BASE'!$K$490:$K$960,$B$212)</f>
        <v>0</v>
      </c>
      <c r="S202" s="73">
        <f>-SUMIFS('Data BASE'!S$490:S$960,'Data BASE'!$M$490:$M$960,$B202,'Data BASE'!$K$490:$K$960,$B$212)</f>
        <v>0</v>
      </c>
      <c r="T202" s="73">
        <f>-SUMIFS('Data BASE'!T$490:T$960,'Data BASE'!$M$490:$M$960,$B202,'Data BASE'!$K$490:$K$960,$B$212)</f>
        <v>0</v>
      </c>
      <c r="U202" s="73">
        <f>-SUMIFS('Data BASE'!U$490:U$960,'Data BASE'!$M$490:$M$960,$B202,'Data BASE'!$K$490:$K$960,$B$212)</f>
        <v>0</v>
      </c>
      <c r="V202" s="73">
        <f>-SUMIFS('Data BASE'!V$490:V$960,'Data BASE'!$M$490:$M$960,$B202,'Data BASE'!$K$490:$K$960,$B$212)</f>
        <v>0</v>
      </c>
      <c r="W202" s="73">
        <f>-SUMIFS('Data BASE'!W$490:W$960,'Data BASE'!$M$490:$M$960,$B202,'Data BASE'!$K$490:$K$960,$B$212)</f>
        <v>0</v>
      </c>
      <c r="X202" s="73">
        <f>-SUMIFS('Data BASE'!X$490:X$960,'Data BASE'!$M$490:$M$960,$B202,'Data BASE'!$K$490:$K$960,$B$212)</f>
        <v>0</v>
      </c>
      <c r="Y202" s="73">
        <f>-SUMIFS('Data BASE'!Y$490:Y$960,'Data BASE'!$M$490:$M$960,$B202,'Data BASE'!$K$490:$K$960,$B$212)</f>
        <v>0</v>
      </c>
      <c r="Z202" s="73">
        <f>-SUMIFS('Data BASE'!Z$490:Z$960,'Data BASE'!$M$490:$M$960,$B202,'Data BASE'!$K$490:$K$960,$B$212)</f>
        <v>-23232</v>
      </c>
      <c r="AA202" s="73">
        <f>-SUMIFS('Data BASE'!AA$490:AA$960,'Data BASE'!$M$490:$M$960,$B202,'Data BASE'!$K$490:$K$960,$B$212)</f>
        <v>0</v>
      </c>
      <c r="AB202" s="73">
        <f>-SUMIFS('Data BASE'!AB$490:AB$960,'Data BASE'!$M$490:$M$960,$B202,'Data BASE'!$K$490:$K$960,$B$212)</f>
        <v>0</v>
      </c>
      <c r="AC202" s="73">
        <f>-SUMIFS('Data BASE'!AC$490:AC$960,'Data BASE'!$M$490:$M$960,$B202,'Data BASE'!$K$490:$K$960,$B$212)</f>
        <v>0</v>
      </c>
      <c r="AD202" s="73">
        <f>-SUMIFS('Data BASE'!AD$490:AD$960,'Data BASE'!$M$490:$M$960,$B202,'Data BASE'!$K$490:$K$960,$B$212)</f>
        <v>0</v>
      </c>
      <c r="AE202" s="73">
        <f>-SUMIFS('Data BASE'!AE$490:AE$960,'Data BASE'!$M$490:$M$960,$B202,'Data BASE'!$K$490:$K$960,$B$212)</f>
        <v>-66751.02</v>
      </c>
      <c r="AF202" s="73">
        <f>-SUMIFS('Data BASE'!AF$490:AF$960,'Data BASE'!$M$490:$M$960,$B202,'Data BASE'!$K$490:$K$960,$B$212)</f>
        <v>-12510</v>
      </c>
      <c r="AG202" s="73">
        <f>-SUMIFS('Data BASE'!AG$490:AG$2000,'Data BASE'!$M$490:$M$2000,$B202,'Data BASE'!$K$490:$K$2000,$B$212)</f>
        <v>0</v>
      </c>
      <c r="AH202" s="73"/>
      <c r="AI202" s="73"/>
      <c r="AJ202" s="73"/>
      <c r="AK202" s="73"/>
      <c r="AL202" s="73"/>
      <c r="AM202" s="73"/>
      <c r="AN202" s="73"/>
      <c r="AO202" s="73"/>
      <c r="AP202" s="298"/>
      <c r="AQ202" s="73">
        <f t="shared" si="51"/>
        <v>0</v>
      </c>
      <c r="AR202" s="73">
        <f t="shared" si="51"/>
        <v>0</v>
      </c>
      <c r="AS202" s="73">
        <f t="shared" si="51"/>
        <v>-23232</v>
      </c>
      <c r="AT202" s="73">
        <f t="shared" si="51"/>
        <v>0</v>
      </c>
      <c r="AU202" s="73">
        <f t="shared" si="51"/>
        <v>-79261.02</v>
      </c>
      <c r="AV202" s="73">
        <f t="shared" si="51"/>
        <v>0</v>
      </c>
      <c r="AW202" s="73">
        <f t="shared" si="51"/>
        <v>0</v>
      </c>
      <c r="AX202" s="73">
        <f t="shared" si="51"/>
        <v>0</v>
      </c>
      <c r="AY202" s="298"/>
      <c r="AZ202" s="73">
        <f t="shared" si="52"/>
        <v>-23232</v>
      </c>
      <c r="BA202" s="73">
        <f t="shared" si="53"/>
        <v>-79261.02</v>
      </c>
      <c r="BB202" s="299"/>
      <c r="BC202" s="73">
        <f t="shared" si="54"/>
        <v>0</v>
      </c>
      <c r="BD202" s="73">
        <f t="shared" si="55"/>
        <v>-79261.02</v>
      </c>
      <c r="BE202" s="196">
        <f t="shared" si="56"/>
        <v>12510</v>
      </c>
    </row>
    <row r="203" spans="2:57" outlineLevel="2" x14ac:dyDescent="0.45">
      <c r="B203" s="102" t="s">
        <v>894</v>
      </c>
      <c r="C203" s="268"/>
      <c r="D203" s="342"/>
      <c r="E203" s="304"/>
      <c r="F203" s="302"/>
      <c r="G203" s="302"/>
      <c r="H203" s="302"/>
      <c r="I203" s="302"/>
      <c r="J203" s="302"/>
      <c r="K203" s="302"/>
      <c r="L203" s="302"/>
      <c r="M203" s="302"/>
      <c r="N203" s="302"/>
      <c r="O203" s="302"/>
      <c r="P203" s="302"/>
      <c r="Q203" s="302"/>
      <c r="R203" s="548">
        <f>-SUMIFS('Data BASE'!R$490:R$960,'Data BASE'!$M$490:$M$960,$B203,'Data BASE'!$K$490:$K$960,$B$212)</f>
        <v>0</v>
      </c>
      <c r="S203" s="548">
        <f>-SUMIFS('Data BASE'!S$490:S$960,'Data BASE'!$M$490:$M$960,$B203,'Data BASE'!$K$490:$K$960,$B$212)</f>
        <v>0</v>
      </c>
      <c r="T203" s="548">
        <f>-SUMIFS('Data BASE'!T$490:T$960,'Data BASE'!$M$490:$M$960,$B203,'Data BASE'!$K$490:$K$960,$B$212)</f>
        <v>0</v>
      </c>
      <c r="U203" s="548">
        <f>-SUMIFS('Data BASE'!U$490:U$960,'Data BASE'!$M$490:$M$960,$B203,'Data BASE'!$K$490:$K$960,$B$212)</f>
        <v>0</v>
      </c>
      <c r="V203" s="548">
        <f>-SUMIFS('Data BASE'!V$490:V$960,'Data BASE'!$M$490:$M$960,$B203,'Data BASE'!$K$490:$K$960,$B$212)</f>
        <v>0</v>
      </c>
      <c r="W203" s="548">
        <f>-SUMIFS('Data BASE'!W$490:W$960,'Data BASE'!$M$490:$M$960,$B203,'Data BASE'!$K$490:$K$960,$B$212)</f>
        <v>0</v>
      </c>
      <c r="X203" s="548">
        <f>-SUMIFS('Data BASE'!X$490:X$960,'Data BASE'!$M$490:$M$960,$B203,'Data BASE'!$K$490:$K$960,$B$212)</f>
        <v>0</v>
      </c>
      <c r="Y203" s="548">
        <f>-SUMIFS('Data BASE'!Y$490:Y$960,'Data BASE'!$M$490:$M$960,$B203,'Data BASE'!$K$490:$K$960,$B$212)</f>
        <v>0</v>
      </c>
      <c r="Z203" s="548">
        <f>-SUMIFS('Data BASE'!Z$490:Z$960,'Data BASE'!$M$490:$M$960,$B203,'Data BASE'!$K$490:$K$960,$B$212)</f>
        <v>-43680</v>
      </c>
      <c r="AA203" s="548">
        <f>-SUMIFS('Data BASE'!AA$490:AA$960,'Data BASE'!$M$490:$M$960,$B203,'Data BASE'!$K$490:$K$960,$B$212)</f>
        <v>0</v>
      </c>
      <c r="AB203" s="548">
        <f>-SUMIFS('Data BASE'!AB$490:AB$960,'Data BASE'!$M$490:$M$960,$B203,'Data BASE'!$K$490:$K$960,$B$212)</f>
        <v>-34499</v>
      </c>
      <c r="AC203" s="548">
        <f>-SUMIFS('Data BASE'!AC$490:AC$960,'Data BASE'!$M$490:$M$960,$B203,'Data BASE'!$K$490:$K$960,$B$212)</f>
        <v>0</v>
      </c>
      <c r="AD203" s="73">
        <f>-SUMIFS('Data BASE'!AD$490:AD$960,'Data BASE'!$M$490:$M$960,$B203,'Data BASE'!$K$490:$K$960,$B$212)</f>
        <v>0</v>
      </c>
      <c r="AE203" s="73">
        <f>-SUMIFS('Data BASE'!AE$490:AE$960,'Data BASE'!$M$490:$M$960,$B203,'Data BASE'!$K$490:$K$960,$B$212)</f>
        <v>0</v>
      </c>
      <c r="AF203" s="73">
        <f>-SUMIFS('Data BASE'!AF$490:AF$960,'Data BASE'!$M$490:$M$960,$B203,'Data BASE'!$K$490:$K$960,$B$212)</f>
        <v>0</v>
      </c>
      <c r="AG203" s="73">
        <f>-SUMIFS('Data BASE'!AG$490:AG$2000,'Data BASE'!$M$490:$M$2000,$B203,'Data BASE'!$K$490:$K$2000,$B$212)</f>
        <v>0</v>
      </c>
      <c r="AH203" s="73"/>
      <c r="AI203" s="73"/>
      <c r="AJ203" s="73"/>
      <c r="AK203" s="73"/>
      <c r="AL203" s="73"/>
      <c r="AM203" s="73"/>
      <c r="AN203" s="73"/>
      <c r="AO203" s="73"/>
      <c r="AP203" s="298"/>
      <c r="AQ203" s="73"/>
      <c r="AR203" s="73"/>
      <c r="AS203" s="73"/>
      <c r="AT203" s="73"/>
      <c r="AU203" s="73"/>
      <c r="AV203" s="73"/>
      <c r="AW203" s="73"/>
      <c r="AX203" s="73"/>
      <c r="AY203" s="298"/>
      <c r="AZ203" s="73"/>
      <c r="BA203" s="73"/>
      <c r="BB203" s="299"/>
      <c r="BC203" s="73">
        <f t="shared" si="54"/>
        <v>0</v>
      </c>
      <c r="BD203" s="73">
        <f t="shared" si="55"/>
        <v>0</v>
      </c>
      <c r="BE203" s="196">
        <f t="shared" si="56"/>
        <v>0</v>
      </c>
    </row>
    <row r="204" spans="2:57" outlineLevel="2" x14ac:dyDescent="0.45">
      <c r="B204" s="102" t="s">
        <v>2033</v>
      </c>
      <c r="C204" s="268"/>
      <c r="D204" s="342"/>
      <c r="E204" s="304"/>
      <c r="F204" s="302"/>
      <c r="G204" s="302"/>
      <c r="H204" s="302"/>
      <c r="I204" s="302"/>
      <c r="J204" s="302"/>
      <c r="K204" s="302"/>
      <c r="L204" s="302"/>
      <c r="M204" s="302"/>
      <c r="N204" s="302"/>
      <c r="O204" s="302"/>
      <c r="P204" s="302"/>
      <c r="Q204" s="302"/>
      <c r="R204" s="548">
        <f>-SUMIFS('Data BASE'!R$490:R$960,'Data BASE'!$M$490:$M$960,$B204,'Data BASE'!$K$490:$K$960,$B$212)</f>
        <v>0</v>
      </c>
      <c r="S204" s="73">
        <f>-SUMIFS('Data BASE'!S$490:S$960,'Data BASE'!$M$490:$M$960,$B204,'Data BASE'!$K$490:$K$960,$B$212)</f>
        <v>0</v>
      </c>
      <c r="T204" s="73">
        <f>-SUMIFS('Data BASE'!T$490:T$960,'Data BASE'!$M$490:$M$960,$B204,'Data BASE'!$K$490:$K$960,$B$212)</f>
        <v>0</v>
      </c>
      <c r="U204" s="73">
        <f>-SUMIFS('Data BASE'!U$490:U$960,'Data BASE'!$M$490:$M$960,$B204,'Data BASE'!$K$490:$K$960,$B$212)</f>
        <v>0</v>
      </c>
      <c r="V204" s="73">
        <f>-SUMIFS('Data BASE'!V$490:V$960,'Data BASE'!$M$490:$M$960,$B204,'Data BASE'!$K$490:$K$960,$B$212)</f>
        <v>0</v>
      </c>
      <c r="W204" s="73">
        <f>-SUMIFS('Data BASE'!W$490:W$960,'Data BASE'!$M$490:$M$960,$B204,'Data BASE'!$K$490:$K$960,$B$212)</f>
        <v>0</v>
      </c>
      <c r="X204" s="73">
        <f>-SUMIFS('Data BASE'!X$490:X$960,'Data BASE'!$M$490:$M$960,$B204,'Data BASE'!$K$490:$K$960,$B$212)</f>
        <v>0</v>
      </c>
      <c r="Y204" s="73">
        <f>-SUMIFS('Data BASE'!Y$490:Y$960,'Data BASE'!$M$490:$M$960,$B204,'Data BASE'!$K$490:$K$960,$B$212)</f>
        <v>0</v>
      </c>
      <c r="Z204" s="73">
        <f>-SUMIFS('Data BASE'!Z$490:Z$960,'Data BASE'!$M$490:$M$960,$B204,'Data BASE'!$K$490:$K$960,$B$212)</f>
        <v>0</v>
      </c>
      <c r="AA204" s="73">
        <f>-SUMIFS('Data BASE'!AA$490:AA$960,'Data BASE'!$M$490:$M$960,$B204,'Data BASE'!$K$490:$K$960,$B$212)</f>
        <v>0</v>
      </c>
      <c r="AB204" s="73">
        <f>-SUMIFS('Data BASE'!AB$490:AB$960,'Data BASE'!$M$490:$M$960,$B204,'Data BASE'!$K$490:$K$960,$B$212)</f>
        <v>-7092.45</v>
      </c>
      <c r="AC204" s="73">
        <f>-SUMIFS('Data BASE'!AC$490:AC$960,'Data BASE'!$M$490:$M$960,$B204,'Data BASE'!$K$490:$K$960,$B$212)</f>
        <v>-5590.0000000000009</v>
      </c>
      <c r="AD204" s="73">
        <f>-SUMIFS('Data BASE'!AD$490:AD$960,'Data BASE'!$M$490:$M$960,$B204,'Data BASE'!$K$490:$K$960,$B$212)</f>
        <v>-2795</v>
      </c>
      <c r="AE204" s="73">
        <f>-SUMIFS('Data BASE'!AE$490:AE$960,'Data BASE'!$M$490:$M$960,$B204,'Data BASE'!$K$490:$K$960,$B$212)</f>
        <v>-2795</v>
      </c>
      <c r="AF204" s="73">
        <f>-SUMIFS('Data BASE'!AF$490:AF$960,'Data BASE'!$M$490:$M$960,$B204,'Data BASE'!$K$490:$K$960,$B$212)</f>
        <v>-4493</v>
      </c>
      <c r="AG204" s="73">
        <f>-SUMIFS('Data BASE'!AG$490:AG$2000,'Data BASE'!$M$490:$M$2000,$B204,'Data BASE'!$K$490:$K$2000,$B$212)</f>
        <v>-4542.43</v>
      </c>
      <c r="AH204" s="73"/>
      <c r="AI204" s="73"/>
      <c r="AJ204" s="73"/>
      <c r="AK204" s="73"/>
      <c r="AL204" s="73"/>
      <c r="AM204" s="73"/>
      <c r="AN204" s="73"/>
      <c r="AO204" s="73"/>
      <c r="AP204" s="298"/>
      <c r="AQ204" s="73">
        <f t="shared" si="51"/>
        <v>0</v>
      </c>
      <c r="AR204" s="73">
        <f t="shared" si="51"/>
        <v>0</v>
      </c>
      <c r="AS204" s="73">
        <f t="shared" si="51"/>
        <v>0</v>
      </c>
      <c r="AT204" s="73">
        <f t="shared" si="51"/>
        <v>-12682.45</v>
      </c>
      <c r="AU204" s="73">
        <f t="shared" si="51"/>
        <v>-10083</v>
      </c>
      <c r="AV204" s="73">
        <f t="shared" si="51"/>
        <v>-4542.43</v>
      </c>
      <c r="AW204" s="73">
        <f t="shared" si="51"/>
        <v>0</v>
      </c>
      <c r="AX204" s="73">
        <f t="shared" si="51"/>
        <v>0</v>
      </c>
      <c r="AY204" s="298"/>
      <c r="AZ204" s="73">
        <f t="shared" si="52"/>
        <v>-12682.45</v>
      </c>
      <c r="BA204" s="73">
        <f t="shared" si="53"/>
        <v>-14625.43</v>
      </c>
      <c r="BB204" s="299"/>
      <c r="BC204" s="73">
        <f t="shared" si="54"/>
        <v>0</v>
      </c>
      <c r="BD204" s="73">
        <f t="shared" si="55"/>
        <v>-14625.43</v>
      </c>
      <c r="BE204" s="196">
        <f t="shared" si="56"/>
        <v>-49.430000000000291</v>
      </c>
    </row>
    <row r="205" spans="2:57" outlineLevel="2" x14ac:dyDescent="0.45">
      <c r="B205" s="102" t="s">
        <v>498</v>
      </c>
      <c r="C205" s="318"/>
      <c r="D205" s="342"/>
      <c r="E205" s="304"/>
      <c r="F205" s="302"/>
      <c r="G205" s="302"/>
      <c r="H205" s="302"/>
      <c r="I205" s="302"/>
      <c r="J205" s="302"/>
      <c r="K205" s="302"/>
      <c r="L205" s="302"/>
      <c r="M205" s="302"/>
      <c r="N205" s="302"/>
      <c r="O205" s="302"/>
      <c r="P205" s="302"/>
      <c r="Q205" s="302"/>
      <c r="R205" s="548">
        <f>-SUMIFS('Data BASE'!R$490:R$960,'Data BASE'!$M$490:$M$960,$B205,'Data BASE'!$K$490:$K$960,$B$212)</f>
        <v>-24455.62</v>
      </c>
      <c r="S205" s="73">
        <f>-SUMIFS('Data BASE'!S$490:S$960,'Data BASE'!$M$490:$M$960,$B205,'Data BASE'!$K$490:$K$960,$B$212)</f>
        <v>-24455.62</v>
      </c>
      <c r="T205" s="73">
        <f>-SUMIFS('Data BASE'!T$490:T$960,'Data BASE'!$M$490:$M$960,$B205,'Data BASE'!$K$490:$K$960,$B$212)</f>
        <v>-25314.750000000004</v>
      </c>
      <c r="U205" s="73">
        <f>-SUMIFS('Data BASE'!U$490:U$960,'Data BASE'!$M$490:$M$960,$B205,'Data BASE'!$K$490:$K$960,$B$212)</f>
        <v>-24755.619999999995</v>
      </c>
      <c r="V205" s="73">
        <f>-SUMIFS('Data BASE'!V$490:V$960,'Data BASE'!$M$490:$M$960,$B205,'Data BASE'!$K$490:$K$960,$B$212)</f>
        <v>-24455.619999999995</v>
      </c>
      <c r="W205" s="73">
        <f>-SUMIFS('Data BASE'!W$490:W$960,'Data BASE'!$M$490:$M$960,$B205,'Data BASE'!$K$490:$K$960,$B$212)</f>
        <v>-25065.33</v>
      </c>
      <c r="X205" s="73">
        <f>-SUMIFS('Data BASE'!X$490:X$960,'Data BASE'!$M$490:$M$960,$B205,'Data BASE'!$K$490:$K$960,$B$212)</f>
        <v>-24455.619999999995</v>
      </c>
      <c r="Y205" s="73">
        <f>-SUMIFS('Data BASE'!Y$490:Y$960,'Data BASE'!$M$490:$M$960,$B205,'Data BASE'!$K$490:$K$960,$B$212)</f>
        <v>-24455.620000000024</v>
      </c>
      <c r="Z205" s="73">
        <f>-SUMIFS('Data BASE'!Z$490:Z$960,'Data BASE'!$M$490:$M$960,$B205,'Data BASE'!$K$490:$K$960,$B$212)</f>
        <v>-44590.76999999999</v>
      </c>
      <c r="AA205" s="73">
        <f>-SUMIFS('Data BASE'!AA$490:AA$960,'Data BASE'!$M$490:$M$960,$B205,'Data BASE'!$K$490:$K$960,$B$212)</f>
        <v>-19349.389999999985</v>
      </c>
      <c r="AB205" s="73">
        <f>-SUMIFS('Data BASE'!AB$490:AB$960,'Data BASE'!$M$490:$M$960,$B205,'Data BASE'!$K$490:$K$960,$B$212)</f>
        <v>-2313.3500000000058</v>
      </c>
      <c r="AC205" s="73">
        <f>-SUMIFS('Data BASE'!AC$490:AC$960,'Data BASE'!$M$490:$M$960,$B205,'Data BASE'!$K$490:$K$960,$B$212)</f>
        <v>-20849.489999999991</v>
      </c>
      <c r="AD205" s="73">
        <f>-SUMIFS('Data BASE'!AD$490:AD$960,'Data BASE'!$M$490:$M$960,$B205,'Data BASE'!$K$490:$K$960,$B$212)</f>
        <v>-123289.52</v>
      </c>
      <c r="AE205" s="73">
        <f>-SUMIFS('Data BASE'!AE$490:AE$960,'Data BASE'!$M$490:$M$960,$B205,'Data BASE'!$K$490:$K$960,$B$212)</f>
        <v>-80002.12999999999</v>
      </c>
      <c r="AF205" s="73">
        <f>-SUMIFS('Data BASE'!AF$490:AF$960,'Data BASE'!$M$490:$M$960,$B205,'Data BASE'!$K$490:$K$960,$B$212)</f>
        <v>-27448.550000000017</v>
      </c>
      <c r="AG205" s="73">
        <f>-SUMIFS('Data BASE'!AG$490:AG$2000,'Data BASE'!$M$490:$M$2000,$B205,'Data BASE'!$K$490:$K$2000,$B$212)</f>
        <v>-250637.03999999998</v>
      </c>
      <c r="AH205" s="73"/>
      <c r="AI205" s="73"/>
      <c r="AJ205" s="73"/>
      <c r="AK205" s="73"/>
      <c r="AL205" s="73"/>
      <c r="AM205" s="73"/>
      <c r="AN205" s="73"/>
      <c r="AO205" s="73"/>
      <c r="AP205" s="298"/>
      <c r="AQ205" s="73">
        <f t="shared" si="51"/>
        <v>-74225.990000000005</v>
      </c>
      <c r="AR205" s="73">
        <f t="shared" si="51"/>
        <v>-74276.569999999992</v>
      </c>
      <c r="AS205" s="73">
        <f t="shared" si="51"/>
        <v>-93502.010000000009</v>
      </c>
      <c r="AT205" s="73">
        <f t="shared" si="51"/>
        <v>-42512.229999999981</v>
      </c>
      <c r="AU205" s="73">
        <f t="shared" si="51"/>
        <v>-230740.2</v>
      </c>
      <c r="AV205" s="73">
        <f t="shared" si="51"/>
        <v>-250637.03999999998</v>
      </c>
      <c r="AW205" s="73">
        <f t="shared" si="51"/>
        <v>0</v>
      </c>
      <c r="AX205" s="73">
        <f t="shared" si="51"/>
        <v>0</v>
      </c>
      <c r="AY205" s="298"/>
      <c r="AZ205" s="73">
        <f t="shared" si="52"/>
        <v>-284516.8</v>
      </c>
      <c r="BA205" s="73">
        <f t="shared" si="53"/>
        <v>-481377.24</v>
      </c>
      <c r="BB205" s="299"/>
      <c r="BC205" s="73">
        <f t="shared" si="54"/>
        <v>-24455.62</v>
      </c>
      <c r="BD205" s="73">
        <f t="shared" si="55"/>
        <v>-481377.24</v>
      </c>
      <c r="BE205" s="196">
        <f t="shared" si="56"/>
        <v>-223188.48999999996</v>
      </c>
    </row>
    <row r="206" spans="2:57" outlineLevel="2" x14ac:dyDescent="0.45">
      <c r="B206" s="102" t="s">
        <v>535</v>
      </c>
      <c r="C206" s="318"/>
      <c r="D206" s="342"/>
      <c r="E206" s="304"/>
      <c r="F206" s="302"/>
      <c r="G206" s="302"/>
      <c r="H206" s="302"/>
      <c r="I206" s="302"/>
      <c r="J206" s="302"/>
      <c r="K206" s="302"/>
      <c r="L206" s="302"/>
      <c r="M206" s="302"/>
      <c r="N206" s="302"/>
      <c r="O206" s="302"/>
      <c r="P206" s="302"/>
      <c r="Q206" s="302"/>
      <c r="R206" s="548">
        <f>-SUMIFS('Data BASE'!R$490:R$960,'Data BASE'!$M$490:$M$960,$B206,'Data BASE'!$K$490:$K$960,$B$212)</f>
        <v>-45480.12</v>
      </c>
      <c r="S206" s="73">
        <f>-SUMIFS('Data BASE'!S$490:S$960,'Data BASE'!$M$490:$M$960,$B206,'Data BASE'!$K$490:$K$960,$B$212)</f>
        <v>-133060.72</v>
      </c>
      <c r="T206" s="73">
        <f>-SUMIFS('Data BASE'!T$490:T$960,'Data BASE'!$M$490:$M$960,$B206,'Data BASE'!$K$490:$K$960,$B$212)</f>
        <v>-35652.389999999985</v>
      </c>
      <c r="U206" s="73">
        <f>-SUMIFS('Data BASE'!U$490:U$960,'Data BASE'!$M$490:$M$960,$B206,'Data BASE'!$K$490:$K$960,$B$212)</f>
        <v>-26471.050000000017</v>
      </c>
      <c r="V206" s="73">
        <f>-SUMIFS('Data BASE'!V$490:V$960,'Data BASE'!$M$490:$M$960,$B206,'Data BASE'!$K$490:$K$960,$B$212)</f>
        <v>-23461.540000000008</v>
      </c>
      <c r="W206" s="73">
        <f>-SUMIFS('Data BASE'!W$490:W$960,'Data BASE'!$M$490:$M$960,$B206,'Data BASE'!$K$490:$K$960,$B$212)</f>
        <v>-30225.140000000014</v>
      </c>
      <c r="X206" s="73">
        <f>-SUMIFS('Data BASE'!X$490:X$960,'Data BASE'!$M$490:$M$960,$B206,'Data BASE'!$K$490:$K$960,$B$212)</f>
        <v>-45992.559999999969</v>
      </c>
      <c r="Y206" s="73">
        <f>-SUMIFS('Data BASE'!Y$490:Y$960,'Data BASE'!$M$490:$M$960,$B206,'Data BASE'!$K$490:$K$960,$B$212)</f>
        <v>-37520.839999999997</v>
      </c>
      <c r="Z206" s="73">
        <f>-SUMIFS('Data BASE'!Z$490:Z$960,'Data BASE'!$M$490:$M$960,$B206,'Data BASE'!$K$490:$K$960,$B$212)</f>
        <v>-57424.969999999972</v>
      </c>
      <c r="AA206" s="73">
        <f>-SUMIFS('Data BASE'!AA$490:AA$960,'Data BASE'!$M$490:$M$960,$B206,'Data BASE'!$K$490:$K$960,$B$212)</f>
        <v>-35657.010000000068</v>
      </c>
      <c r="AB206" s="73">
        <f>-SUMIFS('Data BASE'!AB$490:AB$960,'Data BASE'!$M$490:$M$960,$B206,'Data BASE'!$K$490:$K$960,$B$212)</f>
        <v>-35869.579999999958</v>
      </c>
      <c r="AC206" s="73">
        <f>-SUMIFS('Data BASE'!AC$490:AC$960,'Data BASE'!$M$490:$M$960,$B206,'Data BASE'!$K$490:$K$960,$B$212)</f>
        <v>-47442.090000000026</v>
      </c>
      <c r="AD206" s="73">
        <f>-SUMIFS('Data BASE'!AD$490:AD$960,'Data BASE'!$M$490:$M$960,$B206,'Data BASE'!$K$490:$K$960,$B$212)</f>
        <v>-47442.09</v>
      </c>
      <c r="AE206" s="73">
        <f>-SUMIFS('Data BASE'!AE$490:AE$960,'Data BASE'!$M$490:$M$960,$B206,'Data BASE'!$K$490:$K$960,$B$212)</f>
        <v>-116569.34</v>
      </c>
      <c r="AF206" s="73">
        <f>-SUMIFS('Data BASE'!AF$490:AF$960,'Data BASE'!$M$490:$M$960,$B206,'Data BASE'!$K$490:$K$960,$B$212)</f>
        <v>-123464.01000000001</v>
      </c>
      <c r="AG206" s="73">
        <f>-SUMIFS('Data BASE'!AG$490:AG$2000,'Data BASE'!$M$490:$M$2000,$B206,'Data BASE'!$K$490:$K$2000,$B$212)</f>
        <v>-17542.25</v>
      </c>
      <c r="AH206" s="73"/>
      <c r="AI206" s="73"/>
      <c r="AJ206" s="73"/>
      <c r="AK206" s="73"/>
      <c r="AL206" s="73"/>
      <c r="AM206" s="73"/>
      <c r="AN206" s="73"/>
      <c r="AO206" s="73"/>
      <c r="AP206" s="298"/>
      <c r="AQ206" s="73">
        <f t="shared" si="51"/>
        <v>-214193.22999999998</v>
      </c>
      <c r="AR206" s="73">
        <f t="shared" si="51"/>
        <v>-80157.73000000004</v>
      </c>
      <c r="AS206" s="73">
        <f t="shared" si="51"/>
        <v>-140938.36999999994</v>
      </c>
      <c r="AT206" s="73">
        <f t="shared" si="51"/>
        <v>-118968.68000000005</v>
      </c>
      <c r="AU206" s="73">
        <f t="shared" si="51"/>
        <v>-287475.44</v>
      </c>
      <c r="AV206" s="73">
        <f t="shared" si="51"/>
        <v>-17542.25</v>
      </c>
      <c r="AW206" s="73">
        <f t="shared" si="51"/>
        <v>0</v>
      </c>
      <c r="AX206" s="73">
        <f t="shared" si="51"/>
        <v>0</v>
      </c>
      <c r="AY206" s="298"/>
      <c r="AZ206" s="73">
        <f t="shared" si="52"/>
        <v>-554258.01</v>
      </c>
      <c r="BA206" s="73">
        <f t="shared" si="53"/>
        <v>-305017.69</v>
      </c>
      <c r="BB206" s="299"/>
      <c r="BC206" s="73">
        <f t="shared" si="54"/>
        <v>-45480.12</v>
      </c>
      <c r="BD206" s="73">
        <f t="shared" si="55"/>
        <v>-305017.69</v>
      </c>
      <c r="BE206" s="196">
        <f t="shared" si="56"/>
        <v>105921.76000000001</v>
      </c>
    </row>
    <row r="207" spans="2:57" outlineLevel="2" x14ac:dyDescent="0.45">
      <c r="B207" s="102" t="s">
        <v>2034</v>
      </c>
      <c r="C207" s="318"/>
      <c r="D207" s="342"/>
      <c r="E207" s="304"/>
      <c r="F207" s="302"/>
      <c r="G207" s="302"/>
      <c r="H207" s="302"/>
      <c r="I207" s="302"/>
      <c r="J207" s="302"/>
      <c r="K207" s="302"/>
      <c r="L207" s="302"/>
      <c r="M207" s="302"/>
      <c r="N207" s="302"/>
      <c r="O207" s="302"/>
      <c r="P207" s="302"/>
      <c r="Q207" s="302"/>
      <c r="R207" s="548">
        <f>-SUMIFS('Data BASE'!R$490:R$960,'Data BASE'!$M$490:$M$960,$B207,'Data BASE'!$K$490:$K$960,$B$212)</f>
        <v>0</v>
      </c>
      <c r="S207" s="73">
        <f>-SUMIFS('Data BASE'!S$490:S$960,'Data BASE'!$M$490:$M$960,$B207,'Data BASE'!$K$490:$K$960,$B$212)</f>
        <v>0</v>
      </c>
      <c r="T207" s="73">
        <f>-SUMIFS('Data BASE'!T$490:T$960,'Data BASE'!$M$490:$M$960,$B207,'Data BASE'!$K$490:$K$960,$B$212)</f>
        <v>0</v>
      </c>
      <c r="U207" s="73">
        <f>-SUMIFS('Data BASE'!U$490:U$960,'Data BASE'!$M$490:$M$960,$B207,'Data BASE'!$K$490:$K$960,$B$212)</f>
        <v>0</v>
      </c>
      <c r="V207" s="73">
        <f>-SUMIFS('Data BASE'!V$490:V$960,'Data BASE'!$M$490:$M$960,$B207,'Data BASE'!$K$490:$K$960,$B$212)</f>
        <v>0</v>
      </c>
      <c r="W207" s="73">
        <f>-SUMIFS('Data BASE'!W$490:W$960,'Data BASE'!$M$490:$M$960,$B207,'Data BASE'!$K$490:$K$960,$B$212)</f>
        <v>0</v>
      </c>
      <c r="X207" s="73">
        <f>-SUMIFS('Data BASE'!X$490:X$960,'Data BASE'!$M$490:$M$960,$B207,'Data BASE'!$K$490:$K$960,$B$212)</f>
        <v>0</v>
      </c>
      <c r="Y207" s="73">
        <f>-SUMIFS('Data BASE'!Y$490:Y$960,'Data BASE'!$M$490:$M$960,$B207,'Data BASE'!$K$490:$K$960,$B$212)</f>
        <v>0</v>
      </c>
      <c r="Z207" s="73">
        <f>-SUMIFS('Data BASE'!Z$490:Z$960,'Data BASE'!$M$490:$M$960,$B207,'Data BASE'!$K$490:$K$960,$B$212)</f>
        <v>0</v>
      </c>
      <c r="AA207" s="73">
        <f>-SUMIFS('Data BASE'!AA$490:AA$960,'Data BASE'!$M$490:$M$960,$B207,'Data BASE'!$K$490:$K$960,$B$212)</f>
        <v>0</v>
      </c>
      <c r="AB207" s="73">
        <f>-SUMIFS('Data BASE'!AB$490:AB$960,'Data BASE'!$M$490:$M$960,$B207,'Data BASE'!$K$490:$K$960,$B$212)</f>
        <v>0</v>
      </c>
      <c r="AC207" s="73">
        <f>-SUMIFS('Data BASE'!AC$490:AC$960,'Data BASE'!$M$490:$M$960,$B207,'Data BASE'!$K$490:$K$960,$B$212)</f>
        <v>0</v>
      </c>
      <c r="AD207" s="73">
        <f>-SUMIFS('Data BASE'!AD$490:AD$960,'Data BASE'!$M$490:$M$960,$B207,'Data BASE'!$K$490:$K$960,$B$212)</f>
        <v>-47687</v>
      </c>
      <c r="AE207" s="73">
        <f>-SUMIFS('Data BASE'!AE$490:AE$960,'Data BASE'!$M$490:$M$960,$B207,'Data BASE'!$K$490:$K$960,$B$212)</f>
        <v>0</v>
      </c>
      <c r="AF207" s="73">
        <f>-SUMIFS('Data BASE'!AF$490:AF$960,'Data BASE'!$M$490:$M$960,$B207,'Data BASE'!$K$490:$K$960,$B$212)</f>
        <v>-170783.32</v>
      </c>
      <c r="AG207" s="73">
        <f>-SUMIFS('Data BASE'!AG$490:AG$2000,'Data BASE'!$M$490:$M$2000,$B207,'Data BASE'!$K$490:$K$2000,$B$212)</f>
        <v>0</v>
      </c>
      <c r="AH207" s="73"/>
      <c r="AI207" s="73"/>
      <c r="AJ207" s="73"/>
      <c r="AK207" s="73"/>
      <c r="AL207" s="73"/>
      <c r="AM207" s="73"/>
      <c r="AN207" s="73"/>
      <c r="AO207" s="73"/>
      <c r="AP207" s="298"/>
      <c r="AQ207" s="73">
        <f t="shared" si="51"/>
        <v>0</v>
      </c>
      <c r="AR207" s="73">
        <f t="shared" si="51"/>
        <v>0</v>
      </c>
      <c r="AS207" s="73">
        <f t="shared" si="51"/>
        <v>0</v>
      </c>
      <c r="AT207" s="73">
        <f t="shared" si="51"/>
        <v>0</v>
      </c>
      <c r="AU207" s="73">
        <f t="shared" si="51"/>
        <v>-218470.32</v>
      </c>
      <c r="AV207" s="73">
        <f t="shared" si="51"/>
        <v>0</v>
      </c>
      <c r="AW207" s="73">
        <f t="shared" si="51"/>
        <v>0</v>
      </c>
      <c r="AX207" s="73">
        <f t="shared" si="51"/>
        <v>0</v>
      </c>
      <c r="AY207" s="298"/>
      <c r="AZ207" s="73">
        <f t="shared" si="52"/>
        <v>0</v>
      </c>
      <c r="BA207" s="73">
        <f t="shared" si="53"/>
        <v>-218470.32</v>
      </c>
      <c r="BB207" s="299"/>
      <c r="BC207" s="73">
        <f t="shared" si="54"/>
        <v>0</v>
      </c>
      <c r="BD207" s="73">
        <f t="shared" si="55"/>
        <v>-218470.32</v>
      </c>
      <c r="BE207" s="196">
        <f t="shared" si="56"/>
        <v>170783.32</v>
      </c>
    </row>
    <row r="208" spans="2:57" outlineLevel="2" x14ac:dyDescent="0.45">
      <c r="B208" s="102" t="s">
        <v>794</v>
      </c>
      <c r="C208" s="318"/>
      <c r="D208" s="342"/>
      <c r="E208" s="304"/>
      <c r="F208" s="302"/>
      <c r="G208" s="302"/>
      <c r="H208" s="302"/>
      <c r="I208" s="302"/>
      <c r="J208" s="302"/>
      <c r="K208" s="302"/>
      <c r="L208" s="302"/>
      <c r="M208" s="302"/>
      <c r="N208" s="302"/>
      <c r="O208" s="302"/>
      <c r="P208" s="302"/>
      <c r="Q208" s="302"/>
      <c r="R208" s="548">
        <f>-SUMIFS('Data BASE'!R$490:R$960,'Data BASE'!$M$490:$M$960,$B208,'Data BASE'!$K$490:$K$960,$B$212)</f>
        <v>0</v>
      </c>
      <c r="S208" s="73">
        <f>-SUMIFS('Data BASE'!S$490:S$960,'Data BASE'!$M$490:$M$960,$B208,'Data BASE'!$K$490:$K$960,$B$212)</f>
        <v>0</v>
      </c>
      <c r="T208" s="73">
        <f>-SUMIFS('Data BASE'!T$490:T$960,'Data BASE'!$M$490:$M$960,$B208,'Data BASE'!$K$490:$K$960,$B$212)</f>
        <v>0</v>
      </c>
      <c r="U208" s="73">
        <f>-SUMIFS('Data BASE'!U$490:U$960,'Data BASE'!$M$490:$M$960,$B208,'Data BASE'!$K$490:$K$960,$B$212)</f>
        <v>0</v>
      </c>
      <c r="V208" s="73">
        <f>-SUMIFS('Data BASE'!V$490:V$960,'Data BASE'!$M$490:$M$960,$B208,'Data BASE'!$K$490:$K$960,$B$212)</f>
        <v>0</v>
      </c>
      <c r="W208" s="73">
        <f>-SUMIFS('Data BASE'!W$490:W$960,'Data BASE'!$M$490:$M$960,$B208,'Data BASE'!$K$490:$K$960,$B$212)</f>
        <v>0</v>
      </c>
      <c r="X208" s="73">
        <f>-SUMIFS('Data BASE'!X$490:X$960,'Data BASE'!$M$490:$M$960,$B208,'Data BASE'!$K$490:$K$960,$B$212)</f>
        <v>-201919.8</v>
      </c>
      <c r="Y208" s="73">
        <f>-SUMIFS('Data BASE'!Y$490:Y$960,'Data BASE'!$M$490:$M$960,$B208,'Data BASE'!$K$490:$K$960,$B$212)</f>
        <v>-201919.8</v>
      </c>
      <c r="Z208" s="73">
        <f>-SUMIFS('Data BASE'!Z$490:Z$960,'Data BASE'!$M$490:$M$960,$B208,'Data BASE'!$K$490:$K$960,$B$212)</f>
        <v>-201919.79999999993</v>
      </c>
      <c r="AA208" s="73">
        <f>-SUMIFS('Data BASE'!AA$490:AA$960,'Data BASE'!$M$490:$M$960,$B208,'Data BASE'!$K$490:$K$960,$B$212)</f>
        <v>-1431780.9200000002</v>
      </c>
      <c r="AB208" s="73">
        <f>-SUMIFS('Data BASE'!AB$490:AB$960,'Data BASE'!$M$490:$M$960,$B208,'Data BASE'!$K$490:$K$960,$B$212)</f>
        <v>-201919.80000000005</v>
      </c>
      <c r="AC208" s="73">
        <f>-SUMIFS('Data BASE'!AC$490:AC$960,'Data BASE'!$M$490:$M$960,$B208,'Data BASE'!$K$490:$K$960,$B$212)</f>
        <v>-1796806.12</v>
      </c>
      <c r="AD208" s="73">
        <f>-SUMIFS('Data BASE'!AD$490:AD$960,'Data BASE'!$M$490:$M$960,$B208,'Data BASE'!$K$490:$K$960,$B$212)</f>
        <v>-226919.8</v>
      </c>
      <c r="AE208" s="73">
        <f>-SUMIFS('Data BASE'!AE$490:AE$960,'Data BASE'!$M$490:$M$960,$B208,'Data BASE'!$K$490:$K$960,$B$212)</f>
        <v>-201919.8</v>
      </c>
      <c r="AF208" s="73">
        <f>-SUMIFS('Data BASE'!AF$490:AF$960,'Data BASE'!$M$490:$M$960,$B208,'Data BASE'!$K$490:$K$960,$B$212)</f>
        <v>-1405044.7999999998</v>
      </c>
      <c r="AG208" s="73">
        <f>-SUMIFS('Data BASE'!AG$490:AG$2000,'Data BASE'!$M$490:$M$2000,$B208,'Data BASE'!$K$490:$K$2000,$B$212)</f>
        <v>-201919.80000000005</v>
      </c>
      <c r="AH208" s="73"/>
      <c r="AI208" s="73"/>
      <c r="AJ208" s="73"/>
      <c r="AK208" s="73"/>
      <c r="AL208" s="73"/>
      <c r="AM208" s="73"/>
      <c r="AN208" s="73"/>
      <c r="AO208" s="73"/>
      <c r="AP208" s="298"/>
      <c r="AQ208" s="73">
        <f t="shared" si="51"/>
        <v>0</v>
      </c>
      <c r="AR208" s="73">
        <f t="shared" si="51"/>
        <v>0</v>
      </c>
      <c r="AS208" s="73">
        <f t="shared" si="51"/>
        <v>-605759.39999999991</v>
      </c>
      <c r="AT208" s="73">
        <f t="shared" si="51"/>
        <v>-3430506.8400000003</v>
      </c>
      <c r="AU208" s="73">
        <f t="shared" si="51"/>
        <v>-1833884.4</v>
      </c>
      <c r="AV208" s="73">
        <f t="shared" si="51"/>
        <v>-201919.80000000005</v>
      </c>
      <c r="AW208" s="73">
        <f t="shared" si="51"/>
        <v>0</v>
      </c>
      <c r="AX208" s="73">
        <f t="shared" si="51"/>
        <v>0</v>
      </c>
      <c r="AY208" s="298"/>
      <c r="AZ208" s="73">
        <f t="shared" si="52"/>
        <v>-4036266.24</v>
      </c>
      <c r="BA208" s="73">
        <f t="shared" si="53"/>
        <v>-2035804.2</v>
      </c>
      <c r="BB208" s="299"/>
      <c r="BC208" s="73">
        <f t="shared" si="54"/>
        <v>0</v>
      </c>
      <c r="BD208" s="73">
        <f t="shared" si="55"/>
        <v>-2035804.2</v>
      </c>
      <c r="BE208" s="196">
        <f t="shared" si="56"/>
        <v>1203124.9999999998</v>
      </c>
    </row>
    <row r="209" spans="2:57" outlineLevel="2" x14ac:dyDescent="0.45">
      <c r="B209" s="102" t="s">
        <v>1016</v>
      </c>
      <c r="C209" s="318"/>
      <c r="D209" s="342"/>
      <c r="E209" s="304"/>
      <c r="F209" s="302"/>
      <c r="G209" s="302"/>
      <c r="H209" s="302"/>
      <c r="I209" s="302"/>
      <c r="J209" s="302"/>
      <c r="K209" s="302"/>
      <c r="L209" s="302"/>
      <c r="M209" s="302"/>
      <c r="N209" s="302"/>
      <c r="O209" s="302"/>
      <c r="P209" s="302"/>
      <c r="Q209" s="302"/>
      <c r="R209" s="548">
        <f>-SUMIFS('Data BASE'!R$490:R$960,'Data BASE'!$M$490:$M$960,$B209,'Data BASE'!$K$490:$K$960,$B$212)</f>
        <v>0.75</v>
      </c>
      <c r="S209" s="73">
        <f>-SUMIFS('Data BASE'!S$490:S$960,'Data BASE'!$M$490:$M$960,$B209,'Data BASE'!$K$490:$K$960,$B$212)</f>
        <v>-15487.25</v>
      </c>
      <c r="T209" s="73">
        <f>-SUMIFS('Data BASE'!T$490:T$960,'Data BASE'!$M$490:$M$960,$B209,'Data BASE'!$K$490:$K$960,$B$212)</f>
        <v>-7642.2599999999984</v>
      </c>
      <c r="U209" s="73">
        <f>-SUMIFS('Data BASE'!U$490:U$960,'Data BASE'!$M$490:$M$960,$B209,'Data BASE'!$K$490:$K$960,$B$212)</f>
        <v>-87763.780000000013</v>
      </c>
      <c r="V209" s="73">
        <f>-SUMIFS('Data BASE'!V$490:V$960,'Data BASE'!$M$490:$M$960,$B209,'Data BASE'!$K$490:$K$960,$B$212)</f>
        <v>-51267.27999999997</v>
      </c>
      <c r="W209" s="73">
        <f>-SUMIFS('Data BASE'!W$490:W$960,'Data BASE'!$M$490:$M$960,$B209,'Data BASE'!$K$490:$K$960,$B$212)</f>
        <v>-6554.7800000000279</v>
      </c>
      <c r="X209" s="73">
        <f>-SUMIFS('Data BASE'!X$490:X$960,'Data BASE'!$M$490:$M$960,$B209,'Data BASE'!$K$490:$K$960,$B$212)</f>
        <v>-29947.540000000008</v>
      </c>
      <c r="Y209" s="73">
        <f>-SUMIFS('Data BASE'!Y$490:Y$960,'Data BASE'!$M$490:$M$960,$B209,'Data BASE'!$K$490:$K$960,$B$212)</f>
        <v>-64385.449999999983</v>
      </c>
      <c r="Z209" s="73">
        <f>-SUMIFS('Data BASE'!Z$490:Z$960,'Data BASE'!$M$490:$M$960,$B209,'Data BASE'!$K$490:$K$960,$B$212)</f>
        <v>-30815.75999999998</v>
      </c>
      <c r="AA209" s="73">
        <f>-SUMIFS('Data BASE'!AA$490:AA$960,'Data BASE'!$M$490:$M$960,$B209,'Data BASE'!$K$490:$K$960,$B$212)</f>
        <v>-31294.060000000056</v>
      </c>
      <c r="AB209" s="73">
        <f>-SUMIFS('Data BASE'!AB$490:AB$960,'Data BASE'!$M$490:$M$960,$B209,'Data BASE'!$K$490:$K$960,$B$212)</f>
        <v>-65983.579999999958</v>
      </c>
      <c r="AC209" s="73">
        <f>-SUMIFS('Data BASE'!AC$490:AC$960,'Data BASE'!$M$490:$M$960,$B209,'Data BASE'!$K$490:$K$960,$B$212)</f>
        <v>-80882.94</v>
      </c>
      <c r="AD209" s="73">
        <f>-SUMIFS('Data BASE'!AD$490:AD$960,'Data BASE'!$M$490:$M$960,$B209,'Data BASE'!$K$490:$K$960,$B$212)</f>
        <v>-118062.27</v>
      </c>
      <c r="AE209" s="73">
        <f>-SUMIFS('Data BASE'!AE$490:AE$960,'Data BASE'!$M$490:$M$960,$B209,'Data BASE'!$K$490:$K$960,$B$212)</f>
        <v>-76110.560000000012</v>
      </c>
      <c r="AF209" s="73">
        <f>-SUMIFS('Data BASE'!AF$490:AF$960,'Data BASE'!$M$490:$M$960,$B209,'Data BASE'!$K$490:$K$960,$B$212)</f>
        <v>-107214.32</v>
      </c>
      <c r="AG209" s="73">
        <f>-SUMIFS('Data BASE'!AG$490:AG$2000,'Data BASE'!$M$490:$M$2000,$B209,'Data BASE'!$K$490:$K$2000,$B$212)</f>
        <v>-300714.52999999997</v>
      </c>
      <c r="AH209" s="73"/>
      <c r="AI209" s="73"/>
      <c r="AJ209" s="73"/>
      <c r="AK209" s="73"/>
      <c r="AL209" s="73"/>
      <c r="AM209" s="73"/>
      <c r="AN209" s="73"/>
      <c r="AO209" s="73"/>
      <c r="AP209" s="298"/>
      <c r="AQ209" s="73">
        <f t="shared" si="51"/>
        <v>-23128.76</v>
      </c>
      <c r="AR209" s="73">
        <f t="shared" si="51"/>
        <v>-145585.84000000003</v>
      </c>
      <c r="AS209" s="73">
        <f t="shared" si="51"/>
        <v>-125148.74999999997</v>
      </c>
      <c r="AT209" s="73">
        <f t="shared" si="51"/>
        <v>-178160.58000000002</v>
      </c>
      <c r="AU209" s="73">
        <f t="shared" si="51"/>
        <v>-301387.15000000002</v>
      </c>
      <c r="AV209" s="73">
        <f t="shared" si="51"/>
        <v>-300714.52999999997</v>
      </c>
      <c r="AW209" s="73">
        <f t="shared" si="51"/>
        <v>0</v>
      </c>
      <c r="AX209" s="73">
        <f t="shared" si="51"/>
        <v>0</v>
      </c>
      <c r="AY209" s="298"/>
      <c r="AZ209" s="73">
        <f t="shared" si="52"/>
        <v>-472023.93</v>
      </c>
      <c r="BA209" s="73">
        <f t="shared" si="53"/>
        <v>-602101.67999999993</v>
      </c>
      <c r="BB209" s="299"/>
      <c r="BC209" s="73">
        <f t="shared" si="54"/>
        <v>0.75</v>
      </c>
      <c r="BD209" s="73">
        <f t="shared" si="55"/>
        <v>-602101.67999999993</v>
      </c>
      <c r="BE209" s="196">
        <f t="shared" si="56"/>
        <v>-193500.20999999996</v>
      </c>
    </row>
    <row r="210" spans="2:57" outlineLevel="2" x14ac:dyDescent="0.45">
      <c r="B210" s="102" t="s">
        <v>502</v>
      </c>
      <c r="C210" s="318"/>
      <c r="D210" s="342"/>
      <c r="E210" s="304"/>
      <c r="F210" s="302"/>
      <c r="G210" s="302"/>
      <c r="H210" s="302"/>
      <c r="I210" s="302"/>
      <c r="J210" s="302"/>
      <c r="K210" s="302"/>
      <c r="L210" s="302"/>
      <c r="M210" s="302"/>
      <c r="N210" s="302"/>
      <c r="O210" s="302"/>
      <c r="P210" s="302"/>
      <c r="Q210" s="302"/>
      <c r="R210" s="548">
        <f>-SUMIFS('Data BASE'!R$490:R$960,'Data BASE'!$M$490:$M$960,$B210,'Data BASE'!$K$490:$K$960,$B$212)</f>
        <v>-196.16</v>
      </c>
      <c r="S210" s="73">
        <f>-SUMIFS('Data BASE'!S$490:S$960,'Data BASE'!$M$490:$M$960,$B210,'Data BASE'!$K$490:$K$960,$B$212)</f>
        <v>-196.16</v>
      </c>
      <c r="T210" s="73">
        <f>-SUMIFS('Data BASE'!T$490:T$960,'Data BASE'!$M$490:$M$960,$B210,'Data BASE'!$K$490:$K$960,$B$212)</f>
        <v>-5480</v>
      </c>
      <c r="U210" s="73">
        <f>-SUMIFS('Data BASE'!U$490:U$960,'Data BASE'!$M$490:$M$960,$B210,'Data BASE'!$K$490:$K$960,$B$212)</f>
        <v>-950</v>
      </c>
      <c r="V210" s="73">
        <f>-SUMIFS('Data BASE'!V$490:V$960,'Data BASE'!$M$490:$M$960,$B210,'Data BASE'!$K$490:$K$960,$B$212)</f>
        <v>-14961</v>
      </c>
      <c r="W210" s="73">
        <f>-SUMIFS('Data BASE'!W$490:W$960,'Data BASE'!$M$490:$M$960,$B210,'Data BASE'!$K$490:$K$960,$B$212)</f>
        <v>-8937.7099999999991</v>
      </c>
      <c r="X210" s="73">
        <f>-SUMIFS('Data BASE'!X$490:X$960,'Data BASE'!$M$490:$M$960,$B210,'Data BASE'!$K$490:$K$960,$B$212)</f>
        <v>0</v>
      </c>
      <c r="Y210" s="73">
        <f>-SUMIFS('Data BASE'!Y$490:Y$960,'Data BASE'!$M$490:$M$960,$B210,'Data BASE'!$K$490:$K$960,$B$212)</f>
        <v>-34500</v>
      </c>
      <c r="Z210" s="73">
        <f>-SUMIFS('Data BASE'!Z$490:Z$960,'Data BASE'!$M$490:$M$960,$B210,'Data BASE'!$K$490:$K$960,$B$212)</f>
        <v>-6899.96</v>
      </c>
      <c r="AA210" s="73">
        <f>-SUMIFS('Data BASE'!AA$490:AA$960,'Data BASE'!$M$490:$M$960,$B210,'Data BASE'!$K$490:$K$960,$B$212)</f>
        <v>-507208.37</v>
      </c>
      <c r="AB210" s="73">
        <f>-SUMIFS('Data BASE'!AB$490:AB$960,'Data BASE'!$M$490:$M$960,$B210,'Data BASE'!$K$490:$K$960,$B$212)</f>
        <v>-496.17000000000007</v>
      </c>
      <c r="AC210" s="73">
        <f>-SUMIFS('Data BASE'!AC$490:AC$960,'Data BASE'!$M$490:$M$960,$B210,'Data BASE'!$K$490:$K$960,$B$212)</f>
        <v>10943528.35</v>
      </c>
      <c r="AD210" s="73">
        <f>-SUMIFS('Data BASE'!AD$490:AD$960,'Data BASE'!$M$490:$M$960,$B210,'Data BASE'!$K$490:$K$960,$B$212)</f>
        <v>-684.12</v>
      </c>
      <c r="AE210" s="73">
        <f>-SUMIFS('Data BASE'!AE$490:AE$960,'Data BASE'!$M$490:$M$960,$B210,'Data BASE'!$K$490:$K$960,$B$212)</f>
        <v>-1006.19</v>
      </c>
      <c r="AF210" s="73">
        <f>-SUMIFS('Data BASE'!AF$490:AF$960,'Data BASE'!$M$490:$M$960,$B210,'Data BASE'!$K$490:$K$960,$B$212)</f>
        <v>-1325.6599999999999</v>
      </c>
      <c r="AG210" s="73">
        <f>-SUMIFS('Data BASE'!AG$490:AG$2000,'Data BASE'!$M$490:$M$2000,$B210,'Data BASE'!$K$490:$K$2000,$B$212)</f>
        <v>-277258.36999999994</v>
      </c>
      <c r="AH210" s="73"/>
      <c r="AI210" s="73"/>
      <c r="AJ210" s="73"/>
      <c r="AK210" s="73"/>
      <c r="AL210" s="73"/>
      <c r="AM210" s="73"/>
      <c r="AN210" s="73"/>
      <c r="AO210" s="73"/>
      <c r="AP210" s="298"/>
      <c r="AQ210" s="73">
        <f t="shared" si="51"/>
        <v>-5872.32</v>
      </c>
      <c r="AR210" s="73">
        <f t="shared" si="51"/>
        <v>-24848.71</v>
      </c>
      <c r="AS210" s="73">
        <f t="shared" si="51"/>
        <v>-41399.96</v>
      </c>
      <c r="AT210" s="73">
        <f t="shared" si="51"/>
        <v>10435823.810000001</v>
      </c>
      <c r="AU210" s="73">
        <f t="shared" si="51"/>
        <v>-3015.97</v>
      </c>
      <c r="AV210" s="73">
        <f t="shared" si="51"/>
        <v>-277258.36999999994</v>
      </c>
      <c r="AW210" s="73">
        <f t="shared" si="51"/>
        <v>0</v>
      </c>
      <c r="AX210" s="73">
        <f t="shared" si="51"/>
        <v>0</v>
      </c>
      <c r="AY210" s="298"/>
      <c r="AZ210" s="73">
        <f t="shared" si="52"/>
        <v>10363702.82</v>
      </c>
      <c r="BA210" s="73">
        <f t="shared" si="53"/>
        <v>-280274.33999999991</v>
      </c>
      <c r="BB210" s="299"/>
      <c r="BC210" s="73">
        <f t="shared" si="54"/>
        <v>-196.16</v>
      </c>
      <c r="BD210" s="73">
        <f t="shared" si="55"/>
        <v>-280274.33999999991</v>
      </c>
      <c r="BE210" s="196">
        <f t="shared" si="56"/>
        <v>-275932.70999999996</v>
      </c>
    </row>
    <row r="211" spans="2:57" outlineLevel="2" x14ac:dyDescent="0.45">
      <c r="B211" s="102" t="s">
        <v>548</v>
      </c>
      <c r="C211" s="318"/>
      <c r="D211" s="342"/>
      <c r="E211" s="304"/>
      <c r="F211" s="302"/>
      <c r="G211" s="302"/>
      <c r="H211" s="302"/>
      <c r="I211" s="302"/>
      <c r="J211" s="302"/>
      <c r="K211" s="302"/>
      <c r="L211" s="302"/>
      <c r="M211" s="302"/>
      <c r="N211" s="302"/>
      <c r="O211" s="302"/>
      <c r="P211" s="302"/>
      <c r="Q211" s="302"/>
      <c r="R211" s="548">
        <f>-SUMIFS('Data BASE'!R$490:R$960,'Data BASE'!$M$490:$M$960,$B211,'Data BASE'!$K$490:$K$960,$B$212)</f>
        <v>-10340.570000000002</v>
      </c>
      <c r="S211" s="73">
        <f>-SUMIFS('Data BASE'!S$490:S$960,'Data BASE'!$M$490:$M$960,$B211,'Data BASE'!$K$490:$K$960,$B$212)</f>
        <v>-47249.46</v>
      </c>
      <c r="T211" s="73">
        <f>-SUMIFS('Data BASE'!T$490:T$960,'Data BASE'!$M$490:$M$960,$B211,'Data BASE'!$K$490:$K$960,$B$212)</f>
        <v>-62246.100000000006</v>
      </c>
      <c r="U211" s="73">
        <f>-SUMIFS('Data BASE'!U$490:U$960,'Data BASE'!$M$490:$M$960,$B211,'Data BASE'!$K$490:$K$960,$B$212)</f>
        <v>-24494.119999999995</v>
      </c>
      <c r="V211" s="73">
        <f>-SUMIFS('Data BASE'!V$490:V$960,'Data BASE'!$M$490:$M$960,$B211,'Data BASE'!$K$490:$K$960,$B$212)</f>
        <v>-49966.010000000009</v>
      </c>
      <c r="W211" s="73">
        <f>-SUMIFS('Data BASE'!W$490:W$960,'Data BASE'!$M$490:$M$960,$B211,'Data BASE'!$K$490:$K$960,$B$212)</f>
        <v>-38922.409999999974</v>
      </c>
      <c r="X211" s="73">
        <f>-SUMIFS('Data BASE'!X$490:X$960,'Data BASE'!$M$490:$M$960,$B211,'Data BASE'!$K$490:$K$960,$B$212)</f>
        <v>-52021.580000000016</v>
      </c>
      <c r="Y211" s="73">
        <f>-SUMIFS('Data BASE'!Y$490:Y$960,'Data BASE'!$M$490:$M$960,$B211,'Data BASE'!$K$490:$K$960,$B$212)</f>
        <v>-44691.849999999977</v>
      </c>
      <c r="Z211" s="73">
        <f>-SUMIFS('Data BASE'!Z$490:Z$960,'Data BASE'!$M$490:$M$960,$B211,'Data BASE'!$K$490:$K$960,$B$212)</f>
        <v>-37895.650000000023</v>
      </c>
      <c r="AA211" s="73">
        <f>-SUMIFS('Data BASE'!AA$490:AA$960,'Data BASE'!$M$490:$M$960,$B211,'Data BASE'!$K$490:$K$960,$B$212)</f>
        <v>-29373.869999999995</v>
      </c>
      <c r="AB211" s="73">
        <f>-SUMIFS('Data BASE'!AB$490:AB$960,'Data BASE'!$M$490:$M$960,$B211,'Data BASE'!$K$490:$K$960,$B$212)</f>
        <v>-66594.609999999986</v>
      </c>
      <c r="AC211" s="73">
        <f>-SUMIFS('Data BASE'!AC$490:AC$960,'Data BASE'!$M$490:$M$960,$B211,'Data BASE'!$K$490:$K$960,$B$212)</f>
        <v>-73935.890000000014</v>
      </c>
      <c r="AD211" s="73">
        <f>-SUMIFS('Data BASE'!AD$490:AD$960,'Data BASE'!$M$490:$M$960,$B211,'Data BASE'!$K$490:$K$960,$B$212)</f>
        <v>-20097.080000000002</v>
      </c>
      <c r="AE211" s="73">
        <f>-SUMIFS('Data BASE'!AE$490:AE$960,'Data BASE'!$M$490:$M$960,$B211,'Data BASE'!$K$490:$K$960,$B$212)</f>
        <v>-83252.249999999985</v>
      </c>
      <c r="AF211" s="73">
        <f>-SUMIFS('Data BASE'!AF$490:AF$960,'Data BASE'!$M$490:$M$960,$B211,'Data BASE'!$K$490:$K$960,$B$212)</f>
        <v>-85483.43</v>
      </c>
      <c r="AG211" s="73">
        <f>-SUMIFS('Data BASE'!AG$490:AG$2000,'Data BASE'!$M$490:$M$2000,$B211,'Data BASE'!$K$490:$K$2000,$B$212)</f>
        <v>-41783.24000000002</v>
      </c>
      <c r="AH211" s="73"/>
      <c r="AI211" s="73"/>
      <c r="AJ211" s="73"/>
      <c r="AK211" s="73"/>
      <c r="AL211" s="73"/>
      <c r="AM211" s="73"/>
      <c r="AN211" s="73"/>
      <c r="AO211" s="73"/>
      <c r="AP211" s="298"/>
      <c r="AQ211" s="73">
        <f t="shared" si="51"/>
        <v>-119836.13</v>
      </c>
      <c r="AR211" s="73">
        <f t="shared" si="51"/>
        <v>-113382.53999999998</v>
      </c>
      <c r="AS211" s="73">
        <f t="shared" si="51"/>
        <v>-134609.08000000002</v>
      </c>
      <c r="AT211" s="73">
        <f t="shared" si="51"/>
        <v>-169904.37</v>
      </c>
      <c r="AU211" s="73">
        <f t="shared" si="51"/>
        <v>-188832.75999999998</v>
      </c>
      <c r="AV211" s="73">
        <f t="shared" si="51"/>
        <v>-41783.24000000002</v>
      </c>
      <c r="AW211" s="73">
        <f t="shared" si="51"/>
        <v>0</v>
      </c>
      <c r="AX211" s="73">
        <f t="shared" si="51"/>
        <v>0</v>
      </c>
      <c r="AY211" s="298"/>
      <c r="AZ211" s="73">
        <f t="shared" si="52"/>
        <v>-537732.12</v>
      </c>
      <c r="BA211" s="73">
        <f t="shared" si="53"/>
        <v>-230616</v>
      </c>
      <c r="BB211" s="299"/>
      <c r="BC211" s="73">
        <f t="shared" si="54"/>
        <v>-10340.570000000002</v>
      </c>
      <c r="BD211" s="73">
        <f t="shared" si="55"/>
        <v>-230616</v>
      </c>
      <c r="BE211" s="196">
        <f t="shared" si="56"/>
        <v>43700.189999999973</v>
      </c>
    </row>
    <row r="212" spans="2:57" outlineLevel="1" x14ac:dyDescent="0.45">
      <c r="B212" s="53" t="s">
        <v>476</v>
      </c>
      <c r="C212" s="310"/>
      <c r="D212" s="339"/>
      <c r="E212" s="311"/>
      <c r="F212" s="312"/>
      <c r="G212" s="312"/>
      <c r="H212" s="312"/>
      <c r="I212" s="312"/>
      <c r="J212" s="312"/>
      <c r="K212" s="312"/>
      <c r="L212" s="312"/>
      <c r="M212" s="312"/>
      <c r="N212" s="312"/>
      <c r="O212" s="312"/>
      <c r="P212" s="312"/>
      <c r="Q212" s="312"/>
      <c r="R212" s="51">
        <f t="shared" ref="R212:AC212" si="59">+SUM(R199:R211,R189,R194)</f>
        <v>-1347407.8</v>
      </c>
      <c r="S212" s="51">
        <f t="shared" si="59"/>
        <v>-1501411.0700000003</v>
      </c>
      <c r="T212" s="51">
        <f t="shared" si="59"/>
        <v>-1821014.33</v>
      </c>
      <c r="U212" s="51">
        <f t="shared" si="59"/>
        <v>-1779239.56</v>
      </c>
      <c r="V212" s="51">
        <f t="shared" si="59"/>
        <v>-1893319.8200000003</v>
      </c>
      <c r="W212" s="51">
        <f t="shared" si="59"/>
        <v>-1711261.9599999995</v>
      </c>
      <c r="X212" s="51">
        <f t="shared" si="59"/>
        <v>-1912784.4863596584</v>
      </c>
      <c r="Y212" s="51">
        <f t="shared" si="59"/>
        <v>-2262580.4436403411</v>
      </c>
      <c r="Z212" s="51">
        <f t="shared" si="59"/>
        <v>-2349848.25</v>
      </c>
      <c r="AA212" s="51">
        <f t="shared" si="59"/>
        <v>-4299084.0054474138</v>
      </c>
      <c r="AB212" s="51">
        <f t="shared" si="59"/>
        <v>-2901689.9645525878</v>
      </c>
      <c r="AC212" s="51">
        <f t="shared" si="59"/>
        <v>5385360.868494424</v>
      </c>
      <c r="AD212" s="51">
        <f>+SUM(AD199:AD211,AD189,AD194)</f>
        <v>-3311236.1266666665</v>
      </c>
      <c r="AE212" s="51">
        <f>+SUM(AE199:AE211,AE189,AE194)</f>
        <v>-4098328.316666666</v>
      </c>
      <c r="AF212" s="51">
        <f t="shared" ref="AF212:AG212" si="60">+SUM(AF199:AF211,AF189,AF194)</f>
        <v>-5199583.916666666</v>
      </c>
      <c r="AG212" s="51">
        <f t="shared" si="60"/>
        <v>-5589641.4266666668</v>
      </c>
      <c r="AH212" s="51">
        <f t="shared" ref="AH212:AO212" si="61">+SUM(AH199:AH211,AH189,AH194)</f>
        <v>0</v>
      </c>
      <c r="AI212" s="51">
        <f t="shared" si="61"/>
        <v>0</v>
      </c>
      <c r="AJ212" s="51">
        <f t="shared" si="61"/>
        <v>0</v>
      </c>
      <c r="AK212" s="51">
        <f t="shared" si="61"/>
        <v>0</v>
      </c>
      <c r="AL212" s="51">
        <f t="shared" si="61"/>
        <v>0</v>
      </c>
      <c r="AM212" s="51">
        <f t="shared" si="61"/>
        <v>0</v>
      </c>
      <c r="AN212" s="51">
        <f t="shared" si="61"/>
        <v>0</v>
      </c>
      <c r="AO212" s="51">
        <f t="shared" si="61"/>
        <v>0</v>
      </c>
      <c r="AP212" s="298"/>
      <c r="AQ212" s="51">
        <f t="shared" si="51"/>
        <v>-4669833.2</v>
      </c>
      <c r="AR212" s="51">
        <f t="shared" si="51"/>
        <v>-5383821.3399999999</v>
      </c>
      <c r="AS212" s="51">
        <f t="shared" si="51"/>
        <v>-6525213.1799999997</v>
      </c>
      <c r="AT212" s="51">
        <f t="shared" si="51"/>
        <v>-1815413.1015055776</v>
      </c>
      <c r="AU212" s="51">
        <f t="shared" si="51"/>
        <v>-12609148.359999999</v>
      </c>
      <c r="AV212" s="51">
        <f t="shared" si="51"/>
        <v>-5589641.4266666668</v>
      </c>
      <c r="AW212" s="51">
        <f t="shared" si="51"/>
        <v>0</v>
      </c>
      <c r="AX212" s="51">
        <f t="shared" si="51"/>
        <v>0</v>
      </c>
      <c r="AY212" s="298"/>
      <c r="AZ212" s="51">
        <f t="shared" si="52"/>
        <v>-18394280.821505576</v>
      </c>
      <c r="BA212" s="51">
        <f t="shared" si="53"/>
        <v>-18198789.786666665</v>
      </c>
      <c r="BB212" s="299"/>
      <c r="BC212" s="51">
        <f t="shared" si="54"/>
        <v>-1347407.8</v>
      </c>
      <c r="BD212" s="51">
        <f t="shared" si="55"/>
        <v>-18198789.786666665</v>
      </c>
      <c r="BE212" s="196">
        <f t="shared" si="56"/>
        <v>-390057.51000000071</v>
      </c>
    </row>
    <row r="213" spans="2:57" outlineLevel="1" x14ac:dyDescent="0.45">
      <c r="F213" s="299"/>
      <c r="G213" s="299"/>
      <c r="H213" s="299"/>
      <c r="I213" s="299"/>
      <c r="J213" s="299"/>
      <c r="K213" s="299"/>
      <c r="L213" s="299"/>
      <c r="M213" s="299"/>
      <c r="N213" s="299"/>
      <c r="O213" s="299"/>
      <c r="P213" s="299"/>
      <c r="Q213" s="299"/>
      <c r="R213" s="313"/>
      <c r="S213" s="313"/>
      <c r="T213" s="313"/>
      <c r="U213" s="313"/>
      <c r="V213" s="313"/>
      <c r="W213" s="313"/>
      <c r="X213" s="313"/>
      <c r="Y213" s="313"/>
      <c r="Z213" s="313"/>
      <c r="AA213" s="313"/>
      <c r="AB213" s="313"/>
      <c r="AC213" s="313"/>
      <c r="AD213" s="313"/>
      <c r="AE213" s="313"/>
      <c r="AF213" s="313"/>
      <c r="AG213" s="313"/>
      <c r="AH213" s="313"/>
      <c r="AI213" s="313"/>
      <c r="AJ213" s="313"/>
      <c r="AK213" s="313"/>
      <c r="AL213" s="313"/>
      <c r="AM213" s="313"/>
      <c r="AN213" s="313"/>
      <c r="AO213" s="313"/>
      <c r="AP213" s="298"/>
      <c r="AQ213" s="497"/>
      <c r="AR213" s="497"/>
      <c r="AS213" s="497"/>
      <c r="AT213" s="497"/>
      <c r="AU213" s="497"/>
      <c r="AV213" s="497"/>
      <c r="AW213" s="497"/>
      <c r="AX213" s="497"/>
      <c r="AY213" s="298"/>
      <c r="AZ213" s="497"/>
      <c r="BA213" s="497"/>
      <c r="BB213" s="299"/>
      <c r="BC213" s="497"/>
      <c r="BD213" s="497"/>
    </row>
    <row r="214" spans="2:57" outlineLevel="2" x14ac:dyDescent="0.45">
      <c r="B214" s="102" t="s">
        <v>844</v>
      </c>
      <c r="C214" s="318"/>
      <c r="D214" s="342"/>
      <c r="E214" s="304"/>
      <c r="F214" s="302"/>
      <c r="G214" s="302"/>
      <c r="H214" s="302"/>
      <c r="I214" s="302"/>
      <c r="J214" s="302"/>
      <c r="K214" s="302"/>
      <c r="L214" s="302"/>
      <c r="M214" s="302"/>
      <c r="N214" s="302"/>
      <c r="O214" s="302"/>
      <c r="P214" s="302"/>
      <c r="Q214" s="302"/>
      <c r="R214" s="73">
        <f>+IF(OR($C$2="BP",$C$2="ACC"),Inputs!Q35,IF(OR($C$2="BP wE",$C$2="ACC wE"),Inputs!Q35))</f>
        <v>-2295114.2255638796</v>
      </c>
      <c r="S214" s="73">
        <f>+IF(OR($C$2="BP",$C$2="ACC"),Inputs!R35,IF(OR($C$2="BP wE",$C$2="ACC wE"),Inputs!R35))</f>
        <v>-3348972.7791002756</v>
      </c>
      <c r="T214" s="73">
        <f>+IF(OR($C$2="BP",$C$2="ACC"),Inputs!S35,IF(OR($C$2="BP wE",$C$2="ACC wE"),Inputs!S35))</f>
        <v>-2750859.294752663</v>
      </c>
      <c r="U214" s="73">
        <f>+IF(OR($C$2="BP",$C$2="ACC"),Inputs!T35,IF(OR($C$2="BP wE",$C$2="ACC wE"),Inputs!T35))</f>
        <v>-2614683.5189500493</v>
      </c>
      <c r="V214" s="73">
        <f>+IF(OR($C$2="BP",$C$2="ACC"),Inputs!U35,IF(OR($C$2="BP wE",$C$2="ACC wE"),Inputs!U35))</f>
        <v>-2782247.5242513549</v>
      </c>
      <c r="W214" s="73">
        <f>+IF(OR($C$2="BP",$C$2="ACC"),Inputs!V35,IF(OR($C$2="BP wE",$C$2="ACC wE"),Inputs!V35))</f>
        <v>-3466876.0734513546</v>
      </c>
      <c r="X214" s="73">
        <f>+IF(OR($C$2="BP",$C$2="ACC"),Inputs!W35,IF(OR($C$2="BP wE",$C$2="ACC wE"),Inputs!W35))</f>
        <v>-2704069.5594000011</v>
      </c>
      <c r="Y214" s="73">
        <f>+IF(OR($C$2="BP",$C$2="ACC"),Inputs!X35,IF(OR($C$2="BP wE",$C$2="ACC wE"),Inputs!X35))</f>
        <v>-2259102.8400000017</v>
      </c>
      <c r="Z214" s="73">
        <f>+IF(OR($C$2="BP",$C$2="ACC"),Inputs!Y35,IF(OR($C$2="BP wE",$C$2="ACC wE"),Inputs!Y35))</f>
        <v>-2141075.9721402875</v>
      </c>
      <c r="AA214" s="73">
        <f>+IF(OR($C$2="BP",$C$2="ACC"),Inputs!Z35,IF(OR($C$2="BP wE",$C$2="ACC wE"),Inputs!Z35))</f>
        <v>-2675371.5227515739</v>
      </c>
      <c r="AB214" s="73">
        <f>+IF(OR($C$2="BP",$C$2="ACC"),Inputs!AA35,IF(OR($C$2="BP wE",$C$2="ACC wE"),Inputs!AA35))</f>
        <v>-2042859.0048000002</v>
      </c>
      <c r="AC214" s="73">
        <f>+IF(OR($C$2="BP",$C$2="ACC"),Inputs!AB35,IF(OR($C$2="BP wE",$C$2="ACC wE"),Inputs!AB35))</f>
        <v>-1547210.3494285273</v>
      </c>
      <c r="AD214" s="73">
        <f>+IF(OR($C$2="BP",$C$2="ACC"),Inputs!AC35,IF(OR($C$2="BP wE",$C$2="ACC wE"),Inputs!AC35))</f>
        <v>-5126628.4422279419</v>
      </c>
      <c r="AE214" s="73">
        <f>+IF(OR($C$2="BP",$C$2="ACC"),Inputs!AD35,IF(OR($C$2="BP wE",$C$2="ACC wE"),Inputs!AD35))</f>
        <v>-5958408.7662601285</v>
      </c>
      <c r="AF214" s="73">
        <f>+IF(OR($C$2="BP",$C$2="ACC"),Inputs!AE35,IF(OR($C$2="BP wE",$C$2="ACC wE"),Inputs!AE35))</f>
        <v>-5871869.2497705584</v>
      </c>
      <c r="AG214" s="73">
        <f>+IF(OR($C$2="BP",$C$2="ACC"),Inputs!AF35,IF(OR($C$2="BP wE",$C$2="ACC wE"),Inputs!AF35))</f>
        <v>-5528826.9531624718</v>
      </c>
      <c r="AH214" s="73"/>
      <c r="AI214" s="73"/>
      <c r="AJ214" s="73"/>
      <c r="AK214" s="73"/>
      <c r="AL214" s="73"/>
      <c r="AM214" s="73"/>
      <c r="AN214" s="73"/>
      <c r="AO214" s="73"/>
      <c r="AP214" s="298"/>
      <c r="AQ214" s="73">
        <f t="shared" si="51"/>
        <v>-8394946.2994168177</v>
      </c>
      <c r="AR214" s="73">
        <f t="shared" si="51"/>
        <v>-8863807.1166527588</v>
      </c>
      <c r="AS214" s="73">
        <f t="shared" si="51"/>
        <v>-7104248.3715402912</v>
      </c>
      <c r="AT214" s="73">
        <f t="shared" si="51"/>
        <v>-6265440.8769801017</v>
      </c>
      <c r="AU214" s="73">
        <f t="shared" si="51"/>
        <v>-16956906.458258629</v>
      </c>
      <c r="AV214" s="73">
        <f t="shared" si="51"/>
        <v>-5528826.9531624718</v>
      </c>
      <c r="AW214" s="73">
        <f t="shared" si="51"/>
        <v>0</v>
      </c>
      <c r="AX214" s="73">
        <f t="shared" si="51"/>
        <v>0</v>
      </c>
      <c r="AY214" s="298"/>
      <c r="AZ214" s="73">
        <f t="shared" ref="AZ214:AZ217" si="62">SUM(AQ214:AT214)</f>
        <v>-30628442.664589971</v>
      </c>
      <c r="BA214" s="73">
        <f t="shared" ref="BA214:BA217" si="63">SUM(AU214:AX214)</f>
        <v>-22485733.411421102</v>
      </c>
      <c r="BB214" s="299"/>
      <c r="BC214" s="73">
        <f t="shared" si="54"/>
        <v>-2295114.2255638796</v>
      </c>
      <c r="BD214" s="73">
        <f t="shared" ref="BD214:BD217" si="64">SUMIFS($AB214:$AO214,$AB$8:$AO$8,BD$8,$AB$11:$AO$11,BD$11)</f>
        <v>-22485733.411421102</v>
      </c>
    </row>
    <row r="215" spans="2:57" outlineLevel="2" x14ac:dyDescent="0.45">
      <c r="B215" s="102" t="s">
        <v>482</v>
      </c>
      <c r="C215" s="318"/>
      <c r="D215" s="342"/>
      <c r="E215" s="304"/>
      <c r="F215" s="302"/>
      <c r="G215" s="302"/>
      <c r="H215" s="302"/>
      <c r="I215" s="302"/>
      <c r="J215" s="302"/>
      <c r="K215" s="302"/>
      <c r="L215" s="302"/>
      <c r="M215" s="302"/>
      <c r="N215" s="302"/>
      <c r="O215" s="302"/>
      <c r="P215" s="302"/>
      <c r="Q215" s="302"/>
      <c r="R215" s="73">
        <f>+IF(OR($C$2="BP",$C$2="ACC"),Inputs!Q36,IF(OR($C$2="BP wE",$C$2="ACC wE"),Inputs!Q36))</f>
        <v>-2217942.3828772958</v>
      </c>
      <c r="S215" s="73">
        <f>+IF(OR($C$2="BP",$C$2="ACC"),Inputs!R36,IF(OR($C$2="BP wE",$C$2="ACC wE"),Inputs!R36))</f>
        <v>-2534189.4128275253</v>
      </c>
      <c r="T215" s="73">
        <f>+IF(OR($C$2="BP",$C$2="ACC"),Inputs!S36,IF(OR($C$2="BP wE",$C$2="ACC wE"),Inputs!S36))</f>
        <v>-2388588.9831572794</v>
      </c>
      <c r="U215" s="73">
        <f>+IF(OR($C$2="BP",$C$2="ACC"),Inputs!T36,IF(OR($C$2="BP wE",$C$2="ACC wE"),Inputs!T36))</f>
        <v>-2558141.5406886078</v>
      </c>
      <c r="V215" s="73">
        <f>+IF(OR($C$2="BP",$C$2="ACC"),Inputs!U36,IF(OR($C$2="BP wE",$C$2="ACC wE"),Inputs!U36))</f>
        <v>-2678942.2510981555</v>
      </c>
      <c r="W215" s="73">
        <f>+IF(OR($C$2="BP",$C$2="ACC"),Inputs!V36,IF(OR($C$2="BP wE",$C$2="ACC wE"),Inputs!V36))</f>
        <v>-2602025.9883954749</v>
      </c>
      <c r="X215" s="73">
        <f>+IF(OR($C$2="BP",$C$2="ACC"),Inputs!W36,IF(OR($C$2="BP wE",$C$2="ACC wE"),Inputs!W36))</f>
        <v>-4047762.5930918683</v>
      </c>
      <c r="Y215" s="73">
        <f>+IF(OR($C$2="BP",$C$2="ACC"),Inputs!X36,IF(OR($C$2="BP wE",$C$2="ACC wE"),Inputs!X36))</f>
        <v>-3787830.1769999997</v>
      </c>
      <c r="Z215" s="73">
        <f>+IF(OR($C$2="BP",$C$2="ACC"),Inputs!Y36,IF(OR($C$2="BP wE",$C$2="ACC wE"),Inputs!Y36))</f>
        <v>-4177771.7027263874</v>
      </c>
      <c r="AA215" s="73">
        <f>+IF(OR($C$2="BP",$C$2="ACC"),Inputs!Z36,IF(OR($C$2="BP wE",$C$2="ACC wE"),Inputs!Z36))</f>
        <v>-3506642.0025817393</v>
      </c>
      <c r="AB215" s="73">
        <f>+IF(OR($C$2="BP",$C$2="ACC"),Inputs!AA36,IF(OR($C$2="BP wE",$C$2="ACC wE"),Inputs!AA36))</f>
        <v>-4086622.6692000008</v>
      </c>
      <c r="AC215" s="73">
        <f>+IF(OR($C$2="BP",$C$2="ACC"),Inputs!AB36,IF(OR($C$2="BP wE",$C$2="ACC wE"),Inputs!AB36))</f>
        <v>-6059104.0808571316</v>
      </c>
      <c r="AD215" s="73">
        <f>+IF(OR($C$2="BP",$C$2="ACC"),Inputs!AC36,IF(OR($C$2="BP wE",$C$2="ACC wE"),Inputs!AC36))</f>
        <v>-2565849.0377720571</v>
      </c>
      <c r="AE215" s="73">
        <f>+IF(OR($C$2="BP",$C$2="ACC"),Inputs!AD36,IF(OR($C$2="BP wE",$C$2="ACC wE"),Inputs!AD36))</f>
        <v>-2907640.8647698727</v>
      </c>
      <c r="AF215" s="73">
        <f>+IF(OR($C$2="BP",$C$2="ACC"),Inputs!AE36,IF(OR($C$2="BP wE",$C$2="ACC wE"),Inputs!AE36))</f>
        <v>-2857381.599229441</v>
      </c>
      <c r="AG215" s="73">
        <f>+IF(OR($C$2="BP",$C$2="ACC"),Inputs!AF36,IF(OR($C$2="BP wE",$C$2="ACC wE"),Inputs!AF36))</f>
        <v>-2924508.9314975273</v>
      </c>
      <c r="AH215" s="73"/>
      <c r="AI215" s="73"/>
      <c r="AJ215" s="73"/>
      <c r="AK215" s="73"/>
      <c r="AL215" s="73"/>
      <c r="AM215" s="73"/>
      <c r="AN215" s="73"/>
      <c r="AO215" s="73"/>
      <c r="AP215" s="298"/>
      <c r="AQ215" s="73">
        <f t="shared" ref="AQ215:AX217" si="65">SUMIFS($R215:$AP215,$R$9:$AP$9,AQ$9,$R$8:$AP$8,AQ$8)</f>
        <v>-7140720.7788621001</v>
      </c>
      <c r="AR215" s="73">
        <f t="shared" si="65"/>
        <v>-7839109.7801822387</v>
      </c>
      <c r="AS215" s="73">
        <f t="shared" si="65"/>
        <v>-12013364.472818255</v>
      </c>
      <c r="AT215" s="73">
        <f t="shared" si="65"/>
        <v>-13652368.752638873</v>
      </c>
      <c r="AU215" s="73">
        <f t="shared" si="65"/>
        <v>-8330871.5017713709</v>
      </c>
      <c r="AV215" s="73">
        <f t="shared" si="65"/>
        <v>-2924508.9314975273</v>
      </c>
      <c r="AW215" s="73">
        <f t="shared" si="65"/>
        <v>0</v>
      </c>
      <c r="AX215" s="73">
        <f t="shared" si="65"/>
        <v>0</v>
      </c>
      <c r="AY215" s="298"/>
      <c r="AZ215" s="73">
        <f t="shared" si="62"/>
        <v>-40645563.784501463</v>
      </c>
      <c r="BA215" s="73">
        <f t="shared" si="63"/>
        <v>-11255380.433268897</v>
      </c>
      <c r="BB215" s="299"/>
      <c r="BC215" s="73">
        <f t="shared" si="54"/>
        <v>-2217942.3828772958</v>
      </c>
      <c r="BD215" s="73">
        <f t="shared" si="64"/>
        <v>-11255380.433268897</v>
      </c>
    </row>
    <row r="216" spans="2:57" outlineLevel="2" x14ac:dyDescent="0.45">
      <c r="B216" s="102" t="s">
        <v>582</v>
      </c>
      <c r="C216" s="318"/>
      <c r="D216" s="342"/>
      <c r="E216" s="304"/>
      <c r="F216" s="302"/>
      <c r="G216" s="302"/>
      <c r="H216" s="302"/>
      <c r="I216" s="302"/>
      <c r="J216" s="302"/>
      <c r="K216" s="302"/>
      <c r="L216" s="302"/>
      <c r="M216" s="302"/>
      <c r="N216" s="302"/>
      <c r="O216" s="302"/>
      <c r="P216" s="302"/>
      <c r="Q216" s="302"/>
      <c r="R216" s="73">
        <f>+Inputs!Q37</f>
        <v>-307164</v>
      </c>
      <c r="S216" s="73">
        <f>+Inputs!R37</f>
        <v>-307164</v>
      </c>
      <c r="T216" s="73">
        <f>+Inputs!S37</f>
        <v>-933973.00193646993</v>
      </c>
      <c r="U216" s="73">
        <f>+Inputs!T37</f>
        <v>-519386.78806347004</v>
      </c>
      <c r="V216" s="73">
        <f>+Inputs!U37</f>
        <v>-519386.8217585301</v>
      </c>
      <c r="W216" s="73">
        <f>+Inputs!V37</f>
        <v>-519386.77824149001</v>
      </c>
      <c r="X216" s="73">
        <f>+Inputs!W37</f>
        <v>-703179.04364032997</v>
      </c>
      <c r="Y216" s="73">
        <f>+Inputs!X37</f>
        <v>-703178.9563597599</v>
      </c>
      <c r="Z216" s="73">
        <f>+Inputs!Y37</f>
        <v>-703178.99999994971</v>
      </c>
      <c r="AA216" s="73">
        <f>+Inputs!Z37</f>
        <v>-703179.09455273021</v>
      </c>
      <c r="AB216" s="73">
        <f>+Inputs!AA37</f>
        <v>-703178.90544728003</v>
      </c>
      <c r="AC216" s="73">
        <f>+Inputs!AB37</f>
        <v>-703179.12849435024</v>
      </c>
      <c r="AD216" s="73">
        <f>+Inputs!AC37</f>
        <v>-587518.23333328997</v>
      </c>
      <c r="AE216" s="73">
        <f>+Inputs!AD37</f>
        <v>-606348.47718852002</v>
      </c>
      <c r="AF216" s="73">
        <f>+Inputs!AE37</f>
        <v>-644738.00510336994</v>
      </c>
      <c r="AG216" s="73">
        <f>+Inputs!AF37</f>
        <v>-645313.92316013994</v>
      </c>
      <c r="AH216" s="73"/>
      <c r="AI216" s="73"/>
      <c r="AJ216" s="73"/>
      <c r="AK216" s="73"/>
      <c r="AL216" s="73"/>
      <c r="AM216" s="73"/>
      <c r="AN216" s="73"/>
      <c r="AO216" s="73"/>
      <c r="AP216" s="298"/>
      <c r="AQ216" s="73">
        <f t="shared" si="65"/>
        <v>-1548301.0019364699</v>
      </c>
      <c r="AR216" s="73">
        <f t="shared" si="65"/>
        <v>-1558160.3880634902</v>
      </c>
      <c r="AS216" s="73">
        <f t="shared" si="65"/>
        <v>-2109537.0000000396</v>
      </c>
      <c r="AT216" s="73">
        <f t="shared" si="65"/>
        <v>-2109537.1284943605</v>
      </c>
      <c r="AU216" s="73">
        <f t="shared" si="65"/>
        <v>-1838604.7156251799</v>
      </c>
      <c r="AV216" s="73">
        <f t="shared" si="65"/>
        <v>-645313.92316013994</v>
      </c>
      <c r="AW216" s="73">
        <f t="shared" si="65"/>
        <v>0</v>
      </c>
      <c r="AX216" s="73">
        <f t="shared" si="65"/>
        <v>0</v>
      </c>
      <c r="AY216" s="298"/>
      <c r="AZ216" s="73">
        <f t="shared" si="62"/>
        <v>-7325535.5184943601</v>
      </c>
      <c r="BA216" s="73">
        <f t="shared" si="63"/>
        <v>-2483918.6387853199</v>
      </c>
      <c r="BB216" s="299"/>
      <c r="BC216" s="73">
        <f t="shared" si="54"/>
        <v>-307164</v>
      </c>
      <c r="BD216" s="73">
        <f t="shared" si="64"/>
        <v>-2483918.6387853199</v>
      </c>
    </row>
    <row r="217" spans="2:57" outlineLevel="1" x14ac:dyDescent="0.45">
      <c r="B217" s="53" t="s">
        <v>845</v>
      </c>
      <c r="C217" s="310"/>
      <c r="D217" s="339"/>
      <c r="E217" s="311"/>
      <c r="F217" s="312"/>
      <c r="G217" s="312"/>
      <c r="H217" s="312"/>
      <c r="I217" s="312"/>
      <c r="J217" s="312"/>
      <c r="K217" s="312"/>
      <c r="L217" s="312"/>
      <c r="M217" s="312"/>
      <c r="N217" s="312"/>
      <c r="O217" s="312"/>
      <c r="P217" s="312"/>
      <c r="Q217" s="312"/>
      <c r="R217" s="51">
        <f t="shared" ref="R217:AO217" si="66">+R212+R214+R215+R216</f>
        <v>-6167628.4084411757</v>
      </c>
      <c r="S217" s="51">
        <f t="shared" si="66"/>
        <v>-7691737.2619278012</v>
      </c>
      <c r="T217" s="51">
        <f t="shared" si="66"/>
        <v>-7894435.6098464122</v>
      </c>
      <c r="U217" s="51">
        <f t="shared" si="66"/>
        <v>-7471451.4077021275</v>
      </c>
      <c r="V217" s="51">
        <f t="shared" si="66"/>
        <v>-7873896.4171080412</v>
      </c>
      <c r="W217" s="51">
        <f t="shared" si="66"/>
        <v>-8299550.800088319</v>
      </c>
      <c r="X217" s="51">
        <f t="shared" si="66"/>
        <v>-9367795.6824918576</v>
      </c>
      <c r="Y217" s="51">
        <f t="shared" si="66"/>
        <v>-9012692.4170001037</v>
      </c>
      <c r="Z217" s="51">
        <f t="shared" si="66"/>
        <v>-9371874.924866626</v>
      </c>
      <c r="AA217" s="51">
        <f t="shared" si="66"/>
        <v>-11184276.625333458</v>
      </c>
      <c r="AB217" s="51">
        <f t="shared" si="66"/>
        <v>-9734350.5439998694</v>
      </c>
      <c r="AC217" s="51">
        <f t="shared" si="66"/>
        <v>-2924132.6902855849</v>
      </c>
      <c r="AD217" s="51">
        <f t="shared" si="66"/>
        <v>-11591231.839999955</v>
      </c>
      <c r="AE217" s="51">
        <f t="shared" si="66"/>
        <v>-13570726.424885187</v>
      </c>
      <c r="AF217" s="51">
        <f t="shared" si="66"/>
        <v>-14573572.770770034</v>
      </c>
      <c r="AG217" s="51">
        <f t="shared" si="66"/>
        <v>-14688291.234486805</v>
      </c>
      <c r="AH217" s="51">
        <f t="shared" si="66"/>
        <v>0</v>
      </c>
      <c r="AI217" s="51">
        <f t="shared" si="66"/>
        <v>0</v>
      </c>
      <c r="AJ217" s="51">
        <f t="shared" si="66"/>
        <v>0</v>
      </c>
      <c r="AK217" s="51">
        <f t="shared" si="66"/>
        <v>0</v>
      </c>
      <c r="AL217" s="51">
        <f t="shared" si="66"/>
        <v>0</v>
      </c>
      <c r="AM217" s="51">
        <f t="shared" si="66"/>
        <v>0</v>
      </c>
      <c r="AN217" s="51">
        <f t="shared" si="66"/>
        <v>0</v>
      </c>
      <c r="AO217" s="51">
        <f t="shared" si="66"/>
        <v>0</v>
      </c>
      <c r="AP217" s="298"/>
      <c r="AQ217" s="51">
        <f t="shared" si="65"/>
        <v>-21753801.28021539</v>
      </c>
      <c r="AR217" s="51">
        <f t="shared" si="65"/>
        <v>-23644898.62489849</v>
      </c>
      <c r="AS217" s="51">
        <f t="shared" si="65"/>
        <v>-27752363.024358585</v>
      </c>
      <c r="AT217" s="51">
        <f t="shared" si="65"/>
        <v>-23842759.859618913</v>
      </c>
      <c r="AU217" s="51">
        <f t="shared" si="65"/>
        <v>-39735531.035655178</v>
      </c>
      <c r="AV217" s="51">
        <f t="shared" si="65"/>
        <v>-14688291.234486805</v>
      </c>
      <c r="AW217" s="51">
        <f t="shared" si="65"/>
        <v>0</v>
      </c>
      <c r="AX217" s="51">
        <f t="shared" si="65"/>
        <v>0</v>
      </c>
      <c r="AY217" s="298"/>
      <c r="AZ217" s="51">
        <f t="shared" si="62"/>
        <v>-96993822.789091378</v>
      </c>
      <c r="BA217" s="51">
        <f t="shared" si="63"/>
        <v>-54423822.270141982</v>
      </c>
      <c r="BB217" s="299"/>
      <c r="BC217" s="51">
        <f t="shared" si="54"/>
        <v>-6167628.4084411757</v>
      </c>
      <c r="BD217" s="51">
        <f t="shared" si="64"/>
        <v>-54423822.270141982</v>
      </c>
    </row>
    <row r="218" spans="2:57" outlineLevel="1" x14ac:dyDescent="0.45">
      <c r="F218" s="299"/>
      <c r="G218" s="299"/>
      <c r="H218" s="299"/>
      <c r="I218" s="299"/>
      <c r="J218" s="299"/>
      <c r="K218" s="299"/>
      <c r="L218" s="299"/>
      <c r="M218" s="299"/>
      <c r="N218" s="299"/>
      <c r="O218" s="299"/>
      <c r="P218" s="299"/>
      <c r="Q218" s="299"/>
      <c r="R218" s="334"/>
      <c r="S218" s="334"/>
      <c r="T218" s="334"/>
      <c r="U218" s="334"/>
      <c r="V218" s="334"/>
      <c r="W218" s="334"/>
      <c r="X218" s="334"/>
      <c r="Y218" s="334"/>
      <c r="Z218" s="334"/>
      <c r="AA218" s="334"/>
      <c r="AB218" s="334"/>
      <c r="AC218" s="334"/>
      <c r="AD218" s="334"/>
      <c r="AE218" s="334"/>
      <c r="AF218" s="334"/>
      <c r="AG218" s="334"/>
      <c r="AH218" s="334"/>
      <c r="AI218" s="334"/>
      <c r="AJ218" s="334"/>
      <c r="AK218" s="334"/>
      <c r="AL218" s="334"/>
      <c r="AM218" s="334"/>
      <c r="AN218" s="334"/>
      <c r="AO218" s="334"/>
      <c r="AP218" s="299"/>
      <c r="AQ218" s="501"/>
      <c r="AR218" s="501"/>
      <c r="AS218" s="501"/>
      <c r="AT218" s="501"/>
      <c r="AU218" s="501"/>
      <c r="AV218" s="501"/>
      <c r="AW218" s="501"/>
      <c r="AX218" s="501"/>
      <c r="AY218" s="299"/>
      <c r="AZ218" s="501"/>
      <c r="BA218" s="501"/>
      <c r="BB218" s="299"/>
      <c r="BC218" s="501"/>
      <c r="BD218" s="501"/>
    </row>
    <row r="219" spans="2:57" outlineLevel="1" x14ac:dyDescent="0.45">
      <c r="B219" s="49" t="s">
        <v>812</v>
      </c>
      <c r="C219" s="49"/>
      <c r="D219" s="338"/>
      <c r="E219" s="49"/>
      <c r="F219" s="49"/>
      <c r="G219" s="49"/>
      <c r="H219" s="49"/>
      <c r="I219" s="49"/>
      <c r="J219" s="49"/>
      <c r="K219" s="49"/>
      <c r="L219" s="49"/>
      <c r="M219" s="49"/>
      <c r="N219" s="49"/>
      <c r="O219" s="49"/>
      <c r="P219" s="49"/>
      <c r="Q219" s="49"/>
      <c r="R219" s="229">
        <f t="shared" ref="R219:AO219" si="67">R183+R217</f>
        <v>-4320687.7584411744</v>
      </c>
      <c r="S219" s="229">
        <f t="shared" si="67"/>
        <v>-6507289.4819278028</v>
      </c>
      <c r="T219" s="229">
        <f t="shared" si="67"/>
        <v>-6127169.5098464126</v>
      </c>
      <c r="U219" s="229">
        <f t="shared" si="67"/>
        <v>-5082117.6477021305</v>
      </c>
      <c r="V219" s="229">
        <f t="shared" si="67"/>
        <v>-4504150.7153497003</v>
      </c>
      <c r="W219" s="229">
        <f t="shared" si="67"/>
        <v>-5056159.9618466245</v>
      </c>
      <c r="X219" s="229">
        <f t="shared" si="67"/>
        <v>-6256462.6124919336</v>
      </c>
      <c r="Y219" s="229">
        <f t="shared" si="67"/>
        <v>-6401781.6570000574</v>
      </c>
      <c r="Z219" s="229">
        <f t="shared" si="67"/>
        <v>-2331968.8748666272</v>
      </c>
      <c r="AA219" s="229">
        <f t="shared" si="67"/>
        <v>-6102506.7453334574</v>
      </c>
      <c r="AB219" s="229">
        <f t="shared" si="67"/>
        <v>-6802773.0739998724</v>
      </c>
      <c r="AC219" s="229">
        <f t="shared" si="67"/>
        <v>-5588849.0802855818</v>
      </c>
      <c r="AD219" s="229">
        <f t="shared" si="67"/>
        <v>-7427215.3999999557</v>
      </c>
      <c r="AE219" s="229">
        <f t="shared" si="67"/>
        <v>-10743048.57488519</v>
      </c>
      <c r="AF219" s="229">
        <f t="shared" si="67"/>
        <v>-13595162.240770034</v>
      </c>
      <c r="AG219" s="229">
        <f t="shared" si="67"/>
        <v>-10955018.484486803</v>
      </c>
      <c r="AH219" s="229">
        <f t="shared" si="67"/>
        <v>0</v>
      </c>
      <c r="AI219" s="229">
        <f t="shared" si="67"/>
        <v>0</v>
      </c>
      <c r="AJ219" s="229">
        <f t="shared" si="67"/>
        <v>0</v>
      </c>
      <c r="AK219" s="229">
        <f t="shared" si="67"/>
        <v>0</v>
      </c>
      <c r="AL219" s="229">
        <f t="shared" si="67"/>
        <v>0</v>
      </c>
      <c r="AM219" s="229">
        <f t="shared" si="67"/>
        <v>0</v>
      </c>
      <c r="AN219" s="229">
        <f t="shared" si="67"/>
        <v>0</v>
      </c>
      <c r="AO219" s="229">
        <f t="shared" si="67"/>
        <v>0</v>
      </c>
      <c r="AP219" s="298"/>
      <c r="AQ219" s="496">
        <f t="shared" ref="AQ219:AX219" si="68">SUMIFS($R219:$AP219,$R$9:$AP$9,AQ$9,$R$8:$AP$8,AQ$8)</f>
        <v>-16955146.750215389</v>
      </c>
      <c r="AR219" s="496">
        <f t="shared" si="68"/>
        <v>-14642428.324898455</v>
      </c>
      <c r="AS219" s="496">
        <f t="shared" si="68"/>
        <v>-14990213.144358618</v>
      </c>
      <c r="AT219" s="496">
        <f t="shared" si="68"/>
        <v>-18494128.899618912</v>
      </c>
      <c r="AU219" s="496">
        <f t="shared" si="68"/>
        <v>-31765426.215655178</v>
      </c>
      <c r="AV219" s="496">
        <f t="shared" si="68"/>
        <v>-10955018.484486803</v>
      </c>
      <c r="AW219" s="496">
        <f t="shared" si="68"/>
        <v>0</v>
      </c>
      <c r="AX219" s="496">
        <f t="shared" si="68"/>
        <v>0</v>
      </c>
      <c r="AY219" s="298"/>
      <c r="AZ219" s="496">
        <f t="shared" ref="AZ219" si="69">SUM(AQ219:AT219)</f>
        <v>-65081917.119091377</v>
      </c>
      <c r="BA219" s="496">
        <f t="shared" ref="BA219" si="70">SUM(AU219:AX219)</f>
        <v>-42720444.700141981</v>
      </c>
      <c r="BB219" s="299"/>
      <c r="BC219" s="496">
        <f t="shared" ref="BC219" si="71">SUMIFS($R219:$AD219,$R$8:$AD$8,BC$8,$R$11:$AD$11,BC$11)</f>
        <v>-4320687.7584411744</v>
      </c>
      <c r="BD219" s="496">
        <f>SUMIFS($AB219:$AO219,$AB$8:$AO$8,BD$8,$AB$11:$AO$11,BD$11)</f>
        <v>-42720444.700141981</v>
      </c>
    </row>
    <row r="220" spans="2:57" outlineLevel="1" x14ac:dyDescent="0.45">
      <c r="B220" s="61"/>
      <c r="C220" s="61"/>
      <c r="D220" s="557"/>
      <c r="E220" s="61"/>
      <c r="F220" s="61"/>
      <c r="G220" s="61"/>
      <c r="H220" s="61"/>
      <c r="I220" s="61"/>
      <c r="J220" s="61"/>
      <c r="K220" s="61"/>
      <c r="L220" s="61"/>
      <c r="M220" s="61"/>
      <c r="N220" s="61"/>
      <c r="O220" s="61"/>
      <c r="P220" s="61"/>
      <c r="Q220" s="61"/>
      <c r="R220" s="535"/>
      <c r="S220" s="535"/>
      <c r="T220" s="535"/>
      <c r="U220" s="535"/>
      <c r="V220" s="535"/>
      <c r="W220" s="535"/>
      <c r="X220" s="535"/>
      <c r="Y220" s="535"/>
      <c r="Z220" s="535"/>
      <c r="AA220" s="535"/>
      <c r="AB220" s="535"/>
      <c r="AC220" s="535"/>
      <c r="AD220" s="551">
        <f>+IFERROR(AD219/AD$163,0)</f>
        <v>-0.50618741440704462</v>
      </c>
      <c r="AE220" s="551">
        <f>+IFERROR(AE219/AE$163,0)</f>
        <v>-0.74606482359292214</v>
      </c>
      <c r="AF220" s="551">
        <f>+IFERROR(AF219/AF$163,0)</f>
        <v>-0.80225628200096377</v>
      </c>
      <c r="AG220" s="551">
        <f>+IFERROR(AG219/AG$163,0)</f>
        <v>-0.6578927920569867</v>
      </c>
      <c r="AH220" s="551">
        <f t="shared" ref="AH220:AO220" si="72">+IFERROR(AH219/AH$163,0)</f>
        <v>0</v>
      </c>
      <c r="AI220" s="551">
        <f t="shared" si="72"/>
        <v>0</v>
      </c>
      <c r="AJ220" s="551">
        <f t="shared" si="72"/>
        <v>0</v>
      </c>
      <c r="AK220" s="551">
        <f t="shared" si="72"/>
        <v>0</v>
      </c>
      <c r="AL220" s="551">
        <f t="shared" si="72"/>
        <v>0</v>
      </c>
      <c r="AM220" s="551">
        <f t="shared" si="72"/>
        <v>0</v>
      </c>
      <c r="AN220" s="551">
        <f t="shared" si="72"/>
        <v>0</v>
      </c>
      <c r="AO220" s="551">
        <f t="shared" si="72"/>
        <v>0</v>
      </c>
      <c r="AP220" s="298"/>
      <c r="AQ220" s="535"/>
      <c r="AR220" s="535"/>
      <c r="AS220" s="535"/>
      <c r="AT220" s="535"/>
      <c r="AU220" s="535"/>
      <c r="AV220" s="535"/>
      <c r="AW220" s="535"/>
      <c r="AX220" s="535"/>
      <c r="AY220" s="298"/>
      <c r="AZ220" s="535"/>
      <c r="BA220" s="535"/>
      <c r="BB220" s="299"/>
      <c r="BC220" s="535"/>
      <c r="BD220" s="535"/>
    </row>
    <row r="221" spans="2:57" outlineLevel="1" x14ac:dyDescent="0.45">
      <c r="F221" s="299"/>
      <c r="G221" s="299"/>
      <c r="H221" s="299"/>
      <c r="I221" s="299"/>
      <c r="J221" s="299"/>
      <c r="K221" s="299"/>
      <c r="L221" s="299"/>
      <c r="M221" s="299"/>
      <c r="N221" s="299"/>
      <c r="O221" s="299"/>
      <c r="P221" s="299"/>
      <c r="Q221" s="299"/>
      <c r="R221" s="546"/>
      <c r="S221" s="546"/>
      <c r="T221" s="546"/>
      <c r="U221" s="546"/>
      <c r="V221" s="546"/>
      <c r="W221" s="546"/>
      <c r="X221" s="546"/>
      <c r="Y221" s="546"/>
      <c r="Z221" s="546"/>
      <c r="AA221" s="546"/>
      <c r="AB221" s="546"/>
      <c r="AC221" s="546"/>
      <c r="AH221" s="298"/>
      <c r="AI221" s="298"/>
      <c r="AJ221" s="298"/>
      <c r="AK221" s="298"/>
      <c r="AL221" s="298"/>
      <c r="AM221" s="298"/>
      <c r="AN221" s="298"/>
      <c r="AO221" s="298"/>
      <c r="AP221" s="298"/>
      <c r="AQ221" s="298"/>
      <c r="AR221" s="298"/>
      <c r="AS221" s="298"/>
      <c r="AT221" s="298"/>
      <c r="AU221" s="298"/>
      <c r="AV221" s="298"/>
      <c r="AW221" s="298"/>
      <c r="AX221" s="298"/>
      <c r="AY221" s="298"/>
      <c r="AZ221" s="298"/>
      <c r="BA221" s="298"/>
      <c r="BB221" s="299"/>
      <c r="BC221" s="298"/>
      <c r="BD221" s="298"/>
    </row>
    <row r="222" spans="2:57" outlineLevel="3" x14ac:dyDescent="0.45">
      <c r="B222" s="102" t="s">
        <v>2029</v>
      </c>
      <c r="C222" s="318"/>
      <c r="D222" s="342"/>
      <c r="E222" s="304"/>
      <c r="F222" s="302"/>
      <c r="G222" s="302"/>
      <c r="H222" s="302"/>
      <c r="I222" s="302"/>
      <c r="J222" s="302"/>
      <c r="K222" s="302"/>
      <c r="L222" s="302"/>
      <c r="M222" s="302"/>
      <c r="N222" s="302"/>
      <c r="O222" s="302"/>
      <c r="P222" s="302"/>
      <c r="Q222" s="302"/>
      <c r="R222" s="73">
        <f>SUMIFS('Data BASE'!R$490:R$960,'Data BASE'!$M$490:$M$960,$B222,'Data BASE'!$L$490:$L$960,$B$227)</f>
        <v>167563</v>
      </c>
      <c r="S222" s="73">
        <f>SUMIFS('Data BASE'!S$490:S$960,'Data BASE'!$M$490:$M$960,$B222,'Data BASE'!$L$490:$L$960,$B$227)</f>
        <v>167563</v>
      </c>
      <c r="T222" s="73">
        <f>SUMIFS('Data BASE'!T$490:T$960,'Data BASE'!$M$490:$M$960,$B222,'Data BASE'!$L$490:$L$960,$B$227)</f>
        <v>167563</v>
      </c>
      <c r="U222" s="73">
        <f>SUMIFS('Data BASE'!U$490:U$960,'Data BASE'!$M$490:$M$960,$B222,'Data BASE'!$L$490:$L$960,$B$227)</f>
        <v>167563</v>
      </c>
      <c r="V222" s="73">
        <f>SUMIFS('Data BASE'!V$490:V$960,'Data BASE'!$M$490:$M$960,$B222,'Data BASE'!$L$490:$L$960,$B$227)</f>
        <v>170144.17999999993</v>
      </c>
      <c r="W222" s="73">
        <f>SUMIFS('Data BASE'!W$490:W$960,'Data BASE'!$M$490:$M$960,$B222,'Data BASE'!$L$490:$L$960,$B$227)</f>
        <v>167076.24000000022</v>
      </c>
      <c r="X222" s="73">
        <f>SUMIFS('Data BASE'!X$490:X$960,'Data BASE'!$M$490:$M$960,$B222,'Data BASE'!$L$490:$L$960,$B$227)</f>
        <v>165468.58000000007</v>
      </c>
      <c r="Y222" s="73">
        <f>SUMIFS('Data BASE'!Y$490:Y$960,'Data BASE'!$M$490:$M$960,$B222,'Data BASE'!$L$490:$L$960,$B$227)</f>
        <v>167563</v>
      </c>
      <c r="Z222" s="73">
        <f>SUMIFS('Data BASE'!Z$490:Z$960,'Data BASE'!$M$490:$M$960,$B222,'Data BASE'!$L$490:$L$960,$B$227)</f>
        <v>167552.99999999977</v>
      </c>
      <c r="AA222" s="73">
        <f>SUMIFS('Data BASE'!AA$490:AA$960,'Data BASE'!$M$490:$M$960,$B222,'Data BASE'!$L$490:$L$960,$B$227)</f>
        <v>167563</v>
      </c>
      <c r="AB222" s="73">
        <f>SUMIFS('Data BASE'!AB$490:AB$960,'Data BASE'!$M$490:$M$960,$B222,'Data BASE'!$L$490:$L$960,$B$227)</f>
        <v>167563</v>
      </c>
      <c r="AC222" s="73">
        <f>SUMIFS('Data BASE'!AC$490:AC$960,'Data BASE'!$M$490:$M$960,$B222,'Data BASE'!$L$490:$L$960,$B$227)</f>
        <v>167563</v>
      </c>
      <c r="AD222" s="73">
        <f>SUMIFS('Data BASE'!AD$490:AD$960,'Data BASE'!$M$490:$M$960,$B222,'Data BASE'!$L$490:$L$960,$B$227)</f>
        <v>167563</v>
      </c>
      <c r="AE222" s="73">
        <f>SUMIFS('Data BASE'!AE$490:AE$960,'Data BASE'!$M$490:$M$960,$B222,'Data BASE'!$L$490:$L$960,$B$227)</f>
        <v>167563</v>
      </c>
      <c r="AF222" s="73">
        <f>SUMIFS('Data BASE'!AF$490:AF$960,'Data BASE'!$M$490:$M$960,$B222,'Data BASE'!$L$490:$L$960,$B$227)</f>
        <v>167563</v>
      </c>
      <c r="AG222" s="73">
        <f>SUMIFS('Data BASE'!AG$490:AG$2000,'Data BASE'!$M$490:$M$2000,$B222,'Data BASE'!$L$490:$L$2000,$B$227)</f>
        <v>167562.98545194196</v>
      </c>
      <c r="AH222" s="73"/>
      <c r="AI222" s="73"/>
      <c r="AJ222" s="73"/>
      <c r="AK222" s="73"/>
      <c r="AL222" s="73"/>
      <c r="AM222" s="73"/>
      <c r="AN222" s="73"/>
      <c r="AO222" s="73"/>
      <c r="AP222" s="298"/>
      <c r="AQ222" s="73">
        <f t="shared" ref="AQ222:AX227" si="73">SUMIFS($R222:$AP222,$R$9:$AP$9,AQ$9,$R$8:$AP$8,AQ$8)</f>
        <v>502689</v>
      </c>
      <c r="AR222" s="73">
        <f t="shared" si="73"/>
        <v>504783.42000000016</v>
      </c>
      <c r="AS222" s="73">
        <f t="shared" si="73"/>
        <v>500584.57999999984</v>
      </c>
      <c r="AT222" s="73">
        <f t="shared" si="73"/>
        <v>502689</v>
      </c>
      <c r="AU222" s="73">
        <f t="shared" si="73"/>
        <v>502689</v>
      </c>
      <c r="AV222" s="73">
        <f t="shared" si="73"/>
        <v>167562.98545194196</v>
      </c>
      <c r="AW222" s="73">
        <f t="shared" si="73"/>
        <v>0</v>
      </c>
      <c r="AX222" s="73">
        <f t="shared" si="73"/>
        <v>0</v>
      </c>
      <c r="AY222" s="298"/>
      <c r="AZ222" s="73">
        <f t="shared" ref="AZ222:AZ227" si="74">SUM(AQ222:AT222)</f>
        <v>2010746</v>
      </c>
      <c r="BA222" s="73">
        <f t="shared" ref="BA222:BA227" si="75">SUM(AU222:AX222)</f>
        <v>670251.98545194196</v>
      </c>
      <c r="BB222" s="299"/>
      <c r="BC222" s="73">
        <f t="shared" ref="BC222:BC226" si="76">SUMIFS($R222:$AD222,$R$8:$AD$8,BC$8,$R$11:$AD$11,BC$11)</f>
        <v>167563</v>
      </c>
      <c r="BD222" s="73">
        <f t="shared" ref="BD222:BD226" si="77">SUMIFS($AB222:$AO222,$AB$8:$AO$8,BD$8,$AB$11:$AO$11,BD$11)</f>
        <v>670251.98545194196</v>
      </c>
    </row>
    <row r="223" spans="2:57" outlineLevel="3" x14ac:dyDescent="0.45">
      <c r="B223" s="102" t="s">
        <v>2030</v>
      </c>
      <c r="C223" s="318"/>
      <c r="D223" s="342"/>
      <c r="E223" s="304"/>
      <c r="F223" s="302"/>
      <c r="G223" s="302"/>
      <c r="H223" s="302"/>
      <c r="I223" s="302"/>
      <c r="J223" s="302"/>
      <c r="K223" s="302"/>
      <c r="L223" s="302"/>
      <c r="M223" s="302"/>
      <c r="N223" s="302"/>
      <c r="O223" s="302"/>
      <c r="P223" s="302"/>
      <c r="Q223" s="302"/>
      <c r="R223" s="73">
        <f>SUMIFS('Data BASE'!R$490:R$960,'Data BASE'!$M$490:$M$960,$B223,'Data BASE'!$L$490:$L$960,$B$227)</f>
        <v>1324549.04</v>
      </c>
      <c r="S223" s="73">
        <f>SUMIFS('Data BASE'!S$490:S$960,'Data BASE'!$M$490:$M$960,$B223,'Data BASE'!$L$490:$L$960,$B$227)</f>
        <v>1101254.92</v>
      </c>
      <c r="T223" s="73">
        <f>SUMIFS('Data BASE'!T$490:T$960,'Data BASE'!$M$490:$M$960,$B223,'Data BASE'!$L$490:$L$960,$B$227)</f>
        <v>1114055.92</v>
      </c>
      <c r="U223" s="73">
        <f>SUMIFS('Data BASE'!U$490:U$960,'Data BASE'!$M$490:$M$960,$B223,'Data BASE'!$L$490:$L$960,$B$227)</f>
        <v>1118635.2999999998</v>
      </c>
      <c r="V223" s="73">
        <f>SUMIFS('Data BASE'!V$490:V$960,'Data BASE'!$M$490:$M$960,$B223,'Data BASE'!$L$490:$L$960,$B$227)</f>
        <v>1118635.2999999998</v>
      </c>
      <c r="W223" s="73">
        <f>SUMIFS('Data BASE'!W$490:W$960,'Data BASE'!$M$490:$M$960,$B223,'Data BASE'!$L$490:$L$960,$B$227)</f>
        <v>1118635.3000000007</v>
      </c>
      <c r="X223" s="73">
        <f>SUMIFS('Data BASE'!X$490:X$960,'Data BASE'!$M$490:$M$960,$B223,'Data BASE'!$L$490:$L$960,$B$227)</f>
        <v>1122085.7599999998</v>
      </c>
      <c r="Y223" s="73">
        <f>SUMIFS('Data BASE'!Y$490:Y$960,'Data BASE'!$M$490:$M$960,$B223,'Data BASE'!$L$490:$L$960,$B$227)</f>
        <v>1133091.29</v>
      </c>
      <c r="Z223" s="73">
        <f>SUMIFS('Data BASE'!Z$490:Z$960,'Data BASE'!$M$490:$M$960,$B223,'Data BASE'!$L$490:$L$960,$B$227)</f>
        <v>1243265.4100000001</v>
      </c>
      <c r="AA223" s="73">
        <f>SUMIFS('Data BASE'!AA$490:AA$960,'Data BASE'!$M$490:$M$960,$B223,'Data BASE'!$L$490:$L$960,$B$227)</f>
        <v>1596959.5199999996</v>
      </c>
      <c r="AB223" s="73">
        <f>SUMIFS('Data BASE'!AB$490:AB$960,'Data BASE'!$M$490:$M$960,$B223,'Data BASE'!$L$490:$L$960,$B$227)</f>
        <v>1600985.0099999998</v>
      </c>
      <c r="AC223" s="73">
        <f>SUMIFS('Data BASE'!AC$490:AC$960,'Data BASE'!$M$490:$M$960,$B223,'Data BASE'!$L$490:$L$960,$B$227)</f>
        <v>1679251.3100000005</v>
      </c>
      <c r="AD223" s="73">
        <f>SUMIFS('Data BASE'!AD$490:AD$960,'Data BASE'!$M$490:$M$960,$B223,'Data BASE'!$L$490:$L$960,$B$227)</f>
        <v>1770939.56</v>
      </c>
      <c r="AE223" s="73">
        <f>SUMIFS('Data BASE'!AE$490:AE$960,'Data BASE'!$M$490:$M$960,$B223,'Data BASE'!$L$490:$L$960,$B$227)</f>
        <v>1735243.1800000002</v>
      </c>
      <c r="AF223" s="73">
        <f>SUMIFS('Data BASE'!AF$490:AF$960,'Data BASE'!$M$490:$M$960,$B223,'Data BASE'!$L$490:$L$960,$B$227)</f>
        <v>1582261.71</v>
      </c>
      <c r="AG223" s="73">
        <f>SUMIFS('Data BASE'!AG$490:AG$2000,'Data BASE'!$M$490:$M$2000,$B223,'Data BASE'!$L$490:$L$2000,$B$227)</f>
        <v>1888476.0099999998</v>
      </c>
      <c r="AH223" s="73"/>
      <c r="AI223" s="73"/>
      <c r="AJ223" s="73"/>
      <c r="AK223" s="73"/>
      <c r="AL223" s="73"/>
      <c r="AM223" s="73"/>
      <c r="AN223" s="73"/>
      <c r="AO223" s="73"/>
      <c r="AP223" s="298"/>
      <c r="AQ223" s="73">
        <f t="shared" si="73"/>
        <v>3539859.88</v>
      </c>
      <c r="AR223" s="73">
        <f t="shared" si="73"/>
        <v>3355905.9000000004</v>
      </c>
      <c r="AS223" s="73">
        <f t="shared" si="73"/>
        <v>3498442.46</v>
      </c>
      <c r="AT223" s="73">
        <f t="shared" si="73"/>
        <v>4877195.84</v>
      </c>
      <c r="AU223" s="73">
        <f t="shared" si="73"/>
        <v>5088444.45</v>
      </c>
      <c r="AV223" s="73">
        <f t="shared" si="73"/>
        <v>1888476.0099999998</v>
      </c>
      <c r="AW223" s="73">
        <f t="shared" si="73"/>
        <v>0</v>
      </c>
      <c r="AX223" s="73">
        <f t="shared" si="73"/>
        <v>0</v>
      </c>
      <c r="AY223" s="298"/>
      <c r="AZ223" s="73">
        <f t="shared" si="74"/>
        <v>15271404.08</v>
      </c>
      <c r="BA223" s="73">
        <f t="shared" si="75"/>
        <v>6976920.46</v>
      </c>
      <c r="BB223" s="299"/>
      <c r="BC223" s="73">
        <f t="shared" si="76"/>
        <v>1324549.04</v>
      </c>
      <c r="BD223" s="73">
        <f t="shared" si="77"/>
        <v>6976920.46</v>
      </c>
    </row>
    <row r="224" spans="2:57" outlineLevel="3" x14ac:dyDescent="0.45">
      <c r="B224" s="102" t="s">
        <v>807</v>
      </c>
      <c r="C224" s="318"/>
      <c r="D224" s="342"/>
      <c r="E224" s="304"/>
      <c r="F224" s="302"/>
      <c r="G224" s="302"/>
      <c r="H224" s="302"/>
      <c r="I224" s="302"/>
      <c r="J224" s="302"/>
      <c r="K224" s="302"/>
      <c r="L224" s="302"/>
      <c r="M224" s="302"/>
      <c r="N224" s="302"/>
      <c r="O224" s="302"/>
      <c r="P224" s="302"/>
      <c r="Q224" s="302"/>
      <c r="R224" s="73">
        <f>SUMIFS('Data BASE'!R$490:R$960,'Data BASE'!$M$490:$M$960,$B224,'Data BASE'!$L$490:$L$960,$B$227)</f>
        <v>0</v>
      </c>
      <c r="S224" s="73">
        <f>SUMIFS('Data BASE'!S$490:S$960,'Data BASE'!$M$490:$M$960,$B224,'Data BASE'!$L$490:$L$960,$B$227)</f>
        <v>0</v>
      </c>
      <c r="T224" s="73">
        <f>SUMIFS('Data BASE'!T$490:T$960,'Data BASE'!$M$490:$M$960,$B224,'Data BASE'!$L$490:$L$960,$B$227)</f>
        <v>0</v>
      </c>
      <c r="U224" s="73">
        <f>SUMIFS('Data BASE'!U$490:U$960,'Data BASE'!$M$490:$M$960,$B224,'Data BASE'!$L$490:$L$960,$B$227)</f>
        <v>0</v>
      </c>
      <c r="V224" s="73">
        <f>SUMIFS('Data BASE'!V$490:V$960,'Data BASE'!$M$490:$M$960,$B224,'Data BASE'!$L$490:$L$960,$B$227)</f>
        <v>0</v>
      </c>
      <c r="W224" s="73">
        <f>SUMIFS('Data BASE'!W$490:W$960,'Data BASE'!$M$490:$M$960,$B224,'Data BASE'!$L$490:$L$960,$B$227)</f>
        <v>0</v>
      </c>
      <c r="X224" s="73">
        <f>SUMIFS('Data BASE'!X$490:X$960,'Data BASE'!$M$490:$M$960,$B224,'Data BASE'!$L$490:$L$960,$B$227)</f>
        <v>174583</v>
      </c>
      <c r="Y224" s="73">
        <f>SUMIFS('Data BASE'!Y$490:Y$960,'Data BASE'!$M$490:$M$960,$B224,'Data BASE'!$L$490:$L$960,$B$227)</f>
        <v>0</v>
      </c>
      <c r="Z224" s="73">
        <f>SUMIFS('Data BASE'!Z$490:Z$960,'Data BASE'!$M$490:$M$960,$B224,'Data BASE'!$L$490:$L$960,$B$227)</f>
        <v>0</v>
      </c>
      <c r="AA224" s="73">
        <f>SUMIFS('Data BASE'!AA$490:AA$960,'Data BASE'!$M$490:$M$960,$B224,'Data BASE'!$L$490:$L$960,$B$227)</f>
        <v>-15405</v>
      </c>
      <c r="AB224" s="73">
        <f>SUMIFS('Data BASE'!AB$490:AB$960,'Data BASE'!$M$490:$M$960,$B224,'Data BASE'!$L$490:$L$960,$B$227)</f>
        <v>0</v>
      </c>
      <c r="AC224" s="73">
        <f>SUMIFS('Data BASE'!AC$490:AC$960,'Data BASE'!$M$490:$M$960,$B224,'Data BASE'!$L$490:$L$960,$B$227)</f>
        <v>0</v>
      </c>
      <c r="AD224" s="73">
        <f>SUMIFS('Data BASE'!AD$490:AD$960,'Data BASE'!$M$490:$M$960,$B224,'Data BASE'!$L$490:$L$960,$B$227)</f>
        <v>0</v>
      </c>
      <c r="AE224" s="73">
        <f>SUMIFS('Data BASE'!AE$490:AE$960,'Data BASE'!$M$490:$M$960,$B224,'Data BASE'!$L$490:$L$960,$B$227)</f>
        <v>0</v>
      </c>
      <c r="AF224" s="73">
        <f>SUMIFS('Data BASE'!AF$490:AF$960,'Data BASE'!$M$490:$M$960,$B224,'Data BASE'!$L$490:$L$960,$B$227)</f>
        <v>0</v>
      </c>
      <c r="AG224" s="73">
        <f>SUMIFS('Data BASE'!AG$490:AG$2000,'Data BASE'!$M$490:$M$2000,$B224,'Data BASE'!$L$490:$L$2000,$B$227)</f>
        <v>0</v>
      </c>
      <c r="AH224" s="73"/>
      <c r="AI224" s="73"/>
      <c r="AJ224" s="73"/>
      <c r="AK224" s="73"/>
      <c r="AL224" s="73"/>
      <c r="AM224" s="73"/>
      <c r="AN224" s="73"/>
      <c r="AO224" s="73"/>
      <c r="AP224" s="298"/>
      <c r="AQ224" s="73"/>
      <c r="AR224" s="73"/>
      <c r="AS224" s="73"/>
      <c r="AT224" s="73"/>
      <c r="AU224" s="73"/>
      <c r="AV224" s="73"/>
      <c r="AW224" s="73"/>
      <c r="AX224" s="73"/>
      <c r="AY224" s="298"/>
      <c r="AZ224" s="73"/>
      <c r="BA224" s="73"/>
      <c r="BB224" s="299"/>
      <c r="BC224" s="73">
        <f t="shared" si="76"/>
        <v>0</v>
      </c>
      <c r="BD224" s="73">
        <f t="shared" si="77"/>
        <v>0</v>
      </c>
    </row>
    <row r="225" spans="2:56" outlineLevel="3" x14ac:dyDescent="0.45">
      <c r="B225" s="102" t="s">
        <v>466</v>
      </c>
      <c r="C225" s="318"/>
      <c r="D225" s="342"/>
      <c r="E225" s="304"/>
      <c r="F225" s="302"/>
      <c r="G225" s="302"/>
      <c r="H225" s="302"/>
      <c r="I225" s="302"/>
      <c r="J225" s="302"/>
      <c r="K225" s="302"/>
      <c r="L225" s="302"/>
      <c r="M225" s="302"/>
      <c r="N225" s="302"/>
      <c r="O225" s="302"/>
      <c r="P225" s="302"/>
      <c r="Q225" s="302"/>
      <c r="R225" s="547">
        <f>SUMIFS('Data BASE'!R$490:R$960,'Data BASE'!$M$490:$M$960,$B225,'Data BASE'!$L$490:$L$960,$B$227)</f>
        <v>13482.02</v>
      </c>
      <c r="S225" s="547">
        <f>SUMIFS('Data BASE'!S$490:S$960,'Data BASE'!$M$490:$M$960,$B225,'Data BASE'!$L$490:$L$960,$B$227)</f>
        <v>0</v>
      </c>
      <c r="T225" s="547">
        <f>SUMIFS('Data BASE'!T$490:T$960,'Data BASE'!$M$490:$M$960,$B225,'Data BASE'!$L$490:$L$960,$B$227)</f>
        <v>0</v>
      </c>
      <c r="U225" s="547">
        <f>SUMIFS('Data BASE'!U$490:U$960,'Data BASE'!$M$490:$M$960,$B225,'Data BASE'!$L$490:$L$960,$B$227)</f>
        <v>0</v>
      </c>
      <c r="V225" s="547">
        <f>SUMIFS('Data BASE'!V$490:V$960,'Data BASE'!$M$490:$M$960,$B225,'Data BASE'!$L$490:$L$960,$B$227)</f>
        <v>0</v>
      </c>
      <c r="W225" s="547">
        <f>SUMIFS('Data BASE'!W$490:W$960,'Data BASE'!$M$490:$M$960,$B225,'Data BASE'!$L$490:$L$960,$B$227)</f>
        <v>0</v>
      </c>
      <c r="X225" s="547">
        <f>SUMIFS('Data BASE'!X$490:X$960,'Data BASE'!$M$490:$M$960,$B225,'Data BASE'!$L$490:$L$960,$B$227)</f>
        <v>0</v>
      </c>
      <c r="Y225" s="547">
        <f>SUMIFS('Data BASE'!Y$490:Y$960,'Data BASE'!$M$490:$M$960,$B225,'Data BASE'!$L$490:$L$960,$B$227)</f>
        <v>0</v>
      </c>
      <c r="Z225" s="547">
        <f>SUMIFS('Data BASE'!Z$490:Z$960,'Data BASE'!$M$490:$M$960,$B225,'Data BASE'!$L$490:$L$960,$B$227)</f>
        <v>0</v>
      </c>
      <c r="AA225" s="547">
        <f>SUMIFS('Data BASE'!AA$490:AA$960,'Data BASE'!$M$490:$M$960,$B225,'Data BASE'!$L$490:$L$960,$B$227)</f>
        <v>0</v>
      </c>
      <c r="AB225" s="547">
        <f>SUMIFS('Data BASE'!AB$490:AB$960,'Data BASE'!$M$490:$M$960,$B225,'Data BASE'!$L$490:$L$960,$B$227)</f>
        <v>0</v>
      </c>
      <c r="AC225" s="547">
        <f>SUMIFS('Data BASE'!AC$490:AC$960,'Data BASE'!$M$490:$M$960,$B225,'Data BASE'!$L$490:$L$960,$B$227)</f>
        <v>0</v>
      </c>
      <c r="AD225" s="547">
        <f>SUMIFS('Data BASE'!AD$490:AD$960,'Data BASE'!$M$490:$M$960,$B225,'Data BASE'!$L$490:$L$960,$B$227)</f>
        <v>0</v>
      </c>
      <c r="AE225" s="547">
        <f>SUMIFS('Data BASE'!AE$490:AE$960,'Data BASE'!$M$490:$M$960,$B225,'Data BASE'!$L$490:$L$960,$B$227)</f>
        <v>0</v>
      </c>
      <c r="AF225" s="547">
        <f>SUMIFS('Data BASE'!AF$490:AF$960,'Data BASE'!$M$490:$M$960,$B225,'Data BASE'!$L$490:$L$960,$B$227)</f>
        <v>0</v>
      </c>
      <c r="AG225" s="547">
        <f>SUMIFS('Data BASE'!AG$490:AG$2000,'Data BASE'!$M$490:$M$2000,$B225,'Data BASE'!$L$490:$L$2000,$B$227)</f>
        <v>0</v>
      </c>
      <c r="AH225" s="73"/>
      <c r="AI225" s="73"/>
      <c r="AJ225" s="73"/>
      <c r="AK225" s="73"/>
      <c r="AL225" s="73"/>
      <c r="AM225" s="73"/>
      <c r="AN225" s="73"/>
      <c r="AO225" s="73"/>
      <c r="AP225" s="298"/>
      <c r="AQ225" s="73"/>
      <c r="AR225" s="73"/>
      <c r="AS225" s="73"/>
      <c r="AT225" s="73"/>
      <c r="AU225" s="73"/>
      <c r="AV225" s="73"/>
      <c r="AW225" s="73"/>
      <c r="AX225" s="73"/>
      <c r="AY225" s="298"/>
      <c r="AZ225" s="73"/>
      <c r="BA225" s="73"/>
      <c r="BB225" s="299"/>
      <c r="BC225" s="73">
        <f t="shared" si="76"/>
        <v>13482.02</v>
      </c>
      <c r="BD225" s="73">
        <f t="shared" si="77"/>
        <v>0</v>
      </c>
    </row>
    <row r="226" spans="2:56" ht="16" customHeight="1" outlineLevel="3" x14ac:dyDescent="0.45">
      <c r="B226" s="102" t="s">
        <v>502</v>
      </c>
      <c r="C226" s="318"/>
      <c r="D226" s="342"/>
      <c r="E226" s="304"/>
      <c r="F226" s="302"/>
      <c r="G226" s="302"/>
      <c r="H226" s="302"/>
      <c r="I226" s="302"/>
      <c r="J226" s="302"/>
      <c r="K226" s="302"/>
      <c r="L226" s="302"/>
      <c r="M226" s="302"/>
      <c r="N226" s="302"/>
      <c r="O226" s="302"/>
      <c r="P226" s="302"/>
      <c r="Q226" s="302"/>
      <c r="R226" s="73">
        <f>SUMIFS('Data BASE'!R$490:R$960,'Data BASE'!$M$490:$M$960,$B226,'Data BASE'!$L$490:$L$960,$B$227)</f>
        <v>0</v>
      </c>
      <c r="S226" s="73">
        <f>SUMIFS('Data BASE'!S$490:S$960,'Data BASE'!$M$490:$M$960,$B226,'Data BASE'!$L$490:$L$960,$B$227)</f>
        <v>85.47</v>
      </c>
      <c r="T226" s="73">
        <f>SUMIFS('Data BASE'!T$490:T$960,'Data BASE'!$M$490:$M$960,$B226,'Data BASE'!$L$490:$L$960,$B$227)</f>
        <v>0</v>
      </c>
      <c r="U226" s="73">
        <f>SUMIFS('Data BASE'!U$490:U$960,'Data BASE'!$M$490:$M$960,$B226,'Data BASE'!$L$490:$L$960,$B$227)</f>
        <v>-85.47</v>
      </c>
      <c r="V226" s="73">
        <f>SUMIFS('Data BASE'!V$490:V$960,'Data BASE'!$M$490:$M$960,$B226,'Data BASE'!$L$490:$L$960,$B$227)</f>
        <v>0</v>
      </c>
      <c r="W226" s="73">
        <f>SUMIFS('Data BASE'!W$490:W$960,'Data BASE'!$M$490:$M$960,$B226,'Data BASE'!$L$490:$L$960,$B$227)</f>
        <v>52000</v>
      </c>
      <c r="X226" s="73">
        <f>SUMIFS('Data BASE'!X$490:X$960,'Data BASE'!$M$490:$M$960,$B226,'Data BASE'!$L$490:$L$960,$B$227)</f>
        <v>1629.1900000000023</v>
      </c>
      <c r="Y226" s="73">
        <f>SUMIFS('Data BASE'!Y$490:Y$960,'Data BASE'!$M$490:$M$960,$B226,'Data BASE'!$L$490:$L$960,$B$227)</f>
        <v>0</v>
      </c>
      <c r="Z226" s="73">
        <f>SUMIFS('Data BASE'!Z$490:Z$960,'Data BASE'!$M$490:$M$960,$B226,'Data BASE'!$L$490:$L$960,$B$227)</f>
        <v>1292442.55</v>
      </c>
      <c r="AA226" s="73">
        <f>SUMIFS('Data BASE'!AA$490:AA$960,'Data BASE'!$M$490:$M$960,$B226,'Data BASE'!$L$490:$L$960,$B$227)</f>
        <v>-461592.38000000012</v>
      </c>
      <c r="AB226" s="73">
        <f>SUMIFS('Data BASE'!AB$490:AB$960,'Data BASE'!$M$490:$M$960,$B226,'Data BASE'!$L$490:$L$960,$B$227)</f>
        <v>-102939.14999999997</v>
      </c>
      <c r="AC226" s="73">
        <f>SUMIFS('Data BASE'!AC$490:AC$960,'Data BASE'!$M$490:$M$960,$B226,'Data BASE'!$L$490:$L$960,$B$227)</f>
        <v>753534.3899999999</v>
      </c>
      <c r="AD226" s="73">
        <f>SUMIFS('Data BASE'!AD$490:AD$960,'Data BASE'!$M$490:$M$960,$B226,'Data BASE'!$L$490:$L$960,$B$227)</f>
        <v>0.36</v>
      </c>
      <c r="AE226" s="73">
        <f>SUMIFS('Data BASE'!AE$490:AE$960,'Data BASE'!$M$490:$M$960,$B226,'Data BASE'!$L$490:$L$960,$B$227)</f>
        <v>0.42000000000000004</v>
      </c>
      <c r="AF226" s="73">
        <f>SUMIFS('Data BASE'!AF$490:AF$960,'Data BASE'!$M$490:$M$960,$B226,'Data BASE'!$L$490:$L$960,$B$227)</f>
        <v>448780.94</v>
      </c>
      <c r="AG226" s="73">
        <f>SUMIFS('Data BASE'!AG$490:AG$2000,'Data BASE'!$M$490:$M$2000,$B226,'Data BASE'!$L$490:$L$2000,$B$227)</f>
        <v>603443.57000000007</v>
      </c>
      <c r="AH226" s="73"/>
      <c r="AI226" s="73"/>
      <c r="AJ226" s="73"/>
      <c r="AK226" s="73"/>
      <c r="AL226" s="73"/>
      <c r="AM226" s="73"/>
      <c r="AN226" s="73"/>
      <c r="AO226" s="73"/>
      <c r="AP226" s="298"/>
      <c r="AQ226" s="73">
        <f t="shared" si="73"/>
        <v>85.47</v>
      </c>
      <c r="AR226" s="73">
        <f t="shared" si="73"/>
        <v>51914.53</v>
      </c>
      <c r="AS226" s="73">
        <f t="shared" si="73"/>
        <v>1294071.74</v>
      </c>
      <c r="AT226" s="73">
        <f t="shared" si="73"/>
        <v>189002.85999999987</v>
      </c>
      <c r="AU226" s="73">
        <f t="shared" si="73"/>
        <v>448781.72000000003</v>
      </c>
      <c r="AV226" s="73">
        <f t="shared" si="73"/>
        <v>603443.57000000007</v>
      </c>
      <c r="AW226" s="73">
        <f t="shared" si="73"/>
        <v>0</v>
      </c>
      <c r="AX226" s="73">
        <f t="shared" si="73"/>
        <v>0</v>
      </c>
      <c r="AY226" s="298"/>
      <c r="AZ226" s="73">
        <f t="shared" si="74"/>
        <v>1535074.5999999999</v>
      </c>
      <c r="BA226" s="73">
        <f t="shared" si="75"/>
        <v>1052225.29</v>
      </c>
      <c r="BB226" s="299"/>
      <c r="BC226" s="73">
        <f t="shared" si="76"/>
        <v>0</v>
      </c>
      <c r="BD226" s="73">
        <f t="shared" si="77"/>
        <v>1052225.29</v>
      </c>
    </row>
    <row r="227" spans="2:56" outlineLevel="2" x14ac:dyDescent="0.45">
      <c r="B227" s="53" t="s">
        <v>458</v>
      </c>
      <c r="C227" s="310"/>
      <c r="D227" s="339"/>
      <c r="E227" s="311"/>
      <c r="F227" s="312"/>
      <c r="G227" s="312"/>
      <c r="H227" s="312"/>
      <c r="I227" s="312"/>
      <c r="J227" s="312"/>
      <c r="K227" s="312"/>
      <c r="L227" s="312"/>
      <c r="M227" s="312"/>
      <c r="N227" s="312"/>
      <c r="O227" s="312"/>
      <c r="P227" s="312"/>
      <c r="Q227" s="312"/>
      <c r="R227" s="523">
        <f t="shared" ref="R227:AO227" si="78">SUM(R222:R226)</f>
        <v>1505594.06</v>
      </c>
      <c r="S227" s="523">
        <f t="shared" si="78"/>
        <v>1268903.3899999999</v>
      </c>
      <c r="T227" s="523">
        <f t="shared" si="78"/>
        <v>1281618.92</v>
      </c>
      <c r="U227" s="523">
        <f t="shared" si="78"/>
        <v>1286112.8299999998</v>
      </c>
      <c r="V227" s="523">
        <f t="shared" si="78"/>
        <v>1288779.4799999997</v>
      </c>
      <c r="W227" s="523">
        <f t="shared" si="78"/>
        <v>1337711.540000001</v>
      </c>
      <c r="X227" s="523">
        <f t="shared" si="78"/>
        <v>1463766.5299999998</v>
      </c>
      <c r="Y227" s="523">
        <f t="shared" si="78"/>
        <v>1300654.29</v>
      </c>
      <c r="Z227" s="523">
        <f t="shared" si="78"/>
        <v>2703260.96</v>
      </c>
      <c r="AA227" s="523">
        <f t="shared" si="78"/>
        <v>1287525.1399999994</v>
      </c>
      <c r="AB227" s="523">
        <f t="shared" si="78"/>
        <v>1665608.8599999999</v>
      </c>
      <c r="AC227" s="523">
        <f t="shared" si="78"/>
        <v>2600348.7000000002</v>
      </c>
      <c r="AD227" s="523">
        <f t="shared" si="78"/>
        <v>1938502.9200000002</v>
      </c>
      <c r="AE227" s="523">
        <f t="shared" si="78"/>
        <v>1902806.6</v>
      </c>
      <c r="AF227" s="523">
        <f t="shared" si="78"/>
        <v>2198605.65</v>
      </c>
      <c r="AG227" s="523">
        <f t="shared" si="78"/>
        <v>2659482.5654519415</v>
      </c>
      <c r="AH227" s="523">
        <f t="shared" si="78"/>
        <v>0</v>
      </c>
      <c r="AI227" s="523">
        <f t="shared" si="78"/>
        <v>0</v>
      </c>
      <c r="AJ227" s="523">
        <f t="shared" si="78"/>
        <v>0</v>
      </c>
      <c r="AK227" s="523">
        <f t="shared" si="78"/>
        <v>0</v>
      </c>
      <c r="AL227" s="523">
        <f t="shared" si="78"/>
        <v>0</v>
      </c>
      <c r="AM227" s="523">
        <f t="shared" si="78"/>
        <v>0</v>
      </c>
      <c r="AN227" s="523">
        <f t="shared" si="78"/>
        <v>0</v>
      </c>
      <c r="AO227" s="523">
        <f t="shared" si="78"/>
        <v>0</v>
      </c>
      <c r="AP227" s="298"/>
      <c r="AQ227" s="51">
        <f t="shared" si="73"/>
        <v>4056116.37</v>
      </c>
      <c r="AR227" s="51">
        <f t="shared" si="73"/>
        <v>3912603.8500000006</v>
      </c>
      <c r="AS227" s="51">
        <f t="shared" si="73"/>
        <v>5467681.7799999993</v>
      </c>
      <c r="AT227" s="51">
        <f t="shared" si="73"/>
        <v>5553482.6999999993</v>
      </c>
      <c r="AU227" s="51">
        <f t="shared" si="73"/>
        <v>6039915.1699999999</v>
      </c>
      <c r="AV227" s="51">
        <f t="shared" si="73"/>
        <v>2659482.5654519415</v>
      </c>
      <c r="AW227" s="51">
        <f t="shared" si="73"/>
        <v>0</v>
      </c>
      <c r="AX227" s="51">
        <f t="shared" si="73"/>
        <v>0</v>
      </c>
      <c r="AY227" s="298"/>
      <c r="AZ227" s="51">
        <f t="shared" si="74"/>
        <v>18989884.699999999</v>
      </c>
      <c r="BA227" s="51">
        <f t="shared" si="75"/>
        <v>8699397.7354519404</v>
      </c>
      <c r="BB227" s="299"/>
      <c r="BC227" s="51">
        <f t="shared" ref="BC227" si="79">SUMIFS($R227:$AD227,$R$8:$AD$8,BC$8,$R$11:$AD$11,BC$11)</f>
        <v>1505594.06</v>
      </c>
      <c r="BD227" s="51">
        <f t="shared" ref="BD227" si="80">SUMIFS($AB227:$AO227,$AB$8:$AO$8,BD$8,$AB$11:$AO$11,BD$11)</f>
        <v>8699397.7354519404</v>
      </c>
    </row>
    <row r="228" spans="2:56" outlineLevel="2" x14ac:dyDescent="0.45">
      <c r="B228" s="318"/>
      <c r="C228" s="318"/>
      <c r="D228" s="304"/>
      <c r="E228" s="304"/>
      <c r="F228" s="302"/>
      <c r="G228" s="302"/>
      <c r="H228" s="302"/>
      <c r="I228" s="302"/>
      <c r="J228" s="302"/>
      <c r="K228" s="302"/>
      <c r="L228" s="302"/>
      <c r="M228" s="302"/>
      <c r="N228" s="302"/>
      <c r="O228" s="302"/>
      <c r="P228" s="302"/>
      <c r="Q228" s="302"/>
      <c r="R228" s="305"/>
      <c r="S228" s="305"/>
      <c r="T228" s="305"/>
      <c r="U228" s="305"/>
      <c r="V228" s="305"/>
      <c r="W228" s="305"/>
      <c r="X228" s="305"/>
      <c r="Y228" s="305"/>
      <c r="Z228" s="305"/>
      <c r="AA228" s="305"/>
      <c r="AB228" s="305"/>
      <c r="AC228" s="305"/>
      <c r="AD228" s="305"/>
      <c r="AE228" s="305"/>
      <c r="AF228" s="305"/>
      <c r="AG228" s="305"/>
      <c r="AH228" s="305"/>
      <c r="AI228" s="305"/>
      <c r="AJ228" s="305"/>
      <c r="AK228" s="305"/>
      <c r="AL228" s="305"/>
      <c r="AM228" s="305"/>
      <c r="AN228" s="305"/>
      <c r="AO228" s="305"/>
      <c r="AP228" s="298"/>
      <c r="AQ228" s="305"/>
      <c r="AR228" s="305"/>
      <c r="AS228" s="305"/>
      <c r="AT228" s="305"/>
      <c r="AU228" s="305"/>
      <c r="AV228" s="305"/>
      <c r="AW228" s="305"/>
      <c r="AX228" s="305"/>
      <c r="AY228" s="298"/>
      <c r="AZ228" s="305"/>
      <c r="BA228" s="305"/>
      <c r="BB228" s="299"/>
      <c r="BC228" s="305"/>
      <c r="BD228" s="305"/>
    </row>
    <row r="229" spans="2:56" outlineLevel="3" x14ac:dyDescent="0.45">
      <c r="B229" s="102" t="s">
        <v>1762</v>
      </c>
      <c r="C229" s="318"/>
      <c r="D229" s="342"/>
      <c r="E229" s="304"/>
      <c r="F229" s="302"/>
      <c r="G229" s="302"/>
      <c r="H229" s="302"/>
      <c r="I229" s="302"/>
      <c r="J229" s="302"/>
      <c r="K229" s="302"/>
      <c r="L229" s="302"/>
      <c r="M229" s="302"/>
      <c r="N229" s="302"/>
      <c r="O229" s="302"/>
      <c r="P229" s="302"/>
      <c r="Q229" s="302"/>
      <c r="R229" s="73">
        <f>-SUMIFS('Data BASE'!R$490:R$960,'Data BASE'!$M$490:$M$960,$B229,'Data BASE'!$L$490:$L$960,$B$239)</f>
        <v>-78119.600000000006</v>
      </c>
      <c r="S229" s="73">
        <f>-SUMIFS('Data BASE'!S$490:S$960,'Data BASE'!$M$490:$M$960,$B229,'Data BASE'!$L$490:$L$960,$B$239)</f>
        <v>-76927.799999999988</v>
      </c>
      <c r="T229" s="73">
        <f>-SUMIFS('Data BASE'!T$490:T$960,'Data BASE'!$M$490:$M$960,$B229,'Data BASE'!$L$490:$L$960,$B$239)</f>
        <v>-80784</v>
      </c>
      <c r="U229" s="73">
        <f>-SUMIFS('Data BASE'!U$490:U$960,'Data BASE'!$M$490:$M$960,$B229,'Data BASE'!$L$490:$L$960,$B$239)</f>
        <v>-75734.000000000029</v>
      </c>
      <c r="V229" s="73">
        <f>-SUMIFS('Data BASE'!V$490:V$960,'Data BASE'!$M$490:$M$960,$B229,'Data BASE'!$L$490:$L$960,$B$239)</f>
        <v>-112339</v>
      </c>
      <c r="W229" s="73">
        <f>-SUMIFS('Data BASE'!W$490:W$960,'Data BASE'!$M$490:$M$960,$B229,'Data BASE'!$L$490:$L$960,$B$239)</f>
        <v>-67531</v>
      </c>
      <c r="X229" s="73">
        <f>-SUMIFS('Data BASE'!X$490:X$960,'Data BASE'!$M$490:$M$960,$B229,'Data BASE'!$L$490:$L$960,$B$239)</f>
        <v>-66496</v>
      </c>
      <c r="Y229" s="73">
        <f>-SUMIFS('Data BASE'!Y$490:Y$960,'Data BASE'!$M$490:$M$960,$B229,'Data BASE'!$L$490:$L$960,$B$239)</f>
        <v>-216187</v>
      </c>
      <c r="Z229" s="73">
        <f>-SUMIFS('Data BASE'!Z$490:Z$960,'Data BASE'!$M$490:$M$960,$B229,'Data BASE'!$L$490:$L$960,$B$239)</f>
        <v>-108000</v>
      </c>
      <c r="AA229" s="73">
        <f>-SUMIFS('Data BASE'!AA$490:AA$960,'Data BASE'!$M$490:$M$960,$B229,'Data BASE'!$L$490:$L$960,$B$239)</f>
        <v>-108000</v>
      </c>
      <c r="AB229" s="73">
        <f>-SUMIFS('Data BASE'!AB$490:AB$960,'Data BASE'!$M$490:$M$960,$B229,'Data BASE'!$L$490:$L$960,$B$239)</f>
        <v>-107999.99999999988</v>
      </c>
      <c r="AC229" s="73">
        <f>-SUMIFS('Data BASE'!AC$490:AC$960,'Data BASE'!$M$490:$M$960,$B229,'Data BASE'!$L$490:$L$960,$B$239)</f>
        <v>-108000</v>
      </c>
      <c r="AD229" s="73">
        <f>-SUMIFS('Data BASE'!AD$490:AD$960,'Data BASE'!$M$490:$M$960,$B229,'Data BASE'!$L$490:$L$960,$B$239)</f>
        <v>-108000</v>
      </c>
      <c r="AE229" s="73">
        <f>-SUMIFS('Data BASE'!AE$490:AE$960,'Data BASE'!$M$490:$M$960,$B229,'Data BASE'!$L$490:$L$960,$B$239)</f>
        <v>-108000</v>
      </c>
      <c r="AF229" s="73">
        <f>-SUMIFS('Data BASE'!AF$490:AF$960,'Data BASE'!$M$490:$M$960,$B229,'Data BASE'!$L$490:$L$960,$B$239)</f>
        <v>-113400</v>
      </c>
      <c r="AG229" s="73">
        <f>-SUMIFS('Data BASE'!AG$490:AG$2000,'Data BASE'!$M$490:$M$2000,$B229,'Data BASE'!$L$490:$L$2000,$B$239)</f>
        <v>0</v>
      </c>
      <c r="AH229" s="222"/>
      <c r="AI229" s="222"/>
      <c r="AJ229" s="222"/>
      <c r="AK229" s="222"/>
      <c r="AL229" s="222"/>
      <c r="AM229" s="222"/>
      <c r="AN229" s="222"/>
      <c r="AO229" s="222"/>
      <c r="AP229" s="298"/>
      <c r="AQ229" s="73">
        <f t="shared" ref="AQ229:AX230" si="81">SUMIFS($R229:$AP229,$R$9:$AP$9,AQ$9,$R$8:$AP$8,AQ$8)</f>
        <v>-235831.4</v>
      </c>
      <c r="AR229" s="73">
        <f t="shared" si="81"/>
        <v>-255604.00000000003</v>
      </c>
      <c r="AS229" s="73">
        <f t="shared" si="81"/>
        <v>-390683</v>
      </c>
      <c r="AT229" s="73">
        <f t="shared" si="81"/>
        <v>-323999.99999999988</v>
      </c>
      <c r="AU229" s="73">
        <f t="shared" si="81"/>
        <v>-329400</v>
      </c>
      <c r="AV229" s="73">
        <f t="shared" si="81"/>
        <v>0</v>
      </c>
      <c r="AW229" s="73">
        <f t="shared" si="81"/>
        <v>0</v>
      </c>
      <c r="AX229" s="73">
        <f t="shared" si="81"/>
        <v>0</v>
      </c>
      <c r="AY229" s="298"/>
      <c r="AZ229" s="73">
        <f t="shared" ref="AZ229:AZ240" si="82">SUM(AQ229:AT229)</f>
        <v>-1206118.3999999999</v>
      </c>
      <c r="BA229" s="73">
        <f t="shared" ref="BA229:BA240" si="83">SUM(AU229:AX229)</f>
        <v>-329400</v>
      </c>
      <c r="BB229" s="299"/>
      <c r="BC229" s="73">
        <f t="shared" ref="BC229:BC235" si="84">SUMIFS($R229:$AD229,$R$8:$AD$8,BC$8,$R$11:$AD$11,BC$11)</f>
        <v>-78119.600000000006</v>
      </c>
      <c r="BD229" s="73">
        <f t="shared" ref="BD229:BD235" si="85">SUMIFS($AB229:$AO229,$AB$8:$AO$8,BD$8,$AB$11:$AO$11,BD$11)</f>
        <v>-329400</v>
      </c>
    </row>
    <row r="230" spans="2:56" outlineLevel="3" x14ac:dyDescent="0.45">
      <c r="B230" s="102" t="s">
        <v>2031</v>
      </c>
      <c r="C230" s="318"/>
      <c r="D230" s="342"/>
      <c r="E230" s="304"/>
      <c r="F230" s="302"/>
      <c r="G230" s="302"/>
      <c r="H230" s="302"/>
      <c r="I230" s="302"/>
      <c r="J230" s="302"/>
      <c r="K230" s="302"/>
      <c r="L230" s="302"/>
      <c r="M230" s="302"/>
      <c r="N230" s="302"/>
      <c r="O230" s="302"/>
      <c r="P230" s="302"/>
      <c r="Q230" s="302"/>
      <c r="R230" s="73">
        <f>-SUMIFS('Data BASE'!R$490:R$960,'Data BASE'!$M$490:$M$960,$B230,'Data BASE'!$L$490:$L$960,$B$239)</f>
        <v>-34403.49</v>
      </c>
      <c r="S230" s="73">
        <f>-SUMIFS('Data BASE'!S$490:S$960,'Data BASE'!$M$490:$M$960,$B230,'Data BASE'!$L$490:$L$960,$B$239)</f>
        <v>-20942.43</v>
      </c>
      <c r="T230" s="73">
        <f>-SUMIFS('Data BASE'!T$490:T$960,'Data BASE'!$M$490:$M$960,$B230,'Data BASE'!$L$490:$L$960,$B$239)</f>
        <v>-9979.6900000000023</v>
      </c>
      <c r="U230" s="73">
        <f>-SUMIFS('Data BASE'!U$490:U$960,'Data BASE'!$M$490:$M$960,$B230,'Data BASE'!$L$490:$L$960,$B$239)</f>
        <v>-20469.150000000009</v>
      </c>
      <c r="V230" s="73">
        <f>-SUMIFS('Data BASE'!V$490:V$960,'Data BASE'!$M$490:$M$960,$B230,'Data BASE'!$L$490:$L$960,$B$239)</f>
        <v>-129942.43</v>
      </c>
      <c r="W230" s="73">
        <f>-SUMIFS('Data BASE'!W$490:W$960,'Data BASE'!$M$490:$M$960,$B230,'Data BASE'!$L$490:$L$960,$B$239)</f>
        <v>-27019.630000000005</v>
      </c>
      <c r="X230" s="73">
        <f>-SUMIFS('Data BASE'!X$490:X$960,'Data BASE'!$M$490:$M$960,$B230,'Data BASE'!$L$490:$L$960,$B$239)</f>
        <v>-25939.669999999984</v>
      </c>
      <c r="Y230" s="73">
        <f>-SUMIFS('Data BASE'!Y$490:Y$960,'Data BASE'!$M$490:$M$960,$B230,'Data BASE'!$L$490:$L$960,$B$239)</f>
        <v>-24480.830000000016</v>
      </c>
      <c r="Z230" s="73">
        <f>-SUMIFS('Data BASE'!Z$490:Z$960,'Data BASE'!$M$490:$M$960,$B230,'Data BASE'!$L$490:$L$960,$B$239)</f>
        <v>-21351.369999999995</v>
      </c>
      <c r="AA230" s="73">
        <f>-SUMIFS('Data BASE'!AA$490:AA$960,'Data BASE'!$M$490:$M$960,$B230,'Data BASE'!$L$490:$L$960,$B$239)</f>
        <v>-25217.929999999993</v>
      </c>
      <c r="AB230" s="73">
        <f>-SUMIFS('Data BASE'!AB$490:AB$960,'Data BASE'!$M$490:$M$960,$B230,'Data BASE'!$L$490:$L$960,$B$239)</f>
        <v>-24179.469999999972</v>
      </c>
      <c r="AC230" s="73">
        <f>-SUMIFS('Data BASE'!AC$490:AC$960,'Data BASE'!$M$490:$M$960,$B230,'Data BASE'!$L$490:$L$960,$B$239)</f>
        <v>-106291.33000000002</v>
      </c>
      <c r="AD230" s="73">
        <f>-SUMIFS('Data BASE'!AD$490:AD$960,'Data BASE'!$M$490:$M$960,$B230,'Data BASE'!$L$490:$L$960,$B$239)</f>
        <v>-62714.97</v>
      </c>
      <c r="AE230" s="73">
        <f>-SUMIFS('Data BASE'!AE$490:AE$960,'Data BASE'!$M$490:$M$960,$B230,'Data BASE'!$L$490:$L$960,$B$239)</f>
        <v>-72357.239999999991</v>
      </c>
      <c r="AF230" s="73">
        <f>-SUMIFS('Data BASE'!AF$490:AF$960,'Data BASE'!$M$490:$M$960,$B230,'Data BASE'!$L$490:$L$960,$B$239)</f>
        <v>-66924.400000000023</v>
      </c>
      <c r="AG230" s="73">
        <f>-SUMIFS('Data BASE'!AG$490:AG$2000,'Data BASE'!$M$490:$M$2000,$B230,'Data BASE'!$L$490:$L$2000,$B$239)</f>
        <v>-21351.359999999986</v>
      </c>
      <c r="AH230" s="73"/>
      <c r="AI230" s="73"/>
      <c r="AJ230" s="73"/>
      <c r="AK230" s="73"/>
      <c r="AL230" s="73"/>
      <c r="AM230" s="73"/>
      <c r="AN230" s="73"/>
      <c r="AO230" s="73"/>
      <c r="AP230" s="298"/>
      <c r="AQ230" s="73">
        <f t="shared" si="81"/>
        <v>-65325.61</v>
      </c>
      <c r="AR230" s="73">
        <f t="shared" si="81"/>
        <v>-177431.21000000002</v>
      </c>
      <c r="AS230" s="73">
        <f t="shared" si="81"/>
        <v>-71771.87</v>
      </c>
      <c r="AT230" s="73">
        <f t="shared" si="81"/>
        <v>-155688.72999999998</v>
      </c>
      <c r="AU230" s="73">
        <f t="shared" si="81"/>
        <v>-201996.61000000002</v>
      </c>
      <c r="AV230" s="73">
        <f t="shared" si="81"/>
        <v>-21351.359999999986</v>
      </c>
      <c r="AW230" s="73">
        <f t="shared" si="81"/>
        <v>0</v>
      </c>
      <c r="AX230" s="73">
        <f t="shared" si="81"/>
        <v>0</v>
      </c>
      <c r="AY230" s="298"/>
      <c r="AZ230" s="73">
        <f t="shared" si="82"/>
        <v>-470217.42</v>
      </c>
      <c r="BA230" s="73">
        <f t="shared" si="83"/>
        <v>-223347.97</v>
      </c>
      <c r="BB230" s="299"/>
      <c r="BC230" s="73">
        <f t="shared" si="84"/>
        <v>-34403.49</v>
      </c>
      <c r="BD230" s="73">
        <f t="shared" si="85"/>
        <v>-223347.97</v>
      </c>
    </row>
    <row r="231" spans="2:56" outlineLevel="3" x14ac:dyDescent="0.45">
      <c r="B231" s="102" t="s">
        <v>2057</v>
      </c>
      <c r="C231" s="318"/>
      <c r="D231" s="342"/>
      <c r="E231" s="304"/>
      <c r="F231" s="302"/>
      <c r="G231" s="302"/>
      <c r="H231" s="302"/>
      <c r="I231" s="302"/>
      <c r="J231" s="302"/>
      <c r="K231" s="302"/>
      <c r="L231" s="302"/>
      <c r="M231" s="302"/>
      <c r="N231" s="302"/>
      <c r="O231" s="302"/>
      <c r="P231" s="302"/>
      <c r="Q231" s="302"/>
      <c r="R231" s="73">
        <f>-SUMIFS('Data BASE'!R$490:R$960,'Data BASE'!$M$490:$M$960,$B231,'Data BASE'!$L$490:$L$960,$B$239)</f>
        <v>-474937.4</v>
      </c>
      <c r="S231" s="73">
        <f>-SUMIFS('Data BASE'!S$490:S$960,'Data BASE'!$M$490:$M$960,$B231,'Data BASE'!$L$490:$L$960,$B$239)</f>
        <v>-519023.95999999996</v>
      </c>
      <c r="T231" s="73">
        <f>-SUMIFS('Data BASE'!T$490:T$960,'Data BASE'!$M$490:$M$960,$B231,'Data BASE'!$L$490:$L$960,$B$239)</f>
        <v>-456882.94000000006</v>
      </c>
      <c r="U231" s="73">
        <f>-SUMIFS('Data BASE'!U$490:U$960,'Data BASE'!$M$490:$M$960,$B231,'Data BASE'!$L$490:$L$960,$B$239)</f>
        <v>-700644.73999999987</v>
      </c>
      <c r="V231" s="73">
        <f>-SUMIFS('Data BASE'!V$490:V$960,'Data BASE'!$M$490:$M$960,$B231,'Data BASE'!$L$490:$L$960,$B$239)</f>
        <v>2151489.04</v>
      </c>
      <c r="W231" s="73">
        <f>-SUMIFS('Data BASE'!W$490:W$960,'Data BASE'!$M$490:$M$960,$B231,'Data BASE'!$L$490:$L$960,$B$239)</f>
        <v>-250</v>
      </c>
      <c r="X231" s="73">
        <f>-SUMIFS('Data BASE'!X$490:X$960,'Data BASE'!$M$490:$M$960,$B231,'Data BASE'!$L$490:$L$960,$B$239)</f>
        <v>-250</v>
      </c>
      <c r="Y231" s="73">
        <f>-SUMIFS('Data BASE'!Y$490:Y$960,'Data BASE'!$M$490:$M$960,$B231,'Data BASE'!$L$490:$L$960,$B$239)</f>
        <v>0</v>
      </c>
      <c r="Z231" s="73">
        <f>-SUMIFS('Data BASE'!Z$490:Z$960,'Data BASE'!$M$490:$M$960,$B231,'Data BASE'!$L$490:$L$960,$B$239)</f>
        <v>0</v>
      </c>
      <c r="AA231" s="73">
        <f>-SUMIFS('Data BASE'!AA$490:AA$960,'Data BASE'!$M$490:$M$960,$B231,'Data BASE'!$L$490:$L$960,$B$239)</f>
        <v>0</v>
      </c>
      <c r="AB231" s="73">
        <f>-SUMIFS('Data BASE'!AB$490:AB$960,'Data BASE'!$M$490:$M$960,$B231,'Data BASE'!$L$490:$L$960,$B$239)</f>
        <v>0</v>
      </c>
      <c r="AC231" s="73">
        <f>-SUMIFS('Data BASE'!AC$490:AC$960,'Data BASE'!$M$490:$M$960,$B231,'Data BASE'!$L$490:$L$960,$B$239)</f>
        <v>0</v>
      </c>
      <c r="AD231" s="73">
        <f>-SUMIFS('Data BASE'!AD$490:AD$960,'Data BASE'!$M$490:$M$960,$B231,'Data BASE'!$L$490:$L$960,$B$239)</f>
        <v>0</v>
      </c>
      <c r="AE231" s="73">
        <f>-SUMIFS('Data BASE'!AE$490:AE$960,'Data BASE'!$M$490:$M$960,$B231,'Data BASE'!$L$490:$L$960,$B$239)</f>
        <v>0</v>
      </c>
      <c r="AF231" s="73">
        <f>-SUMIFS('Data BASE'!AF$490:AF$960,'Data BASE'!$M$490:$M$960,$B231,'Data BASE'!$L$490:$L$960,$B$239)</f>
        <v>0</v>
      </c>
      <c r="AG231" s="73">
        <f>-SUMIFS('Data BASE'!AG$490:AG$2000,'Data BASE'!$M$490:$M$2000,$B231,'Data BASE'!$L$490:$L$2000,$B$239)</f>
        <v>0</v>
      </c>
      <c r="AH231" s="73"/>
      <c r="AI231" s="73"/>
      <c r="AJ231" s="73"/>
      <c r="AK231" s="73"/>
      <c r="AL231" s="73"/>
      <c r="AM231" s="73"/>
      <c r="AN231" s="73"/>
      <c r="AO231" s="73"/>
      <c r="AP231" s="298"/>
      <c r="AQ231" s="73"/>
      <c r="AR231" s="73"/>
      <c r="AS231" s="73"/>
      <c r="AT231" s="73"/>
      <c r="AU231" s="73"/>
      <c r="AV231" s="73"/>
      <c r="AW231" s="73"/>
      <c r="AX231" s="73"/>
      <c r="AY231" s="298"/>
      <c r="AZ231" s="73"/>
      <c r="BA231" s="73"/>
      <c r="BB231" s="299"/>
      <c r="BC231" s="73">
        <f t="shared" si="84"/>
        <v>-474937.4</v>
      </c>
      <c r="BD231" s="73">
        <f t="shared" si="85"/>
        <v>0</v>
      </c>
    </row>
    <row r="232" spans="2:56" outlineLevel="3" x14ac:dyDescent="0.45">
      <c r="B232" s="102" t="s">
        <v>807</v>
      </c>
      <c r="C232" s="318"/>
      <c r="D232" s="342"/>
      <c r="E232" s="304"/>
      <c r="F232" s="302"/>
      <c r="G232" s="302"/>
      <c r="H232" s="302"/>
      <c r="I232" s="302"/>
      <c r="J232" s="302"/>
      <c r="K232" s="302"/>
      <c r="L232" s="302"/>
      <c r="M232" s="302"/>
      <c r="N232" s="302"/>
      <c r="O232" s="302"/>
      <c r="P232" s="302"/>
      <c r="Q232" s="302"/>
      <c r="R232" s="73">
        <f>-SUMIFS('Data BASE'!R$490:R$960,'Data BASE'!$M$490:$M$960,$B232,'Data BASE'!$L$490:$L$960,$B$239)</f>
        <v>0</v>
      </c>
      <c r="S232" s="73">
        <f>-SUMIFS('Data BASE'!S$490:S$960,'Data BASE'!$M$490:$M$960,$B232,'Data BASE'!$L$490:$L$960,$B$239)</f>
        <v>0</v>
      </c>
      <c r="T232" s="73">
        <f>-SUMIFS('Data BASE'!T$490:T$960,'Data BASE'!$M$490:$M$960,$B232,'Data BASE'!$L$490:$L$960,$B$239)</f>
        <v>0</v>
      </c>
      <c r="U232" s="73">
        <f>-SUMIFS('Data BASE'!U$490:U$960,'Data BASE'!$M$490:$M$960,$B232,'Data BASE'!$L$490:$L$960,$B$239)</f>
        <v>0</v>
      </c>
      <c r="V232" s="73">
        <f>-SUMIFS('Data BASE'!V$490:V$960,'Data BASE'!$M$490:$M$960,$B232,'Data BASE'!$L$490:$L$960,$B$239)</f>
        <v>0</v>
      </c>
      <c r="W232" s="73">
        <f>-SUMIFS('Data BASE'!W$490:W$960,'Data BASE'!$M$490:$M$960,$B232,'Data BASE'!$L$490:$L$960,$B$239)</f>
        <v>0</v>
      </c>
      <c r="X232" s="73">
        <f>-SUMIFS('Data BASE'!X$490:X$960,'Data BASE'!$M$490:$M$960,$B232,'Data BASE'!$L$490:$L$960,$B$239)</f>
        <v>-174583</v>
      </c>
      <c r="Y232" s="73">
        <f>-SUMIFS('Data BASE'!Y$490:Y$960,'Data BASE'!$M$490:$M$960,$B232,'Data BASE'!$L$490:$L$960,$B$239)</f>
        <v>-174583</v>
      </c>
      <c r="Z232" s="73">
        <f>-SUMIFS('Data BASE'!Z$490:Z$960,'Data BASE'!$M$490:$M$960,$B232,'Data BASE'!$L$490:$L$960,$B$239)</f>
        <v>174583</v>
      </c>
      <c r="AA232" s="73">
        <f>-SUMIFS('Data BASE'!AA$490:AA$960,'Data BASE'!$M$490:$M$960,$B232,'Data BASE'!$L$490:$L$960,$B$239)</f>
        <v>15405</v>
      </c>
      <c r="AB232" s="73">
        <f>-SUMIFS('Data BASE'!AB$490:AB$960,'Data BASE'!$M$490:$M$960,$B232,'Data BASE'!$L$490:$L$960,$B$239)</f>
        <v>0</v>
      </c>
      <c r="AC232" s="73">
        <f>-SUMIFS('Data BASE'!AC$490:AC$960,'Data BASE'!$M$490:$M$960,$B232,'Data BASE'!$L$490:$L$960,$B$239)</f>
        <v>0</v>
      </c>
      <c r="AD232" s="73">
        <f>-SUMIFS('Data BASE'!AD$490:AD$960,'Data BASE'!$M$490:$M$960,$B232,'Data BASE'!$L$490:$L$960,$B$239)</f>
        <v>0</v>
      </c>
      <c r="AE232" s="73">
        <f>-SUMIFS('Data BASE'!AE$490:AE$960,'Data BASE'!$M$490:$M$960,$B232,'Data BASE'!$L$490:$L$960,$B$239)</f>
        <v>0</v>
      </c>
      <c r="AF232" s="73">
        <f>-SUMIFS('Data BASE'!AF$490:AF$960,'Data BASE'!$M$490:$M$960,$B232,'Data BASE'!$L$490:$L$960,$B$239)</f>
        <v>0</v>
      </c>
      <c r="AG232" s="73">
        <f>-SUMIFS('Data BASE'!AG$490:AG$2000,'Data BASE'!$M$490:$M$2000,$B232,'Data BASE'!$L$490:$L$2000,$B$239)</f>
        <v>0</v>
      </c>
      <c r="AH232" s="73"/>
      <c r="AI232" s="73"/>
      <c r="AJ232" s="73"/>
      <c r="AK232" s="73"/>
      <c r="AL232" s="73"/>
      <c r="AM232" s="73"/>
      <c r="AN232" s="73"/>
      <c r="AO232" s="73"/>
      <c r="AP232" s="298"/>
      <c r="AQ232" s="73"/>
      <c r="AR232" s="73"/>
      <c r="AS232" s="73"/>
      <c r="AT232" s="73"/>
      <c r="AU232" s="73"/>
      <c r="AV232" s="73"/>
      <c r="AW232" s="73"/>
      <c r="AX232" s="73"/>
      <c r="AY232" s="298"/>
      <c r="AZ232" s="73"/>
      <c r="BA232" s="73"/>
      <c r="BB232" s="299"/>
      <c r="BC232" s="73">
        <f t="shared" si="84"/>
        <v>0</v>
      </c>
      <c r="BD232" s="73">
        <f t="shared" si="85"/>
        <v>0</v>
      </c>
    </row>
    <row r="233" spans="2:56" outlineLevel="3" x14ac:dyDescent="0.45">
      <c r="B233" s="102" t="s">
        <v>528</v>
      </c>
      <c r="C233" s="318"/>
      <c r="D233" s="342"/>
      <c r="E233" s="304"/>
      <c r="F233" s="302"/>
      <c r="G233" s="302"/>
      <c r="H233" s="302"/>
      <c r="I233" s="302"/>
      <c r="J233" s="302"/>
      <c r="K233" s="302"/>
      <c r="L233" s="302"/>
      <c r="M233" s="302"/>
      <c r="N233" s="302"/>
      <c r="O233" s="302"/>
      <c r="P233" s="302"/>
      <c r="Q233" s="302"/>
      <c r="R233" s="73">
        <f>-SUMIFS('Data BASE'!R$490:R$960,'Data BASE'!$M$490:$M$960,$B233,'Data BASE'!$L$490:$L$960,$B$239)</f>
        <v>-890942.16</v>
      </c>
      <c r="S233" s="73">
        <f>-SUMIFS('Data BASE'!S$490:S$960,'Data BASE'!$M$490:$M$960,$B233,'Data BASE'!$L$490:$L$960,$B$239)</f>
        <v>-974911.21000000008</v>
      </c>
      <c r="T233" s="73">
        <f>-SUMIFS('Data BASE'!T$490:T$960,'Data BASE'!$M$490:$M$960,$B233,'Data BASE'!$L$490:$L$960,$B$239)</f>
        <v>-911289.66000000015</v>
      </c>
      <c r="U233" s="73">
        <f>-SUMIFS('Data BASE'!U$490:U$960,'Data BASE'!$M$490:$M$960,$B233,'Data BASE'!$L$490:$L$960,$B$239)</f>
        <v>-483541.6799999997</v>
      </c>
      <c r="V233" s="73">
        <f>-SUMIFS('Data BASE'!V$490:V$960,'Data BASE'!$M$490:$M$960,$B233,'Data BASE'!$L$490:$L$960,$B$239)</f>
        <v>-311341.68000000017</v>
      </c>
      <c r="W233" s="73">
        <f>-SUMIFS('Data BASE'!W$490:W$960,'Data BASE'!$M$490:$M$960,$B233,'Data BASE'!$L$490:$L$960,$B$239)</f>
        <v>-316994.23</v>
      </c>
      <c r="X233" s="73">
        <f>-SUMIFS('Data BASE'!X$490:X$960,'Data BASE'!$M$490:$M$960,$B233,'Data BASE'!$L$490:$L$960,$B$239)</f>
        <v>648170</v>
      </c>
      <c r="Y233" s="73">
        <f>-SUMIFS('Data BASE'!Y$490:Y$960,'Data BASE'!$M$490:$M$960,$B233,'Data BASE'!$L$490:$L$960,$B$239)</f>
        <v>3240850.62</v>
      </c>
      <c r="Z233" s="73">
        <f>-SUMIFS('Data BASE'!Z$490:Z$960,'Data BASE'!$M$490:$M$960,$B233,'Data BASE'!$L$490:$L$960,$B$239)</f>
        <v>0</v>
      </c>
      <c r="AA233" s="73">
        <f>-SUMIFS('Data BASE'!AA$490:AA$960,'Data BASE'!$M$490:$M$960,$B233,'Data BASE'!$L$490:$L$960,$B$239)</f>
        <v>0</v>
      </c>
      <c r="AB233" s="73">
        <f>-SUMIFS('Data BASE'!AB$490:AB$960,'Data BASE'!$M$490:$M$960,$B233,'Data BASE'!$L$490:$L$960,$B$239)</f>
        <v>0</v>
      </c>
      <c r="AC233" s="73">
        <f>-SUMIFS('Data BASE'!AC$490:AC$960,'Data BASE'!$M$490:$M$960,$B233,'Data BASE'!$L$490:$L$960,$B$239)</f>
        <v>0</v>
      </c>
      <c r="AD233" s="73">
        <f>-SUMIFS('Data BASE'!AD$490:AD$960,'Data BASE'!$M$490:$M$960,$B233,'Data BASE'!$L$490:$L$960,$B$239)</f>
        <v>0</v>
      </c>
      <c r="AE233" s="73">
        <f>-SUMIFS('Data BASE'!AE$490:AE$960,'Data BASE'!$M$490:$M$960,$B233,'Data BASE'!$L$490:$L$960,$B$239)</f>
        <v>0</v>
      </c>
      <c r="AF233" s="73">
        <f>-SUMIFS('Data BASE'!AF$490:AF$960,'Data BASE'!$M$490:$M$960,$B233,'Data BASE'!$L$490:$L$960,$B$239)</f>
        <v>0</v>
      </c>
      <c r="AG233" s="73">
        <f>-SUMIFS('Data BASE'!AG$490:AG$2000,'Data BASE'!$M$490:$M$2000,$B233,'Data BASE'!$L$490:$L$2000,$B$239)</f>
        <v>0</v>
      </c>
      <c r="AH233" s="73"/>
      <c r="AI233" s="73"/>
      <c r="AJ233" s="73"/>
      <c r="AK233" s="73"/>
      <c r="AL233" s="73"/>
      <c r="AM233" s="73"/>
      <c r="AN233" s="73"/>
      <c r="AO233" s="73"/>
      <c r="AP233" s="298"/>
      <c r="AQ233" s="73"/>
      <c r="AR233" s="73"/>
      <c r="AS233" s="73"/>
      <c r="AT233" s="73"/>
      <c r="AU233" s="73"/>
      <c r="AV233" s="73"/>
      <c r="AW233" s="73"/>
      <c r="AX233" s="73"/>
      <c r="AY233" s="298"/>
      <c r="AZ233" s="73"/>
      <c r="BA233" s="73"/>
      <c r="BB233" s="299"/>
      <c r="BC233" s="73">
        <f t="shared" si="84"/>
        <v>-890942.16</v>
      </c>
      <c r="BD233" s="73">
        <f t="shared" si="85"/>
        <v>0</v>
      </c>
    </row>
    <row r="234" spans="2:56" outlineLevel="3" x14ac:dyDescent="0.45">
      <c r="B234" s="102" t="s">
        <v>2054</v>
      </c>
      <c r="C234" s="318"/>
      <c r="D234" s="342"/>
      <c r="E234" s="304"/>
      <c r="F234" s="302"/>
      <c r="G234" s="302"/>
      <c r="H234" s="302"/>
      <c r="I234" s="302"/>
      <c r="J234" s="302"/>
      <c r="K234" s="302"/>
      <c r="L234" s="302"/>
      <c r="M234" s="302"/>
      <c r="N234" s="302"/>
      <c r="O234" s="302"/>
      <c r="P234" s="302"/>
      <c r="Q234" s="302"/>
      <c r="R234" s="73">
        <f t="shared" ref="R234:AC234" si="86">R360+R385</f>
        <v>0</v>
      </c>
      <c r="S234" s="73">
        <f t="shared" si="86"/>
        <v>0</v>
      </c>
      <c r="T234" s="73">
        <f t="shared" si="86"/>
        <v>0</v>
      </c>
      <c r="U234" s="73">
        <f t="shared" si="86"/>
        <v>0</v>
      </c>
      <c r="V234" s="73">
        <f t="shared" si="86"/>
        <v>0</v>
      </c>
      <c r="W234" s="73">
        <f t="shared" si="86"/>
        <v>0</v>
      </c>
      <c r="X234" s="73">
        <f t="shared" si="86"/>
        <v>0</v>
      </c>
      <c r="Y234" s="73">
        <f t="shared" si="86"/>
        <v>0</v>
      </c>
      <c r="Z234" s="73">
        <f t="shared" si="86"/>
        <v>0</v>
      </c>
      <c r="AA234" s="73">
        <f t="shared" si="86"/>
        <v>0</v>
      </c>
      <c r="AB234" s="73">
        <f t="shared" si="86"/>
        <v>0</v>
      </c>
      <c r="AC234" s="73">
        <f t="shared" si="86"/>
        <v>0</v>
      </c>
      <c r="AD234" s="73">
        <f>AD360+AD385</f>
        <v>-1150580.6000000001</v>
      </c>
      <c r="AE234" s="73">
        <f t="shared" ref="AE234:AG234" si="87">AE360+AE385</f>
        <v>-1060239.3799999999</v>
      </c>
      <c r="AF234" s="73">
        <f t="shared" si="87"/>
        <v>-1055981.3500000001</v>
      </c>
      <c r="AG234" s="73">
        <f t="shared" si="87"/>
        <v>-1093474.4100000001</v>
      </c>
      <c r="AH234" s="73"/>
      <c r="AI234" s="73"/>
      <c r="AJ234" s="73"/>
      <c r="AK234" s="73"/>
      <c r="AL234" s="73"/>
      <c r="AM234" s="73"/>
      <c r="AN234" s="73"/>
      <c r="AO234" s="73"/>
      <c r="AP234" s="298"/>
      <c r="AQ234" s="572"/>
      <c r="AR234" s="572"/>
      <c r="AS234" s="572"/>
      <c r="AT234" s="572"/>
      <c r="AU234" s="572"/>
      <c r="AV234" s="572"/>
      <c r="AW234" s="572"/>
      <c r="AX234" s="572"/>
      <c r="AY234" s="298"/>
      <c r="AZ234" s="572"/>
      <c r="BA234" s="572"/>
      <c r="BB234" s="573"/>
      <c r="BC234" s="572">
        <f t="shared" si="84"/>
        <v>0</v>
      </c>
      <c r="BD234" s="572">
        <f t="shared" si="85"/>
        <v>-4360275.74</v>
      </c>
    </row>
    <row r="235" spans="2:56" outlineLevel="3" x14ac:dyDescent="0.45">
      <c r="B235" s="102" t="s">
        <v>2055</v>
      </c>
      <c r="C235" s="318"/>
      <c r="D235" s="342"/>
      <c r="E235" s="304"/>
      <c r="F235" s="302"/>
      <c r="G235" s="302"/>
      <c r="H235" s="302"/>
      <c r="I235" s="302"/>
      <c r="J235" s="302"/>
      <c r="K235" s="302"/>
      <c r="L235" s="302"/>
      <c r="M235" s="302"/>
      <c r="N235" s="302"/>
      <c r="O235" s="302"/>
      <c r="P235" s="302"/>
      <c r="Q235" s="302"/>
      <c r="R235" s="73">
        <f t="shared" ref="R235:AC235" si="88">R361+R386</f>
        <v>0</v>
      </c>
      <c r="S235" s="73">
        <f t="shared" si="88"/>
        <v>0</v>
      </c>
      <c r="T235" s="73">
        <f t="shared" si="88"/>
        <v>0</v>
      </c>
      <c r="U235" s="73">
        <f t="shared" si="88"/>
        <v>0</v>
      </c>
      <c r="V235" s="73">
        <f t="shared" si="88"/>
        <v>0</v>
      </c>
      <c r="W235" s="73">
        <f t="shared" si="88"/>
        <v>0</v>
      </c>
      <c r="X235" s="73">
        <f t="shared" si="88"/>
        <v>0</v>
      </c>
      <c r="Y235" s="73">
        <f t="shared" si="88"/>
        <v>0</v>
      </c>
      <c r="Z235" s="73">
        <f t="shared" si="88"/>
        <v>0</v>
      </c>
      <c r="AA235" s="73">
        <f t="shared" si="88"/>
        <v>0</v>
      </c>
      <c r="AB235" s="73">
        <f t="shared" si="88"/>
        <v>0</v>
      </c>
      <c r="AC235" s="73">
        <f t="shared" si="88"/>
        <v>0</v>
      </c>
      <c r="AD235" s="73">
        <f>AD361+AD386</f>
        <v>-1225990.47</v>
      </c>
      <c r="AE235" s="73">
        <f>AE361+AE386</f>
        <v>-1229623.8399999999</v>
      </c>
      <c r="AF235" s="73">
        <f>AF361+AF386</f>
        <v>-1359462.2600000002</v>
      </c>
      <c r="AG235" s="73">
        <f>AG361+AG386</f>
        <v>-1263064.58</v>
      </c>
      <c r="AH235" s="572"/>
      <c r="AI235" s="572"/>
      <c r="AJ235" s="572"/>
      <c r="AK235" s="572"/>
      <c r="AL235" s="572"/>
      <c r="AM235" s="572"/>
      <c r="AN235" s="572"/>
      <c r="AO235" s="572"/>
      <c r="AP235" s="298"/>
      <c r="AQ235" s="572"/>
      <c r="AR235" s="572"/>
      <c r="AS235" s="572"/>
      <c r="AT235" s="572"/>
      <c r="AU235" s="572"/>
      <c r="AV235" s="572"/>
      <c r="AW235" s="572"/>
      <c r="AX235" s="572"/>
      <c r="AY235" s="298"/>
      <c r="AZ235" s="572"/>
      <c r="BA235" s="572"/>
      <c r="BB235" s="573"/>
      <c r="BC235" s="572">
        <f t="shared" si="84"/>
        <v>0</v>
      </c>
      <c r="BD235" s="572">
        <f t="shared" si="85"/>
        <v>-5078141.1500000004</v>
      </c>
    </row>
    <row r="236" spans="2:56" outlineLevel="3" x14ac:dyDescent="0.45">
      <c r="B236" s="102" t="s">
        <v>612</v>
      </c>
      <c r="C236" s="318"/>
      <c r="D236" s="342"/>
      <c r="E236" s="304"/>
      <c r="F236" s="302"/>
      <c r="G236" s="302"/>
      <c r="H236" s="302"/>
      <c r="I236" s="302"/>
      <c r="J236" s="302"/>
      <c r="K236" s="302"/>
      <c r="L236" s="302"/>
      <c r="M236" s="302"/>
      <c r="N236" s="302"/>
      <c r="O236" s="302"/>
      <c r="P236" s="302"/>
      <c r="Q236" s="302"/>
      <c r="R236" s="73">
        <f>-SUMIFS('Data BASE'!R$490:R$960,'Data BASE'!$M$490:$M$960,$B236,'Data BASE'!$L$490:$L$960,$B$239)</f>
        <v>-24834</v>
      </c>
      <c r="S236" s="73">
        <f>-SUMIFS('Data BASE'!S$490:S$960,'Data BASE'!$M$490:$M$960,$B236,'Data BASE'!$L$490:$L$960,$B$239)</f>
        <v>-24834</v>
      </c>
      <c r="T236" s="73">
        <f>-SUMIFS('Data BASE'!T$490:T$960,'Data BASE'!$M$490:$M$960,$B236,'Data BASE'!$L$490:$L$960,$B$239)</f>
        <v>-24834</v>
      </c>
      <c r="U236" s="73">
        <f>-SUMIFS('Data BASE'!U$490:U$960,'Data BASE'!$M$490:$M$960,$B236,'Data BASE'!$L$490:$L$960,$B$239)</f>
        <v>-24834</v>
      </c>
      <c r="V236" s="73">
        <f>-SUMIFS('Data BASE'!V$490:V$960,'Data BASE'!$M$490:$M$960,$B236,'Data BASE'!$L$490:$L$960,$B$239)</f>
        <v>-24834</v>
      </c>
      <c r="W236" s="73">
        <f>-SUMIFS('Data BASE'!W$490:W$960,'Data BASE'!$M$490:$M$960,$B236,'Data BASE'!$L$490:$L$960,$B$239)</f>
        <v>-24834</v>
      </c>
      <c r="X236" s="73">
        <f>-SUMIFS('Data BASE'!X$490:X$960,'Data BASE'!$M$490:$M$960,$B236,'Data BASE'!$L$490:$L$960,$B$239)</f>
        <v>-24834</v>
      </c>
      <c r="Y236" s="73">
        <f>-SUMIFS('Data BASE'!Y$490:Y$960,'Data BASE'!$M$490:$M$960,$B236,'Data BASE'!$L$490:$L$960,$B$239)</f>
        <v>-24834</v>
      </c>
      <c r="Z236" s="73">
        <f>-SUMIFS('Data BASE'!Z$490:Z$960,'Data BASE'!$M$490:$M$960,$B236,'Data BASE'!$L$490:$L$960,$B$239)</f>
        <v>-24834</v>
      </c>
      <c r="AA236" s="73">
        <f>-SUMIFS('Data BASE'!AA$490:AA$960,'Data BASE'!$M$490:$M$960,$B236,'Data BASE'!$L$490:$L$960,$B$239)</f>
        <v>-24834</v>
      </c>
      <c r="AB236" s="73">
        <f>-SUMIFS('Data BASE'!AB$490:AB$960,'Data BASE'!$M$490:$M$960,$B236,'Data BASE'!$L$490:$L$960,$B$239)</f>
        <v>-24834</v>
      </c>
      <c r="AC236" s="73">
        <f>-SUMIFS('Data BASE'!AC$490:AC$960,'Data BASE'!$M$490:$M$960,$B236,'Data BASE'!$L$490:$L$960,$B$239)</f>
        <v>-24834</v>
      </c>
      <c r="AD236" s="73">
        <f>-SUMIFS('Data BASE'!AD$490:AD$960,'Data BASE'!$M$490:$M$960,$B236,'Data BASE'!$L$490:$L$960,$B$239)</f>
        <v>-24834</v>
      </c>
      <c r="AE236" s="73">
        <f>-SUMIFS('Data BASE'!AE$490:AE$960,'Data BASE'!$M$490:$M$960,$B236,'Data BASE'!$L$490:$L$960,$B$239)</f>
        <v>-24834</v>
      </c>
      <c r="AF236" s="73">
        <f>-SUMIFS('Data BASE'!AF$490:AF$960,'Data BASE'!$M$490:$M$960,$B236,'Data BASE'!$L$490:$L$960,$B$239)</f>
        <v>-24834</v>
      </c>
      <c r="AG236" s="73">
        <f>-SUMIFS('Data BASE'!AG$490:AG$2000,'Data BASE'!$M$490:$M$2000,$B236,'Data BASE'!$L$490:$L$2000,$B$239)</f>
        <v>-24834</v>
      </c>
      <c r="AH236" s="572"/>
      <c r="AI236" s="572"/>
      <c r="AJ236" s="572"/>
      <c r="AK236" s="572"/>
      <c r="AL236" s="572"/>
      <c r="AM236" s="572"/>
      <c r="AN236" s="572"/>
      <c r="AO236" s="572"/>
      <c r="AP236" s="298"/>
      <c r="AQ236" s="572">
        <f t="shared" ref="AQ236:AX242" si="89">SUMIFS($R236:$AP236,$R$9:$AP$9,AQ$9,$R$8:$AP$8,AQ$8)</f>
        <v>-74502</v>
      </c>
      <c r="AR236" s="572">
        <f t="shared" si="89"/>
        <v>-74502</v>
      </c>
      <c r="AS236" s="572">
        <f t="shared" si="89"/>
        <v>-74502</v>
      </c>
      <c r="AT236" s="572">
        <f t="shared" si="89"/>
        <v>-74502</v>
      </c>
      <c r="AU236" s="572">
        <f t="shared" si="89"/>
        <v>-74502</v>
      </c>
      <c r="AV236" s="572">
        <f t="shared" si="89"/>
        <v>-24834</v>
      </c>
      <c r="AW236" s="572">
        <f t="shared" si="89"/>
        <v>0</v>
      </c>
      <c r="AX236" s="572">
        <f t="shared" si="89"/>
        <v>0</v>
      </c>
      <c r="AY236" s="298"/>
      <c r="AZ236" s="572">
        <f t="shared" si="82"/>
        <v>-298008</v>
      </c>
      <c r="BA236" s="572">
        <f t="shared" si="83"/>
        <v>-99336</v>
      </c>
      <c r="BB236" s="573"/>
      <c r="BC236" s="572">
        <f t="shared" ref="BC236:BC246" si="90">SUMIFS($R236:$AD236,$R$8:$AD$8,BC$8,$R$11:$AD$11,BC$11)</f>
        <v>-24834</v>
      </c>
      <c r="BD236" s="572">
        <f t="shared" ref="BD236:BD248" si="91">SUMIFS($AB236:$AO236,$AB$8:$AO$8,BD$8,$AB$11:$AO$11,BD$11)</f>
        <v>-99336</v>
      </c>
    </row>
    <row r="237" spans="2:56" outlineLevel="3" x14ac:dyDescent="0.45">
      <c r="B237" s="102" t="s">
        <v>1763</v>
      </c>
      <c r="C237" s="318"/>
      <c r="D237" s="342"/>
      <c r="E237" s="304"/>
      <c r="F237" s="302"/>
      <c r="G237" s="302"/>
      <c r="H237" s="302"/>
      <c r="I237" s="302"/>
      <c r="J237" s="302"/>
      <c r="K237" s="302"/>
      <c r="L237" s="302"/>
      <c r="M237" s="302"/>
      <c r="N237" s="302"/>
      <c r="O237" s="302"/>
      <c r="P237" s="302"/>
      <c r="Q237" s="302"/>
      <c r="R237" s="73">
        <f>-SUMIFS('Data BASE'!R$490:R$960,'Data BASE'!$M$490:$M$960,$B237,'Data BASE'!$L$490:$L$960,$B$239)</f>
        <v>-187866.2</v>
      </c>
      <c r="S237" s="73">
        <f>-SUMIFS('Data BASE'!S$490:S$960,'Data BASE'!$M$490:$M$960,$B237,'Data BASE'!$L$490:$L$960,$B$239)</f>
        <v>-191050</v>
      </c>
      <c r="T237" s="73">
        <f>-SUMIFS('Data BASE'!T$490:T$960,'Data BASE'!$M$490:$M$960,$B237,'Data BASE'!$L$490:$L$960,$B$239)</f>
        <v>-226810.50999999995</v>
      </c>
      <c r="U237" s="73">
        <f>-SUMIFS('Data BASE'!U$490:U$960,'Data BASE'!$M$490:$M$960,$B237,'Data BASE'!$L$490:$L$960,$B$239)</f>
        <v>-171217.40000000002</v>
      </c>
      <c r="V237" s="73">
        <f>-SUMIFS('Data BASE'!V$490:V$960,'Data BASE'!$M$490:$M$960,$B237,'Data BASE'!$L$490:$L$960,$B$239)</f>
        <v>-171217.40000000002</v>
      </c>
      <c r="W237" s="73">
        <f>-SUMIFS('Data BASE'!W$490:W$960,'Data BASE'!$M$490:$M$960,$B237,'Data BASE'!$L$490:$L$960,$B$239)</f>
        <v>-171217.40000000014</v>
      </c>
      <c r="X237" s="73">
        <f>-SUMIFS('Data BASE'!X$490:X$960,'Data BASE'!$M$490:$M$960,$B237,'Data BASE'!$L$490:$L$960,$B$239)</f>
        <v>-171217.39999999991</v>
      </c>
      <c r="Y237" s="73">
        <f>-SUMIFS('Data BASE'!Y$490:Y$960,'Data BASE'!$M$490:$M$960,$B237,'Data BASE'!$L$490:$L$960,$B$239)</f>
        <v>-171217.39999999991</v>
      </c>
      <c r="Z237" s="73">
        <f>-SUMIFS('Data BASE'!Z$490:Z$960,'Data BASE'!$M$490:$M$960,$B237,'Data BASE'!$L$490:$L$960,$B$239)</f>
        <v>-177217.39999999991</v>
      </c>
      <c r="AA237" s="73">
        <f>-SUMIFS('Data BASE'!AA$490:AA$960,'Data BASE'!$M$490:$M$960,$B237,'Data BASE'!$L$490:$L$960,$B$239)</f>
        <v>-171217.40000000014</v>
      </c>
      <c r="AB237" s="73">
        <f>-SUMIFS('Data BASE'!AB$490:AB$960,'Data BASE'!$M$490:$M$960,$B237,'Data BASE'!$L$490:$L$960,$B$239)</f>
        <v>-171217.40000000014</v>
      </c>
      <c r="AC237" s="73">
        <f>-SUMIFS('Data BASE'!AC$490:AC$960,'Data BASE'!$M$490:$M$960,$B237,'Data BASE'!$L$490:$L$960,$B$239)</f>
        <v>-171217.39999999991</v>
      </c>
      <c r="AD237" s="73">
        <f>-SUMIFS('Data BASE'!AD$490:AD$960,'Data BASE'!$M$490:$M$960,$B237,'Data BASE'!$L$490:$L$960,$B$239)</f>
        <v>-173687.4</v>
      </c>
      <c r="AE237" s="73">
        <f>-SUMIFS('Data BASE'!AE$490:AE$960,'Data BASE'!$M$490:$M$960,$B237,'Data BASE'!$L$490:$L$960,$B$239)</f>
        <v>-173687.4</v>
      </c>
      <c r="AF237" s="73">
        <f>-SUMIFS('Data BASE'!AF$490:AF$960,'Data BASE'!$M$490:$M$960,$B237,'Data BASE'!$L$490:$L$960,$B$239)</f>
        <v>-189437.39999999997</v>
      </c>
      <c r="AG237" s="73">
        <f>-SUMIFS('Data BASE'!AG$490:AG$2000,'Data BASE'!$M$490:$M$2000,$B237,'Data BASE'!$L$490:$L$2000,$B$239)</f>
        <v>-110687.40000000002</v>
      </c>
      <c r="AH237" s="572"/>
      <c r="AI237" s="572"/>
      <c r="AJ237" s="572"/>
      <c r="AK237" s="572"/>
      <c r="AL237" s="572"/>
      <c r="AM237" s="572"/>
      <c r="AN237" s="572"/>
      <c r="AO237" s="572"/>
      <c r="AP237" s="298"/>
      <c r="AQ237" s="572">
        <f t="shared" si="89"/>
        <v>-605726.71</v>
      </c>
      <c r="AR237" s="572">
        <f t="shared" si="89"/>
        <v>-513652.20000000019</v>
      </c>
      <c r="AS237" s="572">
        <f t="shared" si="89"/>
        <v>-519652.19999999972</v>
      </c>
      <c r="AT237" s="572">
        <f t="shared" si="89"/>
        <v>-513652.20000000019</v>
      </c>
      <c r="AU237" s="572">
        <f t="shared" si="89"/>
        <v>-536812.19999999995</v>
      </c>
      <c r="AV237" s="572">
        <f t="shared" si="89"/>
        <v>-110687.40000000002</v>
      </c>
      <c r="AW237" s="572">
        <f t="shared" si="89"/>
        <v>0</v>
      </c>
      <c r="AX237" s="572">
        <f t="shared" si="89"/>
        <v>0</v>
      </c>
      <c r="AY237" s="298"/>
      <c r="AZ237" s="572">
        <f t="shared" si="82"/>
        <v>-2152683.31</v>
      </c>
      <c r="BA237" s="572">
        <f t="shared" si="83"/>
        <v>-647499.6</v>
      </c>
      <c r="BB237" s="573"/>
      <c r="BC237" s="572">
        <f t="shared" si="90"/>
        <v>-187866.2</v>
      </c>
      <c r="BD237" s="572">
        <f t="shared" si="91"/>
        <v>-647499.6</v>
      </c>
    </row>
    <row r="238" spans="2:56" outlineLevel="3" x14ac:dyDescent="0.45">
      <c r="B238" s="104" t="s">
        <v>502</v>
      </c>
      <c r="C238" s="306"/>
      <c r="D238" s="341"/>
      <c r="E238" s="300"/>
      <c r="F238" s="301"/>
      <c r="G238" s="301"/>
      <c r="H238" s="301"/>
      <c r="I238" s="301"/>
      <c r="J238" s="301"/>
      <c r="K238" s="301"/>
      <c r="L238" s="301"/>
      <c r="M238" s="301"/>
      <c r="N238" s="301"/>
      <c r="O238" s="301"/>
      <c r="P238" s="301"/>
      <c r="Q238" s="301"/>
      <c r="R238" s="73">
        <f>-SUMIFS('Data BASE'!R$490:R$960,'Data BASE'!$M$490:$M$960,$B238,'Data BASE'!$L$490:$L$960,$B$239)</f>
        <v>-11583.849999999999</v>
      </c>
      <c r="S238" s="73">
        <f>-SUMIFS('Data BASE'!S$490:S$960,'Data BASE'!$M$490:$M$960,$B238,'Data BASE'!$L$490:$L$960,$B$239)</f>
        <v>0.15999999999985448</v>
      </c>
      <c r="T238" s="73">
        <f>-SUMIFS('Data BASE'!T$490:T$960,'Data BASE'!$M$490:$M$960,$B238,'Data BASE'!$L$490:$L$960,$B$239)</f>
        <v>-516.89999999999986</v>
      </c>
      <c r="U238" s="73">
        <f>-SUMIFS('Data BASE'!U$490:U$960,'Data BASE'!$M$490:$M$960,$B238,'Data BASE'!$L$490:$L$960,$B$239)</f>
        <v>11583.649999999998</v>
      </c>
      <c r="V238" s="73">
        <f>-SUMIFS('Data BASE'!V$490:V$960,'Data BASE'!$M$490:$M$960,$B238,'Data BASE'!$L$490:$L$960,$B$239)</f>
        <v>-10276.32</v>
      </c>
      <c r="W238" s="73">
        <f>-SUMIFS('Data BASE'!W$490:W$960,'Data BASE'!$M$490:$M$960,$B238,'Data BASE'!$L$490:$L$960,$B$239)</f>
        <v>-52000.929999999993</v>
      </c>
      <c r="X238" s="73">
        <f>-SUMIFS('Data BASE'!X$490:X$960,'Data BASE'!$M$490:$M$960,$B238,'Data BASE'!$L$490:$L$960,$B$239)</f>
        <v>-569.43000000000643</v>
      </c>
      <c r="Y238" s="73">
        <f>-SUMIFS('Data BASE'!Y$490:Y$960,'Data BASE'!$M$490:$M$960,$B238,'Data BASE'!$L$490:$L$960,$B$239)</f>
        <v>-1328.6799999999967</v>
      </c>
      <c r="Z238" s="73">
        <f>-SUMIFS('Data BASE'!Z$490:Z$960,'Data BASE'!$M$490:$M$960,$B238,'Data BASE'!$L$490:$L$960,$B$239)</f>
        <v>-229811.44</v>
      </c>
      <c r="AA238" s="73">
        <f>-SUMIFS('Data BASE'!AA$490:AA$960,'Data BASE'!$M$490:$M$960,$B238,'Data BASE'!$L$490:$L$960,$B$239)</f>
        <v>-380.23999999999296</v>
      </c>
      <c r="AB238" s="73">
        <f>-SUMIFS('Data BASE'!AB$490:AB$960,'Data BASE'!$M$490:$M$960,$B238,'Data BASE'!$L$490:$L$960,$B$239)</f>
        <v>-362475.35000000009</v>
      </c>
      <c r="AC238" s="73">
        <f>-SUMIFS('Data BASE'!AC$490:AC$960,'Data BASE'!$M$490:$M$960,$B238,'Data BASE'!$L$490:$L$960,$B$239)</f>
        <v>-861359.04999999993</v>
      </c>
      <c r="AD238" s="73">
        <f>-SUMIFS('Data BASE'!AD$490:AD$960,'Data BASE'!$M$490:$M$960,$B238,'Data BASE'!$L$490:$L$960,$B$239)</f>
        <v>0</v>
      </c>
      <c r="AE238" s="73">
        <f>-SUMIFS('Data BASE'!AE$490:AE$960,'Data BASE'!$M$490:$M$960,$B238,'Data BASE'!$L$490:$L$960,$B$239)</f>
        <v>-3793.1</v>
      </c>
      <c r="AF238" s="73">
        <f>-SUMIFS('Data BASE'!AF$490:AF$960,'Data BASE'!$M$490:$M$960,$B238,'Data BASE'!$L$490:$L$960,$B$239)</f>
        <v>-449312.92</v>
      </c>
      <c r="AG238" s="73">
        <f>-SUMIFS('Data BASE'!AG$490:AG$2000,'Data BASE'!$M$490:$M$2000,$B238,'Data BASE'!$L$490:$L$2000,$B$239)</f>
        <v>-248572.33000000002</v>
      </c>
      <c r="AH238" s="340"/>
      <c r="AI238" s="340"/>
      <c r="AJ238" s="340"/>
      <c r="AK238" s="340"/>
      <c r="AL238" s="340"/>
      <c r="AM238" s="340"/>
      <c r="AN238" s="340"/>
      <c r="AO238" s="340"/>
      <c r="AP238" s="298"/>
      <c r="AQ238" s="572">
        <f t="shared" si="89"/>
        <v>-12100.589999999998</v>
      </c>
      <c r="AR238" s="572">
        <f t="shared" si="89"/>
        <v>-50693.599999999991</v>
      </c>
      <c r="AS238" s="572">
        <f t="shared" si="89"/>
        <v>-231709.55000000002</v>
      </c>
      <c r="AT238" s="572">
        <f t="shared" si="89"/>
        <v>-1224214.6400000001</v>
      </c>
      <c r="AU238" s="572">
        <f t="shared" si="89"/>
        <v>-453106.01999999996</v>
      </c>
      <c r="AV238" s="572">
        <f t="shared" si="89"/>
        <v>-248572.33000000002</v>
      </c>
      <c r="AW238" s="572">
        <f t="shared" si="89"/>
        <v>0</v>
      </c>
      <c r="AX238" s="572">
        <f t="shared" si="89"/>
        <v>0</v>
      </c>
      <c r="AY238" s="298"/>
      <c r="AZ238" s="572">
        <f t="shared" si="82"/>
        <v>-1518718.3800000001</v>
      </c>
      <c r="BA238" s="572">
        <f t="shared" si="83"/>
        <v>-701678.35</v>
      </c>
      <c r="BB238" s="573"/>
      <c r="BC238" s="572">
        <f t="shared" si="90"/>
        <v>-11583.849999999999</v>
      </c>
      <c r="BD238" s="572">
        <f t="shared" si="91"/>
        <v>-701678.35</v>
      </c>
    </row>
    <row r="239" spans="2:56" outlineLevel="2" x14ac:dyDescent="0.45">
      <c r="B239" s="81" t="s">
        <v>492</v>
      </c>
      <c r="C239" s="309"/>
      <c r="D239" s="339"/>
      <c r="E239" s="300"/>
      <c r="F239" s="301"/>
      <c r="G239" s="301"/>
      <c r="H239" s="301"/>
      <c r="I239" s="301"/>
      <c r="J239" s="301"/>
      <c r="K239" s="301"/>
      <c r="L239" s="301"/>
      <c r="M239" s="301"/>
      <c r="N239" s="301"/>
      <c r="O239" s="301"/>
      <c r="P239" s="301"/>
      <c r="Q239" s="301"/>
      <c r="R239" s="220">
        <f>SUM(R229:R238)</f>
        <v>-1702686.7</v>
      </c>
      <c r="S239" s="220">
        <f t="shared" ref="S239:AC239" si="92">SUM(S229:S238)</f>
        <v>-1807689.24</v>
      </c>
      <c r="T239" s="220">
        <f t="shared" si="92"/>
        <v>-1711097.7000000002</v>
      </c>
      <c r="U239" s="220">
        <f t="shared" si="92"/>
        <v>-1464857.3199999998</v>
      </c>
      <c r="V239" s="220">
        <f t="shared" si="92"/>
        <v>1391538.2099999997</v>
      </c>
      <c r="W239" s="220">
        <f t="shared" si="92"/>
        <v>-659847.19000000018</v>
      </c>
      <c r="X239" s="220">
        <f t="shared" si="92"/>
        <v>184280.50000000012</v>
      </c>
      <c r="Y239" s="220">
        <f t="shared" si="92"/>
        <v>2628219.71</v>
      </c>
      <c r="Z239" s="220">
        <f t="shared" si="92"/>
        <v>-386631.2099999999</v>
      </c>
      <c r="AA239" s="220">
        <f t="shared" si="92"/>
        <v>-314244.57000000012</v>
      </c>
      <c r="AB239" s="220">
        <f t="shared" si="92"/>
        <v>-690706.22000000009</v>
      </c>
      <c r="AC239" s="220">
        <f t="shared" si="92"/>
        <v>-1271701.7799999998</v>
      </c>
      <c r="AD239" s="220">
        <f>SUM(AD229:AD238)</f>
        <v>-2745807.44</v>
      </c>
      <c r="AE239" s="220">
        <f>SUM(AE229:AE238)</f>
        <v>-2672534.96</v>
      </c>
      <c r="AF239" s="220">
        <f>SUM(AF229:AF238)</f>
        <v>-3259352.33</v>
      </c>
      <c r="AG239" s="220">
        <f>SUM(AG229:AG238)</f>
        <v>-2761984.08</v>
      </c>
      <c r="AH239" s="220">
        <f t="shared" ref="AH239:AO239" si="93">SUM(AH229:AH238)</f>
        <v>0</v>
      </c>
      <c r="AI239" s="220">
        <f t="shared" si="93"/>
        <v>0</v>
      </c>
      <c r="AJ239" s="220">
        <f t="shared" si="93"/>
        <v>0</v>
      </c>
      <c r="AK239" s="220">
        <f t="shared" si="93"/>
        <v>0</v>
      </c>
      <c r="AL239" s="220">
        <f t="shared" si="93"/>
        <v>0</v>
      </c>
      <c r="AM239" s="220">
        <f t="shared" si="93"/>
        <v>0</v>
      </c>
      <c r="AN239" s="220">
        <f t="shared" si="93"/>
        <v>0</v>
      </c>
      <c r="AO239" s="220">
        <f t="shared" si="93"/>
        <v>0</v>
      </c>
      <c r="AP239" s="298"/>
      <c r="AQ239" s="340">
        <f t="shared" si="89"/>
        <v>-5221473.6400000006</v>
      </c>
      <c r="AR239" s="340">
        <f t="shared" si="89"/>
        <v>-733166.30000000028</v>
      </c>
      <c r="AS239" s="340">
        <f t="shared" si="89"/>
        <v>2425869</v>
      </c>
      <c r="AT239" s="340">
        <f t="shared" si="89"/>
        <v>-2276652.5700000003</v>
      </c>
      <c r="AU239" s="340">
        <f t="shared" si="89"/>
        <v>-8677694.7300000004</v>
      </c>
      <c r="AV239" s="340">
        <f t="shared" si="89"/>
        <v>-2761984.08</v>
      </c>
      <c r="AW239" s="340">
        <f t="shared" si="89"/>
        <v>0</v>
      </c>
      <c r="AX239" s="340">
        <f t="shared" si="89"/>
        <v>0</v>
      </c>
      <c r="AY239" s="298"/>
      <c r="AZ239" s="340">
        <f t="shared" si="82"/>
        <v>-5805423.5100000016</v>
      </c>
      <c r="BA239" s="340">
        <f t="shared" si="83"/>
        <v>-11439678.810000001</v>
      </c>
      <c r="BB239" s="299"/>
      <c r="BC239" s="340">
        <f t="shared" si="90"/>
        <v>-1702686.7</v>
      </c>
      <c r="BD239" s="340">
        <f t="shared" si="91"/>
        <v>-11439678.810000001</v>
      </c>
    </row>
    <row r="240" spans="2:56" outlineLevel="1" x14ac:dyDescent="0.45">
      <c r="B240" s="53" t="s">
        <v>850</v>
      </c>
      <c r="C240" s="310"/>
      <c r="D240" s="339"/>
      <c r="E240" s="311"/>
      <c r="F240" s="312"/>
      <c r="G240" s="312"/>
      <c r="H240" s="312"/>
      <c r="I240" s="312"/>
      <c r="J240" s="312"/>
      <c r="K240" s="312"/>
      <c r="L240" s="312"/>
      <c r="M240" s="312"/>
      <c r="N240" s="312"/>
      <c r="O240" s="312"/>
      <c r="P240" s="312"/>
      <c r="Q240" s="312"/>
      <c r="R240" s="51">
        <f t="shared" ref="R240:AO240" si="94">SUM(R239,R227)</f>
        <v>-197092.6399999999</v>
      </c>
      <c r="S240" s="51">
        <f t="shared" si="94"/>
        <v>-538785.85000000009</v>
      </c>
      <c r="T240" s="51">
        <f t="shared" si="94"/>
        <v>-429478.78000000026</v>
      </c>
      <c r="U240" s="51">
        <f t="shared" si="94"/>
        <v>-178744.49</v>
      </c>
      <c r="V240" s="51">
        <f t="shared" si="94"/>
        <v>2680317.6899999995</v>
      </c>
      <c r="W240" s="51">
        <f t="shared" si="94"/>
        <v>677864.35000000079</v>
      </c>
      <c r="X240" s="51">
        <f t="shared" si="94"/>
        <v>1648047.0299999998</v>
      </c>
      <c r="Y240" s="51">
        <f t="shared" si="94"/>
        <v>3928874</v>
      </c>
      <c r="Z240" s="51">
        <f t="shared" si="94"/>
        <v>2316629.75</v>
      </c>
      <c r="AA240" s="51">
        <f t="shared" si="94"/>
        <v>973280.56999999937</v>
      </c>
      <c r="AB240" s="51">
        <f t="shared" si="94"/>
        <v>974902.63999999978</v>
      </c>
      <c r="AC240" s="51">
        <f t="shared" si="94"/>
        <v>1328646.9200000004</v>
      </c>
      <c r="AD240" s="51">
        <f t="shared" si="94"/>
        <v>-807304.51999999979</v>
      </c>
      <c r="AE240" s="51">
        <f t="shared" si="94"/>
        <v>-769728.35999999987</v>
      </c>
      <c r="AF240" s="51">
        <f t="shared" si="94"/>
        <v>-1060746.6800000002</v>
      </c>
      <c r="AG240" s="51">
        <f t="shared" si="94"/>
        <v>-102501.51454805862</v>
      </c>
      <c r="AH240" s="51">
        <f t="shared" ref="AH240:AO240" si="95">SUM(AH239,AH227)</f>
        <v>0</v>
      </c>
      <c r="AI240" s="51">
        <f t="shared" si="95"/>
        <v>0</v>
      </c>
      <c r="AJ240" s="51">
        <f t="shared" si="95"/>
        <v>0</v>
      </c>
      <c r="AK240" s="51">
        <f t="shared" si="95"/>
        <v>0</v>
      </c>
      <c r="AL240" s="51">
        <f t="shared" si="95"/>
        <v>0</v>
      </c>
      <c r="AM240" s="51">
        <f t="shared" si="95"/>
        <v>0</v>
      </c>
      <c r="AN240" s="51">
        <f t="shared" si="95"/>
        <v>0</v>
      </c>
      <c r="AO240" s="51">
        <f t="shared" si="95"/>
        <v>0</v>
      </c>
      <c r="AP240" s="298"/>
      <c r="AQ240" s="51">
        <f t="shared" si="89"/>
        <v>-1165357.2700000003</v>
      </c>
      <c r="AR240" s="51">
        <f t="shared" si="89"/>
        <v>3179437.55</v>
      </c>
      <c r="AS240" s="51">
        <f t="shared" si="89"/>
        <v>7893550.7799999993</v>
      </c>
      <c r="AT240" s="51">
        <f t="shared" si="89"/>
        <v>3276830.1299999994</v>
      </c>
      <c r="AU240" s="51">
        <f t="shared" si="89"/>
        <v>-2637779.5599999996</v>
      </c>
      <c r="AV240" s="51">
        <f t="shared" si="89"/>
        <v>-102501.51454805862</v>
      </c>
      <c r="AW240" s="51">
        <f t="shared" si="89"/>
        <v>0</v>
      </c>
      <c r="AX240" s="51">
        <f t="shared" si="89"/>
        <v>0</v>
      </c>
      <c r="AY240" s="298"/>
      <c r="AZ240" s="51">
        <f t="shared" si="82"/>
        <v>13184461.189999998</v>
      </c>
      <c r="BA240" s="51">
        <f t="shared" si="83"/>
        <v>-2740281.0745480582</v>
      </c>
      <c r="BB240" s="299"/>
      <c r="BC240" s="51">
        <f t="shared" si="90"/>
        <v>-197092.6399999999</v>
      </c>
      <c r="BD240" s="51">
        <f t="shared" si="91"/>
        <v>-2740281.0745480582</v>
      </c>
    </row>
    <row r="241" spans="2:56" ht="15.5" outlineLevel="1" x14ac:dyDescent="0.45">
      <c r="F241" s="299"/>
      <c r="G241" s="299"/>
      <c r="H241" s="299"/>
      <c r="I241" s="299"/>
      <c r="J241" s="299"/>
      <c r="K241" s="299"/>
      <c r="L241" s="299"/>
      <c r="M241" s="299"/>
      <c r="N241" s="299"/>
      <c r="O241" s="299"/>
      <c r="P241" s="299"/>
      <c r="Q241" s="299"/>
      <c r="R241" s="546"/>
      <c r="S241" s="546"/>
      <c r="T241" s="546"/>
      <c r="U241" s="546"/>
      <c r="V241" s="546"/>
      <c r="W241" s="546"/>
      <c r="X241" s="546"/>
      <c r="Y241" s="546"/>
      <c r="Z241" s="546"/>
      <c r="AA241" s="546"/>
      <c r="AB241" s="546"/>
      <c r="AC241" s="546"/>
      <c r="AD241" s="195"/>
      <c r="AE241" s="195"/>
      <c r="AF241" s="195"/>
      <c r="AG241" s="525"/>
      <c r="AH241" s="298"/>
      <c r="AI241" s="298"/>
      <c r="AJ241" s="298"/>
      <c r="AK241" s="298"/>
      <c r="AL241" s="298"/>
      <c r="AM241" s="298"/>
      <c r="AN241" s="298"/>
      <c r="AO241" s="298"/>
      <c r="AP241" s="298"/>
      <c r="AQ241" s="298"/>
      <c r="AR241" s="298"/>
      <c r="AS241" s="298"/>
      <c r="AT241" s="298"/>
      <c r="AU241" s="298"/>
      <c r="AV241" s="298"/>
      <c r="AW241" s="298"/>
      <c r="AX241" s="298"/>
      <c r="AY241" s="298"/>
      <c r="AZ241" s="298"/>
      <c r="BA241" s="298"/>
      <c r="BB241" s="299"/>
      <c r="BC241" s="298"/>
      <c r="BD241" s="298"/>
    </row>
    <row r="242" spans="2:56" outlineLevel="2" x14ac:dyDescent="0.45">
      <c r="B242" s="102" t="s">
        <v>560</v>
      </c>
      <c r="C242" s="318"/>
      <c r="D242" s="342"/>
      <c r="E242" s="304"/>
      <c r="F242" s="302"/>
      <c r="G242" s="302"/>
      <c r="H242" s="302"/>
      <c r="I242" s="302"/>
      <c r="J242" s="302"/>
      <c r="K242" s="302"/>
      <c r="L242" s="302"/>
      <c r="M242" s="302"/>
      <c r="N242" s="302"/>
      <c r="O242" s="302"/>
      <c r="P242" s="302"/>
      <c r="Q242" s="302"/>
      <c r="R242" s="73">
        <f>-SUMIFS('Data BASE'!R$490:R$960,'Data BASE'!$M$490:$M$960,$B242,'Data BASE'!$L$490:$L$960,$B$246)</f>
        <v>-942250.81</v>
      </c>
      <c r="S242" s="73">
        <f>-SUMIFS('Data BASE'!S$490:S$960,'Data BASE'!$M$490:$M$960,$B242,'Data BASE'!$L$490:$L$960,$B$246)</f>
        <v>-993575.60000000009</v>
      </c>
      <c r="T242" s="73">
        <f>-SUMIFS('Data BASE'!T$490:T$960,'Data BASE'!$M$490:$M$960,$B242,'Data BASE'!$L$490:$L$960,$B$246)</f>
        <v>-1020730.2400000001</v>
      </c>
      <c r="U242" s="73">
        <f>-SUMIFS('Data BASE'!U$490:U$960,'Data BASE'!$M$490:$M$960,$B242,'Data BASE'!$L$490:$L$960,$B$246)</f>
        <v>-1272687.7</v>
      </c>
      <c r="V242" s="73">
        <f>-SUMIFS('Data BASE'!V$490:V$960,'Data BASE'!$M$490:$M$960,$B242,'Data BASE'!$L$490:$L$960,$B$246)</f>
        <v>-1280665.02</v>
      </c>
      <c r="W242" s="73">
        <f>-SUMIFS('Data BASE'!W$490:W$960,'Data BASE'!$M$490:$M$960,$B242,'Data BASE'!$L$490:$L$960,$B$246)</f>
        <v>-1237179.33</v>
      </c>
      <c r="X242" s="73">
        <f>-SUMIFS('Data BASE'!X$490:X$960,'Data BASE'!$M$490:$M$960,$B242,'Data BASE'!$L$490:$L$960,$B$246)</f>
        <v>-1686509.5399999996</v>
      </c>
      <c r="Y242" s="73">
        <f>-SUMIFS('Data BASE'!Y$490:Y$960,'Data BASE'!$M$490:$M$960,$B242,'Data BASE'!$L$490:$L$960,$B$246)</f>
        <v>-1321586.19</v>
      </c>
      <c r="Z242" s="73">
        <f>-SUMIFS('Data BASE'!Z$490:Z$960,'Data BASE'!$M$490:$M$960,$B242,'Data BASE'!$L$490:$L$960,$B$246)</f>
        <v>-1512068.8600000003</v>
      </c>
      <c r="AA242" s="73">
        <f>-SUMIFS('Data BASE'!AA$490:AA$960,'Data BASE'!$M$490:$M$960,$B242,'Data BASE'!$L$490:$L$960,$B$246)</f>
        <v>-1369563.7200000002</v>
      </c>
      <c r="AB242" s="73">
        <f>-SUMIFS('Data BASE'!AB$490:AB$960,'Data BASE'!$M$490:$M$960,$B242,'Data BASE'!$L$490:$L$960,$B$246)</f>
        <v>-1600423.3499999996</v>
      </c>
      <c r="AC242" s="73">
        <f>-SUMIFS('Data BASE'!AC$490:AC$960,'Data BASE'!$M$490:$M$960,$B242,'Data BASE'!$L$490:$L$960,$B$246)</f>
        <v>-1669422.1199999992</v>
      </c>
      <c r="AD242" s="73">
        <f>-SUMIFS('Data BASE'!AD$490:AD$960,'Data BASE'!$M$490:$M$960,$B242,'Data BASE'!$L$490:$L$960,$B$246)</f>
        <v>-2478666.8899999997</v>
      </c>
      <c r="AE242" s="73">
        <f>-SUMIFS('Data BASE'!AE$490:AE$960,'Data BASE'!$M$490:$M$960,$B242,'Data BASE'!$L$490:$L$960,$B$246)</f>
        <v>-2384494.5499999998</v>
      </c>
      <c r="AF242" s="73">
        <f>-SUMIFS('Data BASE'!AF$490:AF$960,'Data BASE'!$M$490:$M$960,$B242,'Data BASE'!$L$490:$L$960,$B$246)</f>
        <v>-2723547.9899999998</v>
      </c>
      <c r="AG242" s="73">
        <f>-SUMIFS('Data BASE'!AG$490:AG$2000,'Data BASE'!$M$490:$M$2000,$B242,'Data BASE'!$L$490:$L$2000,$B$246)</f>
        <v>-2640059.9999999995</v>
      </c>
      <c r="AH242" s="73"/>
      <c r="AI242" s="73"/>
      <c r="AJ242" s="73"/>
      <c r="AK242" s="73"/>
      <c r="AL242" s="73"/>
      <c r="AM242" s="73"/>
      <c r="AN242" s="73"/>
      <c r="AO242" s="73"/>
      <c r="AP242" s="298"/>
      <c r="AQ242" s="73">
        <f t="shared" si="89"/>
        <v>-2956556.6500000004</v>
      </c>
      <c r="AR242" s="73">
        <f t="shared" si="89"/>
        <v>-3790532.05</v>
      </c>
      <c r="AS242" s="73">
        <f t="shared" si="89"/>
        <v>-4520164.59</v>
      </c>
      <c r="AT242" s="73">
        <f t="shared" si="89"/>
        <v>-4639409.1899999995</v>
      </c>
      <c r="AU242" s="73">
        <f t="shared" si="89"/>
        <v>-7586709.4299999997</v>
      </c>
      <c r="AV242" s="73">
        <f t="shared" si="89"/>
        <v>-2640059.9999999995</v>
      </c>
      <c r="AW242" s="73">
        <f t="shared" si="89"/>
        <v>0</v>
      </c>
      <c r="AX242" s="73">
        <f t="shared" si="89"/>
        <v>0</v>
      </c>
      <c r="AY242" s="298"/>
      <c r="AZ242" s="73">
        <f t="shared" ref="AZ242:AZ246" si="96">SUM(AQ242:AT242)</f>
        <v>-15906662.479999999</v>
      </c>
      <c r="BA242" s="73">
        <f t="shared" ref="BA242:BA246" si="97">SUM(AU242:AX242)</f>
        <v>-10226769.43</v>
      </c>
      <c r="BB242" s="299"/>
      <c r="BC242" s="73">
        <f t="shared" si="90"/>
        <v>-942250.81</v>
      </c>
      <c r="BD242" s="73">
        <f t="shared" si="91"/>
        <v>-10226769.43</v>
      </c>
    </row>
    <row r="243" spans="2:56" outlineLevel="2" x14ac:dyDescent="0.45">
      <c r="B243" s="102" t="s">
        <v>923</v>
      </c>
      <c r="C243" s="318"/>
      <c r="D243" s="342"/>
      <c r="E243" s="304"/>
      <c r="F243" s="302"/>
      <c r="G243" s="302"/>
      <c r="H243" s="302"/>
      <c r="I243" s="302"/>
      <c r="J243" s="302"/>
      <c r="K243" s="302"/>
      <c r="L243" s="302"/>
      <c r="M243" s="302"/>
      <c r="N243" s="302"/>
      <c r="O243" s="302"/>
      <c r="P243" s="302"/>
      <c r="Q243" s="302"/>
      <c r="R243" s="73">
        <f>-SUMIFS('Data BASE'!R$490:R$960,'Data BASE'!$M$490:$M$960,$B243,'Data BASE'!$L$490:$L$960,$B$246)</f>
        <v>-712474.45</v>
      </c>
      <c r="S243" s="73">
        <f>-SUMIFS('Data BASE'!S$490:S$960,'Data BASE'!$M$490:$M$960,$B243,'Data BASE'!$L$490:$L$960,$B$246)</f>
        <v>-786141.87000000011</v>
      </c>
      <c r="T243" s="73">
        <f>-SUMIFS('Data BASE'!T$490:T$960,'Data BASE'!$M$490:$M$960,$B243,'Data BASE'!$L$490:$L$960,$B$246)</f>
        <v>-749308.15999999992</v>
      </c>
      <c r="U243" s="73">
        <f>-SUMIFS('Data BASE'!U$490:U$960,'Data BASE'!$M$490:$M$960,$B243,'Data BASE'!$L$490:$L$960,$B$246)</f>
        <v>-1134099.33</v>
      </c>
      <c r="V243" s="73">
        <f>-SUMIFS('Data BASE'!V$490:V$960,'Data BASE'!$M$490:$M$960,$B243,'Data BASE'!$L$490:$L$960,$B$246)</f>
        <v>-1067405.0500000003</v>
      </c>
      <c r="W243" s="73">
        <f>-SUMIFS('Data BASE'!W$490:W$960,'Data BASE'!$M$490:$M$960,$B243,'Data BASE'!$L$490:$L$960,$B$246)</f>
        <v>-1067405.5899999999</v>
      </c>
      <c r="X243" s="73">
        <f>-SUMIFS('Data BASE'!X$490:X$960,'Data BASE'!$M$490:$M$960,$B243,'Data BASE'!$L$490:$L$960,$B$246)</f>
        <v>-1116162.17</v>
      </c>
      <c r="Y243" s="73">
        <f>-SUMIFS('Data BASE'!Y$490:Y$960,'Data BASE'!$M$490:$M$960,$B243,'Data BASE'!$L$490:$L$960,$B$246)</f>
        <v>-1139137.6399999997</v>
      </c>
      <c r="Z243" s="73">
        <f>-SUMIFS('Data BASE'!Z$490:Z$960,'Data BASE'!$M$490:$M$960,$B243,'Data BASE'!$L$490:$L$960,$B$246)</f>
        <v>-1139137.6400000006</v>
      </c>
      <c r="AA243" s="73">
        <f>-SUMIFS('Data BASE'!AA$490:AA$960,'Data BASE'!$M$490:$M$960,$B243,'Data BASE'!$L$490:$L$960,$B$246)</f>
        <v>-1180533.0999999996</v>
      </c>
      <c r="AB243" s="73">
        <f>-SUMIFS('Data BASE'!AB$490:AB$960,'Data BASE'!$M$490:$M$960,$B243,'Data BASE'!$L$490:$L$960,$B$246)</f>
        <v>-1361277.1899999995</v>
      </c>
      <c r="AC243" s="73">
        <f>-SUMIFS('Data BASE'!AC$490:AC$960,'Data BASE'!$M$490:$M$960,$B243,'Data BASE'!$L$490:$L$960,$B$246)</f>
        <v>-8211765.6800000016</v>
      </c>
      <c r="AD243" s="71">
        <v>0</v>
      </c>
      <c r="AE243" s="71">
        <v>0</v>
      </c>
      <c r="AF243" s="71">
        <v>0</v>
      </c>
      <c r="AG243" s="71">
        <v>0</v>
      </c>
      <c r="AH243" s="73"/>
      <c r="AI243" s="73"/>
      <c r="AJ243" s="73"/>
      <c r="AK243" s="73"/>
      <c r="AL243" s="73"/>
      <c r="AM243" s="73"/>
      <c r="AN243" s="73"/>
      <c r="AO243" s="73"/>
      <c r="AP243" s="298"/>
      <c r="AQ243" s="73">
        <f t="shared" ref="AQ243:AX246" si="98">SUMIFS($R243:$AP243,$R$9:$AP$9,AQ$9,$R$8:$AP$8,AQ$8)</f>
        <v>-2247924.48</v>
      </c>
      <c r="AR243" s="73">
        <f t="shared" si="98"/>
        <v>-3268909.97</v>
      </c>
      <c r="AS243" s="73">
        <f t="shared" si="98"/>
        <v>-3394437.45</v>
      </c>
      <c r="AT243" s="73">
        <f t="shared" si="98"/>
        <v>-10753575.970000001</v>
      </c>
      <c r="AU243" s="73">
        <f t="shared" si="98"/>
        <v>0</v>
      </c>
      <c r="AV243" s="73">
        <f t="shared" si="98"/>
        <v>0</v>
      </c>
      <c r="AW243" s="73">
        <f t="shared" si="98"/>
        <v>0</v>
      </c>
      <c r="AX243" s="73">
        <f t="shared" si="98"/>
        <v>0</v>
      </c>
      <c r="AY243" s="298"/>
      <c r="AZ243" s="73">
        <f t="shared" si="96"/>
        <v>-19664847.870000001</v>
      </c>
      <c r="BA243" s="73">
        <f t="shared" si="97"/>
        <v>0</v>
      </c>
      <c r="BB243" s="299"/>
      <c r="BC243" s="73">
        <f t="shared" si="90"/>
        <v>-712474.45</v>
      </c>
      <c r="BD243" s="73">
        <f t="shared" si="91"/>
        <v>0</v>
      </c>
    </row>
    <row r="244" spans="2:56" outlineLevel="2" x14ac:dyDescent="0.45">
      <c r="B244" s="102" t="s">
        <v>806</v>
      </c>
      <c r="C244" s="318"/>
      <c r="D244" s="342"/>
      <c r="E244" s="304"/>
      <c r="F244" s="302"/>
      <c r="G244" s="302"/>
      <c r="H244" s="302"/>
      <c r="I244" s="302"/>
      <c r="J244" s="302"/>
      <c r="K244" s="302"/>
      <c r="L244" s="302"/>
      <c r="M244" s="302"/>
      <c r="N244" s="302"/>
      <c r="O244" s="302"/>
      <c r="P244" s="302"/>
      <c r="Q244" s="302"/>
      <c r="R244" s="73">
        <f>-SUMIFS('Data BASE'!R$490:R$960,'Data BASE'!$M$490:$M$960,$B244,'Data BASE'!$L$490:$L$960,$B$246)</f>
        <v>-15974.95</v>
      </c>
      <c r="S244" s="73">
        <f>-SUMIFS('Data BASE'!S$490:S$960,'Data BASE'!$M$490:$M$960,$B244,'Data BASE'!$L$490:$L$960,$B$246)</f>
        <v>-16337.43</v>
      </c>
      <c r="T244" s="73">
        <f>-SUMIFS('Data BASE'!T$490:T$960,'Data BASE'!$M$490:$M$960,$B244,'Data BASE'!$L$490:$L$960,$B$246)</f>
        <v>-16337.429999999997</v>
      </c>
      <c r="U244" s="73">
        <f>-SUMIFS('Data BASE'!U$490:U$960,'Data BASE'!$M$490:$M$960,$B244,'Data BASE'!$L$490:$L$960,$B$246)</f>
        <v>-16744.910000000003</v>
      </c>
      <c r="V244" s="73">
        <f>-SUMIFS('Data BASE'!V$490:V$960,'Data BASE'!$M$490:$M$960,$B244,'Data BASE'!$L$490:$L$960,$B$246)</f>
        <v>-17448.410000000003</v>
      </c>
      <c r="W244" s="73">
        <f>-SUMIFS('Data BASE'!W$490:W$960,'Data BASE'!$M$490:$M$960,$B244,'Data BASE'!$L$490:$L$960,$B$246)</f>
        <v>-17933.380000000005</v>
      </c>
      <c r="X244" s="73">
        <f>-SUMIFS('Data BASE'!X$490:X$960,'Data BASE'!$M$490:$M$960,$B244,'Data BASE'!$L$490:$L$960,$B$246)</f>
        <v>-20288.539999999994</v>
      </c>
      <c r="Y244" s="73">
        <f>-SUMIFS('Data BASE'!Y$490:Y$960,'Data BASE'!$M$490:$M$960,$B244,'Data BASE'!$L$490:$L$960,$B$246)</f>
        <v>-20533.39</v>
      </c>
      <c r="Z244" s="73">
        <f>-SUMIFS('Data BASE'!Z$490:Z$960,'Data BASE'!$M$490:$M$960,$B244,'Data BASE'!$L$490:$L$960,$B$246)</f>
        <v>-20533.390000000014</v>
      </c>
      <c r="AA244" s="73">
        <f>-SUMIFS('Data BASE'!AA$490:AA$960,'Data BASE'!$M$490:$M$960,$B244,'Data BASE'!$L$490:$L$960,$B$246)</f>
        <v>-20998.109999999986</v>
      </c>
      <c r="AB244" s="73">
        <f>-SUMIFS('Data BASE'!AB$490:AB$960,'Data BASE'!$M$490:$M$960,$B244,'Data BASE'!$L$490:$L$960,$B$246)</f>
        <v>-20998.109999999986</v>
      </c>
      <c r="AC244" s="73">
        <f>-SUMIFS('Data BASE'!AC$490:AC$960,'Data BASE'!$M$490:$M$960,$B244,'Data BASE'!$L$490:$L$960,$B$246)</f>
        <v>-23501.49000000002</v>
      </c>
      <c r="AD244" s="73">
        <f>-SUMIFS('Data BASE'!AD$490:AD$960,'Data BASE'!$M$490:$M$960,$B244,'Data BASE'!$L$490:$L$960,$B$246)</f>
        <v>-25427.68</v>
      </c>
      <c r="AE244" s="73">
        <f>-SUMIFS('Data BASE'!AE$490:AE$960,'Data BASE'!$M$490:$M$960,$B244,'Data BASE'!$L$490:$L$960,$B$246)</f>
        <v>-31698.11</v>
      </c>
      <c r="AF244" s="73">
        <f>-SUMIFS('Data BASE'!AF$490:AF$960,'Data BASE'!$M$490:$M$960,$B244,'Data BASE'!$L$490:$L$960,$B$246)</f>
        <v>-33515.159999999996</v>
      </c>
      <c r="AG244" s="73">
        <f>-SUMIFS('Data BASE'!AG$490:AG$2000,'Data BASE'!$M$490:$M$2000,$B244,'Data BASE'!$L$490:$L$2000,$B$246)</f>
        <v>-54409.000000000015</v>
      </c>
      <c r="AH244" s="73"/>
      <c r="AI244" s="73"/>
      <c r="AJ244" s="73"/>
      <c r="AK244" s="73"/>
      <c r="AL244" s="73"/>
      <c r="AM244" s="73"/>
      <c r="AN244" s="73"/>
      <c r="AO244" s="73"/>
      <c r="AP244" s="298"/>
      <c r="AQ244" s="73">
        <f t="shared" si="98"/>
        <v>-48649.81</v>
      </c>
      <c r="AR244" s="73">
        <f t="shared" si="98"/>
        <v>-52126.700000000012</v>
      </c>
      <c r="AS244" s="73">
        <f t="shared" si="98"/>
        <v>-61355.320000000007</v>
      </c>
      <c r="AT244" s="73">
        <f t="shared" si="98"/>
        <v>-65497.709999999992</v>
      </c>
      <c r="AU244" s="73">
        <f t="shared" si="98"/>
        <v>-90640.95</v>
      </c>
      <c r="AV244" s="73">
        <f t="shared" si="98"/>
        <v>-54409.000000000015</v>
      </c>
      <c r="AW244" s="73">
        <f t="shared" si="98"/>
        <v>0</v>
      </c>
      <c r="AX244" s="73">
        <f t="shared" si="98"/>
        <v>0</v>
      </c>
      <c r="AY244" s="298"/>
      <c r="AZ244" s="73">
        <f t="shared" si="96"/>
        <v>-227629.54</v>
      </c>
      <c r="BA244" s="73">
        <f t="shared" si="97"/>
        <v>-145049.95000000001</v>
      </c>
      <c r="BB244" s="299"/>
      <c r="BC244" s="73">
        <f t="shared" si="90"/>
        <v>-15974.95</v>
      </c>
      <c r="BD244" s="73">
        <f t="shared" si="91"/>
        <v>-145049.95000000001</v>
      </c>
    </row>
    <row r="245" spans="2:56" outlineLevel="2" x14ac:dyDescent="0.45">
      <c r="B245" s="102" t="s">
        <v>558</v>
      </c>
      <c r="C245" s="318"/>
      <c r="D245" s="342"/>
      <c r="E245" s="304"/>
      <c r="F245" s="302"/>
      <c r="G245" s="302"/>
      <c r="H245" s="302"/>
      <c r="I245" s="302"/>
      <c r="J245" s="302"/>
      <c r="K245" s="302"/>
      <c r="L245" s="302"/>
      <c r="M245" s="302"/>
      <c r="N245" s="302"/>
      <c r="O245" s="302"/>
      <c r="P245" s="302"/>
      <c r="Q245" s="302"/>
      <c r="R245" s="73">
        <f>-SUMIFS('Data BASE'!R$490:R$960,'Data BASE'!$M$490:$M$960,$B245,'Data BASE'!$L$490:$L$960,$B$246)</f>
        <v>-44255.38</v>
      </c>
      <c r="S245" s="73">
        <f>-SUMIFS('Data BASE'!S$490:S$960,'Data BASE'!$M$490:$M$960,$B245,'Data BASE'!$L$490:$L$960,$B$246)</f>
        <v>-44255.38</v>
      </c>
      <c r="T245" s="73">
        <f>-SUMIFS('Data BASE'!T$490:T$960,'Data BASE'!$M$490:$M$960,$B245,'Data BASE'!$L$490:$L$960,$B$246)</f>
        <v>-44255.37999999999</v>
      </c>
      <c r="U245" s="73">
        <f>-SUMIFS('Data BASE'!U$490:U$960,'Data BASE'!$M$490:$M$960,$B245,'Data BASE'!$L$490:$L$960,$B$246)</f>
        <v>-50875.350000000035</v>
      </c>
      <c r="V245" s="73">
        <f>-SUMIFS('Data BASE'!V$490:V$960,'Data BASE'!$M$490:$M$960,$B245,'Data BASE'!$L$490:$L$960,$B$246)</f>
        <v>-59434.14999999998</v>
      </c>
      <c r="W245" s="73">
        <f>-SUMIFS('Data BASE'!W$490:W$960,'Data BASE'!$M$490:$M$960,$B245,'Data BASE'!$L$490:$L$960,$B$246)</f>
        <v>-61807.479999999967</v>
      </c>
      <c r="X245" s="73">
        <f>-SUMIFS('Data BASE'!X$490:X$960,'Data BASE'!$M$490:$M$960,$B245,'Data BASE'!$L$490:$L$960,$B$246)</f>
        <v>-67431.050000000017</v>
      </c>
      <c r="Y245" s="73">
        <f>-SUMIFS('Data BASE'!Y$490:Y$960,'Data BASE'!$M$490:$M$960,$B245,'Data BASE'!$L$490:$L$960,$B$246)</f>
        <v>-64619.27</v>
      </c>
      <c r="Z245" s="73">
        <f>-SUMIFS('Data BASE'!Z$490:Z$960,'Data BASE'!$M$490:$M$960,$B245,'Data BASE'!$L$490:$L$960,$B$246)</f>
        <v>-64971.980000000025</v>
      </c>
      <c r="AA245" s="73">
        <f>-SUMIFS('Data BASE'!AA$490:AA$960,'Data BASE'!$M$490:$M$960,$B245,'Data BASE'!$L$490:$L$960,$B$246)</f>
        <v>-65014.199999999983</v>
      </c>
      <c r="AB245" s="73">
        <f>-SUMIFS('Data BASE'!AB$490:AB$960,'Data BASE'!$M$490:$M$960,$B245,'Data BASE'!$L$490:$L$960,$B$246)</f>
        <v>-66348.570000000051</v>
      </c>
      <c r="AC245" s="73">
        <f>-SUMIFS('Data BASE'!AC$490:AC$960,'Data BASE'!$M$490:$M$960,$B245,'Data BASE'!$L$490:$L$960,$B$246)</f>
        <v>-66551.73000000001</v>
      </c>
      <c r="AD245" s="73">
        <f>-SUMIFS('Data BASE'!AD$490:AD$960,'Data BASE'!$M$490:$M$960,$B245,'Data BASE'!$L$490:$L$960,$B$246)</f>
        <v>-91979.18</v>
      </c>
      <c r="AE245" s="73">
        <f>-SUMIFS('Data BASE'!AE$490:AE$960,'Data BASE'!$M$490:$M$960,$B245,'Data BASE'!$L$490:$L$960,$B$246)</f>
        <v>-92293.28</v>
      </c>
      <c r="AF245" s="73">
        <f>-SUMIFS('Data BASE'!AF$490:AF$960,'Data BASE'!$M$490:$M$960,$B245,'Data BASE'!$L$490:$L$960,$B$246)</f>
        <v>-29940.420000000013</v>
      </c>
      <c r="AG245" s="73">
        <f>-SUMIFS('Data BASE'!AG$490:AG$2000,'Data BASE'!$M$490:$M$2000,$B245,'Data BASE'!$L$490:$L$2000,$B$246)</f>
        <v>-74361</v>
      </c>
      <c r="AH245" s="73"/>
      <c r="AI245" s="73"/>
      <c r="AJ245" s="73"/>
      <c r="AK245" s="73"/>
      <c r="AL245" s="73"/>
      <c r="AM245" s="73"/>
      <c r="AN245" s="73"/>
      <c r="AO245" s="73"/>
      <c r="AP245" s="298"/>
      <c r="AQ245" s="73">
        <f t="shared" si="98"/>
        <v>-132766.13999999998</v>
      </c>
      <c r="AR245" s="73">
        <f t="shared" si="98"/>
        <v>-172116.97999999998</v>
      </c>
      <c r="AS245" s="73">
        <f t="shared" si="98"/>
        <v>-197022.30000000005</v>
      </c>
      <c r="AT245" s="73">
        <f t="shared" si="98"/>
        <v>-197914.50000000003</v>
      </c>
      <c r="AU245" s="73">
        <f t="shared" si="98"/>
        <v>-214212.88</v>
      </c>
      <c r="AV245" s="73">
        <f t="shared" si="98"/>
        <v>-74361</v>
      </c>
      <c r="AW245" s="73">
        <f t="shared" si="98"/>
        <v>0</v>
      </c>
      <c r="AX245" s="73">
        <f t="shared" si="98"/>
        <v>0</v>
      </c>
      <c r="AY245" s="298"/>
      <c r="AZ245" s="73">
        <f t="shared" si="96"/>
        <v>-699819.92</v>
      </c>
      <c r="BA245" s="73">
        <f t="shared" si="97"/>
        <v>-288573.88</v>
      </c>
      <c r="BB245" s="299"/>
      <c r="BC245" s="73">
        <f t="shared" si="90"/>
        <v>-44255.38</v>
      </c>
      <c r="BD245" s="73">
        <f t="shared" si="91"/>
        <v>-288573.88</v>
      </c>
    </row>
    <row r="246" spans="2:56" outlineLevel="1" x14ac:dyDescent="0.45">
      <c r="B246" s="49" t="s">
        <v>557</v>
      </c>
      <c r="C246" s="293"/>
      <c r="D246" s="529"/>
      <c r="E246" s="530"/>
      <c r="F246" s="531"/>
      <c r="G246" s="531"/>
      <c r="H246" s="531"/>
      <c r="I246" s="531"/>
      <c r="J246" s="531"/>
      <c r="K246" s="531"/>
      <c r="L246" s="531"/>
      <c r="M246" s="531"/>
      <c r="N246" s="531"/>
      <c r="O246" s="531"/>
      <c r="P246" s="531"/>
      <c r="Q246" s="531"/>
      <c r="R246" s="438">
        <f t="shared" ref="R246:AO246" si="99">SUM(R242:R245)</f>
        <v>-1714955.5899999999</v>
      </c>
      <c r="S246" s="438">
        <f t="shared" si="99"/>
        <v>-1840310.28</v>
      </c>
      <c r="T246" s="438">
        <f t="shared" si="99"/>
        <v>-1830631.2099999997</v>
      </c>
      <c r="U246" s="438">
        <f t="shared" si="99"/>
        <v>-2474407.2900000005</v>
      </c>
      <c r="V246" s="438">
        <f t="shared" si="99"/>
        <v>-2424952.6300000004</v>
      </c>
      <c r="W246" s="438">
        <f t="shared" si="99"/>
        <v>-2384325.7799999998</v>
      </c>
      <c r="X246" s="438">
        <f t="shared" si="99"/>
        <v>-2890391.2999999993</v>
      </c>
      <c r="Y246" s="438">
        <f t="shared" si="99"/>
        <v>-2545876.4899999998</v>
      </c>
      <c r="Z246" s="438">
        <f t="shared" si="99"/>
        <v>-2736711.870000001</v>
      </c>
      <c r="AA246" s="438">
        <f t="shared" si="99"/>
        <v>-2636109.13</v>
      </c>
      <c r="AB246" s="438">
        <f t="shared" si="99"/>
        <v>-3049047.2199999988</v>
      </c>
      <c r="AC246" s="438">
        <f t="shared" si="99"/>
        <v>-9971241.0200000014</v>
      </c>
      <c r="AD246" s="438">
        <f>SUM(AD242:AD245)</f>
        <v>-2596073.75</v>
      </c>
      <c r="AE246" s="438">
        <f t="shared" ref="AE246:AO246" si="100">SUM(AE242:AE245)</f>
        <v>-2508485.9399999995</v>
      </c>
      <c r="AF246" s="438">
        <f t="shared" si="100"/>
        <v>-2787003.57</v>
      </c>
      <c r="AG246" s="438">
        <f t="shared" si="100"/>
        <v>-2768829.9999999995</v>
      </c>
      <c r="AH246" s="438">
        <f t="shared" si="100"/>
        <v>0</v>
      </c>
      <c r="AI246" s="438">
        <f t="shared" si="100"/>
        <v>0</v>
      </c>
      <c r="AJ246" s="438">
        <f t="shared" si="100"/>
        <v>0</v>
      </c>
      <c r="AK246" s="438">
        <f t="shared" si="100"/>
        <v>0</v>
      </c>
      <c r="AL246" s="438">
        <f t="shared" si="100"/>
        <v>0</v>
      </c>
      <c r="AM246" s="438">
        <f t="shared" si="100"/>
        <v>0</v>
      </c>
      <c r="AN246" s="438">
        <f t="shared" si="100"/>
        <v>0</v>
      </c>
      <c r="AO246" s="438">
        <f t="shared" si="100"/>
        <v>0</v>
      </c>
      <c r="AP246" s="298"/>
      <c r="AQ246" s="51">
        <f t="shared" si="98"/>
        <v>-5385897.0800000001</v>
      </c>
      <c r="AR246" s="51">
        <f t="shared" si="98"/>
        <v>-7283685.7000000011</v>
      </c>
      <c r="AS246" s="51">
        <f t="shared" si="98"/>
        <v>-8172979.6600000001</v>
      </c>
      <c r="AT246" s="51">
        <f t="shared" si="98"/>
        <v>-15656397.370000001</v>
      </c>
      <c r="AU246" s="51">
        <f t="shared" si="98"/>
        <v>-7891563.2599999998</v>
      </c>
      <c r="AV246" s="51">
        <f t="shared" si="98"/>
        <v>-2768829.9999999995</v>
      </c>
      <c r="AW246" s="51">
        <f t="shared" si="98"/>
        <v>0</v>
      </c>
      <c r="AX246" s="51">
        <f t="shared" si="98"/>
        <v>0</v>
      </c>
      <c r="AY246" s="298"/>
      <c r="AZ246" s="51">
        <f t="shared" si="96"/>
        <v>-36498959.810000002</v>
      </c>
      <c r="BA246" s="51">
        <f t="shared" si="97"/>
        <v>-10660393.26</v>
      </c>
      <c r="BB246" s="299"/>
      <c r="BC246" s="51">
        <f t="shared" si="90"/>
        <v>-1714955.5899999999</v>
      </c>
      <c r="BD246" s="51">
        <f t="shared" si="91"/>
        <v>-10660393.26</v>
      </c>
    </row>
    <row r="247" spans="2:56" outlineLevel="1" x14ac:dyDescent="0.45">
      <c r="F247" s="299"/>
      <c r="G247" s="299"/>
      <c r="H247" s="299"/>
      <c r="I247" s="299"/>
      <c r="J247" s="299"/>
      <c r="K247" s="299"/>
      <c r="L247" s="299"/>
      <c r="M247" s="299"/>
      <c r="N247" s="299"/>
      <c r="O247" s="299"/>
      <c r="P247" s="299"/>
      <c r="Q247" s="299"/>
      <c r="R247" s="542"/>
      <c r="S247" s="542"/>
      <c r="T247" s="542"/>
      <c r="U247" s="542"/>
      <c r="V247" s="542"/>
      <c r="W247" s="542"/>
      <c r="X247" s="542"/>
      <c r="Y247" s="542"/>
      <c r="Z247" s="542"/>
      <c r="AA247" s="542"/>
      <c r="AB247" s="542"/>
      <c r="AC247" s="542"/>
      <c r="AD247" s="299"/>
      <c r="AE247" s="526"/>
      <c r="AF247" s="526"/>
      <c r="AG247" s="526"/>
      <c r="AH247" s="299"/>
      <c r="AI247" s="299"/>
      <c r="AJ247" s="299"/>
      <c r="AK247" s="299"/>
      <c r="AL247" s="299"/>
      <c r="AM247" s="299"/>
      <c r="AN247" s="299"/>
      <c r="AO247" s="299"/>
      <c r="AP247" s="299"/>
      <c r="AQ247" s="299"/>
      <c r="AR247" s="299"/>
      <c r="AS247" s="299"/>
      <c r="AT247" s="299"/>
      <c r="AU247" s="299"/>
      <c r="AV247" s="299"/>
      <c r="AW247" s="299"/>
      <c r="AX247" s="299"/>
      <c r="AY247" s="299"/>
      <c r="AZ247" s="299"/>
      <c r="BA247" s="299"/>
      <c r="BB247" s="299"/>
      <c r="BC247" s="299"/>
      <c r="BD247" s="299"/>
    </row>
    <row r="248" spans="2:56" outlineLevel="1" x14ac:dyDescent="0.45">
      <c r="B248" s="53" t="s">
        <v>750</v>
      </c>
      <c r="C248" s="310"/>
      <c r="D248" s="339"/>
      <c r="E248" s="311"/>
      <c r="F248" s="312"/>
      <c r="G248" s="312"/>
      <c r="H248" s="312"/>
      <c r="I248" s="312"/>
      <c r="J248" s="312"/>
      <c r="K248" s="312"/>
      <c r="L248" s="312"/>
      <c r="M248" s="312"/>
      <c r="N248" s="312"/>
      <c r="O248" s="312"/>
      <c r="P248" s="312"/>
      <c r="Q248" s="312"/>
      <c r="R248" s="549">
        <f>-SUMIFS('Data BASE'!R$490:R$960,'Data BASE'!$M$490:$M$960,$B248)</f>
        <v>2310.44</v>
      </c>
      <c r="S248" s="549">
        <f>-SUMIFS('Data BASE'!S$490:S$960,'Data BASE'!$M$490:$M$960,$B248)</f>
        <v>2278.14</v>
      </c>
      <c r="T248" s="549">
        <f>-SUMIFS('Data BASE'!T$490:T$960,'Data BASE'!$M$490:$M$960,$B248)</f>
        <v>23607.979999999996</v>
      </c>
      <c r="U248" s="549">
        <f>-SUMIFS('Data BASE'!U$490:U$960,'Data BASE'!$M$490:$M$960,$B248)</f>
        <v>34303.300000000003</v>
      </c>
      <c r="V248" s="549">
        <f>-SUMIFS('Data BASE'!V$490:V$960,'Data BASE'!$M$490:$M$960,$B248)</f>
        <v>-1466176.09</v>
      </c>
      <c r="W248" s="549">
        <f>-SUMIFS('Data BASE'!W$490:W$960,'Data BASE'!$M$490:$M$960,$B248)</f>
        <v>-1263336.6600000001</v>
      </c>
      <c r="X248" s="549">
        <f>-SUMIFS('Data BASE'!X$490:X$960,'Data BASE'!$M$490:$M$960,$B248)</f>
        <v>-2310112.71</v>
      </c>
      <c r="Y248" s="549">
        <f>-SUMIFS('Data BASE'!Y$490:Y$960,'Data BASE'!$M$490:$M$960,$B248)</f>
        <v>-2767001.58</v>
      </c>
      <c r="Z248" s="549">
        <f>-SUMIFS('Data BASE'!Z$490:Z$960,'Data BASE'!$M$490:$M$960,$B248)</f>
        <v>-2041155.0599999996</v>
      </c>
      <c r="AA248" s="549">
        <f>-SUMIFS('Data BASE'!AA$490:AA$960,'Data BASE'!$M$490:$M$960,$B248)</f>
        <v>-2798329.1400000006</v>
      </c>
      <c r="AB248" s="549">
        <f>-SUMIFS('Data BASE'!AB$490:AB$960,'Data BASE'!$M$490:$M$960,$B248)</f>
        <v>-2726848.73</v>
      </c>
      <c r="AC248" s="549">
        <f>-SUMIFS('Data BASE'!AC$490:AC$960,'Data BASE'!$M$490:$M$960,$B248)</f>
        <v>7725901.9600000018</v>
      </c>
      <c r="AD248" s="549">
        <f>-SUMIFS('Data BASE'!AD$490:AD$960,'Data BASE'!$M$490:$M$960,$B248)</f>
        <v>-2699992.99</v>
      </c>
      <c r="AE248" s="220">
        <f>-SUMIFS('Data BASE'!AE$490:AE$960,'Data BASE'!$M$490:$M$960,$B248)</f>
        <v>-2575057.2999999998</v>
      </c>
      <c r="AF248" s="220">
        <f>-SUMIFS('Data BASE'!AF$490:AF$960,'Data BASE'!$M$490:$M$960,$B248)</f>
        <v>1363684.31</v>
      </c>
      <c r="AG248" s="220">
        <f>-SUMIFS('Data BASE'!AG$490:AG$2000,'Data BASE'!$M$490:$M$2000,$B248)</f>
        <v>-1355873.78</v>
      </c>
      <c r="AH248" s="51"/>
      <c r="AI248" s="51"/>
      <c r="AJ248" s="51"/>
      <c r="AK248" s="51"/>
      <c r="AL248" s="51"/>
      <c r="AM248" s="51"/>
      <c r="AN248" s="51"/>
      <c r="AO248" s="51"/>
      <c r="AP248" s="298"/>
      <c r="AQ248" s="51">
        <f t="shared" ref="AQ248:AX248" si="101">SUMIFS($R248:$AP248,$R$9:$AP$9,AQ$9,$R$8:$AP$8,AQ$8)</f>
        <v>28196.559999999998</v>
      </c>
      <c r="AR248" s="51">
        <f t="shared" si="101"/>
        <v>-2695209.45</v>
      </c>
      <c r="AS248" s="51">
        <f t="shared" si="101"/>
        <v>-7118269.3499999996</v>
      </c>
      <c r="AT248" s="51">
        <f t="shared" si="101"/>
        <v>2200724.0900000008</v>
      </c>
      <c r="AU248" s="51">
        <f t="shared" si="101"/>
        <v>-3911365.98</v>
      </c>
      <c r="AV248" s="51">
        <f t="shared" si="101"/>
        <v>-1355873.78</v>
      </c>
      <c r="AW248" s="51">
        <f t="shared" si="101"/>
        <v>0</v>
      </c>
      <c r="AX248" s="51">
        <f t="shared" si="101"/>
        <v>0</v>
      </c>
      <c r="AY248" s="298"/>
      <c r="AZ248" s="51">
        <f t="shared" ref="AZ248" si="102">SUM(AQ248:AT248)</f>
        <v>-7584558.1499999994</v>
      </c>
      <c r="BA248" s="51">
        <f t="shared" ref="BA248" si="103">SUM(AU248:AX248)</f>
        <v>-5267239.76</v>
      </c>
      <c r="BB248" s="299"/>
      <c r="BC248" s="51">
        <f t="shared" ref="BC248" si="104">SUMIFS($R248:$AD248,$R$8:$AD$8,BC$8,$R$11:$AD$11,BC$11)</f>
        <v>2310.44</v>
      </c>
      <c r="BD248" s="51">
        <f t="shared" si="91"/>
        <v>-5267239.76</v>
      </c>
    </row>
    <row r="249" spans="2:56" outlineLevel="1" x14ac:dyDescent="0.45">
      <c r="F249" s="299"/>
      <c r="G249" s="299"/>
      <c r="H249" s="299"/>
      <c r="I249" s="299"/>
      <c r="J249" s="299"/>
      <c r="K249" s="299"/>
      <c r="L249" s="299"/>
      <c r="M249" s="299"/>
      <c r="N249" s="299"/>
      <c r="O249" s="299"/>
      <c r="P249" s="299"/>
      <c r="Q249" s="299"/>
      <c r="R249" s="299"/>
      <c r="S249" s="299"/>
      <c r="T249" s="299"/>
      <c r="U249" s="299"/>
      <c r="V249" s="299"/>
      <c r="W249" s="299"/>
      <c r="X249" s="299"/>
      <c r="Y249" s="299"/>
      <c r="Z249" s="299"/>
      <c r="AA249" s="299"/>
      <c r="AB249" s="299"/>
      <c r="AC249" s="299"/>
      <c r="AD249" s="299"/>
      <c r="AE249" s="299"/>
      <c r="AF249" s="299"/>
      <c r="AG249" s="299"/>
      <c r="AH249" s="299"/>
      <c r="AI249" s="299"/>
      <c r="AJ249" s="299"/>
      <c r="AK249" s="299"/>
      <c r="AL249" s="299"/>
      <c r="AM249" s="299"/>
      <c r="AN249" s="299"/>
      <c r="AO249" s="299"/>
      <c r="AP249" s="299"/>
      <c r="AQ249" s="299"/>
      <c r="AR249" s="299"/>
      <c r="AS249" s="299"/>
      <c r="AT249" s="299"/>
      <c r="AU249" s="299"/>
      <c r="AV249" s="299"/>
      <c r="AW249" s="299"/>
      <c r="AX249" s="299"/>
      <c r="AY249" s="299"/>
      <c r="AZ249" s="299"/>
      <c r="BA249" s="299"/>
      <c r="BB249" s="299"/>
      <c r="BC249" s="299"/>
      <c r="BD249" s="299"/>
    </row>
    <row r="250" spans="2:56" outlineLevel="1" x14ac:dyDescent="0.45">
      <c r="B250" s="49" t="s">
        <v>814</v>
      </c>
      <c r="C250" s="49"/>
      <c r="D250" s="338"/>
      <c r="E250" s="49"/>
      <c r="F250" s="49"/>
      <c r="G250" s="49"/>
      <c r="H250" s="49"/>
      <c r="I250" s="49"/>
      <c r="J250" s="49"/>
      <c r="K250" s="49"/>
      <c r="L250" s="49"/>
      <c r="M250" s="49"/>
      <c r="N250" s="49"/>
      <c r="O250" s="49"/>
      <c r="P250" s="49"/>
      <c r="Q250" s="49"/>
      <c r="R250" s="229">
        <f t="shared" ref="R250:AO250" si="105">+R183+R217+R240+R246+R248</f>
        <v>-6230425.5484411735</v>
      </c>
      <c r="S250" s="229">
        <f t="shared" si="105"/>
        <v>-8884107.4719278011</v>
      </c>
      <c r="T250" s="229">
        <f t="shared" si="105"/>
        <v>-8363671.5198464124</v>
      </c>
      <c r="U250" s="229">
        <f t="shared" si="105"/>
        <v>-7700966.1277021309</v>
      </c>
      <c r="V250" s="229">
        <f t="shared" si="105"/>
        <v>-5714961.7453497015</v>
      </c>
      <c r="W250" s="229">
        <f t="shared" si="105"/>
        <v>-8025958.0518466234</v>
      </c>
      <c r="X250" s="229">
        <f t="shared" si="105"/>
        <v>-9808919.5924919322</v>
      </c>
      <c r="Y250" s="229">
        <f t="shared" si="105"/>
        <v>-7785785.7270000577</v>
      </c>
      <c r="Z250" s="229">
        <f t="shared" si="105"/>
        <v>-4793206.0548666278</v>
      </c>
      <c r="AA250" s="229">
        <f t="shared" si="105"/>
        <v>-10563664.445333458</v>
      </c>
      <c r="AB250" s="229">
        <f t="shared" si="105"/>
        <v>-11603766.383999873</v>
      </c>
      <c r="AC250" s="229">
        <f t="shared" si="105"/>
        <v>-6505541.2202855805</v>
      </c>
      <c r="AD250" s="229">
        <f t="shared" si="105"/>
        <v>-13530586.659999955</v>
      </c>
      <c r="AE250" s="229">
        <f t="shared" si="105"/>
        <v>-16596320.174885187</v>
      </c>
      <c r="AF250" s="229">
        <f t="shared" si="105"/>
        <v>-16079228.180770034</v>
      </c>
      <c r="AG250" s="229">
        <f t="shared" si="105"/>
        <v>-15182223.779034862</v>
      </c>
      <c r="AH250" s="229">
        <f t="shared" si="105"/>
        <v>0</v>
      </c>
      <c r="AI250" s="229">
        <f t="shared" si="105"/>
        <v>0</v>
      </c>
      <c r="AJ250" s="229">
        <f t="shared" si="105"/>
        <v>0</v>
      </c>
      <c r="AK250" s="229">
        <f t="shared" si="105"/>
        <v>0</v>
      </c>
      <c r="AL250" s="229">
        <f t="shared" si="105"/>
        <v>0</v>
      </c>
      <c r="AM250" s="229">
        <f t="shared" si="105"/>
        <v>0</v>
      </c>
      <c r="AN250" s="229">
        <f t="shared" si="105"/>
        <v>0</v>
      </c>
      <c r="AO250" s="229">
        <f t="shared" si="105"/>
        <v>0</v>
      </c>
      <c r="AP250" s="298"/>
      <c r="AQ250" s="496">
        <f t="shared" ref="AQ250:AX250" si="106">SUMIFS($R250:$AP250,$R$9:$AP$9,AQ$9,$R$8:$AP$8,AQ$8)</f>
        <v>-23478204.540215388</v>
      </c>
      <c r="AR250" s="496">
        <f t="shared" si="106"/>
        <v>-21441885.924898457</v>
      </c>
      <c r="AS250" s="496">
        <f t="shared" si="106"/>
        <v>-22387911.374358617</v>
      </c>
      <c r="AT250" s="496">
        <f t="shared" si="106"/>
        <v>-28672972.049618911</v>
      </c>
      <c r="AU250" s="496">
        <f t="shared" si="106"/>
        <v>-46206135.015655175</v>
      </c>
      <c r="AV250" s="496">
        <f t="shared" si="106"/>
        <v>-15182223.779034862</v>
      </c>
      <c r="AW250" s="496">
        <f t="shared" si="106"/>
        <v>0</v>
      </c>
      <c r="AX250" s="496">
        <f t="shared" si="106"/>
        <v>0</v>
      </c>
      <c r="AY250" s="298"/>
      <c r="AZ250" s="496">
        <f t="shared" ref="AZ250" si="107">SUM(AQ250:AT250)</f>
        <v>-95980973.889091387</v>
      </c>
      <c r="BA250" s="496">
        <f t="shared" ref="BA250" si="108">SUM(AU250:AX250)</f>
        <v>-61388358.794690035</v>
      </c>
      <c r="BB250" s="299"/>
      <c r="BC250" s="496">
        <f t="shared" ref="BC250" si="109">SUMIFS($R250:$AD250,$R$8:$AD$8,BC$8,$R$11:$AD$11,BC$11)</f>
        <v>-6230425.5484411735</v>
      </c>
      <c r="BD250" s="496">
        <f t="shared" ref="BD250:BD255" si="110">SUMIFS($AB250:$AO250,$AB$8:$AO$8,BD$8,$AB$11:$AO$11,BD$11)</f>
        <v>-61388358.794690035</v>
      </c>
    </row>
    <row r="251" spans="2:56" outlineLevel="1" x14ac:dyDescent="0.45">
      <c r="F251" s="299"/>
      <c r="G251" s="299"/>
      <c r="H251" s="299"/>
      <c r="I251" s="299"/>
      <c r="J251" s="299"/>
      <c r="K251" s="299"/>
      <c r="L251" s="299"/>
      <c r="M251" s="299"/>
      <c r="N251" s="299"/>
      <c r="O251" s="299"/>
      <c r="P251" s="299"/>
      <c r="Q251" s="299"/>
      <c r="R251" s="299"/>
      <c r="S251" s="299"/>
      <c r="T251" s="299"/>
      <c r="U251" s="299"/>
      <c r="V251" s="299"/>
      <c r="W251" s="299"/>
      <c r="X251" s="299"/>
      <c r="Y251" s="299"/>
      <c r="Z251" s="299"/>
      <c r="AA251" s="299"/>
      <c r="AB251" s="299"/>
      <c r="AC251" s="299"/>
      <c r="AD251" s="299"/>
      <c r="AE251" s="299"/>
      <c r="AF251" s="299"/>
      <c r="AG251" s="299"/>
      <c r="AH251" s="299"/>
      <c r="AI251" s="299"/>
      <c r="AJ251" s="299"/>
      <c r="AK251" s="299"/>
      <c r="AL251" s="299"/>
      <c r="AM251" s="299"/>
      <c r="AN251" s="299"/>
      <c r="AO251" s="299"/>
      <c r="AP251" s="299"/>
      <c r="AQ251" s="299"/>
      <c r="AR251" s="299"/>
      <c r="AS251" s="299"/>
      <c r="AT251" s="299"/>
      <c r="AU251" s="299"/>
      <c r="AV251" s="299"/>
      <c r="AW251" s="299"/>
      <c r="AX251" s="299"/>
      <c r="AY251" s="299"/>
      <c r="AZ251" s="299"/>
      <c r="BA251" s="299"/>
      <c r="BB251" s="299"/>
      <c r="BC251" s="299"/>
      <c r="BD251" s="299"/>
    </row>
    <row r="252" spans="2:56" outlineLevel="1" x14ac:dyDescent="0.45">
      <c r="B252" s="53" t="s">
        <v>819</v>
      </c>
      <c r="C252" s="310"/>
      <c r="D252" s="339"/>
      <c r="E252" s="311"/>
      <c r="F252" s="312"/>
      <c r="G252" s="312"/>
      <c r="H252" s="312"/>
      <c r="I252" s="312"/>
      <c r="J252" s="312"/>
      <c r="K252" s="312"/>
      <c r="L252" s="312"/>
      <c r="M252" s="312"/>
      <c r="N252" s="312"/>
      <c r="O252" s="312"/>
      <c r="P252" s="312"/>
      <c r="Q252" s="312"/>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298"/>
      <c r="AQ252" s="51">
        <f t="shared" ref="AQ252:AX253" si="111">SUMIFS($R252:$AP252,$R$9:$AP$9,AQ$9,$R$8:$AP$8,AQ$8)</f>
        <v>0</v>
      </c>
      <c r="AR252" s="51">
        <f t="shared" si="111"/>
        <v>0</v>
      </c>
      <c r="AS252" s="51">
        <f t="shared" si="111"/>
        <v>0</v>
      </c>
      <c r="AT252" s="51">
        <f t="shared" si="111"/>
        <v>0</v>
      </c>
      <c r="AU252" s="51">
        <f t="shared" si="111"/>
        <v>0</v>
      </c>
      <c r="AV252" s="51">
        <f t="shared" si="111"/>
        <v>0</v>
      </c>
      <c r="AW252" s="51">
        <f t="shared" si="111"/>
        <v>0</v>
      </c>
      <c r="AX252" s="51">
        <f t="shared" si="111"/>
        <v>0</v>
      </c>
      <c r="AY252" s="298"/>
      <c r="AZ252" s="51">
        <f t="shared" ref="AZ252:AZ253" si="112">SUM(AQ252:AT252)</f>
        <v>0</v>
      </c>
      <c r="BA252" s="51">
        <f t="shared" ref="BA252:BA253" si="113">SUM(AU252:AX252)</f>
        <v>0</v>
      </c>
      <c r="BB252" s="299"/>
      <c r="BC252" s="51">
        <f t="shared" ref="BC252:BC253" si="114">SUMIFS($R252:$AD252,$R$8:$AD$8,BC$8,$R$11:$AD$11,BC$11)</f>
        <v>0</v>
      </c>
      <c r="BD252" s="51">
        <f t="shared" si="110"/>
        <v>0</v>
      </c>
    </row>
    <row r="253" spans="2:56" outlineLevel="1" x14ac:dyDescent="0.45">
      <c r="B253" s="53" t="s">
        <v>820</v>
      </c>
      <c r="C253" s="310"/>
      <c r="D253" s="339"/>
      <c r="E253" s="311"/>
      <c r="F253" s="312"/>
      <c r="G253" s="312"/>
      <c r="H253" s="312"/>
      <c r="I253" s="312"/>
      <c r="J253" s="312"/>
      <c r="K253" s="312"/>
      <c r="L253" s="312"/>
      <c r="M253" s="312"/>
      <c r="N253" s="312"/>
      <c r="O253" s="312"/>
      <c r="P253" s="312"/>
      <c r="Q253" s="312"/>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298"/>
      <c r="AQ253" s="51">
        <f t="shared" si="111"/>
        <v>0</v>
      </c>
      <c r="AR253" s="51">
        <f t="shared" si="111"/>
        <v>0</v>
      </c>
      <c r="AS253" s="51">
        <f t="shared" si="111"/>
        <v>0</v>
      </c>
      <c r="AT253" s="51">
        <f t="shared" si="111"/>
        <v>0</v>
      </c>
      <c r="AU253" s="51">
        <f t="shared" si="111"/>
        <v>0</v>
      </c>
      <c r="AV253" s="51">
        <f t="shared" si="111"/>
        <v>0</v>
      </c>
      <c r="AW253" s="51">
        <f t="shared" si="111"/>
        <v>0</v>
      </c>
      <c r="AX253" s="51">
        <f t="shared" si="111"/>
        <v>0</v>
      </c>
      <c r="AY253" s="298"/>
      <c r="AZ253" s="51">
        <f t="shared" si="112"/>
        <v>0</v>
      </c>
      <c r="BA253" s="51">
        <f t="shared" si="113"/>
        <v>0</v>
      </c>
      <c r="BB253" s="299"/>
      <c r="BC253" s="51">
        <f t="shared" si="114"/>
        <v>0</v>
      </c>
      <c r="BD253" s="51">
        <f t="shared" si="110"/>
        <v>0</v>
      </c>
    </row>
    <row r="254" spans="2:56" outlineLevel="1" x14ac:dyDescent="0.45">
      <c r="F254" s="299"/>
      <c r="G254" s="299"/>
      <c r="H254" s="299"/>
      <c r="I254" s="299"/>
      <c r="J254" s="299"/>
      <c r="K254" s="299"/>
      <c r="L254" s="299"/>
      <c r="M254" s="299"/>
      <c r="N254" s="299"/>
      <c r="O254" s="299"/>
      <c r="P254" s="299"/>
      <c r="Q254" s="299"/>
      <c r="R254" s="299"/>
      <c r="S254" s="299"/>
      <c r="T254" s="299"/>
      <c r="U254" s="299"/>
      <c r="V254" s="299"/>
      <c r="W254" s="299"/>
      <c r="X254" s="299"/>
      <c r="Y254" s="299"/>
      <c r="Z254" s="299"/>
      <c r="AA254" s="299"/>
      <c r="AB254" s="299"/>
      <c r="AC254" s="299"/>
      <c r="AD254" s="299"/>
      <c r="AE254" s="299"/>
      <c r="AF254" s="299"/>
      <c r="AG254" s="299"/>
      <c r="AH254" s="299"/>
      <c r="AI254" s="299"/>
      <c r="AJ254" s="299"/>
      <c r="AK254" s="299"/>
      <c r="AL254" s="299"/>
      <c r="AM254" s="299"/>
      <c r="AN254" s="299"/>
      <c r="AO254" s="299"/>
      <c r="AP254" s="299"/>
      <c r="AQ254" s="299"/>
      <c r="AR254" s="299"/>
      <c r="AS254" s="299"/>
      <c r="AT254" s="299"/>
      <c r="AU254" s="299"/>
      <c r="AV254" s="299"/>
      <c r="AW254" s="299"/>
      <c r="AX254" s="299"/>
      <c r="AY254" s="299"/>
      <c r="AZ254" s="299"/>
      <c r="BA254" s="299"/>
      <c r="BB254" s="299"/>
      <c r="BC254" s="299"/>
      <c r="BD254" s="299"/>
    </row>
    <row r="255" spans="2:56" outlineLevel="1" x14ac:dyDescent="0.45">
      <c r="B255" s="49" t="s">
        <v>815</v>
      </c>
      <c r="C255" s="49"/>
      <c r="D255" s="338"/>
      <c r="E255" s="49"/>
      <c r="F255" s="49"/>
      <c r="G255" s="49"/>
      <c r="H255" s="49"/>
      <c r="I255" s="49"/>
      <c r="J255" s="49"/>
      <c r="K255" s="49"/>
      <c r="L255" s="49"/>
      <c r="M255" s="49"/>
      <c r="N255" s="49"/>
      <c r="O255" s="49"/>
      <c r="P255" s="49"/>
      <c r="Q255" s="49"/>
      <c r="R255" s="229">
        <f t="shared" ref="R255:AC255" si="115">+R250+R252+R253</f>
        <v>-6230425.5484411735</v>
      </c>
      <c r="S255" s="229">
        <f t="shared" si="115"/>
        <v>-8884107.4719278011</v>
      </c>
      <c r="T255" s="229">
        <f t="shared" si="115"/>
        <v>-8363671.5198464124</v>
      </c>
      <c r="U255" s="229">
        <f t="shared" si="115"/>
        <v>-7700966.1277021309</v>
      </c>
      <c r="V255" s="229">
        <f t="shared" si="115"/>
        <v>-5714961.7453497015</v>
      </c>
      <c r="W255" s="229">
        <f t="shared" si="115"/>
        <v>-8025958.0518466234</v>
      </c>
      <c r="X255" s="229">
        <f t="shared" si="115"/>
        <v>-9808919.5924919322</v>
      </c>
      <c r="Y255" s="229">
        <f t="shared" si="115"/>
        <v>-7785785.7270000577</v>
      </c>
      <c r="Z255" s="229">
        <f t="shared" si="115"/>
        <v>-4793206.0548666278</v>
      </c>
      <c r="AA255" s="229">
        <f t="shared" si="115"/>
        <v>-10563664.445333458</v>
      </c>
      <c r="AB255" s="229">
        <f t="shared" si="115"/>
        <v>-11603766.383999873</v>
      </c>
      <c r="AC255" s="229">
        <f t="shared" si="115"/>
        <v>-6505541.2202855805</v>
      </c>
      <c r="AD255" s="229">
        <f>+AD250+AD252+AD253</f>
        <v>-13530586.659999955</v>
      </c>
      <c r="AE255" s="229">
        <f t="shared" ref="AE255:AO255" si="116">+AE250+AE252+AE253</f>
        <v>-16596320.174885187</v>
      </c>
      <c r="AF255" s="229">
        <f t="shared" si="116"/>
        <v>-16079228.180770034</v>
      </c>
      <c r="AG255" s="229">
        <f t="shared" si="116"/>
        <v>-15182223.779034862</v>
      </c>
      <c r="AH255" s="229">
        <f t="shared" si="116"/>
        <v>0</v>
      </c>
      <c r="AI255" s="229">
        <f t="shared" si="116"/>
        <v>0</v>
      </c>
      <c r="AJ255" s="229">
        <f t="shared" si="116"/>
        <v>0</v>
      </c>
      <c r="AK255" s="229">
        <f t="shared" si="116"/>
        <v>0</v>
      </c>
      <c r="AL255" s="229">
        <f t="shared" si="116"/>
        <v>0</v>
      </c>
      <c r="AM255" s="229">
        <f t="shared" si="116"/>
        <v>0</v>
      </c>
      <c r="AN255" s="229">
        <f t="shared" si="116"/>
        <v>0</v>
      </c>
      <c r="AO255" s="229">
        <f t="shared" si="116"/>
        <v>0</v>
      </c>
      <c r="AP255" s="298"/>
      <c r="AQ255" s="496">
        <f t="shared" ref="AQ255:AX255" si="117">SUMIFS($R255:$AP255,$R$9:$AP$9,AQ$9,$R$8:$AP$8,AQ$8)</f>
        <v>-23478204.540215388</v>
      </c>
      <c r="AR255" s="496">
        <f t="shared" si="117"/>
        <v>-21441885.924898457</v>
      </c>
      <c r="AS255" s="496">
        <f t="shared" si="117"/>
        <v>-22387911.374358617</v>
      </c>
      <c r="AT255" s="496">
        <f t="shared" si="117"/>
        <v>-28672972.049618911</v>
      </c>
      <c r="AU255" s="496">
        <f t="shared" si="117"/>
        <v>-46206135.015655175</v>
      </c>
      <c r="AV255" s="496">
        <f t="shared" si="117"/>
        <v>-15182223.779034862</v>
      </c>
      <c r="AW255" s="496">
        <f t="shared" si="117"/>
        <v>0</v>
      </c>
      <c r="AX255" s="496">
        <f t="shared" si="117"/>
        <v>0</v>
      </c>
      <c r="AY255" s="298"/>
      <c r="AZ255" s="496">
        <f t="shared" ref="AZ255" si="118">SUM(AQ255:AT255)</f>
        <v>-95980973.889091387</v>
      </c>
      <c r="BA255" s="496">
        <f t="shared" ref="BA255" si="119">SUM(AU255:AX255)</f>
        <v>-61388358.794690035</v>
      </c>
      <c r="BB255" s="299"/>
      <c r="BC255" s="496">
        <f t="shared" ref="BC255" si="120">SUMIFS($R255:$AD255,$R$8:$AD$8,BC$8,$R$11:$AD$11,BC$11)</f>
        <v>-6230425.5484411735</v>
      </c>
      <c r="BD255" s="496">
        <f t="shared" si="110"/>
        <v>-61388358.794690035</v>
      </c>
    </row>
    <row r="256" spans="2:56" outlineLevel="1" x14ac:dyDescent="0.45">
      <c r="B256" s="321"/>
      <c r="C256" s="321"/>
      <c r="D256" s="321"/>
      <c r="E256" s="321"/>
      <c r="F256" s="321"/>
      <c r="G256" s="321"/>
      <c r="H256" s="321"/>
      <c r="I256" s="321"/>
      <c r="J256" s="321"/>
      <c r="K256" s="321"/>
      <c r="L256" s="321"/>
      <c r="M256" s="321"/>
      <c r="N256" s="321"/>
      <c r="O256" s="321"/>
      <c r="P256" s="321"/>
      <c r="Q256" s="322"/>
      <c r="R256" s="317"/>
      <c r="S256" s="317"/>
      <c r="T256" s="317"/>
      <c r="U256" s="317"/>
      <c r="V256" s="317"/>
      <c r="W256" s="317"/>
      <c r="X256" s="317"/>
      <c r="Y256" s="317"/>
      <c r="Z256" s="317"/>
      <c r="AA256" s="317"/>
      <c r="AB256" s="317"/>
      <c r="AC256" s="317"/>
      <c r="AD256" s="317"/>
      <c r="AE256" s="317"/>
      <c r="AF256" s="317"/>
      <c r="AG256" s="317"/>
      <c r="AH256" s="317"/>
      <c r="AI256" s="317"/>
      <c r="AJ256" s="317"/>
      <c r="AK256" s="317"/>
      <c r="AL256" s="317"/>
      <c r="AM256" s="317"/>
      <c r="AN256" s="317"/>
      <c r="AO256" s="317"/>
      <c r="AQ256" s="317"/>
      <c r="AR256" s="317"/>
      <c r="AS256" s="317"/>
      <c r="AT256" s="317"/>
      <c r="AU256" s="317"/>
      <c r="AV256" s="317"/>
      <c r="AW256" s="317"/>
      <c r="AX256" s="317"/>
      <c r="AZ256" s="317"/>
      <c r="BA256" s="317"/>
      <c r="BC256" s="317"/>
      <c r="BD256" s="317"/>
    </row>
    <row r="257" spans="1:56" x14ac:dyDescent="0.45">
      <c r="B257" s="321"/>
      <c r="C257" s="321"/>
      <c r="D257" s="321"/>
      <c r="E257" s="321"/>
      <c r="F257" s="321"/>
      <c r="G257" s="321"/>
      <c r="H257" s="321"/>
      <c r="I257" s="321"/>
      <c r="J257" s="321"/>
      <c r="K257" s="321"/>
      <c r="L257" s="321"/>
      <c r="M257" s="321"/>
      <c r="N257" s="321"/>
      <c r="O257" s="321"/>
      <c r="P257" s="321"/>
      <c r="Q257" s="322"/>
      <c r="R257" s="317"/>
      <c r="S257" s="317"/>
      <c r="T257" s="317"/>
      <c r="U257" s="317"/>
      <c r="V257" s="317"/>
      <c r="W257" s="317"/>
      <c r="X257" s="317"/>
      <c r="Y257" s="317"/>
      <c r="Z257" s="317"/>
      <c r="AA257" s="317"/>
      <c r="AB257" s="317"/>
      <c r="AC257" s="317"/>
      <c r="AD257" s="317"/>
      <c r="AE257" s="317"/>
      <c r="AF257" s="317"/>
      <c r="AG257" s="317"/>
      <c r="AH257" s="317"/>
      <c r="AI257" s="317"/>
      <c r="AJ257" s="317"/>
      <c r="AK257" s="317"/>
      <c r="AL257" s="317"/>
      <c r="AM257" s="317"/>
      <c r="AN257" s="317"/>
      <c r="AO257" s="317"/>
      <c r="AQ257" s="317"/>
      <c r="AR257" s="317"/>
      <c r="AS257" s="317"/>
      <c r="AT257" s="317"/>
      <c r="AU257" s="317"/>
      <c r="AV257" s="317"/>
      <c r="AW257" s="317"/>
      <c r="AX257" s="317"/>
      <c r="AZ257" s="317"/>
      <c r="BA257" s="317"/>
      <c r="BC257" s="317"/>
      <c r="BD257" s="317"/>
    </row>
    <row r="258" spans="1:56" x14ac:dyDescent="0.45">
      <c r="B258" s="323" t="s">
        <v>851</v>
      </c>
      <c r="C258" s="323"/>
      <c r="D258" s="288"/>
      <c r="E258" s="288"/>
      <c r="F258" s="288"/>
      <c r="G258" s="288"/>
      <c r="H258" s="288"/>
      <c r="I258" s="288"/>
      <c r="J258" s="288"/>
      <c r="K258" s="288"/>
      <c r="L258" s="288"/>
      <c r="M258" s="288"/>
      <c r="N258" s="288"/>
      <c r="O258" s="288"/>
      <c r="P258" s="288"/>
      <c r="Q258" s="288"/>
      <c r="R258" s="288"/>
      <c r="S258" s="288"/>
      <c r="T258" s="288"/>
      <c r="U258" s="288"/>
      <c r="V258" s="288"/>
      <c r="W258" s="288"/>
      <c r="X258" s="288"/>
      <c r="Y258" s="288"/>
      <c r="Z258" s="288"/>
      <c r="AA258" s="288"/>
      <c r="AB258" s="288"/>
      <c r="AC258" s="288"/>
      <c r="AD258" s="532"/>
      <c r="AE258" s="532"/>
      <c r="AF258" s="532"/>
      <c r="AG258" s="532"/>
      <c r="AH258" s="288"/>
      <c r="AI258" s="288"/>
      <c r="AJ258" s="288"/>
      <c r="AK258" s="288"/>
      <c r="AL258" s="288"/>
      <c r="AM258" s="288"/>
      <c r="AN258" s="288"/>
      <c r="AO258" s="288"/>
      <c r="AQ258" s="495"/>
      <c r="AR258" s="495"/>
      <c r="AS258" s="495"/>
      <c r="AT258" s="495"/>
      <c r="AU258" s="495"/>
      <c r="AV258" s="495"/>
      <c r="AW258" s="495"/>
      <c r="AX258" s="495"/>
      <c r="AZ258" s="495"/>
      <c r="BA258" s="495"/>
      <c r="BC258" s="495"/>
      <c r="BD258" s="495"/>
    </row>
    <row r="259" spans="1:56" outlineLevel="1" x14ac:dyDescent="0.45">
      <c r="AD259" s="299"/>
      <c r="AE259" s="299"/>
      <c r="AF259" s="299"/>
      <c r="AG259" s="299"/>
    </row>
    <row r="260" spans="1:56" outlineLevel="1" x14ac:dyDescent="0.45">
      <c r="B260" s="293" t="s">
        <v>815</v>
      </c>
      <c r="C260" s="293"/>
      <c r="D260" s="293"/>
      <c r="E260" s="293"/>
      <c r="F260" s="293"/>
      <c r="G260" s="293"/>
      <c r="H260" s="293"/>
      <c r="I260" s="293"/>
      <c r="J260" s="293"/>
      <c r="K260" s="293"/>
      <c r="L260" s="293"/>
      <c r="M260" s="293"/>
      <c r="N260" s="293"/>
      <c r="O260" s="293"/>
      <c r="P260" s="293"/>
      <c r="Q260" s="314"/>
      <c r="R260" s="314">
        <f t="shared" ref="R260:AD260" si="121">+R255</f>
        <v>-6230425.5484411735</v>
      </c>
      <c r="S260" s="314">
        <f t="shared" si="121"/>
        <v>-8884107.4719278011</v>
      </c>
      <c r="T260" s="314">
        <f t="shared" si="121"/>
        <v>-8363671.5198464124</v>
      </c>
      <c r="U260" s="314">
        <f t="shared" si="121"/>
        <v>-7700966.1277021309</v>
      </c>
      <c r="V260" s="314">
        <f t="shared" si="121"/>
        <v>-5714961.7453497015</v>
      </c>
      <c r="W260" s="314">
        <f t="shared" si="121"/>
        <v>-8025958.0518466234</v>
      </c>
      <c r="X260" s="314">
        <f t="shared" si="121"/>
        <v>-9808919.5924919322</v>
      </c>
      <c r="Y260" s="314">
        <f t="shared" si="121"/>
        <v>-7785785.7270000577</v>
      </c>
      <c r="Z260" s="314">
        <f t="shared" si="121"/>
        <v>-4793206.0548666278</v>
      </c>
      <c r="AA260" s="314">
        <f t="shared" si="121"/>
        <v>-10563664.445333458</v>
      </c>
      <c r="AB260" s="314">
        <f t="shared" si="121"/>
        <v>-11603766.383999873</v>
      </c>
      <c r="AC260" s="314">
        <f t="shared" si="121"/>
        <v>-6505541.2202855805</v>
      </c>
      <c r="AD260" s="314">
        <f t="shared" si="121"/>
        <v>-13530586.659999955</v>
      </c>
      <c r="AE260" s="314">
        <f t="shared" ref="AE260:AG260" si="122">+AE255</f>
        <v>-16596320.174885187</v>
      </c>
      <c r="AF260" s="314">
        <f t="shared" si="122"/>
        <v>-16079228.180770034</v>
      </c>
      <c r="AG260" s="314">
        <f t="shared" si="122"/>
        <v>-15182223.779034862</v>
      </c>
      <c r="AH260" s="314">
        <f t="shared" ref="AH260:AO260" si="123">+AH255</f>
        <v>0</v>
      </c>
      <c r="AI260" s="314">
        <f t="shared" si="123"/>
        <v>0</v>
      </c>
      <c r="AJ260" s="314">
        <f t="shared" si="123"/>
        <v>0</v>
      </c>
      <c r="AK260" s="314">
        <f t="shared" si="123"/>
        <v>0</v>
      </c>
      <c r="AL260" s="314">
        <f t="shared" si="123"/>
        <v>0</v>
      </c>
      <c r="AM260" s="314">
        <f t="shared" si="123"/>
        <v>0</v>
      </c>
      <c r="AN260" s="314">
        <f t="shared" si="123"/>
        <v>0</v>
      </c>
      <c r="AO260" s="314">
        <f t="shared" si="123"/>
        <v>0</v>
      </c>
      <c r="AQ260" s="316">
        <f t="shared" ref="AQ260:AX266" si="124">SUMIFS($R260:$AP260,$R$9:$AP$9,AQ$9,$R$8:$AP$8,AQ$8)</f>
        <v>-23478204.540215388</v>
      </c>
      <c r="AR260" s="316">
        <f t="shared" si="124"/>
        <v>-21441885.924898457</v>
      </c>
      <c r="AS260" s="316">
        <f t="shared" si="124"/>
        <v>-22387911.374358617</v>
      </c>
      <c r="AT260" s="316">
        <f t="shared" si="124"/>
        <v>-28672972.049618911</v>
      </c>
      <c r="AU260" s="316">
        <f t="shared" si="124"/>
        <v>-46206135.015655175</v>
      </c>
      <c r="AV260" s="316">
        <f t="shared" si="124"/>
        <v>-15182223.779034862</v>
      </c>
      <c r="AW260" s="316">
        <f t="shared" si="124"/>
        <v>0</v>
      </c>
      <c r="AX260" s="316">
        <f t="shared" si="124"/>
        <v>0</v>
      </c>
      <c r="AZ260" s="316">
        <f t="shared" ref="AZ260:AZ266" si="125">SUM(AQ260:AT260)</f>
        <v>-95980973.889091387</v>
      </c>
      <c r="BA260" s="316">
        <f t="shared" ref="BA260:BA266" si="126">SUM(AU260:AX260)</f>
        <v>-61388358.794690035</v>
      </c>
      <c r="BC260" s="316">
        <f t="shared" ref="BC260:BD266" si="127">SUMIFS($R260:$AD260,$R$8:$AD$8,BC$8,$R$11:$AD$11,BC$11)</f>
        <v>-6230425.5484411735</v>
      </c>
      <c r="BD260" s="316">
        <f t="shared" si="127"/>
        <v>-13530586.659999955</v>
      </c>
    </row>
    <row r="261" spans="1:56" outlineLevel="1" x14ac:dyDescent="0.45">
      <c r="B261" s="264" t="s">
        <v>844</v>
      </c>
      <c r="C261" s="321"/>
      <c r="D261" s="322"/>
      <c r="E261" s="322"/>
      <c r="F261" s="322"/>
      <c r="G261" s="322"/>
      <c r="H261" s="322"/>
      <c r="I261" s="322"/>
      <c r="J261" s="322"/>
      <c r="K261" s="322"/>
      <c r="L261" s="322"/>
      <c r="M261" s="322"/>
      <c r="N261" s="322"/>
      <c r="O261" s="322"/>
      <c r="P261" s="322"/>
      <c r="Q261" s="316"/>
      <c r="R261" s="316">
        <f t="shared" ref="R261:AG261" si="128">-R214</f>
        <v>2295114.2255638796</v>
      </c>
      <c r="S261" s="316">
        <f t="shared" si="128"/>
        <v>3348972.7791002756</v>
      </c>
      <c r="T261" s="316">
        <f t="shared" si="128"/>
        <v>2750859.294752663</v>
      </c>
      <c r="U261" s="316">
        <f t="shared" si="128"/>
        <v>2614683.5189500493</v>
      </c>
      <c r="V261" s="316">
        <f t="shared" si="128"/>
        <v>2782247.5242513549</v>
      </c>
      <c r="W261" s="316">
        <f t="shared" si="128"/>
        <v>3466876.0734513546</v>
      </c>
      <c r="X261" s="316">
        <f t="shared" si="128"/>
        <v>2704069.5594000011</v>
      </c>
      <c r="Y261" s="316">
        <f t="shared" si="128"/>
        <v>2259102.8400000017</v>
      </c>
      <c r="Z261" s="316">
        <f t="shared" si="128"/>
        <v>2141075.9721402875</v>
      </c>
      <c r="AA261" s="316">
        <f t="shared" si="128"/>
        <v>2675371.5227515739</v>
      </c>
      <c r="AB261" s="316">
        <f t="shared" si="128"/>
        <v>2042859.0048000002</v>
      </c>
      <c r="AC261" s="316">
        <f t="shared" si="128"/>
        <v>1547210.3494285273</v>
      </c>
      <c r="AD261" s="316">
        <f t="shared" si="128"/>
        <v>5126628.4422279419</v>
      </c>
      <c r="AE261" s="316">
        <f t="shared" si="128"/>
        <v>5958408.7662601285</v>
      </c>
      <c r="AF261" s="316">
        <f t="shared" si="128"/>
        <v>5871869.2497705584</v>
      </c>
      <c r="AG261" s="316">
        <f t="shared" si="128"/>
        <v>5528826.9531624718</v>
      </c>
      <c r="AH261" s="316">
        <f t="shared" ref="AH261:AO261" si="129">-AH214</f>
        <v>0</v>
      </c>
      <c r="AI261" s="316">
        <f t="shared" si="129"/>
        <v>0</v>
      </c>
      <c r="AJ261" s="316">
        <f t="shared" si="129"/>
        <v>0</v>
      </c>
      <c r="AK261" s="316">
        <f t="shared" si="129"/>
        <v>0</v>
      </c>
      <c r="AL261" s="316">
        <f t="shared" si="129"/>
        <v>0</v>
      </c>
      <c r="AM261" s="316">
        <f t="shared" si="129"/>
        <v>0</v>
      </c>
      <c r="AN261" s="316">
        <f t="shared" si="129"/>
        <v>0</v>
      </c>
      <c r="AO261" s="316">
        <f t="shared" si="129"/>
        <v>0</v>
      </c>
      <c r="AQ261" s="316">
        <f t="shared" si="124"/>
        <v>8394946.2994168177</v>
      </c>
      <c r="AR261" s="316">
        <f t="shared" si="124"/>
        <v>8863807.1166527588</v>
      </c>
      <c r="AS261" s="316">
        <f t="shared" si="124"/>
        <v>7104248.3715402912</v>
      </c>
      <c r="AT261" s="316">
        <f t="shared" si="124"/>
        <v>6265440.8769801017</v>
      </c>
      <c r="AU261" s="316">
        <f t="shared" si="124"/>
        <v>16956906.458258629</v>
      </c>
      <c r="AV261" s="316">
        <f t="shared" si="124"/>
        <v>5528826.9531624718</v>
      </c>
      <c r="AW261" s="316">
        <f t="shared" si="124"/>
        <v>0</v>
      </c>
      <c r="AX261" s="316">
        <f t="shared" si="124"/>
        <v>0</v>
      </c>
      <c r="AZ261" s="316">
        <f t="shared" si="125"/>
        <v>30628442.664589971</v>
      </c>
      <c r="BA261" s="316">
        <f t="shared" si="126"/>
        <v>22485733.411421102</v>
      </c>
      <c r="BC261" s="316">
        <f t="shared" si="127"/>
        <v>2295114.2255638796</v>
      </c>
      <c r="BD261" s="316">
        <f t="shared" si="127"/>
        <v>5126628.4422279419</v>
      </c>
    </row>
    <row r="262" spans="1:56" outlineLevel="1" x14ac:dyDescent="0.45">
      <c r="B262" s="264" t="s">
        <v>482</v>
      </c>
      <c r="C262" s="264"/>
      <c r="D262" s="324" t="s">
        <v>852</v>
      </c>
      <c r="E262" s="324"/>
      <c r="F262" s="324"/>
      <c r="G262" s="324"/>
      <c r="H262" s="324"/>
      <c r="I262" s="324"/>
      <c r="J262" s="324"/>
      <c r="K262" s="324"/>
      <c r="L262" s="324"/>
      <c r="M262" s="324"/>
      <c r="N262" s="324"/>
      <c r="O262" s="324"/>
      <c r="P262" s="324"/>
      <c r="Q262" s="316"/>
      <c r="R262" s="316">
        <f t="shared" ref="R262:AG262" si="130">-R215</f>
        <v>2217942.3828772958</v>
      </c>
      <c r="S262" s="316">
        <f t="shared" si="130"/>
        <v>2534189.4128275253</v>
      </c>
      <c r="T262" s="316">
        <f t="shared" si="130"/>
        <v>2388588.9831572794</v>
      </c>
      <c r="U262" s="316">
        <f t="shared" si="130"/>
        <v>2558141.5406886078</v>
      </c>
      <c r="V262" s="316">
        <f t="shared" si="130"/>
        <v>2678942.2510981555</v>
      </c>
      <c r="W262" s="316">
        <f t="shared" si="130"/>
        <v>2602025.9883954749</v>
      </c>
      <c r="X262" s="316">
        <f t="shared" si="130"/>
        <v>4047762.5930918683</v>
      </c>
      <c r="Y262" s="316">
        <f t="shared" si="130"/>
        <v>3787830.1769999997</v>
      </c>
      <c r="Z262" s="316">
        <f t="shared" si="130"/>
        <v>4177771.7027263874</v>
      </c>
      <c r="AA262" s="316">
        <f t="shared" si="130"/>
        <v>3506642.0025817393</v>
      </c>
      <c r="AB262" s="316">
        <f t="shared" si="130"/>
        <v>4086622.6692000008</v>
      </c>
      <c r="AC262" s="316">
        <f t="shared" si="130"/>
        <v>6059104.0808571316</v>
      </c>
      <c r="AD262" s="316">
        <f t="shared" si="130"/>
        <v>2565849.0377720571</v>
      </c>
      <c r="AE262" s="316">
        <f t="shared" si="130"/>
        <v>2907640.8647698727</v>
      </c>
      <c r="AF262" s="316">
        <f t="shared" si="130"/>
        <v>2857381.599229441</v>
      </c>
      <c r="AG262" s="316">
        <f t="shared" si="130"/>
        <v>2924508.9314975273</v>
      </c>
      <c r="AH262" s="316">
        <f t="shared" ref="AH262:AO262" si="131">-AH215</f>
        <v>0</v>
      </c>
      <c r="AI262" s="316">
        <f t="shared" si="131"/>
        <v>0</v>
      </c>
      <c r="AJ262" s="316">
        <f t="shared" si="131"/>
        <v>0</v>
      </c>
      <c r="AK262" s="316">
        <f t="shared" si="131"/>
        <v>0</v>
      </c>
      <c r="AL262" s="316">
        <f t="shared" si="131"/>
        <v>0</v>
      </c>
      <c r="AM262" s="316">
        <f t="shared" si="131"/>
        <v>0</v>
      </c>
      <c r="AN262" s="316">
        <f t="shared" si="131"/>
        <v>0</v>
      </c>
      <c r="AO262" s="316">
        <f t="shared" si="131"/>
        <v>0</v>
      </c>
      <c r="AQ262" s="316">
        <f t="shared" si="124"/>
        <v>7140720.7788621001</v>
      </c>
      <c r="AR262" s="316">
        <f t="shared" si="124"/>
        <v>7839109.7801822387</v>
      </c>
      <c r="AS262" s="316">
        <f t="shared" si="124"/>
        <v>12013364.472818255</v>
      </c>
      <c r="AT262" s="316">
        <f t="shared" si="124"/>
        <v>13652368.752638873</v>
      </c>
      <c r="AU262" s="316">
        <f t="shared" si="124"/>
        <v>8330871.5017713709</v>
      </c>
      <c r="AV262" s="316">
        <f t="shared" si="124"/>
        <v>2924508.9314975273</v>
      </c>
      <c r="AW262" s="316">
        <f t="shared" si="124"/>
        <v>0</v>
      </c>
      <c r="AX262" s="316">
        <f t="shared" si="124"/>
        <v>0</v>
      </c>
      <c r="AZ262" s="316">
        <f t="shared" si="125"/>
        <v>40645563.784501463</v>
      </c>
      <c r="BA262" s="316">
        <f t="shared" si="126"/>
        <v>11255380.433268897</v>
      </c>
      <c r="BC262" s="316">
        <f t="shared" si="127"/>
        <v>2217942.3828772958</v>
      </c>
      <c r="BD262" s="316">
        <f t="shared" si="127"/>
        <v>2565849.0377720571</v>
      </c>
    </row>
    <row r="263" spans="1:56" outlineLevel="1" x14ac:dyDescent="0.45">
      <c r="B263" s="264" t="s">
        <v>482</v>
      </c>
      <c r="C263" s="264"/>
      <c r="D263" s="324" t="s">
        <v>853</v>
      </c>
      <c r="E263" s="324"/>
      <c r="F263" s="324"/>
      <c r="G263" s="324"/>
      <c r="H263" s="324"/>
      <c r="I263" s="324"/>
      <c r="J263" s="324"/>
      <c r="K263" s="324"/>
      <c r="L263" s="324"/>
      <c r="M263" s="324"/>
      <c r="N263" s="324"/>
      <c r="O263" s="324"/>
      <c r="P263" s="324"/>
      <c r="Q263" s="320"/>
      <c r="R263" s="325">
        <f>-IF($C$2="BP",SUMIF('Data BASE'!$L$490:$L$6729,$B263,'Data BASE'!R$490:R$6729),IF($C$2="ACC",SUMIF('Data BASE'!$L$490:$L$6729,$B263,'Data BASE'!R$490:R$6729),IF($C$2="ACC wE",0,IF($C$2="BP wE",0,0))))</f>
        <v>-3288153</v>
      </c>
      <c r="S263" s="325">
        <f>-IF($C$2="BP",SUMIF('Data BASE'!$L$490:$L$6729,$B263,'Data BASE'!S$490:S$6729),IF($C$2="ACC",SUMIF('Data BASE'!$L$490:$L$6729,$B263,'Data BASE'!S$490:S$6729),IF($C$2="ACC wE",0,IF($C$2="BP wE",0,0))))</f>
        <v>-3519033</v>
      </c>
      <c r="T263" s="325">
        <f>-IF($C$2="BP",SUMIF('Data BASE'!$L$490:$L$6729,$B263,'Data BASE'!T$490:T$6729),IF($C$2="ACC",SUMIF('Data BASE'!$L$490:$L$6729,$B263,'Data BASE'!T$490:T$6729),IF($C$2="ACC wE",0,IF($C$2="BP wE",0,0))))</f>
        <v>-3519033</v>
      </c>
      <c r="U263" s="325">
        <f>-IF($C$2="BP",SUMIF('Data BASE'!$L$490:$L$6729,$B263,'Data BASE'!U$490:U$6729),IF($C$2="ACC",SUMIF('Data BASE'!$L$490:$L$6729,$B263,'Data BASE'!U$490:U$6729),IF($C$2="ACC wE",0,IF($C$2="BP wE",0,0))))</f>
        <v>-3519033</v>
      </c>
      <c r="V263" s="325">
        <f>-IF($C$2="BP",SUMIF('Data BASE'!$L$490:$L$6729,$B263,'Data BASE'!V$490:V$6729),IF($C$2="ACC",SUMIF('Data BASE'!$L$490:$L$6729,$B263,'Data BASE'!V$490:V$6729),IF($C$2="ACC wE",0,IF($C$2="BP wE",0,0))))</f>
        <v>-3519033</v>
      </c>
      <c r="W263" s="325">
        <f>-IF($C$2="BP",SUMIF('Data BASE'!$L$490:$L$6729,$B263,'Data BASE'!W$490:W$6729),IF($C$2="ACC",SUMIF('Data BASE'!$L$490:$L$6729,$B263,'Data BASE'!W$490:W$6729),IF($C$2="ACC wE",0,IF($C$2="BP wE",0,0))))</f>
        <v>-3519033</v>
      </c>
      <c r="X263" s="325">
        <f>-IF($C$2="BP",SUMIF('Data BASE'!$L$490:$L$6729,$B263,'Data BASE'!X$490:X$6729),IF($C$2="ACC",SUMIF('Data BASE'!$L$490:$L$6729,$B263,'Data BASE'!X$490:X$6729),IF($C$2="ACC wE",0,IF($C$2="BP wE",0,0))))</f>
        <v>-4755450</v>
      </c>
      <c r="Y263" s="325">
        <f>-IF($C$2="BP",SUMIF('Data BASE'!$L$490:$L$6729,$B263,'Data BASE'!Y$490:Y$6729),IF($C$2="ACC",SUMIF('Data BASE'!$L$490:$L$6729,$B263,'Data BASE'!Y$490:Y$6729),IF($C$2="ACC wE",0,IF($C$2="BP wE",0,0))))</f>
        <v>-4755450</v>
      </c>
      <c r="Z263" s="325">
        <f>-IF($C$2="BP",SUMIF('Data BASE'!$L$490:$L$6729,$B263,'Data BASE'!Z$490:Z$6729),IF($C$2="ACC",SUMIF('Data BASE'!$L$490:$L$6729,$B263,'Data BASE'!Z$490:Z$6729),IF($C$2="ACC wE",0,IF($C$2="BP wE",0,0))))</f>
        <v>-4755450</v>
      </c>
      <c r="AA263" s="325">
        <f>-IF($C$2="BP",SUMIF('Data BASE'!$L$490:$L$6729,$B263,'Data BASE'!AA$490:AA$6729),IF($C$2="ACC",SUMIF('Data BASE'!$L$490:$L$6729,$B263,'Data BASE'!AA$490:AA$6729),IF($C$2="ACC wE",0,IF($C$2="BP wE",0,0))))</f>
        <v>-4755450</v>
      </c>
      <c r="AB263" s="325">
        <f>-IF($C$2="BP",SUMIF('Data BASE'!$L$490:$L$6729,$B263,'Data BASE'!AB$490:AB$6729),IF($C$2="ACC",SUMIF('Data BASE'!$L$490:$L$6729,$B263,'Data BASE'!AB$490:AB$6729),IF($C$2="ACC wE",0,IF($C$2="BP wE",0,0))))</f>
        <v>-4755450</v>
      </c>
      <c r="AC263" s="325">
        <f>-IF($C$2="BP",SUMIF('Data BASE'!$L$490:$L$6729,$B263,'Data BASE'!AC$490:AC$6729),IF($C$2="ACC",SUMIF('Data BASE'!$L$490:$L$6729,$B263,'Data BASE'!AC$490:AC$6729),IF($C$2="ACC wE",0,IF($C$2="BP wE",0,0))))</f>
        <v>-4755450</v>
      </c>
      <c r="AD263" s="325">
        <f>-IF($C$2="BP",SUMIF('Data BASE'!$L$490:$L$6729,$B263,'Data BASE'!AD$490:AD$6729),IF($C$2="ACC",SUMIF('Data BASE'!$L$490:$L$6729,$B263,'Data BASE'!AD$490:AD$6729),IF($C$2="ACC wE",0,IF($C$2="BP wE",0,0))))</f>
        <v>-5112322.2299999995</v>
      </c>
      <c r="AE263" s="325">
        <f>-IF($C$2="BP",SUMIF('Data BASE'!$L$490:$L$6729,$B263,'Data BASE'!AE$490:AE$6729),IF($C$2="ACC",SUMIF('Data BASE'!$L$490:$L$6729,$B263,'Data BASE'!AE$490:AE$6729),IF($C$2="ACC wE",0,IF($C$2="BP wE",0,0))))</f>
        <v>-5378699.9300000006</v>
      </c>
      <c r="AF263" s="325">
        <f>-IF($C$2="BP",SUMIF('Data BASE'!$L$490:$L$6729,$B263,'Data BASE'!AF$490:AF$6729),IF($C$2="ACC",SUMIF('Data BASE'!$L$490:$L$6729,$B263,'Data BASE'!AF$490:AF$6729),IF($C$2="ACC wE",0,IF($C$2="BP wE",0,0))))</f>
        <v>-5826770.1500000004</v>
      </c>
      <c r="AG263" s="325">
        <f>-IF($C$2="BP",SUMIF('Data BASE'!$L$490:$L$6729,$B263,'Data BASE'!AG$490:AG$6729),IF($C$2="ACC",SUMIF('Data BASE'!$L$490:$L$6729,$B263,'Data BASE'!AG$490:AG$6729),IF($C$2="ACC wE",0,IF($C$2="BP wE",0,0))))</f>
        <v>-5853311.8800000008</v>
      </c>
      <c r="AH263" s="325">
        <f>-IF($C$2="BP",SUMIF('Data BASE'!$L$490:$L$6729,$B263,'Data BASE'!AH$490:AH$6729),IF($C$2="ACC",SUMIF('Data BASE'!$L$490:$L$6729,$B263,'Data BASE'!AH$490:AH$6729),IF($C$2="ACC wE",0,IF($C$2="BP wE",0,0))))</f>
        <v>0</v>
      </c>
      <c r="AI263" s="325">
        <f>-IF($C$2="BP",SUMIF('Data BASE'!$L$490:$L$6729,$B263,'Data BASE'!AI$490:AI$6729),IF($C$2="ACC",SUMIF('Data BASE'!$L$490:$L$6729,$B263,'Data BASE'!AI$490:AI$6729),IF($C$2="ACC wE",0,IF($C$2="BP wE",0,0))))</f>
        <v>0</v>
      </c>
      <c r="AJ263" s="325">
        <f>-IF($C$2="BP",SUMIF('Data BASE'!$L$490:$L$6729,$B263,'Data BASE'!AJ$490:AJ$6729),IF($C$2="ACC",SUMIF('Data BASE'!$L$490:$L$6729,$B263,'Data BASE'!AJ$490:AJ$6729),IF($C$2="ACC wE",0,IF($C$2="BP wE",0,0))))</f>
        <v>0</v>
      </c>
      <c r="AK263" s="325">
        <f>-IF($C$2="BP",SUMIF('Data BASE'!$L$490:$L$6729,$B263,'Data BASE'!AK$490:AK$6729),IF($C$2="ACC",SUMIF('Data BASE'!$L$490:$L$6729,$B263,'Data BASE'!AK$490:AK$6729),IF($C$2="ACC wE",0,IF($C$2="BP wE",0,0))))</f>
        <v>0</v>
      </c>
      <c r="AL263" s="325">
        <f>-IF($C$2="BP",SUMIF('Data BASE'!$L$490:$L$6729,$B263,'Data BASE'!AL$490:AL$6729),IF($C$2="ACC",SUMIF('Data BASE'!$L$490:$L$6729,$B263,'Data BASE'!AL$490:AL$6729),IF($C$2="ACC wE",0,IF($C$2="BP wE",0,0))))</f>
        <v>0</v>
      </c>
      <c r="AM263" s="325">
        <f>-IF($C$2="BP",SUMIF('Data BASE'!$L$490:$L$6729,$B263,'Data BASE'!AM$490:AM$6729),IF($C$2="ACC",SUMIF('Data BASE'!$L$490:$L$6729,$B263,'Data BASE'!AM$490:AM$6729),IF($C$2="ACC wE",0,IF($C$2="BP wE",0,0))))</f>
        <v>0</v>
      </c>
      <c r="AN263" s="325">
        <f>-IF($C$2="BP",SUMIF('Data BASE'!$L$490:$L$6729,$B263,'Data BASE'!AN$490:AN$6729),IF($C$2="ACC",SUMIF('Data BASE'!$L$490:$L$6729,$B263,'Data BASE'!AN$490:AN$6729),IF($C$2="ACC wE",0,IF($C$2="BP wE",0,0))))</f>
        <v>0</v>
      </c>
      <c r="AO263" s="325">
        <f>-IF($C$2="BP",SUMIF('Data BASE'!$L$490:$L$6729,$B263,'Data BASE'!AO$490:AO$6729),IF($C$2="ACC",SUMIF('Data BASE'!$L$490:$L$6729,$B263,'Data BASE'!AO$490:AO$6729),IF($C$2="ACC wE",0,IF($C$2="BP wE",0,0))))</f>
        <v>0</v>
      </c>
      <c r="AQ263" s="325">
        <f t="shared" si="124"/>
        <v>-10326219</v>
      </c>
      <c r="AR263" s="325">
        <f t="shared" si="124"/>
        <v>-10557099</v>
      </c>
      <c r="AS263" s="325">
        <f t="shared" si="124"/>
        <v>-14266350</v>
      </c>
      <c r="AT263" s="325">
        <f t="shared" si="124"/>
        <v>-14266350</v>
      </c>
      <c r="AU263" s="325">
        <f t="shared" si="124"/>
        <v>-16317792.310000001</v>
      </c>
      <c r="AV263" s="325">
        <f t="shared" si="124"/>
        <v>-5853311.8800000008</v>
      </c>
      <c r="AW263" s="325">
        <f t="shared" si="124"/>
        <v>0</v>
      </c>
      <c r="AX263" s="325">
        <f t="shared" si="124"/>
        <v>0</v>
      </c>
      <c r="AZ263" s="325">
        <f t="shared" si="125"/>
        <v>-49416018</v>
      </c>
      <c r="BA263" s="325">
        <f t="shared" si="126"/>
        <v>-22171104.190000001</v>
      </c>
      <c r="BC263" s="325">
        <f t="shared" si="127"/>
        <v>-3288153</v>
      </c>
      <c r="BD263" s="325">
        <f t="shared" si="127"/>
        <v>-5112322.2299999995</v>
      </c>
    </row>
    <row r="264" spans="1:56" outlineLevel="1" x14ac:dyDescent="0.45">
      <c r="B264" s="264" t="s">
        <v>854</v>
      </c>
      <c r="C264" s="264"/>
      <c r="D264" s="324"/>
      <c r="E264" s="324"/>
      <c r="F264" s="324"/>
      <c r="G264" s="324"/>
      <c r="H264" s="324"/>
      <c r="I264" s="324"/>
      <c r="J264" s="324"/>
      <c r="K264" s="324"/>
      <c r="L264" s="324"/>
      <c r="M264" s="324"/>
      <c r="N264" s="324"/>
      <c r="O264" s="324"/>
      <c r="P264" s="324"/>
      <c r="Q264" s="320"/>
      <c r="R264" s="326">
        <f>+IF($C$2="BP",0,IF($C$2="ACC",0,IF($C$2="BP wE",#REF!,IF($C$2="ACC wE",#REF!))))</f>
        <v>0</v>
      </c>
      <c r="S264" s="326">
        <f>+IF($C$2="BP",0,IF($C$2="ACC",0,IF($C$2="BP wE",#REF!,IF($C$2="ACC wE",#REF!))))</f>
        <v>0</v>
      </c>
      <c r="T264" s="326">
        <f>+IF($C$2="BP",0,IF($C$2="ACC",0,IF($C$2="BP wE",#REF!,IF($C$2="ACC wE",#REF!))))</f>
        <v>0</v>
      </c>
      <c r="U264" s="326">
        <f>+IF($C$2="BP",0,IF($C$2="ACC",0,IF($C$2="BP wE",#REF!,IF($C$2="ACC wE",#REF!))))</f>
        <v>0</v>
      </c>
      <c r="V264" s="326">
        <f>+IF($C$2="BP",0,IF($C$2="ACC",0,IF($C$2="BP wE",#REF!,IF($C$2="ACC wE",#REF!))))</f>
        <v>0</v>
      </c>
      <c r="W264" s="326">
        <f>+IF($C$2="BP",0,IF($C$2="ACC",0,IF($C$2="BP wE",#REF!,IF($C$2="ACC wE",#REF!))))</f>
        <v>0</v>
      </c>
      <c r="X264" s="326">
        <f>+IF($C$2="BP",0,IF($C$2="ACC",0,IF($C$2="BP wE",#REF!,IF($C$2="ACC wE",#REF!))))</f>
        <v>0</v>
      </c>
      <c r="Y264" s="326">
        <f>+IF($C$2="BP",0,IF($C$2="ACC",0,IF($C$2="BP wE",#REF!,IF($C$2="ACC wE",#REF!))))</f>
        <v>0</v>
      </c>
      <c r="Z264" s="326">
        <f>+IF($C$2="BP",0,IF($C$2="ACC",0,IF($C$2="BP wE",#REF!,IF($C$2="ACC wE",#REF!))))</f>
        <v>0</v>
      </c>
      <c r="AA264" s="326">
        <f>+IF($C$2="BP",0,IF($C$2="ACC",0,IF($C$2="BP wE",#REF!,IF($C$2="ACC wE",#REF!))))</f>
        <v>0</v>
      </c>
      <c r="AB264" s="326">
        <f>+IF($C$2="BP",0,IF($C$2="ACC",0,IF($C$2="BP wE",#REF!,IF($C$2="ACC wE",#REF!))))</f>
        <v>0</v>
      </c>
      <c r="AC264" s="326">
        <f>+IF($C$2="BP",0,IF($C$2="ACC",0,IF($C$2="BP wE",#REF!,IF($C$2="ACC wE",#REF!))))</f>
        <v>0</v>
      </c>
      <c r="AD264" s="326">
        <f>+IF($C$2="BP",0,IF($C$2="ACC",0,IF($C$2="BP wE",#REF!,IF($C$2="ACC wE",#REF!))))</f>
        <v>0</v>
      </c>
      <c r="AE264" s="326">
        <f>+IF($C$2="BP",0,IF($C$2="ACC",0,IF($C$2="BP wE",#REF!,IF($C$2="ACC wE",#REF!))))</f>
        <v>0</v>
      </c>
      <c r="AF264" s="326">
        <f>+IF($C$2="BP",0,IF($C$2="ACC",0,IF($C$2="BP wE",#REF!,IF($C$2="ACC wE",#REF!))))</f>
        <v>0</v>
      </c>
      <c r="AG264" s="326">
        <f>+IF($C$2="BP",0,IF($C$2="ACC",0,IF($C$2="BP wE",#REF!,IF($C$2="ACC wE",#REF!))))</f>
        <v>0</v>
      </c>
      <c r="AH264" s="326">
        <f>+IF($C$2="BP",0,IF($C$2="ACC",0,IF($C$2="BP wE",#REF!,IF($C$2="ACC wE",#REF!))))</f>
        <v>0</v>
      </c>
      <c r="AI264" s="326">
        <f>+IF($C$2="BP",0,IF($C$2="ACC",0,IF($C$2="BP wE",#REF!,IF($C$2="ACC wE",#REF!))))</f>
        <v>0</v>
      </c>
      <c r="AJ264" s="326">
        <f>+IF($C$2="BP",0,IF($C$2="ACC",0,IF($C$2="BP wE",#REF!,IF($C$2="ACC wE",#REF!))))</f>
        <v>0</v>
      </c>
      <c r="AK264" s="326">
        <f>+IF($C$2="BP",0,IF($C$2="ACC",0,IF($C$2="BP wE",#REF!,IF($C$2="ACC wE",#REF!))))</f>
        <v>0</v>
      </c>
      <c r="AL264" s="326">
        <f>+IF($C$2="BP",0,IF($C$2="ACC",0,IF($C$2="BP wE",#REF!,IF($C$2="ACC wE",#REF!))))</f>
        <v>0</v>
      </c>
      <c r="AM264" s="326">
        <f>+IF($C$2="BP",0,IF($C$2="ACC",0,IF($C$2="BP wE",#REF!,IF($C$2="ACC wE",#REF!))))</f>
        <v>0</v>
      </c>
      <c r="AN264" s="326">
        <f>+IF($C$2="BP",0,IF($C$2="ACC",0,IF($C$2="BP wE",#REF!,IF($C$2="ACC wE",#REF!))))</f>
        <v>0</v>
      </c>
      <c r="AO264" s="326">
        <f>+IF($C$2="BP",0,IF($C$2="ACC",0,IF($C$2="BP wE",#REF!,IF($C$2="ACC wE",#REF!))))</f>
        <v>0</v>
      </c>
      <c r="AQ264" s="326">
        <f t="shared" si="124"/>
        <v>0</v>
      </c>
      <c r="AR264" s="326">
        <f t="shared" si="124"/>
        <v>0</v>
      </c>
      <c r="AS264" s="326">
        <f t="shared" si="124"/>
        <v>0</v>
      </c>
      <c r="AT264" s="326">
        <f t="shared" si="124"/>
        <v>0</v>
      </c>
      <c r="AU264" s="326">
        <f t="shared" si="124"/>
        <v>0</v>
      </c>
      <c r="AV264" s="326">
        <f t="shared" si="124"/>
        <v>0</v>
      </c>
      <c r="AW264" s="326">
        <f t="shared" si="124"/>
        <v>0</v>
      </c>
      <c r="AX264" s="326">
        <f t="shared" si="124"/>
        <v>0</v>
      </c>
      <c r="AZ264" s="326">
        <f t="shared" si="125"/>
        <v>0</v>
      </c>
      <c r="BA264" s="326">
        <f t="shared" si="126"/>
        <v>0</v>
      </c>
      <c r="BC264" s="326">
        <f t="shared" si="127"/>
        <v>0</v>
      </c>
      <c r="BD264" s="326">
        <f t="shared" si="127"/>
        <v>0</v>
      </c>
    </row>
    <row r="265" spans="1:56" outlineLevel="1" x14ac:dyDescent="0.45">
      <c r="B265" s="264" t="s">
        <v>562</v>
      </c>
      <c r="C265" s="264"/>
      <c r="D265" s="324"/>
      <c r="E265" s="324"/>
      <c r="F265" s="324"/>
      <c r="G265" s="324"/>
      <c r="H265" s="324"/>
      <c r="I265" s="324"/>
      <c r="J265" s="324"/>
      <c r="K265" s="324"/>
      <c r="L265" s="324"/>
      <c r="M265" s="324"/>
      <c r="N265" s="324"/>
      <c r="O265" s="324"/>
      <c r="P265" s="324"/>
      <c r="Q265" s="319"/>
      <c r="R265" s="550">
        <f>+Inputs!Q53</f>
        <v>-324.55</v>
      </c>
      <c r="S265" s="550">
        <f>+Inputs!R53</f>
        <v>-3714.69</v>
      </c>
      <c r="T265" s="550">
        <f>+Inputs!S53</f>
        <v>334893.49</v>
      </c>
      <c r="U265" s="550">
        <f>+Inputs!T53</f>
        <v>-278953.64</v>
      </c>
      <c r="V265" s="550">
        <f>+Inputs!U53</f>
        <v>-1025887.08</v>
      </c>
      <c r="W265" s="550">
        <f>+Inputs!V53</f>
        <v>-600742.23</v>
      </c>
      <c r="X265" s="550">
        <f>+Inputs!W53</f>
        <v>-93418.52999999997</v>
      </c>
      <c r="Y265" s="550">
        <f>+Inputs!X53</f>
        <v>-57849.270000000201</v>
      </c>
      <c r="Z265" s="550">
        <f>+Inputs!Y53</f>
        <v>-240833.10999999981</v>
      </c>
      <c r="AA265" s="550">
        <f>+Inputs!Z53</f>
        <v>-41831.809999999932</v>
      </c>
      <c r="AB265" s="550">
        <f>+Inputs!AA53</f>
        <v>-27117.460000000046</v>
      </c>
      <c r="AC265" s="550">
        <f>+Inputs!AB53</f>
        <v>40269.139999999927</v>
      </c>
      <c r="AD265" s="327">
        <f>+Inputs!AC53</f>
        <v>-61032.41</v>
      </c>
      <c r="AE265" s="327">
        <f>+Inputs!AD53</f>
        <v>-35891.869999999995</v>
      </c>
      <c r="AF265" s="327">
        <f>+Inputs!AE53</f>
        <v>-97332.91</v>
      </c>
      <c r="AG265" s="327">
        <f>+Inputs!AF53</f>
        <v>4648.0500000000175</v>
      </c>
      <c r="AH265" s="327">
        <f>+Inputs!AG53</f>
        <v>0</v>
      </c>
      <c r="AI265" s="327">
        <f>+Inputs!AH53</f>
        <v>0</v>
      </c>
      <c r="AJ265" s="327">
        <f>+Inputs!AI53</f>
        <v>0</v>
      </c>
      <c r="AK265" s="327">
        <f>+Inputs!AJ53</f>
        <v>0</v>
      </c>
      <c r="AL265" s="327">
        <f>+Inputs!AK53</f>
        <v>0</v>
      </c>
      <c r="AM265" s="327">
        <f>+Inputs!AL53</f>
        <v>0</v>
      </c>
      <c r="AN265" s="327">
        <f>+Inputs!AM53</f>
        <v>0</v>
      </c>
      <c r="AO265" s="327">
        <f>+Inputs!AN53</f>
        <v>0</v>
      </c>
      <c r="AQ265" s="327">
        <f t="shared" si="124"/>
        <v>330854.25</v>
      </c>
      <c r="AR265" s="327">
        <f t="shared" si="124"/>
        <v>-1905582.95</v>
      </c>
      <c r="AS265" s="327">
        <f t="shared" si="124"/>
        <v>-392100.91</v>
      </c>
      <c r="AT265" s="327">
        <f t="shared" si="124"/>
        <v>-28680.130000000048</v>
      </c>
      <c r="AU265" s="327">
        <f t="shared" si="124"/>
        <v>-194257.19</v>
      </c>
      <c r="AV265" s="327">
        <f t="shared" si="124"/>
        <v>4648.0500000000175</v>
      </c>
      <c r="AW265" s="327">
        <f t="shared" si="124"/>
        <v>0</v>
      </c>
      <c r="AX265" s="327">
        <f t="shared" si="124"/>
        <v>0</v>
      </c>
      <c r="AZ265" s="327">
        <f t="shared" si="125"/>
        <v>-1995509.74</v>
      </c>
      <c r="BA265" s="327">
        <f t="shared" si="126"/>
        <v>-189609.13999999998</v>
      </c>
      <c r="BC265" s="327">
        <f t="shared" si="127"/>
        <v>-324.55</v>
      </c>
      <c r="BD265" s="327">
        <f t="shared" si="127"/>
        <v>-61032.41</v>
      </c>
    </row>
    <row r="266" spans="1:56" outlineLevel="1" x14ac:dyDescent="0.45">
      <c r="B266" s="293" t="s">
        <v>855</v>
      </c>
      <c r="C266" s="293"/>
      <c r="D266" s="293"/>
      <c r="E266" s="293"/>
      <c r="F266" s="293"/>
      <c r="G266" s="293"/>
      <c r="H266" s="293"/>
      <c r="I266" s="293"/>
      <c r="J266" s="293"/>
      <c r="K266" s="293"/>
      <c r="L266" s="293"/>
      <c r="M266" s="293"/>
      <c r="N266" s="293"/>
      <c r="O266" s="293"/>
      <c r="P266" s="293"/>
      <c r="Q266" s="314"/>
      <c r="R266" s="314">
        <f t="shared" ref="R266:AD266" si="132">SUM(R260:R265)</f>
        <v>-5005846.4899999974</v>
      </c>
      <c r="S266" s="314">
        <f t="shared" si="132"/>
        <v>-6523692.9700000007</v>
      </c>
      <c r="T266" s="314">
        <f t="shared" si="132"/>
        <v>-6408362.7519364692</v>
      </c>
      <c r="U266" s="314">
        <f t="shared" si="132"/>
        <v>-6326127.708063473</v>
      </c>
      <c r="V266" s="314">
        <f t="shared" si="132"/>
        <v>-4798692.0500001907</v>
      </c>
      <c r="W266" s="314">
        <f t="shared" si="132"/>
        <v>-6076831.2199997939</v>
      </c>
      <c r="X266" s="314">
        <f t="shared" si="132"/>
        <v>-7905955.9700000631</v>
      </c>
      <c r="Y266" s="314">
        <f t="shared" si="132"/>
        <v>-6552151.9800000573</v>
      </c>
      <c r="Z266" s="314">
        <f t="shared" si="132"/>
        <v>-3470641.4899999527</v>
      </c>
      <c r="AA266" s="314">
        <f t="shared" si="132"/>
        <v>-9178932.7300001457</v>
      </c>
      <c r="AB266" s="314">
        <f t="shared" si="132"/>
        <v>-10256852.169999873</v>
      </c>
      <c r="AC266" s="314">
        <f t="shared" si="132"/>
        <v>-3614407.6499999217</v>
      </c>
      <c r="AD266" s="314">
        <f t="shared" si="132"/>
        <v>-11011463.819999956</v>
      </c>
      <c r="AE266" s="314">
        <f t="shared" ref="AE266:AG266" si="133">SUM(AE260:AE265)</f>
        <v>-13144862.343855185</v>
      </c>
      <c r="AF266" s="314">
        <f t="shared" si="133"/>
        <v>-13274080.391770035</v>
      </c>
      <c r="AG266" s="314">
        <f t="shared" si="133"/>
        <v>-12577551.724374864</v>
      </c>
      <c r="AH266" s="314">
        <f t="shared" ref="AH266:AO266" si="134">SUM(AH260:AH265)</f>
        <v>0</v>
      </c>
      <c r="AI266" s="314">
        <f t="shared" si="134"/>
        <v>0</v>
      </c>
      <c r="AJ266" s="314">
        <f t="shared" si="134"/>
        <v>0</v>
      </c>
      <c r="AK266" s="314">
        <f t="shared" si="134"/>
        <v>0</v>
      </c>
      <c r="AL266" s="314">
        <f t="shared" si="134"/>
        <v>0</v>
      </c>
      <c r="AM266" s="314">
        <f t="shared" si="134"/>
        <v>0</v>
      </c>
      <c r="AN266" s="314">
        <f t="shared" si="134"/>
        <v>0</v>
      </c>
      <c r="AO266" s="314">
        <f t="shared" si="134"/>
        <v>0</v>
      </c>
      <c r="AQ266" s="316">
        <f t="shared" si="124"/>
        <v>-17937902.211936466</v>
      </c>
      <c r="AR266" s="316">
        <f t="shared" si="124"/>
        <v>-17201650.978063457</v>
      </c>
      <c r="AS266" s="316">
        <f t="shared" si="124"/>
        <v>-17928749.440000072</v>
      </c>
      <c r="AT266" s="316">
        <f t="shared" si="124"/>
        <v>-23050192.549999941</v>
      </c>
      <c r="AU266" s="316">
        <f t="shared" si="124"/>
        <v>-37430406.555625178</v>
      </c>
      <c r="AV266" s="316">
        <f t="shared" si="124"/>
        <v>-12577551.724374864</v>
      </c>
      <c r="AW266" s="316">
        <f t="shared" si="124"/>
        <v>0</v>
      </c>
      <c r="AX266" s="316">
        <f t="shared" si="124"/>
        <v>0</v>
      </c>
      <c r="AZ266" s="316">
        <f t="shared" si="125"/>
        <v>-76118495.179999933</v>
      </c>
      <c r="BA266" s="316">
        <f t="shared" si="126"/>
        <v>-50007958.280000046</v>
      </c>
      <c r="BC266" s="316">
        <f t="shared" si="127"/>
        <v>-5005846.4899999974</v>
      </c>
      <c r="BD266" s="316">
        <f t="shared" si="127"/>
        <v>-11011463.819999956</v>
      </c>
    </row>
    <row r="267" spans="1:56" outlineLevel="1" x14ac:dyDescent="0.45">
      <c r="A267" s="328">
        <f>SUM(R267:W267)</f>
        <v>0</v>
      </c>
      <c r="B267" s="329" t="s">
        <v>1</v>
      </c>
      <c r="C267" s="329"/>
      <c r="D267" s="329"/>
      <c r="E267" s="329"/>
      <c r="F267" s="329"/>
      <c r="G267" s="329"/>
      <c r="H267" s="329"/>
      <c r="I267" s="329"/>
      <c r="J267" s="329"/>
      <c r="K267" s="329"/>
      <c r="L267" s="329"/>
      <c r="M267" s="329"/>
      <c r="N267" s="329"/>
      <c r="O267" s="329"/>
      <c r="P267" s="329"/>
      <c r="Q267" s="330"/>
      <c r="R267" s="330">
        <f>ROUND(R266-'Managerial Consolidated'!Q27,4)</f>
        <v>0</v>
      </c>
      <c r="S267" s="330">
        <f>ROUND(S266-'Managerial Consolidated'!R27,4)</f>
        <v>0</v>
      </c>
      <c r="T267" s="330">
        <f>ROUND(T266-'Managerial Consolidated'!S27,4)</f>
        <v>0</v>
      </c>
      <c r="U267" s="330">
        <f>ROUND(U266-'Managerial Consolidated'!T27,4)</f>
        <v>0</v>
      </c>
      <c r="V267" s="330">
        <f>ROUND(V266-'Managerial Consolidated'!U27,4)</f>
        <v>0</v>
      </c>
      <c r="W267" s="330">
        <f>ROUND(W266-'Managerial Consolidated'!V27,4)</f>
        <v>0</v>
      </c>
      <c r="X267" s="330">
        <f>ROUND(X266-'Managerial Consolidated'!W27,4)</f>
        <v>0</v>
      </c>
      <c r="Y267" s="330">
        <f>ROUND(Y266-'Managerial Consolidated'!X27,4)</f>
        <v>0</v>
      </c>
      <c r="Z267" s="330">
        <f>ROUND(Z266-'Managerial Consolidated'!Y27,4)</f>
        <v>0</v>
      </c>
      <c r="AA267" s="330">
        <f>ROUND(AA266-'Managerial Consolidated'!Z27,4)</f>
        <v>0</v>
      </c>
      <c r="AB267" s="330">
        <f>ROUND(AB266-'Managerial Consolidated'!AA27,4)</f>
        <v>0</v>
      </c>
      <c r="AC267" s="330">
        <f>ROUND(AC266-'Managerial Consolidated'!AB27,4)</f>
        <v>0</v>
      </c>
      <c r="AD267" s="330">
        <f>ROUND(AD266-'Managerial Consolidated'!AC27,4)</f>
        <v>0</v>
      </c>
      <c r="AE267" s="330">
        <f>ROUND(AE266-'Managerial Consolidated'!AD27,4)</f>
        <v>0</v>
      </c>
      <c r="AF267" s="330">
        <f>ROUND(AF266-'Managerial Consolidated'!AE27,6)</f>
        <v>0</v>
      </c>
      <c r="AG267" s="543">
        <f>ROUND(AG266-'Managerial Consolidated'!AF27,1)</f>
        <v>0</v>
      </c>
      <c r="AH267" s="543">
        <f>ROUND(AH266-'Managerial Consolidated'!AG27,1)</f>
        <v>0</v>
      </c>
      <c r="AI267" s="543">
        <f>ROUND(AI266-'Managerial Consolidated'!AH27,1)</f>
        <v>0</v>
      </c>
      <c r="AJ267" s="543">
        <f>ROUND(AJ266-'Managerial Consolidated'!AI27,1)</f>
        <v>0</v>
      </c>
      <c r="AK267" s="543">
        <f>ROUND(AK266-'Managerial Consolidated'!AJ27,1)</f>
        <v>0</v>
      </c>
      <c r="AL267" s="543">
        <f>ROUND(AL266-'Managerial Consolidated'!AK27,1)</f>
        <v>0</v>
      </c>
      <c r="AM267" s="543">
        <f>ROUND(AM266-'Managerial Consolidated'!AL27,1)</f>
        <v>0</v>
      </c>
      <c r="AN267" s="543">
        <f>ROUND(AN266-'Managerial Consolidated'!AM27,1)</f>
        <v>0</v>
      </c>
      <c r="AO267" s="543">
        <f>ROUND(AO266-'Managerial Consolidated'!AN27,1)</f>
        <v>0</v>
      </c>
      <c r="AQ267" s="330"/>
      <c r="AR267" s="330"/>
      <c r="AS267" s="330"/>
      <c r="AT267" s="330"/>
      <c r="AU267" s="330"/>
      <c r="AV267" s="330"/>
      <c r="AW267" s="330"/>
      <c r="AX267" s="330"/>
      <c r="AZ267" s="330"/>
      <c r="BA267" s="330"/>
      <c r="BC267" s="330">
        <f t="shared" ref="BC267:BD267" si="135">SUMIF($G$11:$AC$11, "Actual", $G267:$AC267)</f>
        <v>0</v>
      </c>
      <c r="BD267" s="330">
        <f t="shared" si="135"/>
        <v>0</v>
      </c>
    </row>
    <row r="268" spans="1:56" x14ac:dyDescent="0.45">
      <c r="R268" s="331"/>
      <c r="S268" s="331"/>
      <c r="T268" s="331"/>
      <c r="U268" s="331"/>
      <c r="V268" s="331"/>
      <c r="W268" s="331"/>
      <c r="X268" s="331"/>
      <c r="Y268" s="331"/>
      <c r="Z268" s="331"/>
      <c r="AA268" s="331"/>
      <c r="AB268" s="331"/>
      <c r="AC268" s="331"/>
      <c r="AD268" s="331"/>
      <c r="AE268" s="331"/>
      <c r="AF268" s="331"/>
      <c r="AG268" s="331"/>
      <c r="AH268" s="331"/>
      <c r="AI268" s="331"/>
      <c r="AJ268" s="331"/>
      <c r="AK268" s="331"/>
      <c r="AL268" s="331"/>
      <c r="AM268" s="331"/>
      <c r="AN268" s="331"/>
      <c r="AO268" s="331"/>
      <c r="AQ268" s="331"/>
      <c r="AR268" s="331"/>
      <c r="AS268" s="331"/>
      <c r="AT268" s="331"/>
      <c r="AU268" s="331"/>
      <c r="AV268" s="331"/>
      <c r="AW268" s="331"/>
      <c r="AX268" s="331"/>
      <c r="AZ268" s="331"/>
      <c r="BA268" s="331"/>
      <c r="BC268" s="331"/>
      <c r="BD268" s="331"/>
    </row>
    <row r="269" spans="1:56" outlineLevel="1" x14ac:dyDescent="0.45">
      <c r="B269" s="323" t="s">
        <v>54</v>
      </c>
      <c r="C269" s="323"/>
      <c r="D269" s="288"/>
      <c r="E269" s="288"/>
      <c r="F269" s="288"/>
      <c r="G269" s="288"/>
      <c r="H269" s="288"/>
      <c r="I269" s="288"/>
      <c r="J269" s="288"/>
      <c r="K269" s="288"/>
      <c r="L269" s="288"/>
      <c r="M269" s="288"/>
      <c r="N269" s="288"/>
      <c r="O269" s="288"/>
      <c r="P269" s="288"/>
      <c r="Q269" s="288"/>
      <c r="R269" s="288"/>
      <c r="S269" s="288"/>
      <c r="T269" s="288"/>
      <c r="U269" s="288"/>
      <c r="V269" s="288"/>
      <c r="W269" s="288"/>
      <c r="X269" s="288"/>
      <c r="Y269" s="288"/>
      <c r="Z269" s="288"/>
      <c r="AA269" s="288"/>
      <c r="AB269" s="288"/>
      <c r="AC269" s="288"/>
      <c r="AD269" s="288"/>
      <c r="AE269" s="288"/>
      <c r="AF269" s="288"/>
      <c r="AG269" s="288"/>
      <c r="AH269" s="288"/>
      <c r="AI269" s="288"/>
      <c r="AJ269" s="288"/>
      <c r="AK269" s="288"/>
      <c r="AL269" s="288"/>
      <c r="AM269" s="288"/>
      <c r="AN269" s="288"/>
      <c r="AO269" s="288"/>
      <c r="AQ269" s="495"/>
      <c r="AR269" s="495"/>
      <c r="AS269" s="495"/>
      <c r="AT269" s="495"/>
      <c r="AU269" s="495"/>
      <c r="AV269" s="495"/>
      <c r="AW269" s="495"/>
      <c r="AX269" s="495"/>
      <c r="AZ269" s="495"/>
      <c r="BA269" s="495"/>
      <c r="BC269" s="495"/>
      <c r="BD269" s="495"/>
    </row>
    <row r="270" spans="1:56" outlineLevel="2" x14ac:dyDescent="0.45"/>
    <row r="271" spans="1:56" outlineLevel="2" x14ac:dyDescent="0.45">
      <c r="B271" s="468" t="s">
        <v>370</v>
      </c>
      <c r="C271" s="470"/>
      <c r="D271" s="470"/>
      <c r="E271" s="470"/>
      <c r="F271" s="470"/>
      <c r="G271" s="470"/>
      <c r="H271" s="470"/>
      <c r="I271" s="470"/>
      <c r="J271" s="470"/>
      <c r="K271" s="470"/>
      <c r="L271" s="470"/>
      <c r="M271" s="470"/>
      <c r="N271" s="470"/>
      <c r="O271" s="470"/>
      <c r="P271" s="470"/>
      <c r="Q271" s="470"/>
      <c r="R271" s="470">
        <f>R332</f>
        <v>1867303.8660000488</v>
      </c>
      <c r="S271" s="470">
        <f t="shared" ref="S271:AF271" si="136">S332</f>
        <v>536815.34600009024</v>
      </c>
      <c r="T271" s="470">
        <f t="shared" si="136"/>
        <v>19398132.574063607</v>
      </c>
      <c r="U271" s="470">
        <f t="shared" si="136"/>
        <v>2129239.5160001665</v>
      </c>
      <c r="V271" s="470">
        <f t="shared" si="136"/>
        <v>29326004.335999943</v>
      </c>
      <c r="W271" s="470">
        <f t="shared" si="136"/>
        <v>110883517.15600008</v>
      </c>
      <c r="X271" s="470">
        <f t="shared" si="136"/>
        <v>35991350.506000012</v>
      </c>
      <c r="Y271" s="470">
        <f t="shared" si="136"/>
        <v>19174289.905999996</v>
      </c>
      <c r="Z271" s="470">
        <f t="shared" si="136"/>
        <v>13901618.656000055</v>
      </c>
      <c r="AA271" s="470">
        <f t="shared" si="136"/>
        <v>6289436.3259999827</v>
      </c>
      <c r="AB271" s="470">
        <f t="shared" si="136"/>
        <v>7900839.8859999552</v>
      </c>
      <c r="AC271" s="470">
        <f t="shared" si="136"/>
        <v>22315898.776000299</v>
      </c>
      <c r="AD271" s="470">
        <f>AD332</f>
        <v>5793776.6460000761</v>
      </c>
      <c r="AE271" s="470">
        <f t="shared" si="136"/>
        <v>9231742.6321450211</v>
      </c>
      <c r="AF271" s="470">
        <f t="shared" si="136"/>
        <v>7251674.2503747083</v>
      </c>
      <c r="AG271" s="470">
        <f t="shared" ref="AG271" si="137">AG332</f>
        <v>10928275.825999815</v>
      </c>
      <c r="AH271" s="331"/>
      <c r="AI271" s="331"/>
      <c r="AJ271" s="331"/>
      <c r="AK271" s="331"/>
      <c r="AL271" s="331"/>
      <c r="AM271" s="331"/>
      <c r="AN271" s="331"/>
      <c r="AO271" s="331"/>
      <c r="AQ271" s="73" cm="1">
        <f t="array" ref="AQ271">LOOKUP(2,1/(($Q$9:$AN$9=AQ$9)*($Q$8:$AN$8=AQ$8)),$Q271:$AN271)</f>
        <v>19398132.574063607</v>
      </c>
      <c r="AR271" s="73" cm="1">
        <f t="array" ref="AR271">LOOKUP(2,1/(($Q$9:$AN$9=AR$9)*($Q$8:$AN$8=AR$8)),$Q271:$AN271)</f>
        <v>110883517.15600008</v>
      </c>
      <c r="AS271" s="73" cm="1">
        <f t="array" ref="AS271">LOOKUP(2,1/(($Q$9:$AN$9=AS$9)*($Q$8:$AN$8=AS$8)),$Q271:$AN271)</f>
        <v>13901618.656000055</v>
      </c>
      <c r="AT271" s="73" cm="1">
        <f t="array" ref="AT271">LOOKUP(2,1/(($Q$9:$AN$9=AT$9)*($Q$8:$AN$8=AT$8)),$Q271:$AN271)</f>
        <v>22315898.776000299</v>
      </c>
      <c r="AU271" s="73" cm="1">
        <f t="array" ref="AU271">LOOKUP(2,1/(($Q$9:$AN$9=AU$9)*($Q$8:$AN$8=AU$8)),$Q271:$AN271)</f>
        <v>7251674.2503747083</v>
      </c>
      <c r="AV271" s="73" cm="1">
        <f t="array" ref="AV271">LOOKUP(2,1/(($Q$9:$AN$9=AV$9)*($Q$8:$AN$8=AV$8)),$Q271:$AN271)</f>
        <v>0</v>
      </c>
      <c r="AW271" s="73" cm="1">
        <f t="array" ref="AW271">LOOKUP(2,1/(($Q$9:$AN$9=AW$9)*($Q$8:$AN$8=AW$8)),$Q271:$AN271)</f>
        <v>0</v>
      </c>
      <c r="AX271" s="73" cm="1">
        <f t="array" ref="AX271">LOOKUP(2,1/(($Q$9:$AN$9=AX$9)*($Q$8:$AN$8=AX$8)),$Q271:$AN271)</f>
        <v>0</v>
      </c>
      <c r="AZ271" s="73" cm="1">
        <f t="array" ref="AZ271">LOOKUP(2,1/(($Q$9:$AN$9=AZ$9)*($Q$8:$AN$8=AZ$8)),$Q271:$AN271)</f>
        <v>22315898.776000299</v>
      </c>
      <c r="BA271" s="73" cm="1">
        <f t="array" ref="BA271">LOOKUP(2,1/(($Q$9:$AN$9=BA$9)*($Q$8:$AN$8=BA$8)),$Q271:$AN271)</f>
        <v>0</v>
      </c>
      <c r="BC271" s="73">
        <f t="shared" ref="BC271:BD278" si="138">AZ271</f>
        <v>22315898.776000299</v>
      </c>
      <c r="BD271" s="73">
        <f t="shared" si="138"/>
        <v>0</v>
      </c>
    </row>
    <row r="272" spans="1:56" outlineLevel="2" x14ac:dyDescent="0.45">
      <c r="B272" s="468" t="s">
        <v>393</v>
      </c>
      <c r="C272" s="471"/>
      <c r="D272" s="471"/>
      <c r="E272" s="471"/>
      <c r="F272" s="471"/>
      <c r="G272" s="471"/>
      <c r="H272" s="471"/>
      <c r="I272" s="471"/>
      <c r="J272" s="471"/>
      <c r="K272" s="471"/>
      <c r="L272" s="471"/>
      <c r="M272" s="471"/>
      <c r="N272" s="471"/>
      <c r="O272" s="471"/>
      <c r="P272" s="471"/>
      <c r="Q272" s="471"/>
      <c r="R272" s="471">
        <f>'Managerial Consolidated'!Q32</f>
        <v>158931381.49000001</v>
      </c>
      <c r="S272" s="471">
        <f>'Managerial Consolidated'!R32</f>
        <v>160473745.43999997</v>
      </c>
      <c r="T272" s="471">
        <f>'Managerial Consolidated'!S32</f>
        <v>186618309.24999997</v>
      </c>
      <c r="U272" s="471">
        <f>'Managerial Consolidated'!T32</f>
        <v>241405723.50999996</v>
      </c>
      <c r="V272" s="471">
        <f>'Managerial Consolidated'!U32</f>
        <v>241323028.27999997</v>
      </c>
      <c r="W272" s="471">
        <f>'Managerial Consolidated'!V32</f>
        <v>239356049.04000002</v>
      </c>
      <c r="X272" s="471">
        <f>'Managerial Consolidated'!W32</f>
        <v>247380177.5</v>
      </c>
      <c r="Y272" s="471">
        <f>'Managerial Consolidated'!X32</f>
        <v>246391486.50999999</v>
      </c>
      <c r="Z272" s="471">
        <f>'Managerial Consolidated'!Y32</f>
        <v>246340297.72999999</v>
      </c>
      <c r="AA272" s="471">
        <f>'Managerial Consolidated'!Z32</f>
        <v>271950257.78999996</v>
      </c>
      <c r="AB272" s="471">
        <f>'Managerial Consolidated'!AA32</f>
        <v>293432536.69000006</v>
      </c>
      <c r="AC272" s="471">
        <f>'Managerial Consolidated'!AB32</f>
        <v>544487806.44999981</v>
      </c>
      <c r="AD272" s="471">
        <f>'Managerial Consolidated'!AC32</f>
        <v>550470283.89999998</v>
      </c>
      <c r="AE272" s="471">
        <f>'Managerial Consolidated'!AD32</f>
        <v>546546585.53999996</v>
      </c>
      <c r="AF272" s="471">
        <f>'Managerial Consolidated'!AE32</f>
        <v>649990467.60000002</v>
      </c>
      <c r="AG272" s="471">
        <f>'Managerial Consolidated'!AF32</f>
        <v>722578361.23000014</v>
      </c>
      <c r="AH272" s="331"/>
      <c r="AI272" s="331"/>
      <c r="AJ272" s="331"/>
      <c r="AK272" s="331"/>
      <c r="AL272" s="331"/>
      <c r="AM272" s="331"/>
      <c r="AN272" s="331"/>
      <c r="AO272" s="331"/>
      <c r="AQ272" s="73" cm="1">
        <f t="array" ref="AQ272">LOOKUP(2,1/(($Q$9:$AN$9=AQ$9)*($Q$8:$AN$8=AQ$8)),$Q272:$AN272)</f>
        <v>186618309.24999997</v>
      </c>
      <c r="AR272" s="73" cm="1">
        <f t="array" ref="AR272">LOOKUP(2,1/(($Q$9:$AN$9=AR$9)*($Q$8:$AN$8=AR$8)),$Q272:$AN272)</f>
        <v>239356049.04000002</v>
      </c>
      <c r="AS272" s="73" cm="1">
        <f t="array" ref="AS272">LOOKUP(2,1/(($Q$9:$AN$9=AS$9)*($Q$8:$AN$8=AS$8)),$Q272:$AN272)</f>
        <v>246340297.72999999</v>
      </c>
      <c r="AT272" s="73" cm="1">
        <f t="array" ref="AT272">LOOKUP(2,1/(($Q$9:$AN$9=AT$9)*($Q$8:$AN$8=AT$8)),$Q272:$AN272)</f>
        <v>544487806.44999981</v>
      </c>
      <c r="AU272" s="73" cm="1">
        <f t="array" ref="AU272">LOOKUP(2,1/(($Q$9:$AN$9=AU$9)*($Q$8:$AN$8=AU$8)),$Q272:$AN272)</f>
        <v>649990467.60000002</v>
      </c>
      <c r="AV272" s="73" cm="1">
        <f t="array" ref="AV272">LOOKUP(2,1/(($Q$9:$AN$9=AV$9)*($Q$8:$AN$8=AV$8)),$Q272:$AN272)</f>
        <v>0</v>
      </c>
      <c r="AW272" s="73" cm="1">
        <f t="array" ref="AW272">LOOKUP(2,1/(($Q$9:$AN$9=AW$9)*($Q$8:$AN$8=AW$8)),$Q272:$AN272)</f>
        <v>0</v>
      </c>
      <c r="AX272" s="73" cm="1">
        <f t="array" ref="AX272">LOOKUP(2,1/(($Q$9:$AN$9=AX$9)*($Q$8:$AN$8=AX$8)),$Q272:$AN272)</f>
        <v>0</v>
      </c>
      <c r="AZ272" s="73" cm="1">
        <f t="array" ref="AZ272">LOOKUP(2,1/(($Q$9:$AN$9=AZ$9)*($Q$8:$AN$8=AZ$8)),$Q272:$AN272)</f>
        <v>544487806.44999981</v>
      </c>
      <c r="BA272" s="73" cm="1">
        <f t="array" ref="BA272">LOOKUP(2,1/(($Q$9:$AN$9=BA$9)*($Q$8:$AN$8=BA$8)),$Q272:$AN272)</f>
        <v>0</v>
      </c>
      <c r="BC272" s="73">
        <f t="shared" si="138"/>
        <v>544487806.44999981</v>
      </c>
      <c r="BD272" s="73">
        <f t="shared" si="138"/>
        <v>0</v>
      </c>
    </row>
    <row r="273" spans="2:56" outlineLevel="2" x14ac:dyDescent="0.45">
      <c r="B273" s="269" t="s">
        <v>113</v>
      </c>
      <c r="C273" s="471"/>
      <c r="D273" s="471"/>
      <c r="E273" s="471"/>
      <c r="F273" s="471"/>
      <c r="G273" s="471"/>
      <c r="H273" s="471"/>
      <c r="I273" s="471"/>
      <c r="J273" s="471"/>
      <c r="K273" s="471"/>
      <c r="L273" s="471"/>
      <c r="M273" s="471"/>
      <c r="N273" s="471"/>
      <c r="O273" s="471"/>
      <c r="P273" s="471"/>
      <c r="Q273" s="471"/>
      <c r="R273" s="471">
        <f>'Managerial Consolidated'!Q33</f>
        <v>0</v>
      </c>
      <c r="S273" s="471">
        <f>'Managerial Consolidated'!R33</f>
        <v>0</v>
      </c>
      <c r="T273" s="471">
        <f>'Managerial Consolidated'!S33</f>
        <v>0</v>
      </c>
      <c r="U273" s="471">
        <f>'Managerial Consolidated'!T33</f>
        <v>0</v>
      </c>
      <c r="V273" s="471">
        <f>'Managerial Consolidated'!U33</f>
        <v>0</v>
      </c>
      <c r="W273" s="471">
        <f>'Managerial Consolidated'!V33</f>
        <v>0</v>
      </c>
      <c r="X273" s="471">
        <f>'Managerial Consolidated'!W33</f>
        <v>0</v>
      </c>
      <c r="Y273" s="471">
        <f>'Managerial Consolidated'!X33</f>
        <v>0</v>
      </c>
      <c r="Z273" s="471">
        <f>'Managerial Consolidated'!Y33</f>
        <v>0</v>
      </c>
      <c r="AA273" s="471">
        <f>'Managerial Consolidated'!Z33</f>
        <v>0</v>
      </c>
      <c r="AB273" s="471">
        <f>'Managerial Consolidated'!AA33</f>
        <v>0</v>
      </c>
      <c r="AC273" s="471">
        <f>'Managerial Consolidated'!AB33</f>
        <v>0</v>
      </c>
      <c r="AD273" s="471">
        <f>'Managerial Consolidated'!AC33</f>
        <v>0</v>
      </c>
      <c r="AE273" s="471">
        <f>'Managerial Consolidated'!AD33</f>
        <v>0</v>
      </c>
      <c r="AF273" s="471">
        <f>'Managerial Consolidated'!AE33</f>
        <v>0</v>
      </c>
      <c r="AG273" s="471">
        <f>'Managerial Consolidated'!AF33</f>
        <v>0</v>
      </c>
      <c r="AH273" s="331"/>
      <c r="AI273" s="331"/>
      <c r="AJ273" s="331"/>
      <c r="AK273" s="331"/>
      <c r="AL273" s="331"/>
      <c r="AM273" s="331"/>
      <c r="AN273" s="331"/>
      <c r="AO273" s="331"/>
      <c r="AQ273" s="73" cm="1">
        <f t="array" ref="AQ273">LOOKUP(2,1/(($Q$9:$AN$9=AQ$9)*($Q$8:$AN$8=AQ$8)),$Q273:$AN273)</f>
        <v>0</v>
      </c>
      <c r="AR273" s="73" cm="1">
        <f t="array" ref="AR273">LOOKUP(2,1/(($Q$9:$AN$9=AR$9)*($Q$8:$AN$8=AR$8)),$Q273:$AN273)</f>
        <v>0</v>
      </c>
      <c r="AS273" s="73" cm="1">
        <f t="array" ref="AS273">LOOKUP(2,1/(($Q$9:$AN$9=AS$9)*($Q$8:$AN$8=AS$8)),$Q273:$AN273)</f>
        <v>0</v>
      </c>
      <c r="AT273" s="73" cm="1">
        <f t="array" ref="AT273">LOOKUP(2,1/(($Q$9:$AN$9=AT$9)*($Q$8:$AN$8=AT$8)),$Q273:$AN273)</f>
        <v>0</v>
      </c>
      <c r="AU273" s="73" cm="1">
        <f t="array" ref="AU273">LOOKUP(2,1/(($Q$9:$AN$9=AU$9)*($Q$8:$AN$8=AU$8)),$Q273:$AN273)</f>
        <v>0</v>
      </c>
      <c r="AV273" s="73" cm="1">
        <f t="array" ref="AV273">LOOKUP(2,1/(($Q$9:$AN$9=AV$9)*($Q$8:$AN$8=AV$8)),$Q273:$AN273)</f>
        <v>0</v>
      </c>
      <c r="AW273" s="73" cm="1">
        <f t="array" ref="AW273">LOOKUP(2,1/(($Q$9:$AN$9=AW$9)*($Q$8:$AN$8=AW$8)),$Q273:$AN273)</f>
        <v>0</v>
      </c>
      <c r="AX273" s="73" cm="1">
        <f t="array" ref="AX273">LOOKUP(2,1/(($Q$9:$AN$9=AX$9)*($Q$8:$AN$8=AX$8)),$Q273:$AN273)</f>
        <v>0</v>
      </c>
      <c r="AZ273" s="73" cm="1">
        <f t="array" ref="AZ273">LOOKUP(2,1/(($Q$9:$AN$9=AZ$9)*($Q$8:$AN$8=AZ$8)),$Q273:$AN273)</f>
        <v>0</v>
      </c>
      <c r="BA273" s="73" cm="1">
        <f t="array" ref="BA273">LOOKUP(2,1/(($Q$9:$AN$9=BA$9)*($Q$8:$AN$8=BA$8)),$Q273:$AN273)</f>
        <v>0</v>
      </c>
      <c r="BC273" s="73">
        <f t="shared" si="138"/>
        <v>0</v>
      </c>
      <c r="BD273" s="73">
        <f t="shared" si="138"/>
        <v>0</v>
      </c>
    </row>
    <row r="274" spans="2:56" outlineLevel="2" x14ac:dyDescent="0.45">
      <c r="B274" s="468" t="s">
        <v>1121</v>
      </c>
      <c r="C274" s="471"/>
      <c r="D274" s="471"/>
      <c r="E274" s="471"/>
      <c r="F274" s="471"/>
      <c r="G274" s="471"/>
      <c r="H274" s="471"/>
      <c r="I274" s="471"/>
      <c r="J274" s="471"/>
      <c r="K274" s="471"/>
      <c r="L274" s="471"/>
      <c r="M274" s="471"/>
      <c r="N274" s="471"/>
      <c r="O274" s="471"/>
      <c r="P274" s="471"/>
      <c r="Q274" s="471"/>
      <c r="R274" s="471">
        <f>'Managerial Consolidated'!Q34</f>
        <v>36693732.450000003</v>
      </c>
      <c r="S274" s="471">
        <f>'Managerial Consolidated'!R34</f>
        <v>32362708.440000001</v>
      </c>
      <c r="T274" s="471">
        <f>'Managerial Consolidated'!S34</f>
        <v>36411055.970000006</v>
      </c>
      <c r="U274" s="471">
        <f>'Managerial Consolidated'!T34</f>
        <v>35430028.870000005</v>
      </c>
      <c r="V274" s="471">
        <f>'Managerial Consolidated'!U34</f>
        <v>46999114.059999995</v>
      </c>
      <c r="W274" s="471">
        <f>'Managerial Consolidated'!V34</f>
        <v>53874678.390000001</v>
      </c>
      <c r="X274" s="471">
        <f>'Managerial Consolidated'!W34</f>
        <v>54221366.539999999</v>
      </c>
      <c r="Y274" s="471">
        <f>'Managerial Consolidated'!X34</f>
        <v>57764403.410000011</v>
      </c>
      <c r="Z274" s="471">
        <f>'Managerial Consolidated'!Y34</f>
        <v>62767663.24000001</v>
      </c>
      <c r="AA274" s="471">
        <f>'Managerial Consolidated'!Z34</f>
        <v>66293544.830000013</v>
      </c>
      <c r="AB274" s="471">
        <f>'Managerial Consolidated'!AA34</f>
        <v>71925606.24000001</v>
      </c>
      <c r="AC274" s="471">
        <f>'Managerial Consolidated'!AB34</f>
        <v>91432106.399999991</v>
      </c>
      <c r="AD274" s="471">
        <f>'Managerial Consolidated'!AC34</f>
        <v>83578415.599999994</v>
      </c>
      <c r="AE274" s="471">
        <f>'Managerial Consolidated'!AD34</f>
        <v>85859075.390000015</v>
      </c>
      <c r="AF274" s="471">
        <f>'Managerial Consolidated'!AE34</f>
        <v>102763906.57999998</v>
      </c>
      <c r="AG274" s="471">
        <f>'Managerial Consolidated'!AF34</f>
        <v>108188896.05999997</v>
      </c>
      <c r="AH274" s="331"/>
      <c r="AI274" s="331"/>
      <c r="AJ274" s="331"/>
      <c r="AK274" s="331"/>
      <c r="AL274" s="331"/>
      <c r="AM274" s="331"/>
      <c r="AN274" s="331"/>
      <c r="AO274" s="331"/>
      <c r="AQ274" s="73" cm="1">
        <f t="array" ref="AQ274">LOOKUP(2,1/(($Q$9:$AN$9=AQ$9)*($Q$8:$AN$8=AQ$8)),$Q274:$AN274)</f>
        <v>36411055.970000006</v>
      </c>
      <c r="AR274" s="73" cm="1">
        <f t="array" ref="AR274">LOOKUP(2,1/(($Q$9:$AN$9=AR$9)*($Q$8:$AN$8=AR$8)),$Q274:$AN274)</f>
        <v>53874678.390000001</v>
      </c>
      <c r="AS274" s="73" cm="1">
        <f t="array" ref="AS274">LOOKUP(2,1/(($Q$9:$AN$9=AS$9)*($Q$8:$AN$8=AS$8)),$Q274:$AN274)</f>
        <v>62767663.24000001</v>
      </c>
      <c r="AT274" s="73" cm="1">
        <f t="array" ref="AT274">LOOKUP(2,1/(($Q$9:$AN$9=AT$9)*($Q$8:$AN$8=AT$8)),$Q274:$AN274)</f>
        <v>91432106.399999991</v>
      </c>
      <c r="AU274" s="73" cm="1">
        <f t="array" ref="AU274">LOOKUP(2,1/(($Q$9:$AN$9=AU$9)*($Q$8:$AN$8=AU$8)),$Q274:$AN274)</f>
        <v>102763906.57999998</v>
      </c>
      <c r="AV274" s="73" cm="1">
        <f t="array" ref="AV274">LOOKUP(2,1/(($Q$9:$AN$9=AV$9)*($Q$8:$AN$8=AV$8)),$Q274:$AN274)</f>
        <v>0</v>
      </c>
      <c r="AW274" s="73" cm="1">
        <f t="array" ref="AW274">LOOKUP(2,1/(($Q$9:$AN$9=AW$9)*($Q$8:$AN$8=AW$8)),$Q274:$AN274)</f>
        <v>0</v>
      </c>
      <c r="AX274" s="73" cm="1">
        <f t="array" ref="AX274">LOOKUP(2,1/(($Q$9:$AN$9=AX$9)*($Q$8:$AN$8=AX$8)),$Q274:$AN274)</f>
        <v>0</v>
      </c>
      <c r="AZ274" s="73" cm="1">
        <f t="array" ref="AZ274">LOOKUP(2,1/(($Q$9:$AN$9=AZ$9)*($Q$8:$AN$8=AZ$8)),$Q274:$AN274)</f>
        <v>91432106.399999991</v>
      </c>
      <c r="BA274" s="73" cm="1">
        <f t="array" ref="BA274">LOOKUP(2,1/(($Q$9:$AN$9=BA$9)*($Q$8:$AN$8=BA$8)),$Q274:$AN274)</f>
        <v>0</v>
      </c>
      <c r="BC274" s="73">
        <f t="shared" si="138"/>
        <v>91432106.399999991</v>
      </c>
      <c r="BD274" s="73">
        <f t="shared" si="138"/>
        <v>0</v>
      </c>
    </row>
    <row r="275" spans="2:56" outlineLevel="2" x14ac:dyDescent="0.45">
      <c r="B275" s="468" t="s">
        <v>56</v>
      </c>
      <c r="C275" s="471"/>
      <c r="D275" s="471"/>
      <c r="E275" s="471"/>
      <c r="F275" s="471"/>
      <c r="G275" s="471"/>
      <c r="H275" s="471"/>
      <c r="I275" s="471"/>
      <c r="J275" s="471"/>
      <c r="K275" s="471"/>
      <c r="L275" s="471"/>
      <c r="M275" s="471"/>
      <c r="N275" s="471"/>
      <c r="O275" s="471"/>
      <c r="P275" s="471"/>
      <c r="Q275" s="471"/>
      <c r="R275" s="471">
        <f>'Managerial Consolidated'!Q35</f>
        <v>11483222.950000001</v>
      </c>
      <c r="S275" s="471">
        <f>'Managerial Consolidated'!R35</f>
        <v>8807815.2800000012</v>
      </c>
      <c r="T275" s="471">
        <f>'Managerial Consolidated'!S35</f>
        <v>7741043.6499999994</v>
      </c>
      <c r="U275" s="471">
        <f>'Managerial Consolidated'!T35</f>
        <v>9629443.6400000006</v>
      </c>
      <c r="V275" s="471">
        <f>'Managerial Consolidated'!U35</f>
        <v>11401460.390000002</v>
      </c>
      <c r="W275" s="471">
        <f>'Managerial Consolidated'!V35</f>
        <v>11717132.810000001</v>
      </c>
      <c r="X275" s="471">
        <f>'Managerial Consolidated'!W35</f>
        <v>11957365.730000002</v>
      </c>
      <c r="Y275" s="471">
        <f>'Managerial Consolidated'!X35</f>
        <v>11794542.33</v>
      </c>
      <c r="Z275" s="471">
        <f>'Managerial Consolidated'!Y35</f>
        <v>8985601.5399999991</v>
      </c>
      <c r="AA275" s="471">
        <f>'Managerial Consolidated'!Z35</f>
        <v>9099340.2999999989</v>
      </c>
      <c r="AB275" s="471">
        <f>'Managerial Consolidated'!AA35</f>
        <v>8493100.2799999993</v>
      </c>
      <c r="AC275" s="471">
        <f>'Managerial Consolidated'!AB35</f>
        <v>8056930.4000000004</v>
      </c>
      <c r="AD275" s="471">
        <f>'Managerial Consolidated'!AC35</f>
        <v>8962777.5599999987</v>
      </c>
      <c r="AE275" s="471">
        <f>'Managerial Consolidated'!AD35</f>
        <v>11862398.149999999</v>
      </c>
      <c r="AF275" s="471">
        <f>'Managerial Consolidated'!AE35</f>
        <v>11954628.02</v>
      </c>
      <c r="AG275" s="471">
        <f>'Managerial Consolidated'!AF35</f>
        <v>9521570.8800000027</v>
      </c>
      <c r="AH275" s="331"/>
      <c r="AI275" s="331"/>
      <c r="AJ275" s="331"/>
      <c r="AK275" s="331"/>
      <c r="AL275" s="331"/>
      <c r="AM275" s="331"/>
      <c r="AN275" s="331"/>
      <c r="AO275" s="331"/>
      <c r="AQ275" s="73" cm="1">
        <f t="array" ref="AQ275">LOOKUP(2,1/(($Q$9:$AN$9=AQ$9)*($Q$8:$AN$8=AQ$8)),$Q275:$AN275)</f>
        <v>7741043.6499999994</v>
      </c>
      <c r="AR275" s="73" cm="1">
        <f t="array" ref="AR275">LOOKUP(2,1/(($Q$9:$AN$9=AR$9)*($Q$8:$AN$8=AR$8)),$Q275:$AN275)</f>
        <v>11717132.810000001</v>
      </c>
      <c r="AS275" s="73" cm="1">
        <f t="array" ref="AS275">LOOKUP(2,1/(($Q$9:$AN$9=AS$9)*($Q$8:$AN$8=AS$8)),$Q275:$AN275)</f>
        <v>8985601.5399999991</v>
      </c>
      <c r="AT275" s="73" cm="1">
        <f t="array" ref="AT275">LOOKUP(2,1/(($Q$9:$AN$9=AT$9)*($Q$8:$AN$8=AT$8)),$Q275:$AN275)</f>
        <v>8056930.4000000004</v>
      </c>
      <c r="AU275" s="73" cm="1">
        <f t="array" ref="AU275">LOOKUP(2,1/(($Q$9:$AN$9=AU$9)*($Q$8:$AN$8=AU$8)),$Q275:$AN275)</f>
        <v>11954628.02</v>
      </c>
      <c r="AV275" s="73" cm="1">
        <f t="array" ref="AV275">LOOKUP(2,1/(($Q$9:$AN$9=AV$9)*($Q$8:$AN$8=AV$8)),$Q275:$AN275)</f>
        <v>0</v>
      </c>
      <c r="AW275" s="73" cm="1">
        <f t="array" ref="AW275">LOOKUP(2,1/(($Q$9:$AN$9=AW$9)*($Q$8:$AN$8=AW$8)),$Q275:$AN275)</f>
        <v>0</v>
      </c>
      <c r="AX275" s="73" cm="1">
        <f t="array" ref="AX275">LOOKUP(2,1/(($Q$9:$AN$9=AX$9)*($Q$8:$AN$8=AX$8)),$Q275:$AN275)</f>
        <v>0</v>
      </c>
      <c r="AZ275" s="73" cm="1">
        <f t="array" ref="AZ275">LOOKUP(2,1/(($Q$9:$AN$9=AZ$9)*($Q$8:$AN$8=AZ$8)),$Q275:$AN275)</f>
        <v>8056930.4000000004</v>
      </c>
      <c r="BA275" s="73" cm="1">
        <f t="array" ref="BA275">LOOKUP(2,1/(($Q$9:$AN$9=BA$9)*($Q$8:$AN$8=BA$8)),$Q275:$AN275)</f>
        <v>0</v>
      </c>
      <c r="BC275" s="73">
        <f t="shared" si="138"/>
        <v>8056930.4000000004</v>
      </c>
      <c r="BD275" s="73">
        <f t="shared" si="138"/>
        <v>0</v>
      </c>
    </row>
    <row r="276" spans="2:56" outlineLevel="2" x14ac:dyDescent="0.45">
      <c r="B276" s="269" t="s">
        <v>383</v>
      </c>
      <c r="C276" s="471"/>
      <c r="D276" s="471"/>
      <c r="E276" s="471"/>
      <c r="F276" s="471"/>
      <c r="G276" s="471"/>
      <c r="H276" s="471"/>
      <c r="I276" s="471"/>
      <c r="J276" s="471"/>
      <c r="K276" s="471"/>
      <c r="L276" s="471"/>
      <c r="M276" s="471"/>
      <c r="N276" s="471"/>
      <c r="O276" s="471"/>
      <c r="P276" s="471"/>
      <c r="Q276" s="471"/>
      <c r="R276" s="471">
        <f>'Managerial Consolidated'!Q36</f>
        <v>30483635.16</v>
      </c>
      <c r="S276" s="471">
        <f>'Managerial Consolidated'!R36</f>
        <v>33449097.779999997</v>
      </c>
      <c r="T276" s="471">
        <f>'Managerial Consolidated'!S36</f>
        <v>18985446.440000001</v>
      </c>
      <c r="U276" s="471">
        <f>'Managerial Consolidated'!T36</f>
        <v>20723029.140000001</v>
      </c>
      <c r="V276" s="471">
        <f>'Managerial Consolidated'!U36</f>
        <v>60069367.32</v>
      </c>
      <c r="W276" s="471">
        <f>'Managerial Consolidated'!V36</f>
        <v>68567516.230000004</v>
      </c>
      <c r="X276" s="471">
        <f>'Managerial Consolidated'!W36</f>
        <v>74036299.360000014</v>
      </c>
      <c r="Y276" s="471">
        <f>'Managerial Consolidated'!X36</f>
        <v>81594860.109999999</v>
      </c>
      <c r="Z276" s="471">
        <f>'Managerial Consolidated'!Y36</f>
        <v>111009489.92999999</v>
      </c>
      <c r="AA276" s="471">
        <f>'Managerial Consolidated'!Z36</f>
        <v>107218037.13</v>
      </c>
      <c r="AB276" s="471">
        <f>'Managerial Consolidated'!AA36</f>
        <v>130327311.41000003</v>
      </c>
      <c r="AC276" s="471">
        <f>'Managerial Consolidated'!AB36</f>
        <v>89576645.710000008</v>
      </c>
      <c r="AD276" s="471">
        <f>'Managerial Consolidated'!AC36</f>
        <v>99021321.930000007</v>
      </c>
      <c r="AE276" s="471">
        <f>'Managerial Consolidated'!AD36</f>
        <v>116351212.14999999</v>
      </c>
      <c r="AF276" s="471">
        <f>'Managerial Consolidated'!AE36</f>
        <v>97157289.860000014</v>
      </c>
      <c r="AG276" s="471">
        <f>'Managerial Consolidated'!AF36</f>
        <v>55302603.359999999</v>
      </c>
      <c r="AH276" s="331"/>
      <c r="AI276" s="331"/>
      <c r="AJ276" s="331"/>
      <c r="AK276" s="331"/>
      <c r="AL276" s="331"/>
      <c r="AM276" s="331"/>
      <c r="AN276" s="331"/>
      <c r="AO276" s="331"/>
      <c r="AQ276" s="73" cm="1">
        <f t="array" ref="AQ276">LOOKUP(2,1/(($Q$9:$AN$9=AQ$9)*($Q$8:$AN$8=AQ$8)),$Q276:$AN276)</f>
        <v>18985446.440000001</v>
      </c>
      <c r="AR276" s="73" cm="1">
        <f t="array" ref="AR276">LOOKUP(2,1/(($Q$9:$AN$9=AR$9)*($Q$8:$AN$8=AR$8)),$Q276:$AN276)</f>
        <v>68567516.230000004</v>
      </c>
      <c r="AS276" s="73" cm="1">
        <f t="array" ref="AS276">LOOKUP(2,1/(($Q$9:$AN$9=AS$9)*($Q$8:$AN$8=AS$8)),$Q276:$AN276)</f>
        <v>111009489.92999999</v>
      </c>
      <c r="AT276" s="73" cm="1">
        <f t="array" ref="AT276">LOOKUP(2,1/(($Q$9:$AN$9=AT$9)*($Q$8:$AN$8=AT$8)),$Q276:$AN276)</f>
        <v>89576645.710000008</v>
      </c>
      <c r="AU276" s="73" cm="1">
        <f t="array" ref="AU276">LOOKUP(2,1/(($Q$9:$AN$9=AU$9)*($Q$8:$AN$8=AU$8)),$Q276:$AN276)</f>
        <v>97157289.860000014</v>
      </c>
      <c r="AV276" s="73" cm="1">
        <f t="array" ref="AV276">LOOKUP(2,1/(($Q$9:$AN$9=AV$9)*($Q$8:$AN$8=AV$8)),$Q276:$AN276)</f>
        <v>0</v>
      </c>
      <c r="AW276" s="73" cm="1">
        <f t="array" ref="AW276">LOOKUP(2,1/(($Q$9:$AN$9=AW$9)*($Q$8:$AN$8=AW$8)),$Q276:$AN276)</f>
        <v>0</v>
      </c>
      <c r="AX276" s="73" cm="1">
        <f t="array" ref="AX276">LOOKUP(2,1/(($Q$9:$AN$9=AX$9)*($Q$8:$AN$8=AX$8)),$Q276:$AN276)</f>
        <v>0</v>
      </c>
      <c r="AZ276" s="73" cm="1">
        <f t="array" ref="AZ276">LOOKUP(2,1/(($Q$9:$AN$9=AZ$9)*($Q$8:$AN$8=AZ$8)),$Q276:$AN276)</f>
        <v>89576645.710000008</v>
      </c>
      <c r="BA276" s="73" cm="1">
        <f t="array" ref="BA276">LOOKUP(2,1/(($Q$9:$AN$9=BA$9)*($Q$8:$AN$8=BA$8)),$Q276:$AN276)</f>
        <v>0</v>
      </c>
      <c r="BC276" s="73">
        <f t="shared" si="138"/>
        <v>89576645.710000008</v>
      </c>
      <c r="BD276" s="73">
        <f t="shared" si="138"/>
        <v>0</v>
      </c>
    </row>
    <row r="277" spans="2:56" outlineLevel="2" x14ac:dyDescent="0.45">
      <c r="B277" s="468" t="s">
        <v>89</v>
      </c>
      <c r="C277" s="471"/>
      <c r="D277" s="471"/>
      <c r="E277" s="471"/>
      <c r="F277" s="471"/>
      <c r="G277" s="471"/>
      <c r="H277" s="471"/>
      <c r="I277" s="471"/>
      <c r="J277" s="471"/>
      <c r="K277" s="471"/>
      <c r="L277" s="471"/>
      <c r="M277" s="471"/>
      <c r="N277" s="471"/>
      <c r="O277" s="471"/>
      <c r="P277" s="471"/>
      <c r="Q277" s="471"/>
      <c r="R277" s="471">
        <f>'Managerial Consolidated'!Q37</f>
        <v>3210289.08</v>
      </c>
      <c r="S277" s="471">
        <f>'Managerial Consolidated'!R37</f>
        <v>1621471.75</v>
      </c>
      <c r="T277" s="471">
        <f>'Managerial Consolidated'!S37</f>
        <v>1581768.03</v>
      </c>
      <c r="U277" s="471">
        <f>'Managerial Consolidated'!T37</f>
        <v>2.7699999995529652</v>
      </c>
      <c r="V277" s="471">
        <f>'Managerial Consolidated'!U37</f>
        <v>1075199.2299999995</v>
      </c>
      <c r="W277" s="471">
        <f>'Managerial Consolidated'!V37</f>
        <v>5886834.0999999996</v>
      </c>
      <c r="X277" s="471">
        <f>'Managerial Consolidated'!W37</f>
        <v>5680827.2400000002</v>
      </c>
      <c r="Y277" s="471">
        <f>'Managerial Consolidated'!X37</f>
        <v>15027920.310000002</v>
      </c>
      <c r="Z277" s="471">
        <f>'Managerial Consolidated'!Y37</f>
        <v>28232155.269999996</v>
      </c>
      <c r="AA277" s="471">
        <f>'Managerial Consolidated'!Z37</f>
        <v>39965406.460000001</v>
      </c>
      <c r="AB277" s="471">
        <f>'Managerial Consolidated'!AA37</f>
        <v>38826499.880000003</v>
      </c>
      <c r="AC277" s="471">
        <f>'Managerial Consolidated'!AB37</f>
        <v>17710571.77</v>
      </c>
      <c r="AD277" s="471">
        <f>'Managerial Consolidated'!AC37</f>
        <v>24525109.440000001</v>
      </c>
      <c r="AE277" s="471">
        <f>'Managerial Consolidated'!AD37</f>
        <v>18113805.369999997</v>
      </c>
      <c r="AF277" s="471">
        <f>'Managerial Consolidated'!AE37</f>
        <v>24359903.520000003</v>
      </c>
      <c r="AG277" s="471">
        <f>'Managerial Consolidated'!AF37</f>
        <v>25432398.030000001</v>
      </c>
      <c r="AH277" s="331"/>
      <c r="AI277" s="331"/>
      <c r="AJ277" s="331"/>
      <c r="AK277" s="331"/>
      <c r="AL277" s="331"/>
      <c r="AM277" s="331"/>
      <c r="AN277" s="331"/>
      <c r="AO277" s="331"/>
      <c r="AQ277" s="73" cm="1">
        <f t="array" ref="AQ277">LOOKUP(2,1/(($Q$9:$AN$9=AQ$9)*($Q$8:$AN$8=AQ$8)),$Q277:$AN277)</f>
        <v>1581768.03</v>
      </c>
      <c r="AR277" s="73" cm="1">
        <f t="array" ref="AR277">LOOKUP(2,1/(($Q$9:$AN$9=AR$9)*($Q$8:$AN$8=AR$8)),$Q277:$AN277)</f>
        <v>5886834.0999999996</v>
      </c>
      <c r="AS277" s="73" cm="1">
        <f t="array" ref="AS277">LOOKUP(2,1/(($Q$9:$AN$9=AS$9)*($Q$8:$AN$8=AS$8)),$Q277:$AN277)</f>
        <v>28232155.269999996</v>
      </c>
      <c r="AT277" s="73" cm="1">
        <f t="array" ref="AT277">LOOKUP(2,1/(($Q$9:$AN$9=AT$9)*($Q$8:$AN$8=AT$8)),$Q277:$AN277)</f>
        <v>17710571.77</v>
      </c>
      <c r="AU277" s="73" cm="1">
        <f t="array" ref="AU277">LOOKUP(2,1/(($Q$9:$AN$9=AU$9)*($Q$8:$AN$8=AU$8)),$Q277:$AN277)</f>
        <v>24359903.520000003</v>
      </c>
      <c r="AV277" s="73" cm="1">
        <f t="array" ref="AV277">LOOKUP(2,1/(($Q$9:$AN$9=AV$9)*($Q$8:$AN$8=AV$8)),$Q277:$AN277)</f>
        <v>0</v>
      </c>
      <c r="AW277" s="73" cm="1">
        <f t="array" ref="AW277">LOOKUP(2,1/(($Q$9:$AN$9=AW$9)*($Q$8:$AN$8=AW$8)),$Q277:$AN277)</f>
        <v>0</v>
      </c>
      <c r="AX277" s="73" cm="1">
        <f t="array" ref="AX277">LOOKUP(2,1/(($Q$9:$AN$9=AX$9)*($Q$8:$AN$8=AX$8)),$Q277:$AN277)</f>
        <v>0</v>
      </c>
      <c r="AZ277" s="73" cm="1">
        <f t="array" ref="AZ277">LOOKUP(2,1/(($Q$9:$AN$9=AZ$9)*($Q$8:$AN$8=AZ$8)),$Q277:$AN277)</f>
        <v>17710571.77</v>
      </c>
      <c r="BA277" s="73" cm="1">
        <f t="array" ref="BA277">LOOKUP(2,1/(($Q$9:$AN$9=BA$9)*($Q$8:$AN$8=BA$8)),$Q277:$AN277)</f>
        <v>0</v>
      </c>
      <c r="BC277" s="73">
        <f t="shared" si="138"/>
        <v>17710571.77</v>
      </c>
      <c r="BD277" s="73">
        <f t="shared" si="138"/>
        <v>0</v>
      </c>
    </row>
    <row r="278" spans="2:56" outlineLevel="2" x14ac:dyDescent="0.45">
      <c r="B278" s="468" t="s">
        <v>101</v>
      </c>
      <c r="C278" s="471"/>
      <c r="D278" s="471"/>
      <c r="E278" s="471"/>
      <c r="F278" s="471"/>
      <c r="G278" s="471"/>
      <c r="H278" s="471"/>
      <c r="I278" s="471"/>
      <c r="J278" s="471"/>
      <c r="K278" s="471"/>
      <c r="L278" s="471"/>
      <c r="M278" s="471"/>
      <c r="N278" s="471"/>
      <c r="O278" s="471"/>
      <c r="P278" s="471"/>
      <c r="Q278" s="471"/>
      <c r="R278" s="471">
        <f>'Managerial Consolidated'!Q38</f>
        <v>832091.72</v>
      </c>
      <c r="S278" s="471">
        <f>'Managerial Consolidated'!R38</f>
        <v>1039444.94</v>
      </c>
      <c r="T278" s="471">
        <f>'Managerial Consolidated'!S38</f>
        <v>1281225.4300000002</v>
      </c>
      <c r="U278" s="471">
        <f>'Managerial Consolidated'!T38</f>
        <v>1321815.52</v>
      </c>
      <c r="V278" s="471">
        <f>'Managerial Consolidated'!U38</f>
        <v>2196125.9500000002</v>
      </c>
      <c r="W278" s="471">
        <f>'Managerial Consolidated'!V38</f>
        <v>3890793.35</v>
      </c>
      <c r="X278" s="471">
        <f>'Managerial Consolidated'!W38</f>
        <v>2508401.0699999998</v>
      </c>
      <c r="Y278" s="471">
        <f>'Managerial Consolidated'!X38</f>
        <v>3182247.32</v>
      </c>
      <c r="Z278" s="471">
        <f>'Managerial Consolidated'!Y38</f>
        <v>2926072.73</v>
      </c>
      <c r="AA278" s="471">
        <f>'Managerial Consolidated'!Z38</f>
        <v>3035079.2899999996</v>
      </c>
      <c r="AB278" s="471">
        <f>'Managerial Consolidated'!AA38</f>
        <v>2765867.83</v>
      </c>
      <c r="AC278" s="471">
        <f>'Managerial Consolidated'!AB38</f>
        <v>1611600.52</v>
      </c>
      <c r="AD278" s="471">
        <f>'Managerial Consolidated'!AC38</f>
        <v>4658260.7399999993</v>
      </c>
      <c r="AE278" s="471">
        <f>'Managerial Consolidated'!AD38</f>
        <v>6185329.4999999981</v>
      </c>
      <c r="AF278" s="471">
        <f>'Managerial Consolidated'!AE38</f>
        <v>2558739.04</v>
      </c>
      <c r="AG278" s="471">
        <f>'Managerial Consolidated'!AF38</f>
        <v>4619010.62</v>
      </c>
      <c r="AH278" s="331"/>
      <c r="AI278" s="331"/>
      <c r="AJ278" s="331"/>
      <c r="AK278" s="331"/>
      <c r="AL278" s="331"/>
      <c r="AM278" s="331"/>
      <c r="AN278" s="331"/>
      <c r="AO278" s="331"/>
      <c r="AQ278" s="73" cm="1">
        <f t="array" ref="AQ278">LOOKUP(2,1/(($Q$9:$AN$9=AQ$9)*($Q$8:$AN$8=AQ$8)),$Q278:$AN278)</f>
        <v>1281225.4300000002</v>
      </c>
      <c r="AR278" s="73" cm="1">
        <f t="array" ref="AR278">LOOKUP(2,1/(($Q$9:$AN$9=AR$9)*($Q$8:$AN$8=AR$8)),$Q278:$AN278)</f>
        <v>3890793.35</v>
      </c>
      <c r="AS278" s="73" cm="1">
        <f t="array" ref="AS278">LOOKUP(2,1/(($Q$9:$AN$9=AS$9)*($Q$8:$AN$8=AS$8)),$Q278:$AN278)</f>
        <v>2926072.73</v>
      </c>
      <c r="AT278" s="73" cm="1">
        <f t="array" ref="AT278">LOOKUP(2,1/(($Q$9:$AN$9=AT$9)*($Q$8:$AN$8=AT$8)),$Q278:$AN278)</f>
        <v>1611600.52</v>
      </c>
      <c r="AU278" s="73" cm="1">
        <f t="array" ref="AU278">LOOKUP(2,1/(($Q$9:$AN$9=AU$9)*($Q$8:$AN$8=AU$8)),$Q278:$AN278)</f>
        <v>2558739.04</v>
      </c>
      <c r="AV278" s="73" cm="1">
        <f t="array" ref="AV278">LOOKUP(2,1/(($Q$9:$AN$9=AV$9)*($Q$8:$AN$8=AV$8)),$Q278:$AN278)</f>
        <v>0</v>
      </c>
      <c r="AW278" s="73" cm="1">
        <f t="array" ref="AW278">LOOKUP(2,1/(($Q$9:$AN$9=AW$9)*($Q$8:$AN$8=AW$8)),$Q278:$AN278)</f>
        <v>0</v>
      </c>
      <c r="AX278" s="73" cm="1">
        <f t="array" ref="AX278">LOOKUP(2,1/(($Q$9:$AN$9=AX$9)*($Q$8:$AN$8=AX$8)),$Q278:$AN278)</f>
        <v>0</v>
      </c>
      <c r="AZ278" s="73" cm="1">
        <f t="array" ref="AZ278">LOOKUP(2,1/(($Q$9:$AN$9=AZ$9)*($Q$8:$AN$8=AZ$8)),$Q278:$AN278)</f>
        <v>1611600.52</v>
      </c>
      <c r="BA278" s="73" cm="1">
        <f t="array" ref="BA278">LOOKUP(2,1/(($Q$9:$AN$9=BA$9)*($Q$8:$AN$8=BA$8)),$Q278:$AN278)</f>
        <v>0</v>
      </c>
      <c r="BC278" s="73">
        <f t="shared" si="138"/>
        <v>1611600.52</v>
      </c>
      <c r="BD278" s="73">
        <f t="shared" si="138"/>
        <v>0</v>
      </c>
    </row>
    <row r="279" spans="2:56" outlineLevel="2" x14ac:dyDescent="0.45">
      <c r="B279" s="468" t="s">
        <v>1122</v>
      </c>
      <c r="C279" s="471"/>
      <c r="D279" s="471"/>
      <c r="E279" s="471"/>
      <c r="F279" s="471"/>
      <c r="G279" s="471"/>
      <c r="H279" s="471"/>
      <c r="I279" s="471"/>
      <c r="J279" s="471"/>
      <c r="K279" s="471"/>
      <c r="L279" s="471"/>
      <c r="M279" s="471"/>
      <c r="N279" s="471"/>
      <c r="O279" s="471"/>
      <c r="P279" s="471"/>
      <c r="Q279" s="471"/>
      <c r="R279" s="471">
        <f>'Managerial Consolidated'!Q39</f>
        <v>0</v>
      </c>
      <c r="S279" s="471">
        <f>'Managerial Consolidated'!R39</f>
        <v>0</v>
      </c>
      <c r="T279" s="471">
        <f>'Managerial Consolidated'!S39</f>
        <v>0</v>
      </c>
      <c r="U279" s="471">
        <f>'Managerial Consolidated'!T39</f>
        <v>0</v>
      </c>
      <c r="V279" s="471">
        <f>'Managerial Consolidated'!U39</f>
        <v>0</v>
      </c>
      <c r="W279" s="471">
        <f>'Managerial Consolidated'!V39</f>
        <v>0</v>
      </c>
      <c r="X279" s="471">
        <f>'Managerial Consolidated'!W39</f>
        <v>0</v>
      </c>
      <c r="Y279" s="471">
        <f>'Managerial Consolidated'!X39</f>
        <v>0</v>
      </c>
      <c r="Z279" s="471">
        <f>'Managerial Consolidated'!Y39</f>
        <v>0</v>
      </c>
      <c r="AA279" s="471">
        <f>'Managerial Consolidated'!Z39</f>
        <v>0</v>
      </c>
      <c r="AB279" s="471">
        <f>'Managerial Consolidated'!AA39</f>
        <v>0</v>
      </c>
      <c r="AC279" s="471">
        <f>'Managerial Consolidated'!AB39</f>
        <v>0</v>
      </c>
      <c r="AD279" s="471">
        <f>'Managerial Consolidated'!AC39</f>
        <v>0</v>
      </c>
      <c r="AE279" s="471">
        <f>'Managerial Consolidated'!AD39</f>
        <v>0</v>
      </c>
      <c r="AF279" s="471">
        <f>'Managerial Consolidated'!AE39</f>
        <v>0</v>
      </c>
      <c r="AG279" s="471">
        <f>'Managerial Consolidated'!AF39</f>
        <v>0</v>
      </c>
      <c r="AH279" s="331"/>
      <c r="AI279" s="331"/>
      <c r="AJ279" s="331"/>
      <c r="AK279" s="331"/>
      <c r="AL279" s="331"/>
      <c r="AM279" s="331"/>
      <c r="AN279" s="331"/>
      <c r="AO279" s="331"/>
      <c r="AQ279" s="502">
        <f t="shared" ref="AQ279:BD279" si="139">SUM(AQ271:AQ278)</f>
        <v>272016981.34406358</v>
      </c>
      <c r="AR279" s="502">
        <f t="shared" si="139"/>
        <v>494176521.07600015</v>
      </c>
      <c r="AS279" s="502">
        <f t="shared" si="139"/>
        <v>474162899.09600008</v>
      </c>
      <c r="AT279" s="502">
        <f t="shared" si="139"/>
        <v>775191560.02600002</v>
      </c>
      <c r="AU279" s="502">
        <f t="shared" si="139"/>
        <v>896036608.87037456</v>
      </c>
      <c r="AV279" s="502">
        <f t="shared" si="139"/>
        <v>0</v>
      </c>
      <c r="AW279" s="502">
        <f t="shared" si="139"/>
        <v>0</v>
      </c>
      <c r="AX279" s="502">
        <f t="shared" si="139"/>
        <v>0</v>
      </c>
      <c r="AZ279" s="502">
        <f t="shared" si="139"/>
        <v>775191560.02600002</v>
      </c>
      <c r="BA279" s="502">
        <f t="shared" si="139"/>
        <v>0</v>
      </c>
      <c r="BC279" s="502">
        <f t="shared" si="139"/>
        <v>775191560.02600002</v>
      </c>
      <c r="BD279" s="502">
        <f t="shared" si="139"/>
        <v>0</v>
      </c>
    </row>
    <row r="280" spans="2:56" outlineLevel="2" x14ac:dyDescent="0.45">
      <c r="B280" s="468" t="s">
        <v>822</v>
      </c>
      <c r="C280" s="471"/>
      <c r="D280" s="471"/>
      <c r="E280" s="471"/>
      <c r="F280" s="471"/>
      <c r="G280" s="471"/>
      <c r="H280" s="471"/>
      <c r="I280" s="471"/>
      <c r="J280" s="471"/>
      <c r="K280" s="471"/>
      <c r="L280" s="471"/>
      <c r="M280" s="471"/>
      <c r="N280" s="471"/>
      <c r="O280" s="471"/>
      <c r="P280" s="471"/>
      <c r="Q280" s="471"/>
      <c r="R280" s="471">
        <f>'Managerial Consolidated'!Q40</f>
        <v>0</v>
      </c>
      <c r="S280" s="471">
        <f>'Managerial Consolidated'!R40</f>
        <v>0</v>
      </c>
      <c r="T280" s="471">
        <f>'Managerial Consolidated'!S40</f>
        <v>0</v>
      </c>
      <c r="U280" s="471">
        <f>'Managerial Consolidated'!T40</f>
        <v>0</v>
      </c>
      <c r="V280" s="471">
        <f>'Managerial Consolidated'!U40</f>
        <v>0</v>
      </c>
      <c r="W280" s="471">
        <f>'Managerial Consolidated'!V40</f>
        <v>0</v>
      </c>
      <c r="X280" s="471">
        <f>'Managerial Consolidated'!W40</f>
        <v>0</v>
      </c>
      <c r="Y280" s="471">
        <f>'Managerial Consolidated'!X40</f>
        <v>0</v>
      </c>
      <c r="Z280" s="471">
        <f>'Managerial Consolidated'!Y40</f>
        <v>0</v>
      </c>
      <c r="AA280" s="471">
        <f>'Managerial Consolidated'!Z40</f>
        <v>0</v>
      </c>
      <c r="AB280" s="471">
        <f>'Managerial Consolidated'!AA40</f>
        <v>0</v>
      </c>
      <c r="AC280" s="471">
        <f>'Managerial Consolidated'!AB40</f>
        <v>0</v>
      </c>
      <c r="AD280" s="471">
        <f>'Managerial Consolidated'!AC40</f>
        <v>0</v>
      </c>
      <c r="AE280" s="471">
        <f>'Managerial Consolidated'!AD40</f>
        <v>0</v>
      </c>
      <c r="AF280" s="471">
        <f>'Managerial Consolidated'!AE40</f>
        <v>0</v>
      </c>
      <c r="AG280" s="471">
        <f>'Managerial Consolidated'!AF40</f>
        <v>0</v>
      </c>
      <c r="AH280" s="331"/>
      <c r="AI280" s="331"/>
      <c r="AJ280" s="331"/>
      <c r="AK280" s="331"/>
      <c r="AL280" s="331"/>
      <c r="AM280" s="331"/>
      <c r="AN280" s="331"/>
      <c r="AO280" s="331"/>
      <c r="AQ280" s="73"/>
      <c r="AR280" s="73"/>
      <c r="AS280" s="73"/>
      <c r="AT280" s="73"/>
      <c r="AU280" s="73"/>
      <c r="AV280" s="73"/>
      <c r="AW280" s="73"/>
      <c r="AX280" s="73"/>
      <c r="AZ280" s="73"/>
      <c r="BA280" s="73"/>
      <c r="BC280" s="73"/>
      <c r="BD280" s="73"/>
    </row>
    <row r="281" spans="2:56" outlineLevel="2" x14ac:dyDescent="0.45">
      <c r="B281" s="468" t="s">
        <v>1108</v>
      </c>
      <c r="C281" s="471"/>
      <c r="D281" s="471"/>
      <c r="E281" s="471"/>
      <c r="F281" s="471"/>
      <c r="G281" s="471"/>
      <c r="H281" s="471"/>
      <c r="I281" s="471"/>
      <c r="J281" s="471"/>
      <c r="K281" s="471"/>
      <c r="L281" s="471"/>
      <c r="M281" s="471"/>
      <c r="N281" s="471"/>
      <c r="O281" s="471"/>
      <c r="P281" s="471"/>
      <c r="Q281" s="471"/>
      <c r="R281" s="471">
        <f>'Managerial Consolidated'!Q41</f>
        <v>0</v>
      </c>
      <c r="S281" s="471">
        <f>'Managerial Consolidated'!R41</f>
        <v>0</v>
      </c>
      <c r="T281" s="471">
        <f>'Managerial Consolidated'!S41</f>
        <v>0</v>
      </c>
      <c r="U281" s="471">
        <f>'Managerial Consolidated'!T41</f>
        <v>0</v>
      </c>
      <c r="V281" s="471">
        <f>'Managerial Consolidated'!U41</f>
        <v>0</v>
      </c>
      <c r="W281" s="471">
        <f>'Managerial Consolidated'!V41</f>
        <v>0</v>
      </c>
      <c r="X281" s="471">
        <f>'Managerial Consolidated'!W41</f>
        <v>0</v>
      </c>
      <c r="Y281" s="471">
        <f>'Managerial Consolidated'!X41</f>
        <v>0</v>
      </c>
      <c r="Z281" s="471">
        <f>'Managerial Consolidated'!Y41</f>
        <v>0</v>
      </c>
      <c r="AA281" s="471">
        <f>'Managerial Consolidated'!Z41</f>
        <v>0</v>
      </c>
      <c r="AB281" s="471">
        <f>'Managerial Consolidated'!AA41</f>
        <v>0</v>
      </c>
      <c r="AC281" s="471">
        <f>'Managerial Consolidated'!AB41</f>
        <v>0</v>
      </c>
      <c r="AD281" s="471">
        <f>'Managerial Consolidated'!AC41</f>
        <v>0</v>
      </c>
      <c r="AE281" s="471">
        <f>'Managerial Consolidated'!AD41</f>
        <v>0</v>
      </c>
      <c r="AF281" s="471">
        <f>'Managerial Consolidated'!AE41</f>
        <v>0</v>
      </c>
      <c r="AG281" s="471">
        <f>'Managerial Consolidated'!AF41</f>
        <v>0</v>
      </c>
      <c r="AH281" s="331"/>
      <c r="AI281" s="331"/>
      <c r="AJ281" s="331"/>
      <c r="AK281" s="331"/>
      <c r="AL281" s="331"/>
      <c r="AM281" s="331"/>
      <c r="AN281" s="331"/>
      <c r="AO281" s="331"/>
      <c r="AQ281" s="73" cm="1">
        <f t="array" ref="AQ281">LOOKUP(2,1/(($Q$9:$AN$9=AQ$9)*($Q$8:$AN$8=AQ$8)),$Q281:$AN281)</f>
        <v>0</v>
      </c>
      <c r="AR281" s="73" cm="1">
        <f t="array" ref="AR281">LOOKUP(2,1/(($Q$9:$AN$9=AR$9)*($Q$8:$AN$8=AR$8)),$Q281:$AN281)</f>
        <v>0</v>
      </c>
      <c r="AS281" s="73" cm="1">
        <f t="array" ref="AS281">LOOKUP(2,1/(($Q$9:$AN$9=AS$9)*($Q$8:$AN$8=AS$8)),$Q281:$AN281)</f>
        <v>0</v>
      </c>
      <c r="AT281" s="73" cm="1">
        <f t="array" ref="AT281">LOOKUP(2,1/(($Q$9:$AN$9=AT$9)*($Q$8:$AN$8=AT$8)),$Q281:$AN281)</f>
        <v>0</v>
      </c>
      <c r="AU281" s="73" cm="1">
        <f t="array" ref="AU281">LOOKUP(2,1/(($Q$9:$AN$9=AU$9)*($Q$8:$AN$8=AU$8)),$Q281:$AN281)</f>
        <v>0</v>
      </c>
      <c r="AV281" s="73" cm="1">
        <f t="array" ref="AV281">LOOKUP(2,1/(($Q$9:$AN$9=AV$9)*($Q$8:$AN$8=AV$8)),$Q281:$AN281)</f>
        <v>0</v>
      </c>
      <c r="AW281" s="73" cm="1">
        <f t="array" ref="AW281">LOOKUP(2,1/(($Q$9:$AN$9=AW$9)*($Q$8:$AN$8=AW$8)),$Q281:$AN281)</f>
        <v>0</v>
      </c>
      <c r="AX281" s="73" cm="1">
        <f t="array" ref="AX281">LOOKUP(2,1/(($Q$9:$AN$9=AX$9)*($Q$8:$AN$8=AX$8)),$Q281:$AN281)</f>
        <v>0</v>
      </c>
      <c r="AZ281" s="73" cm="1">
        <f t="array" ref="AZ281">LOOKUP(2,1/(($Q$9:$AN$9=AZ$9)*($Q$8:$AN$8=AZ$8)),$Q281:$AN281)</f>
        <v>0</v>
      </c>
      <c r="BA281" s="73" cm="1">
        <f t="array" ref="BA281">LOOKUP(2,1/(($Q$9:$AN$9=BA$9)*($Q$8:$AN$8=BA$8)),$Q281:$AN281)</f>
        <v>0</v>
      </c>
      <c r="BC281" s="73">
        <f t="shared" ref="BC281:BD287" si="140">AZ281</f>
        <v>0</v>
      </c>
      <c r="BD281" s="73">
        <f t="shared" si="140"/>
        <v>0</v>
      </c>
    </row>
    <row r="282" spans="2:56" outlineLevel="2" x14ac:dyDescent="0.45">
      <c r="B282" s="468" t="s">
        <v>1100</v>
      </c>
      <c r="C282" s="471"/>
      <c r="D282" s="471"/>
      <c r="E282" s="471"/>
      <c r="F282" s="471"/>
      <c r="G282" s="471"/>
      <c r="H282" s="471"/>
      <c r="I282" s="471"/>
      <c r="J282" s="471"/>
      <c r="K282" s="471"/>
      <c r="L282" s="471"/>
      <c r="M282" s="471"/>
      <c r="N282" s="471"/>
      <c r="O282" s="471"/>
      <c r="P282" s="471"/>
      <c r="Q282" s="471"/>
      <c r="R282" s="471">
        <f>'Managerial Consolidated'!Q42</f>
        <v>0</v>
      </c>
      <c r="S282" s="471">
        <f>'Managerial Consolidated'!R42</f>
        <v>0</v>
      </c>
      <c r="T282" s="471">
        <f>'Managerial Consolidated'!S42</f>
        <v>0</v>
      </c>
      <c r="U282" s="471">
        <f>'Managerial Consolidated'!T42</f>
        <v>0</v>
      </c>
      <c r="V282" s="471">
        <f>'Managerial Consolidated'!U42</f>
        <v>0</v>
      </c>
      <c r="W282" s="471">
        <f>'Managerial Consolidated'!V42</f>
        <v>0</v>
      </c>
      <c r="X282" s="471">
        <f>'Managerial Consolidated'!W42</f>
        <v>0</v>
      </c>
      <c r="Y282" s="471">
        <f>'Managerial Consolidated'!X42</f>
        <v>0</v>
      </c>
      <c r="Z282" s="471">
        <f>'Managerial Consolidated'!Y42</f>
        <v>0</v>
      </c>
      <c r="AA282" s="471">
        <f>'Managerial Consolidated'!Z42</f>
        <v>0</v>
      </c>
      <c r="AB282" s="471">
        <f>'Managerial Consolidated'!AA42</f>
        <v>0</v>
      </c>
      <c r="AC282" s="471">
        <f>'Managerial Consolidated'!AB42</f>
        <v>0</v>
      </c>
      <c r="AD282" s="471">
        <f>'Managerial Consolidated'!AC42</f>
        <v>0</v>
      </c>
      <c r="AE282" s="471">
        <f>'Managerial Consolidated'!AD42</f>
        <v>0</v>
      </c>
      <c r="AF282" s="471">
        <f>'Managerial Consolidated'!AE42</f>
        <v>0</v>
      </c>
      <c r="AG282" s="471">
        <f>'Managerial Consolidated'!AF42</f>
        <v>0</v>
      </c>
      <c r="AH282" s="331"/>
      <c r="AI282" s="331"/>
      <c r="AJ282" s="331"/>
      <c r="AK282" s="331"/>
      <c r="AL282" s="331"/>
      <c r="AM282" s="331"/>
      <c r="AN282" s="331"/>
      <c r="AO282" s="331"/>
      <c r="AQ282" s="73" cm="1">
        <f t="array" ref="AQ282">LOOKUP(2,1/(($Q$9:$AN$9=AQ$9)*($Q$8:$AN$8=AQ$8)),$Q282:$AN282)</f>
        <v>0</v>
      </c>
      <c r="AR282" s="73" cm="1">
        <f t="array" ref="AR282">LOOKUP(2,1/(($Q$9:$AN$9=AR$9)*($Q$8:$AN$8=AR$8)),$Q282:$AN282)</f>
        <v>0</v>
      </c>
      <c r="AS282" s="73" cm="1">
        <f t="array" ref="AS282">LOOKUP(2,1/(($Q$9:$AN$9=AS$9)*($Q$8:$AN$8=AS$8)),$Q282:$AN282)</f>
        <v>0</v>
      </c>
      <c r="AT282" s="73" cm="1">
        <f t="array" ref="AT282">LOOKUP(2,1/(($Q$9:$AN$9=AT$9)*($Q$8:$AN$8=AT$8)),$Q282:$AN282)</f>
        <v>0</v>
      </c>
      <c r="AU282" s="73" cm="1">
        <f t="array" ref="AU282">LOOKUP(2,1/(($Q$9:$AN$9=AU$9)*($Q$8:$AN$8=AU$8)),$Q282:$AN282)</f>
        <v>0</v>
      </c>
      <c r="AV282" s="73" cm="1">
        <f t="array" ref="AV282">LOOKUP(2,1/(($Q$9:$AN$9=AV$9)*($Q$8:$AN$8=AV$8)),$Q282:$AN282)</f>
        <v>0</v>
      </c>
      <c r="AW282" s="73" cm="1">
        <f t="array" ref="AW282">LOOKUP(2,1/(($Q$9:$AN$9=AW$9)*($Q$8:$AN$8=AW$8)),$Q282:$AN282)</f>
        <v>0</v>
      </c>
      <c r="AX282" s="73" cm="1">
        <f t="array" ref="AX282">LOOKUP(2,1/(($Q$9:$AN$9=AX$9)*($Q$8:$AN$8=AX$8)),$Q282:$AN282)</f>
        <v>0</v>
      </c>
      <c r="AZ282" s="73" cm="1">
        <f t="array" ref="AZ282">LOOKUP(2,1/(($Q$9:$AN$9=AZ$9)*($Q$8:$AN$8=AZ$8)),$Q282:$AN282)</f>
        <v>0</v>
      </c>
      <c r="BA282" s="73" cm="1">
        <f t="array" ref="BA282">LOOKUP(2,1/(($Q$9:$AN$9=BA$9)*($Q$8:$AN$8=BA$8)),$Q282:$AN282)</f>
        <v>0</v>
      </c>
      <c r="BC282" s="73">
        <f t="shared" si="140"/>
        <v>0</v>
      </c>
      <c r="BD282" s="73">
        <f t="shared" si="140"/>
        <v>0</v>
      </c>
    </row>
    <row r="283" spans="2:56" outlineLevel="1" x14ac:dyDescent="0.45">
      <c r="B283" s="293" t="s">
        <v>816</v>
      </c>
      <c r="C283" s="472"/>
      <c r="D283" s="472"/>
      <c r="E283" s="472"/>
      <c r="F283" s="472"/>
      <c r="G283" s="472"/>
      <c r="H283" s="472"/>
      <c r="I283" s="472"/>
      <c r="J283" s="472"/>
      <c r="K283" s="472"/>
      <c r="L283" s="472"/>
      <c r="M283" s="472"/>
      <c r="N283" s="472"/>
      <c r="O283" s="472"/>
      <c r="P283" s="472"/>
      <c r="Q283" s="472"/>
      <c r="R283" s="472">
        <f>SUM(R271:R282)</f>
        <v>243501656.71600005</v>
      </c>
      <c r="S283" s="472">
        <f t="shared" ref="S283:AF283" si="141">SUM(S271:S282)</f>
        <v>238291098.97600007</v>
      </c>
      <c r="T283" s="472">
        <f t="shared" si="141"/>
        <v>272016981.34406358</v>
      </c>
      <c r="U283" s="472">
        <f t="shared" si="141"/>
        <v>310639282.96600008</v>
      </c>
      <c r="V283" s="472">
        <f t="shared" si="141"/>
        <v>392390299.56599993</v>
      </c>
      <c r="W283" s="472">
        <f t="shared" si="141"/>
        <v>494176521.07600015</v>
      </c>
      <c r="X283" s="472">
        <f t="shared" si="141"/>
        <v>431775787.9460001</v>
      </c>
      <c r="Y283" s="472">
        <f t="shared" si="141"/>
        <v>434929749.89599997</v>
      </c>
      <c r="Z283" s="472">
        <f t="shared" si="141"/>
        <v>474162899.09600008</v>
      </c>
      <c r="AA283" s="472">
        <f t="shared" si="141"/>
        <v>503851102.12599999</v>
      </c>
      <c r="AB283" s="472">
        <f t="shared" si="141"/>
        <v>553671762.21600008</v>
      </c>
      <c r="AC283" s="472">
        <f t="shared" si="141"/>
        <v>775191560.02600002</v>
      </c>
      <c r="AD283" s="472">
        <f t="shared" si="141"/>
        <v>777009945.81599998</v>
      </c>
      <c r="AE283" s="472">
        <f t="shared" si="141"/>
        <v>794150148.73214495</v>
      </c>
      <c r="AF283" s="472">
        <f t="shared" si="141"/>
        <v>896036608.87037456</v>
      </c>
      <c r="AG283" s="472">
        <f t="shared" ref="AG283" si="142">SUM(AG271:AG282)</f>
        <v>936571116.00599992</v>
      </c>
      <c r="AH283" s="331"/>
      <c r="AI283" s="331"/>
      <c r="AJ283" s="331"/>
      <c r="AK283" s="331"/>
      <c r="AL283" s="331"/>
      <c r="AM283" s="331"/>
      <c r="AN283" s="331"/>
      <c r="AO283" s="331"/>
      <c r="AQ283" s="73" cm="1">
        <f t="array" ref="AQ283">LOOKUP(2,1/(($Q$9:$AN$9=AQ$9)*($Q$8:$AN$8=AQ$8)),$Q283:$AN283)</f>
        <v>272016981.34406358</v>
      </c>
      <c r="AR283" s="73" cm="1">
        <f t="array" ref="AR283">LOOKUP(2,1/(($Q$9:$AN$9=AR$9)*($Q$8:$AN$8=AR$8)),$Q283:$AN283)</f>
        <v>494176521.07600015</v>
      </c>
      <c r="AS283" s="73" cm="1">
        <f t="array" ref="AS283">LOOKUP(2,1/(($Q$9:$AN$9=AS$9)*($Q$8:$AN$8=AS$8)),$Q283:$AN283)</f>
        <v>474162899.09600008</v>
      </c>
      <c r="AT283" s="73" cm="1">
        <f t="array" ref="AT283">LOOKUP(2,1/(($Q$9:$AN$9=AT$9)*($Q$8:$AN$8=AT$8)),$Q283:$AN283)</f>
        <v>775191560.02600002</v>
      </c>
      <c r="AU283" s="73" cm="1">
        <f t="array" ref="AU283">LOOKUP(2,1/(($Q$9:$AN$9=AU$9)*($Q$8:$AN$8=AU$8)),$Q283:$AN283)</f>
        <v>896036608.87037456</v>
      </c>
      <c r="AV283" s="73" cm="1">
        <f t="array" ref="AV283">LOOKUP(2,1/(($Q$9:$AN$9=AV$9)*($Q$8:$AN$8=AV$8)),$Q283:$AN283)</f>
        <v>0</v>
      </c>
      <c r="AW283" s="73" cm="1">
        <f t="array" ref="AW283">LOOKUP(2,1/(($Q$9:$AN$9=AW$9)*($Q$8:$AN$8=AW$8)),$Q283:$AN283)</f>
        <v>0</v>
      </c>
      <c r="AX283" s="73" cm="1">
        <f t="array" ref="AX283">LOOKUP(2,1/(($Q$9:$AN$9=AX$9)*($Q$8:$AN$8=AX$8)),$Q283:$AN283)</f>
        <v>0</v>
      </c>
      <c r="AZ283" s="73" cm="1">
        <f t="array" ref="AZ283">LOOKUP(2,1/(($Q$9:$AN$9=AZ$9)*($Q$8:$AN$8=AZ$8)),$Q283:$AN283)</f>
        <v>775191560.02600002</v>
      </c>
      <c r="BA283" s="73" cm="1">
        <f t="array" ref="BA283">LOOKUP(2,1/(($Q$9:$AN$9=BA$9)*($Q$8:$AN$8=BA$8)),$Q283:$AN283)</f>
        <v>0</v>
      </c>
      <c r="BC283" s="73">
        <f t="shared" si="140"/>
        <v>775191560.02600002</v>
      </c>
      <c r="BD283" s="73">
        <f t="shared" si="140"/>
        <v>0</v>
      </c>
    </row>
    <row r="284" spans="2:56" outlineLevel="1" x14ac:dyDescent="0.45">
      <c r="C284" s="304"/>
      <c r="D284" s="304"/>
      <c r="E284" s="304"/>
      <c r="F284" s="304"/>
      <c r="G284" s="304"/>
      <c r="H284" s="304"/>
      <c r="I284" s="304"/>
      <c r="J284" s="304"/>
      <c r="K284" s="304"/>
      <c r="L284" s="304"/>
      <c r="M284" s="304"/>
      <c r="N284" s="304"/>
      <c r="O284" s="304"/>
      <c r="P284" s="304"/>
      <c r="Q284" s="304"/>
      <c r="R284" s="304"/>
      <c r="S284" s="304"/>
      <c r="T284" s="304"/>
      <c r="U284" s="304"/>
      <c r="V284" s="304"/>
      <c r="W284" s="304"/>
      <c r="X284" s="304"/>
      <c r="Y284" s="304"/>
      <c r="Z284" s="304"/>
      <c r="AA284" s="304"/>
      <c r="AB284" s="304"/>
      <c r="AC284" s="304"/>
      <c r="AD284" s="304"/>
      <c r="AE284" s="304"/>
      <c r="AF284" s="304"/>
      <c r="AG284" s="304"/>
      <c r="AH284" s="331"/>
      <c r="AI284" s="331"/>
      <c r="AJ284" s="331"/>
      <c r="AK284" s="331"/>
      <c r="AL284" s="331"/>
      <c r="AM284" s="331"/>
      <c r="AN284" s="331"/>
      <c r="AO284" s="331"/>
      <c r="AQ284" s="73" cm="1">
        <f t="array" ref="AQ284">LOOKUP(2,1/(($Q$9:$AN$9=AQ$9)*($Q$8:$AN$8=AQ$8)),$Q284:$AN284)</f>
        <v>0</v>
      </c>
      <c r="AR284" s="73" cm="1">
        <f t="array" ref="AR284">LOOKUP(2,1/(($Q$9:$AN$9=AR$9)*($Q$8:$AN$8=AR$8)),$Q284:$AN284)</f>
        <v>0</v>
      </c>
      <c r="AS284" s="73" cm="1">
        <f t="array" ref="AS284">LOOKUP(2,1/(($Q$9:$AN$9=AS$9)*($Q$8:$AN$8=AS$8)),$Q284:$AN284)</f>
        <v>0</v>
      </c>
      <c r="AT284" s="73" cm="1">
        <f t="array" ref="AT284">LOOKUP(2,1/(($Q$9:$AN$9=AT$9)*($Q$8:$AN$8=AT$8)),$Q284:$AN284)</f>
        <v>0</v>
      </c>
      <c r="AU284" s="73" cm="1">
        <f t="array" ref="AU284">LOOKUP(2,1/(($Q$9:$AN$9=AU$9)*($Q$8:$AN$8=AU$8)),$Q284:$AN284)</f>
        <v>0</v>
      </c>
      <c r="AV284" s="73" cm="1">
        <f t="array" ref="AV284">LOOKUP(2,1/(($Q$9:$AN$9=AV$9)*($Q$8:$AN$8=AV$8)),$Q284:$AN284)</f>
        <v>0</v>
      </c>
      <c r="AW284" s="73" cm="1">
        <f t="array" ref="AW284">LOOKUP(2,1/(($Q$9:$AN$9=AW$9)*($Q$8:$AN$8=AW$8)),$Q284:$AN284)</f>
        <v>0</v>
      </c>
      <c r="AX284" s="73" cm="1">
        <f t="array" ref="AX284">LOOKUP(2,1/(($Q$9:$AN$9=AX$9)*($Q$8:$AN$8=AX$8)),$Q284:$AN284)</f>
        <v>0</v>
      </c>
      <c r="AZ284" s="73" cm="1">
        <f t="array" ref="AZ284">LOOKUP(2,1/(($Q$9:$AN$9=AZ$9)*($Q$8:$AN$8=AZ$8)),$Q284:$AN284)</f>
        <v>0</v>
      </c>
      <c r="BA284" s="73" cm="1">
        <f t="array" ref="BA284">LOOKUP(2,1/(($Q$9:$AN$9=BA$9)*($Q$8:$AN$8=BA$8)),$Q284:$AN284)</f>
        <v>0</v>
      </c>
      <c r="BC284" s="73">
        <f t="shared" si="140"/>
        <v>0</v>
      </c>
      <c r="BD284" s="73">
        <f t="shared" si="140"/>
        <v>0</v>
      </c>
    </row>
    <row r="285" spans="2:56" outlineLevel="2" x14ac:dyDescent="0.45">
      <c r="B285" s="468" t="s">
        <v>1123</v>
      </c>
      <c r="C285" s="471"/>
      <c r="D285" s="471"/>
      <c r="E285" s="471"/>
      <c r="F285" s="471"/>
      <c r="G285" s="471"/>
      <c r="H285" s="471"/>
      <c r="I285" s="471"/>
      <c r="J285" s="471"/>
      <c r="K285" s="471"/>
      <c r="L285" s="471"/>
      <c r="M285" s="471"/>
      <c r="N285" s="471"/>
      <c r="O285" s="471"/>
      <c r="P285" s="471"/>
      <c r="Q285" s="471"/>
      <c r="R285" s="471">
        <f>'Managerial Consolidated'!Q45</f>
        <v>0</v>
      </c>
      <c r="S285" s="471">
        <f>'Managerial Consolidated'!R45</f>
        <v>0</v>
      </c>
      <c r="T285" s="471">
        <f>'Managerial Consolidated'!S45</f>
        <v>0</v>
      </c>
      <c r="U285" s="471">
        <f>'Managerial Consolidated'!T45</f>
        <v>0</v>
      </c>
      <c r="V285" s="471">
        <f>'Managerial Consolidated'!U45</f>
        <v>0</v>
      </c>
      <c r="W285" s="471">
        <f>'Managerial Consolidated'!V45</f>
        <v>98023550</v>
      </c>
      <c r="X285" s="471">
        <f>'Managerial Consolidated'!W45</f>
        <v>99654896.189999998</v>
      </c>
      <c r="Y285" s="471">
        <f>'Managerial Consolidated'!X45</f>
        <v>101341242.38</v>
      </c>
      <c r="Z285" s="471">
        <f>'Managerial Consolidated'!Y45</f>
        <v>103531259.23</v>
      </c>
      <c r="AA285" s="471">
        <f>'Managerial Consolidated'!Z45</f>
        <v>100246792.2</v>
      </c>
      <c r="AB285" s="471">
        <f>'Managerial Consolidated'!AA45</f>
        <v>101871837</v>
      </c>
      <c r="AC285" s="471">
        <f>'Managerial Consolidated'!AB45</f>
        <v>99545094</v>
      </c>
      <c r="AD285" s="471">
        <f>'Managerial Consolidated'!AC45</f>
        <v>100852551.09999999</v>
      </c>
      <c r="AE285" s="471">
        <f>'Managerial Consolidated'!AD45</f>
        <v>102382720.90000001</v>
      </c>
      <c r="AF285" s="471">
        <f>'Managerial Consolidated'!AE45</f>
        <v>100150853.40000001</v>
      </c>
      <c r="AG285" s="471">
        <f>'Managerial Consolidated'!AF45</f>
        <v>101775898.2</v>
      </c>
      <c r="AH285" s="331"/>
      <c r="AI285" s="331"/>
      <c r="AJ285" s="331"/>
      <c r="AK285" s="331"/>
      <c r="AL285" s="331"/>
      <c r="AM285" s="331"/>
      <c r="AN285" s="331"/>
      <c r="AO285" s="331"/>
      <c r="AQ285" s="73" cm="1">
        <f t="array" ref="AQ285">LOOKUP(2,1/(($Q$9:$AN$9=AQ$9)*($Q$8:$AN$8=AQ$8)),$Q285:$AN285)</f>
        <v>0</v>
      </c>
      <c r="AR285" s="73" cm="1">
        <f t="array" ref="AR285">LOOKUP(2,1/(($Q$9:$AN$9=AR$9)*($Q$8:$AN$8=AR$8)),$Q285:$AN285)</f>
        <v>98023550</v>
      </c>
      <c r="AS285" s="73" cm="1">
        <f t="array" ref="AS285">LOOKUP(2,1/(($Q$9:$AN$9=AS$9)*($Q$8:$AN$8=AS$8)),$Q285:$AN285)</f>
        <v>103531259.23</v>
      </c>
      <c r="AT285" s="73" cm="1">
        <f t="array" ref="AT285">LOOKUP(2,1/(($Q$9:$AN$9=AT$9)*($Q$8:$AN$8=AT$8)),$Q285:$AN285)</f>
        <v>99545094</v>
      </c>
      <c r="AU285" s="73" cm="1">
        <f t="array" ref="AU285">LOOKUP(2,1/(($Q$9:$AN$9=AU$9)*($Q$8:$AN$8=AU$8)),$Q285:$AN285)</f>
        <v>100150853.40000001</v>
      </c>
      <c r="AV285" s="73" cm="1">
        <f t="array" ref="AV285">LOOKUP(2,1/(($Q$9:$AN$9=AV$9)*($Q$8:$AN$8=AV$8)),$Q285:$AN285)</f>
        <v>0</v>
      </c>
      <c r="AW285" s="73" cm="1">
        <f t="array" ref="AW285">LOOKUP(2,1/(($Q$9:$AN$9=AW$9)*($Q$8:$AN$8=AW$8)),$Q285:$AN285)</f>
        <v>0</v>
      </c>
      <c r="AX285" s="73" cm="1">
        <f t="array" ref="AX285">LOOKUP(2,1/(($Q$9:$AN$9=AX$9)*($Q$8:$AN$8=AX$8)),$Q285:$AN285)</f>
        <v>0</v>
      </c>
      <c r="AZ285" s="73" cm="1">
        <f t="array" ref="AZ285">LOOKUP(2,1/(($Q$9:$AN$9=AZ$9)*($Q$8:$AN$8=AZ$8)),$Q285:$AN285)</f>
        <v>99545094</v>
      </c>
      <c r="BA285" s="73" cm="1">
        <f t="array" ref="BA285">LOOKUP(2,1/(($Q$9:$AN$9=BA$9)*($Q$8:$AN$8=BA$8)),$Q285:$AN285)</f>
        <v>0</v>
      </c>
      <c r="BC285" s="73">
        <f t="shared" si="140"/>
        <v>99545094</v>
      </c>
      <c r="BD285" s="73">
        <f t="shared" si="140"/>
        <v>0</v>
      </c>
    </row>
    <row r="286" spans="2:56" outlineLevel="2" x14ac:dyDescent="0.45">
      <c r="B286" s="468" t="s">
        <v>180</v>
      </c>
      <c r="C286" s="471"/>
      <c r="D286" s="471"/>
      <c r="E286" s="471"/>
      <c r="F286" s="471"/>
      <c r="G286" s="471"/>
      <c r="H286" s="471"/>
      <c r="I286" s="471"/>
      <c r="J286" s="471"/>
      <c r="K286" s="471"/>
      <c r="L286" s="471"/>
      <c r="M286" s="471"/>
      <c r="N286" s="471"/>
      <c r="O286" s="471"/>
      <c r="P286" s="471"/>
      <c r="Q286" s="471"/>
      <c r="R286" s="471">
        <f>'Managerial Consolidated'!Q46</f>
        <v>86407995.540000007</v>
      </c>
      <c r="S286" s="471">
        <f>'Managerial Consolidated'!R46</f>
        <v>77365458.290000007</v>
      </c>
      <c r="T286" s="471">
        <f>'Managerial Consolidated'!S46</f>
        <v>85649743.360000014</v>
      </c>
      <c r="U286" s="471">
        <f>'Managerial Consolidated'!T46</f>
        <v>75884245.36999999</v>
      </c>
      <c r="V286" s="471">
        <f>'Managerial Consolidated'!U46</f>
        <v>93287973.019999996</v>
      </c>
      <c r="W286" s="471">
        <f>'Managerial Consolidated'!V46</f>
        <v>102139993.81999999</v>
      </c>
      <c r="X286" s="471">
        <f>'Managerial Consolidated'!W46</f>
        <v>39017059.299999997</v>
      </c>
      <c r="Y286" s="471">
        <f>'Managerial Consolidated'!X46</f>
        <v>49058068.079999998</v>
      </c>
      <c r="Z286" s="471">
        <f>'Managerial Consolidated'!Y46</f>
        <v>39088601.869999997</v>
      </c>
      <c r="AA286" s="471">
        <f>'Managerial Consolidated'!Z46</f>
        <v>26825313.680000003</v>
      </c>
      <c r="AB286" s="471">
        <f>'Managerial Consolidated'!AA46</f>
        <v>15499539.449999999</v>
      </c>
      <c r="AC286" s="471">
        <f>'Managerial Consolidated'!AB46</f>
        <v>38684925.779999994</v>
      </c>
      <c r="AD286" s="471">
        <f>'Managerial Consolidated'!AC46</f>
        <v>39661490.099999994</v>
      </c>
      <c r="AE286" s="471">
        <f>'Managerial Consolidated'!AD46</f>
        <v>21976848.610000003</v>
      </c>
      <c r="AF286" s="471">
        <f>'Managerial Consolidated'!AE46</f>
        <v>11704641.119999999</v>
      </c>
      <c r="AG286" s="471">
        <f>'Managerial Consolidated'!AF46</f>
        <v>4044461.17</v>
      </c>
      <c r="AH286" s="331"/>
      <c r="AI286" s="331"/>
      <c r="AJ286" s="331"/>
      <c r="AK286" s="331"/>
      <c r="AL286" s="331"/>
      <c r="AM286" s="331"/>
      <c r="AN286" s="331"/>
      <c r="AO286" s="331"/>
      <c r="AQ286" s="73" cm="1">
        <f t="array" ref="AQ286">LOOKUP(2,1/(($Q$9:$AN$9=AQ$9)*($Q$8:$AN$8=AQ$8)),$Q286:$AN286)</f>
        <v>85649743.360000014</v>
      </c>
      <c r="AR286" s="73" cm="1">
        <f t="array" ref="AR286">LOOKUP(2,1/(($Q$9:$AN$9=AR$9)*($Q$8:$AN$8=AR$8)),$Q286:$AN286)</f>
        <v>102139993.81999999</v>
      </c>
      <c r="AS286" s="73" cm="1">
        <f t="array" ref="AS286">LOOKUP(2,1/(($Q$9:$AN$9=AS$9)*($Q$8:$AN$8=AS$8)),$Q286:$AN286)</f>
        <v>39088601.869999997</v>
      </c>
      <c r="AT286" s="73" cm="1">
        <f t="array" ref="AT286">LOOKUP(2,1/(($Q$9:$AN$9=AT$9)*($Q$8:$AN$8=AT$8)),$Q286:$AN286)</f>
        <v>38684925.779999994</v>
      </c>
      <c r="AU286" s="73" cm="1">
        <f t="array" ref="AU286">LOOKUP(2,1/(($Q$9:$AN$9=AU$9)*($Q$8:$AN$8=AU$8)),$Q286:$AN286)</f>
        <v>11704641.119999999</v>
      </c>
      <c r="AV286" s="73" cm="1">
        <f t="array" ref="AV286">LOOKUP(2,1/(($Q$9:$AN$9=AV$9)*($Q$8:$AN$8=AV$8)),$Q286:$AN286)</f>
        <v>0</v>
      </c>
      <c r="AW286" s="73" cm="1">
        <f t="array" ref="AW286">LOOKUP(2,1/(($Q$9:$AN$9=AW$9)*($Q$8:$AN$8=AW$8)),$Q286:$AN286)</f>
        <v>0</v>
      </c>
      <c r="AX286" s="73" cm="1">
        <f t="array" ref="AX286">LOOKUP(2,1/(($Q$9:$AN$9=AX$9)*($Q$8:$AN$8=AX$8)),$Q286:$AN286)</f>
        <v>0</v>
      </c>
      <c r="AZ286" s="73" cm="1">
        <f t="array" ref="AZ286">LOOKUP(2,1/(($Q$9:$AN$9=AZ$9)*($Q$8:$AN$8=AZ$8)),$Q286:$AN286)</f>
        <v>38684925.779999994</v>
      </c>
      <c r="BA286" s="73" cm="1">
        <f t="array" ref="BA286">LOOKUP(2,1/(($Q$9:$AN$9=BA$9)*($Q$8:$AN$8=BA$8)),$Q286:$AN286)</f>
        <v>0</v>
      </c>
      <c r="BC286" s="73">
        <f t="shared" si="140"/>
        <v>38684925.779999994</v>
      </c>
      <c r="BD286" s="73">
        <f t="shared" si="140"/>
        <v>0</v>
      </c>
    </row>
    <row r="287" spans="2:56" outlineLevel="2" x14ac:dyDescent="0.45">
      <c r="B287" s="468" t="s">
        <v>1124</v>
      </c>
      <c r="C287" s="471"/>
      <c r="D287" s="471"/>
      <c r="E287" s="471"/>
      <c r="F287" s="471"/>
      <c r="G287" s="471"/>
      <c r="H287" s="471"/>
      <c r="I287" s="471"/>
      <c r="J287" s="471"/>
      <c r="K287" s="471"/>
      <c r="L287" s="471"/>
      <c r="M287" s="471"/>
      <c r="N287" s="471"/>
      <c r="O287" s="471"/>
      <c r="P287" s="471"/>
      <c r="Q287" s="471"/>
      <c r="R287" s="471">
        <f>'Managerial Consolidated'!Q47</f>
        <v>73734757.680000007</v>
      </c>
      <c r="S287" s="471">
        <f>'Managerial Consolidated'!R47</f>
        <v>73847996.420000002</v>
      </c>
      <c r="T287" s="471">
        <f>'Managerial Consolidated'!S47</f>
        <v>72417597.359999999</v>
      </c>
      <c r="U287" s="471">
        <f>'Managerial Consolidated'!T47</f>
        <v>127555044.57000002</v>
      </c>
      <c r="V287" s="471">
        <f>'Managerial Consolidated'!U47</f>
        <v>126939557.17999999</v>
      </c>
      <c r="W287" s="471">
        <f>'Managerial Consolidated'!V47</f>
        <v>126313896.05000001</v>
      </c>
      <c r="X287" s="471">
        <f>'Managerial Consolidated'!W47</f>
        <v>138107036.66</v>
      </c>
      <c r="Y287" s="471">
        <f>'Managerial Consolidated'!X47</f>
        <v>137442060.80000001</v>
      </c>
      <c r="Z287" s="471">
        <f>'Managerial Consolidated'!Y47</f>
        <v>136977888.07000002</v>
      </c>
      <c r="AA287" s="471">
        <f>'Managerial Consolidated'!Z47</f>
        <v>137543616.69999999</v>
      </c>
      <c r="AB287" s="471">
        <f>'Managerial Consolidated'!AA47</f>
        <v>155414504.03</v>
      </c>
      <c r="AC287" s="471">
        <f>'Managerial Consolidated'!AB47</f>
        <v>320123543.46000004</v>
      </c>
      <c r="AD287" s="471">
        <f>'Managerial Consolidated'!AC47</f>
        <v>329123594.75999999</v>
      </c>
      <c r="AE287" s="471">
        <f>'Managerial Consolidated'!AD47</f>
        <v>329104898.5200001</v>
      </c>
      <c r="AF287" s="471">
        <f>'Managerial Consolidated'!AE47</f>
        <v>388031073.51999992</v>
      </c>
      <c r="AG287" s="471">
        <f>'Managerial Consolidated'!AF47</f>
        <v>389453941.25</v>
      </c>
      <c r="AH287" s="331"/>
      <c r="AI287" s="331"/>
      <c r="AJ287" s="331"/>
      <c r="AK287" s="331"/>
      <c r="AL287" s="331"/>
      <c r="AM287" s="331"/>
      <c r="AN287" s="331"/>
      <c r="AO287" s="331"/>
      <c r="AQ287" s="73" cm="1">
        <f t="array" ref="AQ287">LOOKUP(2,1/(($Q$9:$AN$9=AQ$9)*($Q$8:$AN$8=AQ$8)),$Q287:$AN287)</f>
        <v>72417597.359999999</v>
      </c>
      <c r="AR287" s="73" cm="1">
        <f t="array" ref="AR287">LOOKUP(2,1/(($Q$9:$AN$9=AR$9)*($Q$8:$AN$8=AR$8)),$Q287:$AN287)</f>
        <v>126313896.05000001</v>
      </c>
      <c r="AS287" s="73" cm="1">
        <f t="array" ref="AS287">LOOKUP(2,1/(($Q$9:$AN$9=AS$9)*($Q$8:$AN$8=AS$8)),$Q287:$AN287)</f>
        <v>136977888.07000002</v>
      </c>
      <c r="AT287" s="73" cm="1">
        <f t="array" ref="AT287">LOOKUP(2,1/(($Q$9:$AN$9=AT$9)*($Q$8:$AN$8=AT$8)),$Q287:$AN287)</f>
        <v>320123543.46000004</v>
      </c>
      <c r="AU287" s="73" cm="1">
        <f t="array" ref="AU287">LOOKUP(2,1/(($Q$9:$AN$9=AU$9)*($Q$8:$AN$8=AU$8)),$Q287:$AN287)</f>
        <v>388031073.51999992</v>
      </c>
      <c r="AV287" s="73" cm="1">
        <f t="array" ref="AV287">LOOKUP(2,1/(($Q$9:$AN$9=AV$9)*($Q$8:$AN$8=AV$8)),$Q287:$AN287)</f>
        <v>0</v>
      </c>
      <c r="AW287" s="73" cm="1">
        <f t="array" ref="AW287">LOOKUP(2,1/(($Q$9:$AN$9=AW$9)*($Q$8:$AN$8=AW$8)),$Q287:$AN287)</f>
        <v>0</v>
      </c>
      <c r="AX287" s="73" cm="1">
        <f t="array" ref="AX287">LOOKUP(2,1/(($Q$9:$AN$9=AX$9)*($Q$8:$AN$8=AX$8)),$Q287:$AN287)</f>
        <v>0</v>
      </c>
      <c r="AZ287" s="73" cm="1">
        <f t="array" ref="AZ287">LOOKUP(2,1/(($Q$9:$AN$9=AZ$9)*($Q$8:$AN$8=AZ$8)),$Q287:$AN287)</f>
        <v>320123543.46000004</v>
      </c>
      <c r="BA287" s="73" cm="1">
        <f t="array" ref="BA287">LOOKUP(2,1/(($Q$9:$AN$9=BA$9)*($Q$8:$AN$8=BA$8)),$Q287:$AN287)</f>
        <v>0</v>
      </c>
      <c r="BC287" s="73">
        <f t="shared" si="140"/>
        <v>320123543.46000004</v>
      </c>
      <c r="BD287" s="73">
        <f t="shared" si="140"/>
        <v>0</v>
      </c>
    </row>
    <row r="288" spans="2:56" outlineLevel="2" x14ac:dyDescent="0.45">
      <c r="B288" s="468" t="s">
        <v>197</v>
      </c>
      <c r="C288" s="471"/>
      <c r="D288" s="471"/>
      <c r="E288" s="471"/>
      <c r="F288" s="471"/>
      <c r="G288" s="471"/>
      <c r="H288" s="471"/>
      <c r="I288" s="471"/>
      <c r="J288" s="471"/>
      <c r="K288" s="471"/>
      <c r="L288" s="471"/>
      <c r="M288" s="471"/>
      <c r="N288" s="471"/>
      <c r="O288" s="471"/>
      <c r="P288" s="471"/>
      <c r="Q288" s="471"/>
      <c r="R288" s="471">
        <f>'Managerial Consolidated'!Q48</f>
        <v>14592146.050000001</v>
      </c>
      <c r="S288" s="471">
        <f>'Managerial Consolidated'!R48</f>
        <v>17489738.91</v>
      </c>
      <c r="T288" s="471">
        <f>'Managerial Consolidated'!S48</f>
        <v>17168859.919999998</v>
      </c>
      <c r="U288" s="471">
        <f>'Managerial Consolidated'!T48</f>
        <v>16032031.189999999</v>
      </c>
      <c r="V288" s="471">
        <f>'Managerial Consolidated'!U48</f>
        <v>12300511.939999999</v>
      </c>
      <c r="W288" s="471">
        <f>'Managerial Consolidated'!V48</f>
        <v>9395860.129999999</v>
      </c>
      <c r="X288" s="471">
        <f>'Managerial Consolidated'!W48</f>
        <v>4416641.49</v>
      </c>
      <c r="Y288" s="471">
        <f>'Managerial Consolidated'!X48</f>
        <v>5167040.82</v>
      </c>
      <c r="Z288" s="471">
        <f>'Managerial Consolidated'!Y48</f>
        <v>8839836.1699999999</v>
      </c>
      <c r="AA288" s="471">
        <f>'Managerial Consolidated'!Z48</f>
        <v>9411972.7599999998</v>
      </c>
      <c r="AB288" s="471">
        <f>'Managerial Consolidated'!AA48</f>
        <v>9232148.6400000006</v>
      </c>
      <c r="AC288" s="471">
        <f>'Managerial Consolidated'!AB48</f>
        <v>15497576.65</v>
      </c>
      <c r="AD288" s="471">
        <f>'Managerial Consolidated'!AC48</f>
        <v>9296494.8800000008</v>
      </c>
      <c r="AE288" s="471">
        <f>'Managerial Consolidated'!AD48</f>
        <v>12901111.140000002</v>
      </c>
      <c r="AF288" s="471">
        <f>'Managerial Consolidated'!AE48</f>
        <v>11921680.32</v>
      </c>
      <c r="AG288" s="471">
        <f>'Managerial Consolidated'!AF48</f>
        <v>19193361</v>
      </c>
      <c r="AH288" s="331"/>
      <c r="AI288" s="331"/>
      <c r="AJ288" s="331"/>
      <c r="AK288" s="331"/>
      <c r="AL288" s="331"/>
      <c r="AM288" s="331"/>
      <c r="AN288" s="331"/>
      <c r="AO288" s="331"/>
      <c r="AQ288" s="502">
        <f t="shared" ref="AQ288:BD288" si="143">SUM(AQ281:AQ287)</f>
        <v>430084322.06406361</v>
      </c>
      <c r="AR288" s="502">
        <f t="shared" si="143"/>
        <v>820653960.9460001</v>
      </c>
      <c r="AS288" s="502">
        <f t="shared" si="143"/>
        <v>753760648.26600015</v>
      </c>
      <c r="AT288" s="502">
        <f t="shared" si="143"/>
        <v>1233545123.266</v>
      </c>
      <c r="AU288" s="502">
        <f t="shared" si="143"/>
        <v>1395923176.9103744</v>
      </c>
      <c r="AV288" s="502">
        <f t="shared" si="143"/>
        <v>0</v>
      </c>
      <c r="AW288" s="502">
        <f t="shared" si="143"/>
        <v>0</v>
      </c>
      <c r="AX288" s="502">
        <f t="shared" si="143"/>
        <v>0</v>
      </c>
      <c r="AZ288" s="502">
        <f t="shared" si="143"/>
        <v>1233545123.266</v>
      </c>
      <c r="BA288" s="502">
        <f t="shared" si="143"/>
        <v>0</v>
      </c>
      <c r="BC288" s="502">
        <f t="shared" si="143"/>
        <v>1233545123.266</v>
      </c>
      <c r="BD288" s="502">
        <f t="shared" si="143"/>
        <v>0</v>
      </c>
    </row>
    <row r="289" spans="2:56" outlineLevel="2" x14ac:dyDescent="0.45">
      <c r="B289" s="468" t="s">
        <v>1125</v>
      </c>
      <c r="C289" s="471"/>
      <c r="D289" s="471"/>
      <c r="E289" s="471"/>
      <c r="F289" s="471"/>
      <c r="G289" s="471"/>
      <c r="H289" s="471"/>
      <c r="I289" s="471"/>
      <c r="J289" s="471"/>
      <c r="K289" s="471"/>
      <c r="L289" s="471"/>
      <c r="M289" s="471"/>
      <c r="N289" s="471"/>
      <c r="O289" s="471"/>
      <c r="P289" s="471"/>
      <c r="Q289" s="471"/>
      <c r="R289" s="471">
        <f>'Managerial Consolidated'!Q49</f>
        <v>10449881.419999998</v>
      </c>
      <c r="S289" s="471">
        <f>'Managerial Consolidated'!R49</f>
        <v>12254548.100000001</v>
      </c>
      <c r="T289" s="471">
        <f>'Managerial Consolidated'!S49</f>
        <v>19382324.690000001</v>
      </c>
      <c r="U289" s="471">
        <f>'Managerial Consolidated'!T49</f>
        <v>21763521.669999998</v>
      </c>
      <c r="V289" s="471">
        <f>'Managerial Consolidated'!U49</f>
        <v>75022405.680000007</v>
      </c>
      <c r="W289" s="471">
        <f>'Managerial Consolidated'!V49</f>
        <v>76684288.689999998</v>
      </c>
      <c r="X289" s="471">
        <f>'Managerial Consolidated'!W49</f>
        <v>76826595.069999993</v>
      </c>
      <c r="Y289" s="471">
        <f>'Managerial Consolidated'!X49</f>
        <v>71772626.700000003</v>
      </c>
      <c r="Z289" s="471">
        <f>'Managerial Consolidated'!Y49</f>
        <v>66474351.130000003</v>
      </c>
      <c r="AA289" s="471">
        <f>'Managerial Consolidated'!Z49</f>
        <v>67308522.780000001</v>
      </c>
      <c r="AB289" s="471">
        <f>'Managerial Consolidated'!AA49</f>
        <v>68194763.969999999</v>
      </c>
      <c r="AC289" s="471">
        <f>'Managerial Consolidated'!AB49</f>
        <v>14427530.52</v>
      </c>
      <c r="AD289" s="471">
        <f>'Managerial Consolidated'!AC49</f>
        <v>70496838.539999992</v>
      </c>
      <c r="AE289" s="471">
        <f>'Managerial Consolidated'!AD49</f>
        <v>71632959.949999988</v>
      </c>
      <c r="AF289" s="471">
        <f>'Managerial Consolidated'!AE49</f>
        <v>18509218.190000001</v>
      </c>
      <c r="AG289" s="471">
        <f>'Managerial Consolidated'!AF49</f>
        <v>17721493.399999999</v>
      </c>
      <c r="AH289" s="331"/>
      <c r="AI289" s="331"/>
      <c r="AJ289" s="331"/>
      <c r="AK289" s="331"/>
      <c r="AL289" s="331"/>
      <c r="AM289" s="331"/>
      <c r="AN289" s="331"/>
      <c r="AO289" s="331"/>
      <c r="AQ289" s="73"/>
      <c r="AR289" s="73"/>
      <c r="AS289" s="73"/>
      <c r="AT289" s="73"/>
      <c r="AU289" s="73"/>
      <c r="AV289" s="73"/>
      <c r="AW289" s="73"/>
      <c r="AX289" s="73"/>
      <c r="AZ289" s="73"/>
      <c r="BA289" s="73"/>
      <c r="BC289" s="73"/>
      <c r="BD289" s="73"/>
    </row>
    <row r="290" spans="2:56" outlineLevel="2" x14ac:dyDescent="0.45">
      <c r="B290" s="468" t="s">
        <v>436</v>
      </c>
      <c r="C290" s="471"/>
      <c r="D290" s="471"/>
      <c r="E290" s="471"/>
      <c r="F290" s="471"/>
      <c r="G290" s="471"/>
      <c r="H290" s="471"/>
      <c r="I290" s="471"/>
      <c r="J290" s="471"/>
      <c r="K290" s="471"/>
      <c r="L290" s="471"/>
      <c r="M290" s="471"/>
      <c r="N290" s="471"/>
      <c r="O290" s="471"/>
      <c r="P290" s="471"/>
      <c r="Q290" s="471"/>
      <c r="R290" s="471">
        <f>'Managerial Consolidated'!Q50</f>
        <v>5816832.2000000011</v>
      </c>
      <c r="S290" s="471">
        <f>'Managerial Consolidated'!R50</f>
        <v>1348022.7400000002</v>
      </c>
      <c r="T290" s="471">
        <f>'Managerial Consolidated'!S50</f>
        <v>2615141.42</v>
      </c>
      <c r="U290" s="471">
        <f>'Managerial Consolidated'!T50</f>
        <v>940910.45000000019</v>
      </c>
      <c r="V290" s="471">
        <f>'Managerial Consolidated'!U50</f>
        <v>1849584.18</v>
      </c>
      <c r="W290" s="471">
        <f>'Managerial Consolidated'!V50</f>
        <v>3359477.38</v>
      </c>
      <c r="X290" s="471">
        <f>'Managerial Consolidated'!W50</f>
        <v>2055176.2</v>
      </c>
      <c r="Y290" s="471">
        <f>'Managerial Consolidated'!X50</f>
        <v>3657595.7499999995</v>
      </c>
      <c r="Z290" s="471">
        <f>'Managerial Consolidated'!Y50</f>
        <v>4619229.55</v>
      </c>
      <c r="AA290" s="471">
        <f>'Managerial Consolidated'!Z50</f>
        <v>4506393.5500000007</v>
      </c>
      <c r="AB290" s="471">
        <f>'Managerial Consolidated'!AA50</f>
        <v>5243775.18</v>
      </c>
      <c r="AC290" s="471">
        <f>'Managerial Consolidated'!AB50</f>
        <v>3930109.34</v>
      </c>
      <c r="AD290" s="471">
        <f>'Managerial Consolidated'!AC50</f>
        <v>4623010.330000001</v>
      </c>
      <c r="AE290" s="471">
        <f>'Managerial Consolidated'!AD50</f>
        <v>4406589.34</v>
      </c>
      <c r="AF290" s="471">
        <f>'Managerial Consolidated'!AE50</f>
        <v>5039581.09</v>
      </c>
      <c r="AG290" s="471">
        <f>'Managerial Consolidated'!AF50</f>
        <v>5327569.49</v>
      </c>
      <c r="AH290" s="331"/>
      <c r="AI290" s="331"/>
      <c r="AJ290" s="331"/>
      <c r="AK290" s="331"/>
      <c r="AL290" s="331"/>
      <c r="AM290" s="331"/>
      <c r="AN290" s="331"/>
      <c r="AO290" s="331"/>
      <c r="AQ290" s="502">
        <f t="shared" ref="AQ290:AX290" si="144">AQ288+AQ279</f>
        <v>702101303.40812719</v>
      </c>
      <c r="AR290" s="502">
        <f t="shared" si="144"/>
        <v>1314830482.0220003</v>
      </c>
      <c r="AS290" s="502">
        <f t="shared" si="144"/>
        <v>1227923547.3620002</v>
      </c>
      <c r="AT290" s="502">
        <f t="shared" si="144"/>
        <v>2008736683.2920001</v>
      </c>
      <c r="AU290" s="502">
        <f t="shared" si="144"/>
        <v>2291959785.7807488</v>
      </c>
      <c r="AV290" s="502">
        <f t="shared" si="144"/>
        <v>0</v>
      </c>
      <c r="AW290" s="502">
        <f t="shared" si="144"/>
        <v>0</v>
      </c>
      <c r="AX290" s="502">
        <f t="shared" si="144"/>
        <v>0</v>
      </c>
      <c r="AZ290" s="502">
        <f t="shared" ref="AZ290:BA290" si="145">AZ288+AZ279</f>
        <v>2008736683.2920001</v>
      </c>
      <c r="BA290" s="502">
        <f t="shared" si="145"/>
        <v>0</v>
      </c>
      <c r="BC290" s="502">
        <f t="shared" ref="BC290:BD290" si="146">BC288+BC279</f>
        <v>2008736683.2920001</v>
      </c>
      <c r="BD290" s="502">
        <f t="shared" si="146"/>
        <v>0</v>
      </c>
    </row>
    <row r="291" spans="2:56" outlineLevel="2" x14ac:dyDescent="0.45">
      <c r="B291" s="468" t="s">
        <v>697</v>
      </c>
      <c r="C291" s="471"/>
      <c r="D291" s="471"/>
      <c r="E291" s="471"/>
      <c r="F291" s="471"/>
      <c r="G291" s="471"/>
      <c r="H291" s="471"/>
      <c r="I291" s="471"/>
      <c r="J291" s="471"/>
      <c r="K291" s="471"/>
      <c r="L291" s="471"/>
      <c r="M291" s="471"/>
      <c r="N291" s="471"/>
      <c r="O291" s="471"/>
      <c r="P291" s="471"/>
      <c r="Q291" s="471"/>
      <c r="R291" s="471">
        <f>'Managerial Consolidated'!Q51</f>
        <v>0</v>
      </c>
      <c r="S291" s="471">
        <f>'Managerial Consolidated'!R51</f>
        <v>0</v>
      </c>
      <c r="T291" s="471">
        <f>'Managerial Consolidated'!S51</f>
        <v>0</v>
      </c>
      <c r="U291" s="471">
        <f>'Managerial Consolidated'!T51</f>
        <v>0</v>
      </c>
      <c r="V291" s="471">
        <f>'Managerial Consolidated'!U51</f>
        <v>0</v>
      </c>
      <c r="W291" s="471">
        <f>'Managerial Consolidated'!V51</f>
        <v>0</v>
      </c>
      <c r="X291" s="471">
        <f>'Managerial Consolidated'!W51</f>
        <v>0</v>
      </c>
      <c r="Y291" s="471">
        <f>'Managerial Consolidated'!X51</f>
        <v>0</v>
      </c>
      <c r="Z291" s="471">
        <f>'Managerial Consolidated'!Y51</f>
        <v>0</v>
      </c>
      <c r="AA291" s="471">
        <f>'Managerial Consolidated'!Z51</f>
        <v>0</v>
      </c>
      <c r="AB291" s="471">
        <f>'Managerial Consolidated'!AA51</f>
        <v>0</v>
      </c>
      <c r="AC291" s="471">
        <f>'Managerial Consolidated'!AB51</f>
        <v>0</v>
      </c>
      <c r="AD291" s="471">
        <f>'Managerial Consolidated'!AC51</f>
        <v>0</v>
      </c>
      <c r="AE291" s="471">
        <f>'Managerial Consolidated'!AD51</f>
        <v>0</v>
      </c>
      <c r="AF291" s="471">
        <f>'Managerial Consolidated'!AE51</f>
        <v>0</v>
      </c>
      <c r="AG291" s="471">
        <f>'Managerial Consolidated'!AF51</f>
        <v>0</v>
      </c>
      <c r="AH291" s="331"/>
      <c r="AI291" s="331"/>
      <c r="AJ291" s="331"/>
      <c r="AK291" s="331"/>
      <c r="AL291" s="331"/>
      <c r="AM291" s="331"/>
      <c r="AN291" s="331"/>
      <c r="AO291" s="331"/>
      <c r="AQ291" s="331"/>
      <c r="AR291" s="331"/>
      <c r="AS291" s="331"/>
      <c r="AT291" s="331"/>
      <c r="AU291" s="331"/>
      <c r="AV291" s="331"/>
      <c r="AW291" s="331"/>
      <c r="AX291" s="331"/>
      <c r="AZ291" s="331"/>
      <c r="BA291" s="331"/>
      <c r="BC291" s="331"/>
      <c r="BD291" s="331"/>
    </row>
    <row r="292" spans="2:56" outlineLevel="2" x14ac:dyDescent="0.45">
      <c r="B292" s="468" t="s">
        <v>438</v>
      </c>
      <c r="C292" s="471"/>
      <c r="D292" s="471"/>
      <c r="E292" s="471"/>
      <c r="F292" s="471"/>
      <c r="G292" s="471"/>
      <c r="H292" s="471"/>
      <c r="I292" s="471"/>
      <c r="J292" s="471"/>
      <c r="K292" s="471"/>
      <c r="L292" s="471"/>
      <c r="M292" s="471"/>
      <c r="N292" s="471"/>
      <c r="O292" s="471"/>
      <c r="P292" s="471"/>
      <c r="Q292" s="471"/>
      <c r="R292" s="471">
        <f>'Managerial Consolidated'!Q52</f>
        <v>168495</v>
      </c>
      <c r="S292" s="471">
        <f>'Managerial Consolidated'!R52</f>
        <v>177478.66</v>
      </c>
      <c r="T292" s="471">
        <f>'Managerial Consolidated'!S52</f>
        <v>183821.49</v>
      </c>
      <c r="U292" s="471">
        <f>'Managerial Consolidated'!T52</f>
        <v>190164.32</v>
      </c>
      <c r="V292" s="471">
        <f>'Managerial Consolidated'!U52</f>
        <v>46987.29</v>
      </c>
      <c r="W292" s="471">
        <f>'Managerial Consolidated'!V52</f>
        <v>59672.95</v>
      </c>
      <c r="X292" s="471">
        <f>'Managerial Consolidated'!W52</f>
        <v>71223.95</v>
      </c>
      <c r="Y292" s="471">
        <f>'Managerial Consolidated'!X52</f>
        <v>82775.259999999995</v>
      </c>
      <c r="Z292" s="471">
        <f>'Managerial Consolidated'!Y52</f>
        <v>94221.46</v>
      </c>
      <c r="AA292" s="471">
        <f>'Managerial Consolidated'!Z52</f>
        <v>54514.36</v>
      </c>
      <c r="AB292" s="471">
        <f>'Managerial Consolidated'!AA52</f>
        <v>67200.02</v>
      </c>
      <c r="AC292" s="471">
        <f>'Managerial Consolidated'!AB52</f>
        <v>708015</v>
      </c>
      <c r="AD292" s="471">
        <f>'Managerial Consolidated'!AC52</f>
        <v>729439</v>
      </c>
      <c r="AE292" s="471">
        <f>'Managerial Consolidated'!AD52</f>
        <v>750863</v>
      </c>
      <c r="AF292" s="471">
        <f>'Managerial Consolidated'!AE52</f>
        <v>772287</v>
      </c>
      <c r="AG292" s="471">
        <f>'Managerial Consolidated'!AF52</f>
        <v>793711</v>
      </c>
      <c r="AH292" s="331"/>
      <c r="AI292" s="331"/>
      <c r="AJ292" s="331"/>
      <c r="AK292" s="331"/>
      <c r="AL292" s="331"/>
      <c r="AM292" s="331"/>
      <c r="AN292" s="331"/>
      <c r="AO292" s="331"/>
      <c r="AQ292" s="73" cm="1">
        <f t="array" ref="AQ292">LOOKUP(2,1/(($Q$9:$AN$9=AQ$9)*($Q$8:$AN$8=AQ$8)),$Q292:$AN292)</f>
        <v>183821.49</v>
      </c>
      <c r="AR292" s="73" cm="1">
        <f t="array" ref="AR292">LOOKUP(2,1/(($Q$9:$AN$9=AR$9)*($Q$8:$AN$8=AR$8)),$Q292:$AN292)</f>
        <v>59672.95</v>
      </c>
      <c r="AS292" s="73" cm="1">
        <f t="array" ref="AS292">LOOKUP(2,1/(($Q$9:$AN$9=AS$9)*($Q$8:$AN$8=AS$8)),$Q292:$AN292)</f>
        <v>94221.46</v>
      </c>
      <c r="AT292" s="73" cm="1">
        <f t="array" ref="AT292">LOOKUP(2,1/(($Q$9:$AN$9=AT$9)*($Q$8:$AN$8=AT$8)),$Q292:$AN292)</f>
        <v>708015</v>
      </c>
      <c r="AU292" s="73" cm="1">
        <f t="array" ref="AU292">LOOKUP(2,1/(($Q$9:$AN$9=AU$9)*($Q$8:$AN$8=AU$8)),$Q292:$AN292)</f>
        <v>772287</v>
      </c>
      <c r="AV292" s="73" cm="1">
        <f t="array" ref="AV292">LOOKUP(2,1/(($Q$9:$AN$9=AV$9)*($Q$8:$AN$8=AV$8)),$Q292:$AN292)</f>
        <v>0</v>
      </c>
      <c r="AW292" s="73" cm="1">
        <f t="array" ref="AW292">LOOKUP(2,1/(($Q$9:$AN$9=AW$9)*($Q$8:$AN$8=AW$8)),$Q292:$AN292)</f>
        <v>0</v>
      </c>
      <c r="AX292" s="73" cm="1">
        <f t="array" ref="AX292">LOOKUP(2,1/(($Q$9:$AN$9=AX$9)*($Q$8:$AN$8=AX$8)),$Q292:$AN292)</f>
        <v>0</v>
      </c>
      <c r="AZ292" s="73" cm="1">
        <f t="array" ref="AZ292">LOOKUP(2,1/(($Q$9:$AN$9=AZ$9)*($Q$8:$AN$8=AZ$8)),$Q292:$AN292)</f>
        <v>708015</v>
      </c>
      <c r="BA292" s="73" cm="1">
        <f t="array" ref="BA292">LOOKUP(2,1/(($Q$9:$AN$9=BA$9)*($Q$8:$AN$8=BA$8)),$Q292:$AN292)</f>
        <v>0</v>
      </c>
      <c r="BC292" s="73">
        <f t="shared" ref="BC292:BD296" si="147">AZ292</f>
        <v>708015</v>
      </c>
      <c r="BD292" s="73">
        <f t="shared" si="147"/>
        <v>0</v>
      </c>
    </row>
    <row r="293" spans="2:56" outlineLevel="1" x14ac:dyDescent="0.45">
      <c r="B293" s="293" t="s">
        <v>142</v>
      </c>
      <c r="C293" s="472"/>
      <c r="D293" s="472"/>
      <c r="E293" s="472"/>
      <c r="F293" s="472"/>
      <c r="G293" s="472"/>
      <c r="H293" s="472"/>
      <c r="I293" s="472"/>
      <c r="J293" s="472"/>
      <c r="K293" s="472"/>
      <c r="L293" s="472"/>
      <c r="M293" s="472"/>
      <c r="N293" s="472"/>
      <c r="O293" s="472"/>
      <c r="P293" s="472"/>
      <c r="Q293" s="472"/>
      <c r="R293" s="472">
        <f>SUM(R285:R292)</f>
        <v>191170107.89000002</v>
      </c>
      <c r="S293" s="472">
        <f t="shared" ref="S293:AF293" si="148">SUM(S285:S292)</f>
        <v>182483243.12</v>
      </c>
      <c r="T293" s="472">
        <f t="shared" si="148"/>
        <v>197417488.24000001</v>
      </c>
      <c r="U293" s="472">
        <f t="shared" si="148"/>
        <v>242365917.56999996</v>
      </c>
      <c r="V293" s="472">
        <f t="shared" si="148"/>
        <v>309447019.29000002</v>
      </c>
      <c r="W293" s="472">
        <f t="shared" si="148"/>
        <v>415976739.01999998</v>
      </c>
      <c r="X293" s="472">
        <f t="shared" si="148"/>
        <v>360148628.85999995</v>
      </c>
      <c r="Y293" s="472">
        <f t="shared" si="148"/>
        <v>368521409.78999996</v>
      </c>
      <c r="Z293" s="472">
        <f t="shared" si="148"/>
        <v>359625387.48000002</v>
      </c>
      <c r="AA293" s="472">
        <f t="shared" si="148"/>
        <v>345897126.03000003</v>
      </c>
      <c r="AB293" s="472">
        <f t="shared" si="148"/>
        <v>355523768.29000002</v>
      </c>
      <c r="AC293" s="472">
        <f t="shared" si="148"/>
        <v>492916794.74999994</v>
      </c>
      <c r="AD293" s="472">
        <f t="shared" si="148"/>
        <v>554783418.71000004</v>
      </c>
      <c r="AE293" s="472">
        <f t="shared" si="148"/>
        <v>543155991.46000016</v>
      </c>
      <c r="AF293" s="472">
        <f t="shared" si="148"/>
        <v>536129334.63999993</v>
      </c>
      <c r="AG293" s="472">
        <f t="shared" ref="AG293" si="149">SUM(AG285:AG292)</f>
        <v>538310435.50999999</v>
      </c>
      <c r="AH293" s="331"/>
      <c r="AI293" s="331"/>
      <c r="AJ293" s="331"/>
      <c r="AK293" s="331"/>
      <c r="AL293" s="331"/>
      <c r="AM293" s="331"/>
      <c r="AN293" s="331"/>
      <c r="AO293" s="331"/>
      <c r="AQ293" s="73" cm="1">
        <f t="array" ref="AQ293">LOOKUP(2,1/(($Q$9:$AN$9=AQ$9)*($Q$8:$AN$8=AQ$8)),$Q293:$AN293)</f>
        <v>197417488.24000001</v>
      </c>
      <c r="AR293" s="73" cm="1">
        <f t="array" ref="AR293">LOOKUP(2,1/(($Q$9:$AN$9=AR$9)*($Q$8:$AN$8=AR$8)),$Q293:$AN293)</f>
        <v>415976739.01999998</v>
      </c>
      <c r="AS293" s="73" cm="1">
        <f t="array" ref="AS293">LOOKUP(2,1/(($Q$9:$AN$9=AS$9)*($Q$8:$AN$8=AS$8)),$Q293:$AN293)</f>
        <v>359625387.48000002</v>
      </c>
      <c r="AT293" s="73" cm="1">
        <f t="array" ref="AT293">LOOKUP(2,1/(($Q$9:$AN$9=AT$9)*($Q$8:$AN$8=AT$8)),$Q293:$AN293)</f>
        <v>492916794.74999994</v>
      </c>
      <c r="AU293" s="73" cm="1">
        <f t="array" ref="AU293">LOOKUP(2,1/(($Q$9:$AN$9=AU$9)*($Q$8:$AN$8=AU$8)),$Q293:$AN293)</f>
        <v>536129334.63999993</v>
      </c>
      <c r="AV293" s="73" cm="1">
        <f t="array" ref="AV293">LOOKUP(2,1/(($Q$9:$AN$9=AV$9)*($Q$8:$AN$8=AV$8)),$Q293:$AN293)</f>
        <v>0</v>
      </c>
      <c r="AW293" s="73" cm="1">
        <f t="array" ref="AW293">LOOKUP(2,1/(($Q$9:$AN$9=AW$9)*($Q$8:$AN$8=AW$8)),$Q293:$AN293)</f>
        <v>0</v>
      </c>
      <c r="AX293" s="73" cm="1">
        <f t="array" ref="AX293">LOOKUP(2,1/(($Q$9:$AN$9=AX$9)*($Q$8:$AN$8=AX$8)),$Q293:$AN293)</f>
        <v>0</v>
      </c>
      <c r="AZ293" s="73" cm="1">
        <f t="array" ref="AZ293">LOOKUP(2,1/(($Q$9:$AN$9=AZ$9)*($Q$8:$AN$8=AZ$8)),$Q293:$AN293)</f>
        <v>492916794.74999994</v>
      </c>
      <c r="BA293" s="73" cm="1">
        <f t="array" ref="BA293">LOOKUP(2,1/(($Q$9:$AN$9=BA$9)*($Q$8:$AN$8=BA$8)),$Q293:$AN293)</f>
        <v>0</v>
      </c>
      <c r="BC293" s="73">
        <f t="shared" si="147"/>
        <v>492916794.74999994</v>
      </c>
      <c r="BD293" s="73">
        <f t="shared" si="147"/>
        <v>0</v>
      </c>
    </row>
    <row r="294" spans="2:56" outlineLevel="1" x14ac:dyDescent="0.45">
      <c r="C294" s="473"/>
      <c r="D294" s="473"/>
      <c r="E294" s="473"/>
      <c r="F294" s="473"/>
      <c r="G294" s="473"/>
      <c r="H294" s="473"/>
      <c r="I294" s="473"/>
      <c r="J294" s="473"/>
      <c r="K294" s="473"/>
      <c r="L294" s="473"/>
      <c r="M294" s="473"/>
      <c r="N294" s="473"/>
      <c r="O294" s="473"/>
      <c r="P294" s="473"/>
      <c r="Q294" s="473"/>
      <c r="R294" s="473"/>
      <c r="S294" s="473"/>
      <c r="T294" s="473"/>
      <c r="U294" s="473"/>
      <c r="V294" s="473"/>
      <c r="W294" s="473"/>
      <c r="X294" s="473"/>
      <c r="Y294" s="473"/>
      <c r="Z294" s="473"/>
      <c r="AA294" s="473"/>
      <c r="AB294" s="473"/>
      <c r="AC294" s="473"/>
      <c r="AD294" s="473"/>
      <c r="AE294" s="473"/>
      <c r="AF294" s="473"/>
      <c r="AG294" s="473"/>
      <c r="AH294" s="331"/>
      <c r="AI294" s="331"/>
      <c r="AJ294" s="331"/>
      <c r="AK294" s="331"/>
      <c r="AL294" s="331"/>
      <c r="AM294" s="331"/>
      <c r="AN294" s="331"/>
      <c r="AO294" s="331"/>
      <c r="AQ294" s="73" cm="1">
        <f t="array" ref="AQ294">LOOKUP(2,1/(($Q$9:$AN$9=AQ$9)*($Q$8:$AN$8=AQ$8)),$Q294:$AN294)</f>
        <v>0</v>
      </c>
      <c r="AR294" s="73" cm="1">
        <f t="array" ref="AR294">LOOKUP(2,1/(($Q$9:$AN$9=AR$9)*($Q$8:$AN$8=AR$8)),$Q294:$AN294)</f>
        <v>0</v>
      </c>
      <c r="AS294" s="73" cm="1">
        <f t="array" ref="AS294">LOOKUP(2,1/(($Q$9:$AN$9=AS$9)*($Q$8:$AN$8=AS$8)),$Q294:$AN294)</f>
        <v>0</v>
      </c>
      <c r="AT294" s="73" cm="1">
        <f t="array" ref="AT294">LOOKUP(2,1/(($Q$9:$AN$9=AT$9)*($Q$8:$AN$8=AT$8)),$Q294:$AN294)</f>
        <v>0</v>
      </c>
      <c r="AU294" s="73" cm="1">
        <f t="array" ref="AU294">LOOKUP(2,1/(($Q$9:$AN$9=AU$9)*($Q$8:$AN$8=AU$8)),$Q294:$AN294)</f>
        <v>0</v>
      </c>
      <c r="AV294" s="73" cm="1">
        <f t="array" ref="AV294">LOOKUP(2,1/(($Q$9:$AN$9=AV$9)*($Q$8:$AN$8=AV$8)),$Q294:$AN294)</f>
        <v>0</v>
      </c>
      <c r="AW294" s="73" cm="1">
        <f t="array" ref="AW294">LOOKUP(2,1/(($Q$9:$AN$9=AW$9)*($Q$8:$AN$8=AW$8)),$Q294:$AN294)</f>
        <v>0</v>
      </c>
      <c r="AX294" s="73" cm="1">
        <f t="array" ref="AX294">LOOKUP(2,1/(($Q$9:$AN$9=AX$9)*($Q$8:$AN$8=AX$8)),$Q294:$AN294)</f>
        <v>0</v>
      </c>
      <c r="AZ294" s="73" cm="1">
        <f t="array" ref="AZ294">LOOKUP(2,1/(($Q$9:$AN$9=AZ$9)*($Q$8:$AN$8=AZ$8)),$Q294:$AN294)</f>
        <v>0</v>
      </c>
      <c r="BA294" s="73" cm="1">
        <f t="array" ref="BA294">LOOKUP(2,1/(($Q$9:$AN$9=BA$9)*($Q$8:$AN$8=BA$8)),$Q294:$AN294)</f>
        <v>0</v>
      </c>
      <c r="BC294" s="73">
        <f t="shared" si="147"/>
        <v>0</v>
      </c>
      <c r="BD294" s="73">
        <f t="shared" si="147"/>
        <v>0</v>
      </c>
    </row>
    <row r="295" spans="2:56" outlineLevel="2" x14ac:dyDescent="0.45">
      <c r="B295" s="468" t="s">
        <v>1126</v>
      </c>
      <c r="C295" s="470"/>
      <c r="D295" s="470"/>
      <c r="E295" s="470"/>
      <c r="F295" s="470"/>
      <c r="G295" s="470"/>
      <c r="H295" s="470"/>
      <c r="I295" s="470"/>
      <c r="J295" s="470"/>
      <c r="K295" s="470"/>
      <c r="L295" s="470"/>
      <c r="M295" s="470"/>
      <c r="N295" s="470"/>
      <c r="O295" s="470"/>
      <c r="P295" s="470"/>
      <c r="Q295" s="470"/>
      <c r="R295" s="470">
        <f>'Managerial Consolidated'!Q59</f>
        <v>52331548.829999983</v>
      </c>
      <c r="S295" s="470">
        <f>'Managerial Consolidated'!R59</f>
        <v>55807855.859999985</v>
      </c>
      <c r="T295" s="470">
        <f>'Managerial Consolidated'!S59</f>
        <v>74599493.108063519</v>
      </c>
      <c r="U295" s="470">
        <f>'Managerial Consolidated'!T59</f>
        <v>68273365.400000066</v>
      </c>
      <c r="V295" s="470">
        <f>'Managerial Consolidated'!U59</f>
        <v>82943280.279999867</v>
      </c>
      <c r="W295" s="470">
        <f>'Managerial Consolidated'!V59</f>
        <v>78199782.060000047</v>
      </c>
      <c r="X295" s="470">
        <f>'Managerial Consolidated'!W59</f>
        <v>71627159.089999989</v>
      </c>
      <c r="Y295" s="470">
        <f>'Managerial Consolidated'!X59</f>
        <v>66408340.10999994</v>
      </c>
      <c r="Z295" s="470">
        <f>'Managerial Consolidated'!Y59</f>
        <v>114537511.61999996</v>
      </c>
      <c r="AA295" s="470">
        <f>'Managerial Consolidated'!Z59</f>
        <v>157953976.0999999</v>
      </c>
      <c r="AB295" s="470">
        <f>'Managerial Consolidated'!AA59</f>
        <v>198147993.93000001</v>
      </c>
      <c r="AC295" s="470">
        <f>'Managerial Consolidated'!AB59</f>
        <v>282274765.28000003</v>
      </c>
      <c r="AD295" s="470">
        <f>'Managerial Consolidated'!AC59</f>
        <v>222226527.11000007</v>
      </c>
      <c r="AE295" s="470">
        <f>'Managerial Consolidated'!AD59</f>
        <v>250994157.27614486</v>
      </c>
      <c r="AF295" s="470">
        <f>'Managerial Consolidated'!AE59</f>
        <v>359907274.23437476</v>
      </c>
      <c r="AG295" s="470">
        <f>'Managerial Consolidated'!AF59</f>
        <v>398260680.49999988</v>
      </c>
      <c r="AH295" s="331"/>
      <c r="AI295" s="331"/>
      <c r="AJ295" s="331"/>
      <c r="AK295" s="331"/>
      <c r="AL295" s="331"/>
      <c r="AM295" s="331"/>
      <c r="AN295" s="331"/>
      <c r="AO295" s="331"/>
      <c r="AQ295" s="73" cm="1">
        <f t="array" ref="AQ295">LOOKUP(2,1/(($Q$9:$AN$9=AQ$9)*($Q$8:$AN$8=AQ$8)),$Q295:$AN295)</f>
        <v>74599493.108063519</v>
      </c>
      <c r="AR295" s="73" cm="1">
        <f t="array" ref="AR295">LOOKUP(2,1/(($Q$9:$AN$9=AR$9)*($Q$8:$AN$8=AR$8)),$Q295:$AN295)</f>
        <v>78199782.060000047</v>
      </c>
      <c r="AS295" s="73" cm="1">
        <f t="array" ref="AS295">LOOKUP(2,1/(($Q$9:$AN$9=AS$9)*($Q$8:$AN$8=AS$8)),$Q295:$AN295)</f>
        <v>114537511.61999996</v>
      </c>
      <c r="AT295" s="73" cm="1">
        <f t="array" ref="AT295">LOOKUP(2,1/(($Q$9:$AN$9=AT$9)*($Q$8:$AN$8=AT$8)),$Q295:$AN295)</f>
        <v>282274765.28000003</v>
      </c>
      <c r="AU295" s="73" cm="1">
        <f t="array" ref="AU295">LOOKUP(2,1/(($Q$9:$AN$9=AU$9)*($Q$8:$AN$8=AU$8)),$Q295:$AN295)</f>
        <v>359907274.23437476</v>
      </c>
      <c r="AV295" s="73" cm="1">
        <f t="array" ref="AV295">LOOKUP(2,1/(($Q$9:$AN$9=AV$9)*($Q$8:$AN$8=AV$8)),$Q295:$AN295)</f>
        <v>0</v>
      </c>
      <c r="AW295" s="73" cm="1">
        <f t="array" ref="AW295">LOOKUP(2,1/(($Q$9:$AN$9=AW$9)*($Q$8:$AN$8=AW$8)),$Q295:$AN295)</f>
        <v>0</v>
      </c>
      <c r="AX295" s="73" cm="1">
        <f t="array" ref="AX295">LOOKUP(2,1/(($Q$9:$AN$9=AX$9)*($Q$8:$AN$8=AX$8)),$Q295:$AN295)</f>
        <v>0</v>
      </c>
      <c r="AZ295" s="73" cm="1">
        <f t="array" ref="AZ295">LOOKUP(2,1/(($Q$9:$AN$9=AZ$9)*($Q$8:$AN$8=AZ$8)),$Q295:$AN295)</f>
        <v>282274765.28000003</v>
      </c>
      <c r="BA295" s="73" cm="1">
        <f t="array" ref="BA295">LOOKUP(2,1/(($Q$9:$AN$9=BA$9)*($Q$8:$AN$8=BA$8)),$Q295:$AN295)</f>
        <v>0</v>
      </c>
      <c r="BC295" s="73">
        <f t="shared" si="147"/>
        <v>282274765.28000003</v>
      </c>
      <c r="BD295" s="73">
        <f t="shared" si="147"/>
        <v>0</v>
      </c>
    </row>
    <row r="296" spans="2:56" outlineLevel="2" x14ac:dyDescent="0.45">
      <c r="B296" s="468" t="s">
        <v>1127</v>
      </c>
      <c r="C296" s="471"/>
      <c r="D296" s="471"/>
      <c r="E296" s="471"/>
      <c r="F296" s="471"/>
      <c r="G296" s="471"/>
      <c r="H296" s="471"/>
      <c r="I296" s="471"/>
      <c r="J296" s="471"/>
      <c r="K296" s="471"/>
      <c r="L296" s="471"/>
      <c r="M296" s="471"/>
      <c r="N296" s="471"/>
      <c r="O296" s="471"/>
      <c r="P296" s="471"/>
      <c r="Q296" s="471"/>
      <c r="R296" s="471"/>
      <c r="S296" s="471"/>
      <c r="T296" s="471"/>
      <c r="U296" s="471"/>
      <c r="V296" s="471"/>
      <c r="W296" s="471"/>
      <c r="X296" s="471"/>
      <c r="Y296" s="471"/>
      <c r="Z296" s="471"/>
      <c r="AA296" s="471"/>
      <c r="AB296" s="471"/>
      <c r="AC296" s="471"/>
      <c r="AD296" s="471"/>
      <c r="AE296" s="471"/>
      <c r="AF296" s="471"/>
      <c r="AG296" s="471"/>
      <c r="AH296" s="331"/>
      <c r="AI296" s="331"/>
      <c r="AJ296" s="331"/>
      <c r="AK296" s="331"/>
      <c r="AL296" s="331"/>
      <c r="AM296" s="331"/>
      <c r="AN296" s="331"/>
      <c r="AO296" s="331"/>
      <c r="AQ296" s="73" cm="1">
        <f t="array" ref="AQ296">LOOKUP(2,1/(($Q$9:$AN$9=AQ$9)*($Q$8:$AN$8=AQ$8)),$Q296:$AN296)</f>
        <v>0</v>
      </c>
      <c r="AR296" s="73" cm="1">
        <f t="array" ref="AR296">LOOKUP(2,1/(($Q$9:$AN$9=AR$9)*($Q$8:$AN$8=AR$8)),$Q296:$AN296)</f>
        <v>0</v>
      </c>
      <c r="AS296" s="73" cm="1">
        <f t="array" ref="AS296">LOOKUP(2,1/(($Q$9:$AN$9=AS$9)*($Q$8:$AN$8=AS$8)),$Q296:$AN296)</f>
        <v>0</v>
      </c>
      <c r="AT296" s="73" cm="1">
        <f t="array" ref="AT296">LOOKUP(2,1/(($Q$9:$AN$9=AT$9)*($Q$8:$AN$8=AT$8)),$Q296:$AN296)</f>
        <v>0</v>
      </c>
      <c r="AU296" s="73" cm="1">
        <f t="array" ref="AU296">LOOKUP(2,1/(($Q$9:$AN$9=AU$9)*($Q$8:$AN$8=AU$8)),$Q296:$AN296)</f>
        <v>0</v>
      </c>
      <c r="AV296" s="73" cm="1">
        <f t="array" ref="AV296">LOOKUP(2,1/(($Q$9:$AN$9=AV$9)*($Q$8:$AN$8=AV$8)),$Q296:$AN296)</f>
        <v>0</v>
      </c>
      <c r="AW296" s="73" cm="1">
        <f t="array" ref="AW296">LOOKUP(2,1/(($Q$9:$AN$9=AW$9)*($Q$8:$AN$8=AW$8)),$Q296:$AN296)</f>
        <v>0</v>
      </c>
      <c r="AX296" s="73" cm="1">
        <f t="array" ref="AX296">LOOKUP(2,1/(($Q$9:$AN$9=AX$9)*($Q$8:$AN$8=AX$8)),$Q296:$AN296)</f>
        <v>0</v>
      </c>
      <c r="AZ296" s="73" cm="1">
        <f t="array" ref="AZ296">LOOKUP(2,1/(($Q$9:$AN$9=AZ$9)*($Q$8:$AN$8=AZ$8)),$Q296:$AN296)</f>
        <v>0</v>
      </c>
      <c r="BA296" s="73" cm="1">
        <f t="array" ref="BA296">LOOKUP(2,1/(($Q$9:$AN$9=BA$9)*($Q$8:$AN$8=BA$8)),$Q296:$AN296)</f>
        <v>0</v>
      </c>
      <c r="BC296" s="73">
        <f t="shared" si="147"/>
        <v>0</v>
      </c>
      <c r="BD296" s="73">
        <f t="shared" si="147"/>
        <v>0</v>
      </c>
    </row>
    <row r="297" spans="2:56" outlineLevel="1" x14ac:dyDescent="0.45">
      <c r="B297" s="293" t="s">
        <v>1102</v>
      </c>
      <c r="C297" s="474"/>
      <c r="D297" s="474"/>
      <c r="E297" s="474"/>
      <c r="F297" s="474"/>
      <c r="G297" s="474"/>
      <c r="H297" s="474"/>
      <c r="I297" s="474"/>
      <c r="J297" s="474"/>
      <c r="K297" s="474"/>
      <c r="L297" s="474"/>
      <c r="M297" s="474"/>
      <c r="N297" s="474"/>
      <c r="O297" s="474"/>
      <c r="P297" s="474"/>
      <c r="Q297" s="474"/>
      <c r="R297" s="474">
        <f>SUM(R295:R296)</f>
        <v>52331548.829999983</v>
      </c>
      <c r="S297" s="474">
        <f t="shared" ref="S297:AF297" si="150">SUM(S295:S296)</f>
        <v>55807855.859999985</v>
      </c>
      <c r="T297" s="474">
        <f t="shared" si="150"/>
        <v>74599493.108063519</v>
      </c>
      <c r="U297" s="474">
        <f t="shared" si="150"/>
        <v>68273365.400000066</v>
      </c>
      <c r="V297" s="474">
        <f t="shared" si="150"/>
        <v>82943280.279999867</v>
      </c>
      <c r="W297" s="474">
        <f t="shared" si="150"/>
        <v>78199782.060000047</v>
      </c>
      <c r="X297" s="474">
        <f t="shared" si="150"/>
        <v>71627159.089999989</v>
      </c>
      <c r="Y297" s="474">
        <f t="shared" si="150"/>
        <v>66408340.10999994</v>
      </c>
      <c r="Z297" s="474">
        <f t="shared" si="150"/>
        <v>114537511.61999996</v>
      </c>
      <c r="AA297" s="474">
        <f t="shared" si="150"/>
        <v>157953976.0999999</v>
      </c>
      <c r="AB297" s="474">
        <f t="shared" si="150"/>
        <v>198147993.93000001</v>
      </c>
      <c r="AC297" s="474">
        <f t="shared" si="150"/>
        <v>282274765.28000003</v>
      </c>
      <c r="AD297" s="474">
        <f t="shared" si="150"/>
        <v>222226527.11000007</v>
      </c>
      <c r="AE297" s="474">
        <f t="shared" si="150"/>
        <v>250994157.27614486</v>
      </c>
      <c r="AF297" s="474">
        <f t="shared" si="150"/>
        <v>359907274.23437476</v>
      </c>
      <c r="AG297" s="474">
        <f t="shared" ref="AG297" si="151">SUM(AG295:AG296)</f>
        <v>398260680.49999988</v>
      </c>
      <c r="AH297" s="331"/>
      <c r="AI297" s="331"/>
      <c r="AJ297" s="331"/>
      <c r="AK297" s="331"/>
      <c r="AL297" s="331"/>
      <c r="AM297" s="331"/>
      <c r="AN297" s="331"/>
      <c r="AO297" s="331"/>
      <c r="AQ297" s="502">
        <f t="shared" ref="AQ297:BD297" si="152">SUM(AQ292:AQ296)</f>
        <v>272200802.83806354</v>
      </c>
      <c r="AR297" s="502">
        <f t="shared" si="152"/>
        <v>494236194.03000003</v>
      </c>
      <c r="AS297" s="502">
        <f t="shared" si="152"/>
        <v>474257120.55999994</v>
      </c>
      <c r="AT297" s="502">
        <f t="shared" si="152"/>
        <v>775899575.02999997</v>
      </c>
      <c r="AU297" s="502">
        <f t="shared" si="152"/>
        <v>896808895.87437463</v>
      </c>
      <c r="AV297" s="502">
        <f t="shared" si="152"/>
        <v>0</v>
      </c>
      <c r="AW297" s="502">
        <f t="shared" si="152"/>
        <v>0</v>
      </c>
      <c r="AX297" s="502">
        <f t="shared" si="152"/>
        <v>0</v>
      </c>
      <c r="AZ297" s="502">
        <f t="shared" si="152"/>
        <v>775899575.02999997</v>
      </c>
      <c r="BA297" s="502">
        <f t="shared" si="152"/>
        <v>0</v>
      </c>
      <c r="BC297" s="502">
        <f t="shared" si="152"/>
        <v>775899575.02999997</v>
      </c>
      <c r="BD297" s="502">
        <f t="shared" si="152"/>
        <v>0</v>
      </c>
    </row>
    <row r="298" spans="2:56" outlineLevel="1" x14ac:dyDescent="0.45">
      <c r="B298" s="469"/>
      <c r="C298" s="475"/>
      <c r="D298" s="475"/>
      <c r="E298" s="475"/>
      <c r="F298" s="475"/>
      <c r="G298" s="475"/>
      <c r="H298" s="475"/>
      <c r="I298" s="475"/>
      <c r="J298" s="475"/>
      <c r="K298" s="475"/>
      <c r="L298" s="475"/>
      <c r="M298" s="475"/>
      <c r="N298" s="475"/>
      <c r="O298" s="475"/>
      <c r="P298" s="475"/>
      <c r="Q298" s="475"/>
      <c r="R298" s="475"/>
      <c r="S298" s="475"/>
      <c r="T298" s="475"/>
      <c r="U298" s="475"/>
      <c r="V298" s="475"/>
      <c r="W298" s="475"/>
      <c r="X298" s="475"/>
      <c r="Y298" s="475"/>
      <c r="Z298" s="475"/>
      <c r="AA298" s="475"/>
      <c r="AB298" s="475"/>
      <c r="AC298" s="475"/>
      <c r="AD298" s="475"/>
      <c r="AE298" s="475"/>
      <c r="AF298" s="475"/>
      <c r="AG298" s="475"/>
      <c r="AH298" s="331"/>
      <c r="AI298" s="331"/>
      <c r="AJ298" s="331"/>
      <c r="AK298" s="331"/>
      <c r="AL298" s="331"/>
      <c r="AM298" s="331"/>
      <c r="AN298" s="331"/>
      <c r="AO298" s="331"/>
      <c r="AQ298" s="73"/>
      <c r="AR298" s="73"/>
      <c r="AS298" s="73"/>
      <c r="AT298" s="73"/>
      <c r="AU298" s="73"/>
      <c r="AV298" s="73"/>
      <c r="AW298" s="73"/>
      <c r="AX298" s="73"/>
      <c r="AZ298" s="73"/>
      <c r="BA298" s="73"/>
      <c r="BC298" s="73"/>
      <c r="BD298" s="73"/>
    </row>
    <row r="299" spans="2:56" outlineLevel="1" x14ac:dyDescent="0.45">
      <c r="B299" s="293" t="s">
        <v>1128</v>
      </c>
      <c r="C299" s="472"/>
      <c r="D299" s="472"/>
      <c r="E299" s="472"/>
      <c r="F299" s="472"/>
      <c r="G299" s="472"/>
      <c r="H299" s="472"/>
      <c r="I299" s="472"/>
      <c r="J299" s="472"/>
      <c r="K299" s="472"/>
      <c r="L299" s="472"/>
      <c r="M299" s="472"/>
      <c r="N299" s="472"/>
      <c r="O299" s="472"/>
      <c r="P299" s="472"/>
      <c r="Q299" s="472"/>
      <c r="R299" s="472">
        <f>R297+R293</f>
        <v>243501656.72</v>
      </c>
      <c r="S299" s="472">
        <f t="shared" ref="S299:AO299" si="153">S297+S293</f>
        <v>238291098.97999999</v>
      </c>
      <c r="T299" s="472">
        <f t="shared" si="153"/>
        <v>272016981.34806353</v>
      </c>
      <c r="U299" s="472">
        <f t="shared" si="153"/>
        <v>310639282.97000003</v>
      </c>
      <c r="V299" s="472">
        <f t="shared" si="153"/>
        <v>392390299.56999987</v>
      </c>
      <c r="W299" s="472">
        <f t="shared" si="153"/>
        <v>494176521.08000004</v>
      </c>
      <c r="X299" s="472">
        <f t="shared" si="153"/>
        <v>431775787.94999993</v>
      </c>
      <c r="Y299" s="472">
        <f t="shared" si="153"/>
        <v>434929749.89999992</v>
      </c>
      <c r="Z299" s="472">
        <f t="shared" si="153"/>
        <v>474162899.09999996</v>
      </c>
      <c r="AA299" s="472">
        <f t="shared" si="153"/>
        <v>503851102.12999994</v>
      </c>
      <c r="AB299" s="472">
        <f t="shared" si="153"/>
        <v>553671762.22000003</v>
      </c>
      <c r="AC299" s="472">
        <f t="shared" si="153"/>
        <v>775191560.02999997</v>
      </c>
      <c r="AD299" s="472">
        <f>AD297+AD293</f>
        <v>777009945.82000017</v>
      </c>
      <c r="AE299" s="472">
        <f t="shared" si="153"/>
        <v>794150148.73614502</v>
      </c>
      <c r="AF299" s="472">
        <f t="shared" si="153"/>
        <v>896036608.87437463</v>
      </c>
      <c r="AG299" s="472">
        <f t="shared" ref="AG299" si="154">AG297+AG293</f>
        <v>936571116.00999987</v>
      </c>
      <c r="AH299" s="472">
        <f t="shared" si="153"/>
        <v>0</v>
      </c>
      <c r="AI299" s="472">
        <f t="shared" si="153"/>
        <v>0</v>
      </c>
      <c r="AJ299" s="472">
        <f t="shared" si="153"/>
        <v>0</v>
      </c>
      <c r="AK299" s="472">
        <f t="shared" si="153"/>
        <v>0</v>
      </c>
      <c r="AL299" s="472">
        <f t="shared" si="153"/>
        <v>0</v>
      </c>
      <c r="AM299" s="472">
        <f t="shared" si="153"/>
        <v>0</v>
      </c>
      <c r="AN299" s="472">
        <f t="shared" si="153"/>
        <v>0</v>
      </c>
      <c r="AO299" s="472">
        <f t="shared" si="153"/>
        <v>0</v>
      </c>
      <c r="AQ299" s="73" cm="1">
        <f t="array" ref="AQ299">LOOKUP(2,1/(($Q$9:$AN$9=AQ$9)*($Q$8:$AN$8=AQ$8)),$Q299:$AN299)</f>
        <v>272016981.34806353</v>
      </c>
      <c r="AR299" s="73" cm="1">
        <f t="array" ref="AR299">LOOKUP(2,1/(($Q$9:$AN$9=AR$9)*($Q$8:$AN$8=AR$8)),$Q299:$AN299)</f>
        <v>494176521.08000004</v>
      </c>
      <c r="AS299" s="73" cm="1">
        <f t="array" ref="AS299">LOOKUP(2,1/(($Q$9:$AN$9=AS$9)*($Q$8:$AN$8=AS$8)),$Q299:$AN299)</f>
        <v>474162899.09999996</v>
      </c>
      <c r="AT299" s="73" cm="1">
        <f t="array" ref="AT299">LOOKUP(2,1/(($Q$9:$AN$9=AT$9)*($Q$8:$AN$8=AT$8)),$Q299:$AN299)</f>
        <v>775191560.02999997</v>
      </c>
      <c r="AU299" s="73" cm="1">
        <f t="array" ref="AU299">LOOKUP(2,1/(($Q$9:$AN$9=AU$9)*($Q$8:$AN$8=AU$8)),$Q299:$AN299)</f>
        <v>896036608.87437463</v>
      </c>
      <c r="AV299" s="73" cm="1">
        <f t="array" ref="AV299">LOOKUP(2,1/(($Q$9:$AN$9=AV$9)*($Q$8:$AN$8=AV$8)),$Q299:$AN299)</f>
        <v>0</v>
      </c>
      <c r="AW299" s="73" cm="1">
        <f t="array" ref="AW299">LOOKUP(2,1/(($Q$9:$AN$9=AW$9)*($Q$8:$AN$8=AW$8)),$Q299:$AN299)</f>
        <v>0</v>
      </c>
      <c r="AX299" s="73" cm="1">
        <f t="array" ref="AX299">LOOKUP(2,1/(($Q$9:$AN$9=AX$9)*($Q$8:$AN$8=AX$8)),$Q299:$AN299)</f>
        <v>0</v>
      </c>
      <c r="AZ299" s="73" cm="1">
        <f t="array" ref="AZ299">LOOKUP(2,1/(($Q$9:$AN$9=AZ$9)*($Q$8:$AN$8=AZ$8)),$Q299:$AN299)</f>
        <v>775191560.02999997</v>
      </c>
      <c r="BA299" s="73" cm="1">
        <f t="array" ref="BA299">LOOKUP(2,1/(($Q$9:$AN$9=BA$9)*($Q$8:$AN$8=BA$8)),$Q299:$AN299)</f>
        <v>0</v>
      </c>
      <c r="BC299" s="73">
        <f t="shared" ref="BC299:BD301" si="155">AZ299</f>
        <v>775191560.02999997</v>
      </c>
      <c r="BD299" s="73">
        <f t="shared" si="155"/>
        <v>0</v>
      </c>
    </row>
    <row r="300" spans="2:56" outlineLevel="1" x14ac:dyDescent="0.45">
      <c r="B300" s="469" t="s">
        <v>1</v>
      </c>
      <c r="C300" s="476"/>
      <c r="D300" s="476"/>
      <c r="E300" s="476"/>
      <c r="F300" s="476"/>
      <c r="G300" s="476"/>
      <c r="H300" s="476"/>
      <c r="I300" s="476"/>
      <c r="J300" s="476"/>
      <c r="K300" s="476"/>
      <c r="L300" s="476"/>
      <c r="M300" s="476"/>
      <c r="N300" s="476"/>
      <c r="O300" s="476"/>
      <c r="P300" s="476"/>
      <c r="Q300" s="476"/>
      <c r="R300" s="555">
        <f>R299-R283</f>
        <v>3.9999485015869141E-3</v>
      </c>
      <c r="S300" s="555">
        <f t="shared" ref="S300:AF300" si="156">S299-S283</f>
        <v>3.9999186992645264E-3</v>
      </c>
      <c r="T300" s="555">
        <f t="shared" si="156"/>
        <v>3.9999485015869141E-3</v>
      </c>
      <c r="U300" s="555">
        <f t="shared" si="156"/>
        <v>3.9999485015869141E-3</v>
      </c>
      <c r="V300" s="555">
        <f t="shared" si="156"/>
        <v>3.9999485015869141E-3</v>
      </c>
      <c r="W300" s="555">
        <f t="shared" si="156"/>
        <v>3.9998888969421387E-3</v>
      </c>
      <c r="X300" s="555">
        <f t="shared" si="156"/>
        <v>3.9998292922973633E-3</v>
      </c>
      <c r="Y300" s="555">
        <f t="shared" si="156"/>
        <v>3.9999485015869141E-3</v>
      </c>
      <c r="Z300" s="555">
        <f t="shared" si="156"/>
        <v>3.9998888969421387E-3</v>
      </c>
      <c r="AA300" s="555">
        <f t="shared" si="156"/>
        <v>3.9999485015869141E-3</v>
      </c>
      <c r="AB300" s="555">
        <f t="shared" si="156"/>
        <v>3.9999485015869141E-3</v>
      </c>
      <c r="AC300" s="555">
        <f t="shared" si="156"/>
        <v>3.9999485015869141E-3</v>
      </c>
      <c r="AD300" s="555">
        <f t="shared" si="156"/>
        <v>4.0001869201660156E-3</v>
      </c>
      <c r="AE300" s="555">
        <f t="shared" si="156"/>
        <v>4.0000677108764648E-3</v>
      </c>
      <c r="AF300" s="555">
        <f t="shared" si="156"/>
        <v>4.0000677108764648E-3</v>
      </c>
      <c r="AG300" s="555">
        <f t="shared" ref="AG300" si="157">AG299-AG283</f>
        <v>3.9999485015869141E-3</v>
      </c>
      <c r="AH300" s="331"/>
      <c r="AI300" s="331"/>
      <c r="AJ300" s="331"/>
      <c r="AK300" s="331"/>
      <c r="AL300" s="331"/>
      <c r="AM300" s="331"/>
      <c r="AN300" s="331"/>
      <c r="AO300" s="331"/>
      <c r="AQ300" s="73" cm="1">
        <f t="array" ref="AQ300">LOOKUP(2,1/(($Q$9:$AN$9=AQ$9)*($Q$8:$AN$8=AQ$8)),$Q300:$AN300)</f>
        <v>3.9999485015869141E-3</v>
      </c>
      <c r="AR300" s="73" cm="1">
        <f t="array" ref="AR300">LOOKUP(2,1/(($Q$9:$AN$9=AR$9)*($Q$8:$AN$8=AR$8)),$Q300:$AN300)</f>
        <v>3.9998888969421387E-3</v>
      </c>
      <c r="AS300" s="73" cm="1">
        <f t="array" ref="AS300">LOOKUP(2,1/(($Q$9:$AN$9=AS$9)*($Q$8:$AN$8=AS$8)),$Q300:$AN300)</f>
        <v>3.9998888969421387E-3</v>
      </c>
      <c r="AT300" s="73" cm="1">
        <f t="array" ref="AT300">LOOKUP(2,1/(($Q$9:$AN$9=AT$9)*($Q$8:$AN$8=AT$8)),$Q300:$AN300)</f>
        <v>3.9999485015869141E-3</v>
      </c>
      <c r="AU300" s="73" cm="1">
        <f t="array" ref="AU300">LOOKUP(2,1/(($Q$9:$AN$9=AU$9)*($Q$8:$AN$8=AU$8)),$Q300:$AN300)</f>
        <v>4.0000677108764648E-3</v>
      </c>
      <c r="AV300" s="73" cm="1">
        <f t="array" ref="AV300">LOOKUP(2,1/(($Q$9:$AN$9=AV$9)*($Q$8:$AN$8=AV$8)),$Q300:$AN300)</f>
        <v>0</v>
      </c>
      <c r="AW300" s="73" cm="1">
        <f t="array" ref="AW300">LOOKUP(2,1/(($Q$9:$AN$9=AW$9)*($Q$8:$AN$8=AW$8)),$Q300:$AN300)</f>
        <v>0</v>
      </c>
      <c r="AX300" s="73" cm="1">
        <f t="array" ref="AX300">LOOKUP(2,1/(($Q$9:$AN$9=AX$9)*($Q$8:$AN$8=AX$8)),$Q300:$AN300)</f>
        <v>0</v>
      </c>
      <c r="AZ300" s="73" cm="1">
        <f t="array" ref="AZ300">LOOKUP(2,1/(($Q$9:$AN$9=AZ$9)*($Q$8:$AN$8=AZ$8)),$Q300:$AN300)</f>
        <v>3.9999485015869141E-3</v>
      </c>
      <c r="BA300" s="73" cm="1">
        <f t="array" ref="BA300">LOOKUP(2,1/(($Q$9:$AN$9=BA$9)*($Q$8:$AN$8=BA$8)),$Q300:$AN300)</f>
        <v>0</v>
      </c>
      <c r="BC300" s="73">
        <f t="shared" si="155"/>
        <v>3.9999485015869141E-3</v>
      </c>
      <c r="BD300" s="73">
        <f t="shared" si="155"/>
        <v>0</v>
      </c>
    </row>
    <row r="301" spans="2:56" x14ac:dyDescent="0.45">
      <c r="B301" s="72"/>
      <c r="C301" s="72"/>
      <c r="D301" s="72"/>
      <c r="E301" s="72"/>
      <c r="F301" s="72"/>
      <c r="G301" s="72"/>
      <c r="H301" s="72"/>
      <c r="I301" s="72"/>
      <c r="J301" s="72"/>
      <c r="K301" s="72"/>
      <c r="L301" s="72"/>
      <c r="M301" s="72"/>
      <c r="N301" s="72"/>
      <c r="O301" s="72"/>
      <c r="P301" s="72"/>
      <c r="Q301" s="72"/>
      <c r="R301" s="73"/>
      <c r="S301" s="73"/>
      <c r="T301" s="73"/>
      <c r="U301" s="73"/>
      <c r="V301" s="73"/>
      <c r="W301" s="73"/>
      <c r="X301" s="73"/>
      <c r="Y301" s="73"/>
      <c r="Z301" s="73"/>
      <c r="AA301" s="73"/>
      <c r="AB301" s="73"/>
      <c r="AC301" s="73"/>
      <c r="AD301" s="73"/>
      <c r="AE301" s="73"/>
      <c r="AF301" s="331"/>
      <c r="AG301" s="331"/>
      <c r="AH301" s="331"/>
      <c r="AI301" s="331"/>
      <c r="AJ301" s="331"/>
      <c r="AK301" s="331"/>
      <c r="AL301" s="331"/>
      <c r="AM301" s="331"/>
      <c r="AN301" s="331"/>
      <c r="AO301" s="331"/>
      <c r="AQ301" s="73" cm="1">
        <f t="array" ref="AQ301">LOOKUP(2,1/(($Q$9:$AN$9=AQ$9)*($Q$8:$AN$8=AQ$8)),$Q301:$AN301)</f>
        <v>0</v>
      </c>
      <c r="AR301" s="73" cm="1">
        <f t="array" ref="AR301">LOOKUP(2,1/(($Q$9:$AN$9=AR$9)*($Q$8:$AN$8=AR$8)),$Q301:$AN301)</f>
        <v>0</v>
      </c>
      <c r="AS301" s="73" cm="1">
        <f t="array" ref="AS301">LOOKUP(2,1/(($Q$9:$AN$9=AS$9)*($Q$8:$AN$8=AS$8)),$Q301:$AN301)</f>
        <v>0</v>
      </c>
      <c r="AT301" s="73" cm="1">
        <f t="array" ref="AT301">LOOKUP(2,1/(($Q$9:$AN$9=AT$9)*($Q$8:$AN$8=AT$8)),$Q301:$AN301)</f>
        <v>0</v>
      </c>
      <c r="AU301" s="73" cm="1">
        <f t="array" ref="AU301">LOOKUP(2,1/(($Q$9:$AN$9=AU$9)*($Q$8:$AN$8=AU$8)),$Q301:$AN301)</f>
        <v>0</v>
      </c>
      <c r="AV301" s="73" cm="1">
        <f t="array" ref="AV301">LOOKUP(2,1/(($Q$9:$AN$9=AV$9)*($Q$8:$AN$8=AV$8)),$Q301:$AN301)</f>
        <v>0</v>
      </c>
      <c r="AW301" s="73" cm="1">
        <f t="array" ref="AW301">LOOKUP(2,1/(($Q$9:$AN$9=AW$9)*($Q$8:$AN$8=AW$8)),$Q301:$AN301)</f>
        <v>0</v>
      </c>
      <c r="AX301" s="73" cm="1">
        <f t="array" ref="AX301">LOOKUP(2,1/(($Q$9:$AN$9=AX$9)*($Q$8:$AN$8=AX$8)),$Q301:$AN301)</f>
        <v>0</v>
      </c>
      <c r="AZ301" s="73" cm="1">
        <f t="array" ref="AZ301">LOOKUP(2,1/(($Q$9:$AN$9=AZ$9)*($Q$8:$AN$8=AZ$8)),$Q301:$AN301)</f>
        <v>0</v>
      </c>
      <c r="BA301" s="73" cm="1">
        <f t="array" ref="BA301">LOOKUP(2,1/(($Q$9:$AN$9=BA$9)*($Q$8:$AN$8=BA$8)),$Q301:$AN301)</f>
        <v>0</v>
      </c>
      <c r="BC301" s="73">
        <f t="shared" si="155"/>
        <v>0</v>
      </c>
      <c r="BD301" s="73">
        <f t="shared" si="155"/>
        <v>0</v>
      </c>
    </row>
    <row r="302" spans="2:56" x14ac:dyDescent="0.45">
      <c r="B302" s="323" t="s">
        <v>823</v>
      </c>
      <c r="C302" s="332"/>
      <c r="D302" s="332"/>
      <c r="E302" s="332"/>
      <c r="F302" s="332"/>
      <c r="G302" s="332"/>
      <c r="H302" s="332"/>
      <c r="I302" s="332"/>
      <c r="J302" s="332"/>
      <c r="K302" s="332"/>
      <c r="L302" s="332"/>
      <c r="M302" s="332"/>
      <c r="N302" s="332"/>
      <c r="O302" s="332"/>
      <c r="P302" s="332"/>
      <c r="Q302" s="332"/>
      <c r="R302" s="332"/>
      <c r="S302" s="332"/>
      <c r="T302" s="332"/>
      <c r="U302" s="332"/>
      <c r="V302" s="332"/>
      <c r="W302" s="332"/>
      <c r="X302" s="332"/>
      <c r="Y302" s="332"/>
      <c r="Z302" s="332"/>
      <c r="AA302" s="332"/>
      <c r="AB302" s="332"/>
      <c r="AC302" s="332"/>
      <c r="AD302" s="332"/>
      <c r="AE302" s="332"/>
      <c r="AF302" s="332"/>
      <c r="AG302" s="332"/>
      <c r="AH302" s="331"/>
      <c r="AI302" s="331"/>
      <c r="AJ302" s="331"/>
      <c r="AK302" s="331"/>
      <c r="AL302" s="331"/>
      <c r="AM302" s="331"/>
      <c r="AN302" s="331"/>
      <c r="AO302" s="331"/>
      <c r="AQ302" s="73"/>
      <c r="AR302" s="73"/>
      <c r="AS302" s="73"/>
      <c r="AT302" s="73"/>
      <c r="AU302" s="73"/>
      <c r="AV302" s="73"/>
      <c r="AW302" s="73"/>
      <c r="AX302" s="73"/>
      <c r="AZ302" s="73"/>
      <c r="BA302" s="73"/>
      <c r="BC302" s="73"/>
      <c r="BD302" s="73"/>
    </row>
    <row r="303" spans="2:56" outlineLevel="1" x14ac:dyDescent="0.45">
      <c r="C303" s="480"/>
      <c r="D303" s="480"/>
      <c r="E303" s="480"/>
      <c r="F303" s="480"/>
      <c r="G303" s="480"/>
      <c r="H303" s="480"/>
      <c r="I303" s="480"/>
      <c r="J303" s="480"/>
      <c r="K303" s="480"/>
      <c r="L303" s="480"/>
      <c r="M303" s="480"/>
      <c r="N303" s="480"/>
      <c r="O303" s="480"/>
      <c r="P303" s="480"/>
      <c r="Q303" s="480"/>
      <c r="R303" s="480"/>
      <c r="S303" s="480"/>
      <c r="T303" s="480"/>
      <c r="U303" s="480"/>
      <c r="V303" s="480"/>
      <c r="W303" s="480"/>
      <c r="X303" s="480"/>
      <c r="Y303" s="480"/>
      <c r="Z303" s="480"/>
      <c r="AA303" s="480"/>
      <c r="AB303" s="480"/>
      <c r="AC303" s="480"/>
      <c r="AD303" s="480"/>
      <c r="AE303" s="480"/>
      <c r="AF303" s="480"/>
      <c r="AG303" s="480"/>
      <c r="AH303" s="331"/>
      <c r="AI303" s="331"/>
      <c r="AJ303" s="331"/>
      <c r="AK303" s="331"/>
      <c r="AL303" s="331"/>
      <c r="AM303" s="331"/>
      <c r="AN303" s="331"/>
      <c r="AO303" s="331"/>
      <c r="AQ303" s="73"/>
      <c r="AR303" s="73"/>
      <c r="AS303" s="73"/>
      <c r="AT303" s="73"/>
      <c r="AU303" s="73"/>
      <c r="AV303" s="73"/>
      <c r="AW303" s="73"/>
      <c r="AX303" s="73"/>
      <c r="AZ303" s="73"/>
      <c r="BA303" s="73"/>
      <c r="BC303" s="73"/>
      <c r="BD303" s="73"/>
    </row>
    <row r="304" spans="2:56" outlineLevel="2" x14ac:dyDescent="0.45">
      <c r="B304" s="468" t="s">
        <v>815</v>
      </c>
      <c r="C304" s="470"/>
      <c r="D304" s="470"/>
      <c r="E304" s="470"/>
      <c r="F304" s="470"/>
      <c r="G304" s="470"/>
      <c r="H304" s="470"/>
      <c r="I304" s="470"/>
      <c r="J304" s="470"/>
      <c r="K304" s="470"/>
      <c r="L304" s="470"/>
      <c r="M304" s="470"/>
      <c r="N304" s="470"/>
      <c r="O304" s="470"/>
      <c r="P304" s="470"/>
      <c r="Q304" s="470"/>
      <c r="R304" s="470">
        <f>R255</f>
        <v>-6230425.5484411735</v>
      </c>
      <c r="S304" s="470">
        <f t="shared" ref="S304:AF304" si="158">S255</f>
        <v>-8884107.4719278011</v>
      </c>
      <c r="T304" s="470">
        <f t="shared" si="158"/>
        <v>-8363671.5198464124</v>
      </c>
      <c r="U304" s="470">
        <f t="shared" si="158"/>
        <v>-7700966.1277021309</v>
      </c>
      <c r="V304" s="470">
        <f t="shared" si="158"/>
        <v>-5714961.7453497015</v>
      </c>
      <c r="W304" s="470">
        <f t="shared" si="158"/>
        <v>-8025958.0518466234</v>
      </c>
      <c r="X304" s="470">
        <f t="shared" si="158"/>
        <v>-9808919.5924919322</v>
      </c>
      <c r="Y304" s="470">
        <f t="shared" si="158"/>
        <v>-7785785.7270000577</v>
      </c>
      <c r="Z304" s="470">
        <f t="shared" si="158"/>
        <v>-4793206.0548666278</v>
      </c>
      <c r="AA304" s="470">
        <f t="shared" si="158"/>
        <v>-10563664.445333458</v>
      </c>
      <c r="AB304" s="470">
        <f t="shared" si="158"/>
        <v>-11603766.383999873</v>
      </c>
      <c r="AC304" s="470">
        <f t="shared" si="158"/>
        <v>-6505541.2202855805</v>
      </c>
      <c r="AD304" s="470">
        <f>AD255</f>
        <v>-13530586.659999955</v>
      </c>
      <c r="AE304" s="470">
        <f t="shared" si="158"/>
        <v>-16596320.174885187</v>
      </c>
      <c r="AF304" s="470">
        <f t="shared" si="158"/>
        <v>-16079228.180770034</v>
      </c>
      <c r="AG304" s="470">
        <f t="shared" ref="AG304" si="159">AG255</f>
        <v>-15182223.779034862</v>
      </c>
      <c r="AH304" s="331"/>
      <c r="AI304" s="331"/>
      <c r="AJ304" s="331"/>
      <c r="AK304" s="331"/>
      <c r="AL304" s="331"/>
      <c r="AM304" s="331"/>
      <c r="AN304" s="331"/>
      <c r="AO304" s="331"/>
      <c r="AQ304" s="73"/>
      <c r="AR304" s="73"/>
      <c r="AS304" s="73"/>
      <c r="AT304" s="73"/>
      <c r="AU304" s="73"/>
      <c r="AV304" s="73"/>
      <c r="AW304" s="73"/>
      <c r="AX304" s="73"/>
      <c r="AZ304" s="73"/>
      <c r="BA304" s="73"/>
      <c r="BC304" s="73"/>
      <c r="BD304" s="73"/>
    </row>
    <row r="305" spans="2:56" outlineLevel="2" x14ac:dyDescent="0.45">
      <c r="B305" s="468" t="s">
        <v>557</v>
      </c>
      <c r="C305" s="470"/>
      <c r="D305" s="470"/>
      <c r="E305" s="470"/>
      <c r="F305" s="470"/>
      <c r="G305" s="470"/>
      <c r="H305" s="470"/>
      <c r="I305" s="470"/>
      <c r="J305" s="470"/>
      <c r="K305" s="470"/>
      <c r="L305" s="470"/>
      <c r="M305" s="470"/>
      <c r="N305" s="470"/>
      <c r="O305" s="470"/>
      <c r="P305" s="470"/>
      <c r="Q305" s="470"/>
      <c r="R305" s="470">
        <f t="shared" ref="R305:AC305" si="160">-R246</f>
        <v>1714955.5899999999</v>
      </c>
      <c r="S305" s="470">
        <f t="shared" si="160"/>
        <v>1840310.28</v>
      </c>
      <c r="T305" s="470">
        <f t="shared" si="160"/>
        <v>1830631.2099999997</v>
      </c>
      <c r="U305" s="470">
        <f t="shared" si="160"/>
        <v>2474407.2900000005</v>
      </c>
      <c r="V305" s="470">
        <f t="shared" si="160"/>
        <v>2424952.6300000004</v>
      </c>
      <c r="W305" s="470">
        <f t="shared" si="160"/>
        <v>2384325.7799999998</v>
      </c>
      <c r="X305" s="470">
        <f t="shared" si="160"/>
        <v>2890391.2999999993</v>
      </c>
      <c r="Y305" s="470">
        <f t="shared" si="160"/>
        <v>2545876.4899999998</v>
      </c>
      <c r="Z305" s="470">
        <f t="shared" si="160"/>
        <v>2736711.870000001</v>
      </c>
      <c r="AA305" s="470">
        <f t="shared" si="160"/>
        <v>2636109.13</v>
      </c>
      <c r="AB305" s="470">
        <f t="shared" si="160"/>
        <v>3049047.2199999988</v>
      </c>
      <c r="AC305" s="470">
        <f t="shared" si="160"/>
        <v>9971241.0200000014</v>
      </c>
      <c r="AD305" s="470">
        <f>-AD246-AD364</f>
        <v>5110921.4400000004</v>
      </c>
      <c r="AE305" s="470">
        <f>-AE246-AE364</f>
        <v>5023333.3099999996</v>
      </c>
      <c r="AF305" s="470">
        <f>-AF246-AF364</f>
        <v>5605386.7799999993</v>
      </c>
      <c r="AG305" s="470">
        <f>-AG246-AG364</f>
        <v>5548251.7199999988</v>
      </c>
      <c r="AH305" s="331"/>
      <c r="AI305" s="331"/>
      <c r="AJ305" s="331"/>
      <c r="AK305" s="331"/>
      <c r="AL305" s="331"/>
      <c r="AM305" s="331"/>
      <c r="AN305" s="331"/>
      <c r="AO305" s="331"/>
      <c r="AQ305" s="73"/>
      <c r="AR305" s="73"/>
      <c r="AS305" s="73"/>
      <c r="AT305" s="73"/>
      <c r="AU305" s="73"/>
      <c r="AV305" s="73"/>
      <c r="AW305" s="73"/>
      <c r="AX305" s="73"/>
      <c r="AZ305" s="73"/>
      <c r="BA305" s="73"/>
      <c r="BC305" s="73"/>
      <c r="BD305" s="73"/>
    </row>
    <row r="306" spans="2:56" outlineLevel="2" x14ac:dyDescent="0.45">
      <c r="B306" s="468" t="s">
        <v>1129</v>
      </c>
      <c r="C306" s="481"/>
      <c r="D306" s="481"/>
      <c r="E306" s="481"/>
      <c r="F306" s="481"/>
      <c r="G306" s="481"/>
      <c r="H306" s="481"/>
      <c r="I306" s="481"/>
      <c r="J306" s="481"/>
      <c r="K306" s="481"/>
      <c r="L306" s="481"/>
      <c r="M306" s="481"/>
      <c r="N306" s="481"/>
      <c r="O306" s="481"/>
      <c r="P306" s="481"/>
      <c r="Q306" s="481"/>
      <c r="R306" s="481">
        <f>+IF($C$2="BP",R266-R260,IF($C$2="ACC",R266-R260,IF($C$2="BP wE",R266-R260-#REF!,IF($C$2="ACC wE",R266-R260-#REF!))))</f>
        <v>1224579.0584411761</v>
      </c>
      <c r="S306" s="481">
        <f>+IF($C$2="BP",S266-S260,IF($C$2="ACC",S266-S260,IF($C$2="BP wE",S266-S260-#REF!,IF($C$2="ACC wE",S266-S260-#REF!))))</f>
        <v>2360414.5019278005</v>
      </c>
      <c r="T306" s="481">
        <f>+IF($C$2="BP",T266-T260,IF($C$2="ACC",T266-T260,IF($C$2="BP wE",T266-T260-#REF!,IF($C$2="ACC wE",T266-T260-#REF!))))</f>
        <v>1955308.7679099431</v>
      </c>
      <c r="U306" s="481">
        <f>+IF($C$2="BP",U266-U260,IF($C$2="ACC",U266-U260,IF($C$2="BP wE",U266-U260-#REF!,IF($C$2="ACC wE",U266-U260-#REF!))))</f>
        <v>1374838.4196386579</v>
      </c>
      <c r="V306" s="481">
        <f>+IF($C$2="BP",V266-V260,IF($C$2="ACC",V266-V260,IF($C$2="BP wE",V266-V260-#REF!,IF($C$2="ACC wE",V266-V260-#REF!))))</f>
        <v>916269.69534951076</v>
      </c>
      <c r="W306" s="481">
        <f>+IF($C$2="BP",W266-W260,IF($C$2="ACC",W266-W260,IF($C$2="BP wE",W266-W260-#REF!,IF($C$2="ACC wE",W266-W260-#REF!))))</f>
        <v>1949126.8318468295</v>
      </c>
      <c r="X306" s="481">
        <f>+IF($C$2="BP",X266-X260,IF($C$2="ACC",X266-X260,IF($C$2="BP wE",X266-X260-#REF!,IF($C$2="ACC wE",X266-X260-#REF!))))</f>
        <v>1902963.6224918691</v>
      </c>
      <c r="Y306" s="481">
        <f>+IF($C$2="BP",Y266-Y260,IF($C$2="ACC",Y266-Y260,IF($C$2="BP wE",Y266-Y260-#REF!,IF($C$2="ACC wE",Y266-Y260-#REF!))))</f>
        <v>1233633.7470000004</v>
      </c>
      <c r="Z306" s="481">
        <f>+IF($C$2="BP",Z266-Z260,IF($C$2="ACC",Z266-Z260,IF($C$2="BP wE",Z266-Z260-#REF!,IF($C$2="ACC wE",Z266-Z260-#REF!))))</f>
        <v>1322564.5648666751</v>
      </c>
      <c r="AA306" s="481">
        <f>+IF($C$2="BP",AA266-AA260,IF($C$2="ACC",AA266-AA260,IF($C$2="BP wE",AA266-AA260-#REF!,IF($C$2="ACC wE",AA266-AA260-#REF!))))</f>
        <v>1384731.7153333127</v>
      </c>
      <c r="AB306" s="481">
        <f>+IF($C$2="BP",AB266-AB260,IF($C$2="ACC",AB266-AB260,IF($C$2="BP wE",AB266-AB260-#REF!,IF($C$2="ACC wE",AB266-AB260-#REF!))))</f>
        <v>1346914.2139999997</v>
      </c>
      <c r="AC306" s="481">
        <f>+IF($C$2="BP",AC266-AC260,IF($C$2="ACC",AC266-AC260,IF($C$2="BP wE",AC266-AC260-#REF!,IF($C$2="ACC wE",AC266-AC260-#REF!))))</f>
        <v>2891133.5702856588</v>
      </c>
      <c r="AD306" s="481">
        <f>+IF($C$2="BP",AD266-AD260,IF($C$2="ACC",AD266-AD260,IF($C$2="BP wE",AD266-AD260-#REF!,IF($C$2="ACC wE",AD266-AD260-#REF!))))</f>
        <v>2519122.84</v>
      </c>
      <c r="AE306" s="481">
        <f>+IF($C$2="BP",AE266-AE260,IF($C$2="ACC",AE266-AE260,IF($C$2="BP wE",AE266-AE260-#REF!,IF($C$2="ACC wE",AE266-AE260-#REF!))))</f>
        <v>3451457.8310300019</v>
      </c>
      <c r="AF306" s="481">
        <f>+IF($C$2="BP",AF266-AF260,IF($C$2="ACC",AF266-AF260,IF($C$2="BP wE",AF266-AF260-#REF!,IF($C$2="ACC wE",AF266-AF260-#REF!))))</f>
        <v>2805147.7889999989</v>
      </c>
      <c r="AG306" s="481">
        <f>+IF($C$2="BP",AG266-AG260,IF($C$2="ACC",AG266-AG260,IF($C$2="BP wE",AG266-AG260-#REF!,IF($C$2="ACC wE",AG266-AG260-#REF!))))</f>
        <v>2604672.054659998</v>
      </c>
      <c r="AH306" s="331"/>
      <c r="AI306" s="331"/>
      <c r="AJ306" s="331"/>
      <c r="AK306" s="331"/>
      <c r="AL306" s="331"/>
      <c r="AM306" s="331"/>
      <c r="AN306" s="331"/>
      <c r="AO306" s="331"/>
      <c r="AQ306" s="73"/>
      <c r="AR306" s="73"/>
      <c r="AS306" s="73"/>
      <c r="AT306" s="73"/>
      <c r="AU306" s="73"/>
      <c r="AV306" s="73"/>
      <c r="AW306" s="73"/>
      <c r="AX306" s="73"/>
      <c r="AZ306" s="73"/>
      <c r="BA306" s="73"/>
      <c r="BC306" s="73"/>
      <c r="BD306" s="73"/>
    </row>
    <row r="307" spans="2:56" outlineLevel="2" x14ac:dyDescent="0.45">
      <c r="B307" s="468" t="s">
        <v>1105</v>
      </c>
      <c r="C307" s="471"/>
      <c r="D307" s="471"/>
      <c r="E307" s="471"/>
      <c r="F307" s="471"/>
      <c r="G307" s="471"/>
      <c r="H307" s="471"/>
      <c r="I307" s="471"/>
      <c r="J307" s="471"/>
      <c r="K307" s="471"/>
      <c r="L307" s="471"/>
      <c r="M307" s="471"/>
      <c r="N307" s="471"/>
      <c r="O307" s="471"/>
      <c r="P307" s="471"/>
      <c r="Q307" s="471"/>
      <c r="R307" s="471">
        <f>'Managerial Consolidated'!Q98</f>
        <v>-3379058.9299999475</v>
      </c>
      <c r="S307" s="471">
        <f>'Managerial Consolidated'!R98</f>
        <v>8983.660000000149</v>
      </c>
      <c r="T307" s="471">
        <f>'Managerial Consolidated'!S98</f>
        <v>6342.8299999916926</v>
      </c>
      <c r="U307" s="471">
        <f>'Managerial Consolidated'!T98</f>
        <v>6342.8300000233576</v>
      </c>
      <c r="V307" s="471">
        <f>'Managerial Consolidated'!U98</f>
        <v>3192081.8999999892</v>
      </c>
      <c r="W307" s="471">
        <f>'Managerial Consolidated'!V98</f>
        <v>12685.659999978729</v>
      </c>
      <c r="X307" s="471">
        <f>'Managerial Consolidated'!W98</f>
        <v>11551.000000005588</v>
      </c>
      <c r="Y307" s="471">
        <f>'Managerial Consolidated'!X98</f>
        <v>11551.310000003316</v>
      </c>
      <c r="Z307" s="471">
        <f>'Managerial Consolidated'!Y98</f>
        <v>11446.200000007637</v>
      </c>
      <c r="AA307" s="471">
        <f>'Managerial Consolidated'!Z98</f>
        <v>-39707.099999954924</v>
      </c>
      <c r="AB307" s="471">
        <f>'Managerial Consolidated'!AA98</f>
        <v>12685.659999966621</v>
      </c>
      <c r="AC307" s="471">
        <f>'Managerial Consolidated'!AB98</f>
        <v>640814.97999997996</v>
      </c>
      <c r="AD307" s="471">
        <f>'Managerial Consolidated'!AC98</f>
        <v>-22470236.350000046</v>
      </c>
      <c r="AE307" s="471">
        <f>'Managerial Consolidated'!AD98</f>
        <v>21424.000000001863</v>
      </c>
      <c r="AF307" s="471">
        <f>'Managerial Consolidated'!AE98</f>
        <v>22513084.349999964</v>
      </c>
      <c r="AG307" s="471">
        <f>'Managerial Consolidated'!AF98</f>
        <v>21423.999999994412</v>
      </c>
      <c r="AH307" s="331"/>
      <c r="AI307" s="331"/>
      <c r="AJ307" s="331"/>
      <c r="AK307" s="331"/>
      <c r="AL307" s="331"/>
      <c r="AM307" s="331"/>
      <c r="AN307" s="331"/>
      <c r="AO307" s="331"/>
      <c r="AQ307" s="73"/>
      <c r="AR307" s="73"/>
      <c r="AS307" s="73"/>
      <c r="AT307" s="73"/>
      <c r="AU307" s="73"/>
      <c r="AV307" s="73"/>
      <c r="AW307" s="73"/>
      <c r="AX307" s="73"/>
      <c r="AZ307" s="73"/>
      <c r="BA307" s="73"/>
      <c r="BC307" s="73"/>
      <c r="BD307" s="73"/>
    </row>
    <row r="308" spans="2:56" outlineLevel="2" x14ac:dyDescent="0.45">
      <c r="B308" s="468" t="s">
        <v>820</v>
      </c>
      <c r="C308" s="471"/>
      <c r="D308" s="471"/>
      <c r="E308" s="471"/>
      <c r="F308" s="471"/>
      <c r="G308" s="471"/>
      <c r="H308" s="471"/>
      <c r="I308" s="471"/>
      <c r="J308" s="471"/>
      <c r="K308" s="471"/>
      <c r="L308" s="471"/>
      <c r="M308" s="471"/>
      <c r="N308" s="471"/>
      <c r="O308" s="471"/>
      <c r="P308" s="471"/>
      <c r="Q308" s="471"/>
      <c r="R308" s="471">
        <f>'Managerial Consolidated'!Q99</f>
        <v>4830107.0399999991</v>
      </c>
      <c r="S308" s="471">
        <f>'Managerial Consolidated'!R99</f>
        <v>-137785.44999999925</v>
      </c>
      <c r="T308" s="471">
        <f>'Managerial Consolidated'!S99</f>
        <v>-2781228.8500000052</v>
      </c>
      <c r="U308" s="471">
        <f>'Managerial Consolidated'!T99</f>
        <v>-693203.86999999825</v>
      </c>
      <c r="V308" s="471">
        <f>'Managerial Consolidated'!U99</f>
        <v>-10660411.45999999</v>
      </c>
      <c r="W308" s="471">
        <f>'Managerial Consolidated'!V99</f>
        <v>-5365671.1300000055</v>
      </c>
      <c r="X308" s="471">
        <f>'Managerial Consolidated'!W99</f>
        <v>-1650989.3299999984</v>
      </c>
      <c r="Y308" s="471">
        <f>'Managerial Consolidated'!X99</f>
        <v>-1940617.3200000126</v>
      </c>
      <c r="Z308" s="471">
        <f>'Managerial Consolidated'!Y99</f>
        <v>-4041626.0299999979</v>
      </c>
      <c r="AA308" s="471">
        <f>'Managerial Consolidated'!Z99</f>
        <v>-3638717.5900000026</v>
      </c>
      <c r="AB308" s="471">
        <f>'Managerial Consolidated'!AA99</f>
        <v>-4894679.7799999975</v>
      </c>
      <c r="AC308" s="471">
        <f>'Managerial Consolidated'!AB99</f>
        <v>-20820165.999999981</v>
      </c>
      <c r="AD308" s="471">
        <f>'Managerial Consolidated'!AC99</f>
        <v>8546591.7899999991</v>
      </c>
      <c r="AE308" s="471">
        <f>'Managerial Consolidated'!AD99</f>
        <v>-2497080.7800000226</v>
      </c>
      <c r="AF308" s="471">
        <f>'Managerial Consolidated'!AE99</f>
        <v>-16271839.439999968</v>
      </c>
      <c r="AG308" s="471">
        <f>'Managerial Consolidated'!AF99</f>
        <v>-5137001.0799999889</v>
      </c>
      <c r="AH308" s="331"/>
      <c r="AI308" s="331"/>
      <c r="AJ308" s="331"/>
      <c r="AK308" s="331"/>
      <c r="AL308" s="331"/>
      <c r="AM308" s="331"/>
      <c r="AN308" s="331"/>
      <c r="AO308" s="331"/>
      <c r="AQ308" s="73"/>
      <c r="AR308" s="73"/>
      <c r="AS308" s="73"/>
      <c r="AT308" s="73"/>
      <c r="AU308" s="73"/>
      <c r="AV308" s="73"/>
      <c r="AW308" s="73"/>
      <c r="AX308" s="73"/>
      <c r="AZ308" s="73"/>
      <c r="BA308" s="73"/>
      <c r="BC308" s="73"/>
      <c r="BD308" s="73"/>
    </row>
    <row r="309" spans="2:56" outlineLevel="2" x14ac:dyDescent="0.45">
      <c r="B309" s="468" t="s">
        <v>1106</v>
      </c>
      <c r="C309" s="471"/>
      <c r="D309" s="471"/>
      <c r="E309" s="471"/>
      <c r="F309" s="471"/>
      <c r="G309" s="471"/>
      <c r="H309" s="471"/>
      <c r="I309" s="471"/>
      <c r="J309" s="471"/>
      <c r="K309" s="471"/>
      <c r="L309" s="471"/>
      <c r="M309" s="471"/>
      <c r="N309" s="471"/>
      <c r="O309" s="471"/>
      <c r="P309" s="471"/>
      <c r="Q309" s="471"/>
      <c r="R309" s="471">
        <f>'Managerial Consolidated'!Q100</f>
        <v>5010702.2300000209</v>
      </c>
      <c r="S309" s="471">
        <f>'Managerial Consolidated'!R100</f>
        <v>-170167.19000000227</v>
      </c>
      <c r="T309" s="471">
        <f>'Managerial Consolidated'!S100</f>
        <v>14525478.470000004</v>
      </c>
      <c r="U309" s="471">
        <f>'Managerial Consolidated'!T100</f>
        <v>46269092.649999999</v>
      </c>
      <c r="V309" s="471">
        <f>'Managerial Consolidated'!U100</f>
        <v>62594081.37999998</v>
      </c>
      <c r="W309" s="471">
        <f>'Managerial Consolidated'!V100</f>
        <v>161616.18000000902</v>
      </c>
      <c r="X309" s="471">
        <f>'Managerial Consolidated'!W100</f>
        <v>-54818539.950000018</v>
      </c>
      <c r="Y309" s="471">
        <f>'Managerial Consolidated'!X100</f>
        <v>-4785652.039999973</v>
      </c>
      <c r="Z309" s="471">
        <f>'Managerial Consolidated'!Y100</f>
        <v>-22198238.73999998</v>
      </c>
      <c r="AA309" s="471">
        <f>'Managerial Consolidated'!Z100</f>
        <v>-22247247.830000035</v>
      </c>
      <c r="AB309" s="471">
        <f>'Managerial Consolidated'!AA100</f>
        <v>9265888.2300000042</v>
      </c>
      <c r="AC309" s="471">
        <f>'Managerial Consolidated'!AB100</f>
        <v>163098985.62</v>
      </c>
      <c r="AD309" s="471">
        <f>'Managerial Consolidated'!AC100</f>
        <v>49077796.819999948</v>
      </c>
      <c r="AE309" s="471">
        <f>'Managerial Consolidated'!AD100</f>
        <v>-10977985.339999877</v>
      </c>
      <c r="AF309" s="471">
        <f>'Managerial Consolidated'!AE100</f>
        <v>-8160942.6300001815</v>
      </c>
      <c r="AG309" s="471">
        <f>'Managerial Consolidated'!AF100</f>
        <v>-453065.27999992482</v>
      </c>
      <c r="AH309" s="331"/>
      <c r="AI309" s="331"/>
      <c r="AJ309" s="331"/>
      <c r="AK309" s="331"/>
      <c r="AL309" s="331"/>
      <c r="AM309" s="331"/>
      <c r="AN309" s="331"/>
      <c r="AO309" s="331"/>
      <c r="AQ309" s="73"/>
      <c r="AR309" s="73"/>
      <c r="AS309" s="73"/>
      <c r="AT309" s="73"/>
      <c r="AU309" s="73"/>
      <c r="AV309" s="73"/>
      <c r="AW309" s="73"/>
      <c r="AX309" s="73"/>
      <c r="AZ309" s="73"/>
      <c r="BA309" s="73"/>
      <c r="BC309" s="73"/>
      <c r="BD309" s="73"/>
    </row>
    <row r="310" spans="2:56" outlineLevel="2" x14ac:dyDescent="0.45">
      <c r="B310" s="468" t="s">
        <v>822</v>
      </c>
      <c r="C310" s="471"/>
      <c r="D310" s="471"/>
      <c r="E310" s="471"/>
      <c r="F310" s="471"/>
      <c r="G310" s="471"/>
      <c r="H310" s="471"/>
      <c r="I310" s="471"/>
      <c r="J310" s="471"/>
      <c r="K310" s="471"/>
      <c r="L310" s="471"/>
      <c r="M310" s="471"/>
      <c r="N310" s="471"/>
      <c r="O310" s="471"/>
      <c r="P310" s="471"/>
      <c r="Q310" s="471"/>
      <c r="R310" s="471">
        <f>'Managerial Consolidated'!Q101</f>
        <v>0</v>
      </c>
      <c r="S310" s="471">
        <f>'Managerial Consolidated'!R101</f>
        <v>0</v>
      </c>
      <c r="T310" s="471">
        <f>'Managerial Consolidated'!S101</f>
        <v>0</v>
      </c>
      <c r="U310" s="471">
        <f>'Managerial Consolidated'!T101</f>
        <v>0</v>
      </c>
      <c r="V310" s="471">
        <f>'Managerial Consolidated'!U101</f>
        <v>0</v>
      </c>
      <c r="W310" s="471">
        <f>'Managerial Consolidated'!V101</f>
        <v>0</v>
      </c>
      <c r="X310" s="471">
        <f>'Managerial Consolidated'!W101</f>
        <v>0</v>
      </c>
      <c r="Y310" s="471">
        <f>'Managerial Consolidated'!X101</f>
        <v>0</v>
      </c>
      <c r="Z310" s="471">
        <f>'Managerial Consolidated'!Y101</f>
        <v>0</v>
      </c>
      <c r="AA310" s="471">
        <f>'Managerial Consolidated'!Z101</f>
        <v>0</v>
      </c>
      <c r="AB310" s="471">
        <f>'Managerial Consolidated'!AA101</f>
        <v>0</v>
      </c>
      <c r="AC310" s="471">
        <f>'Managerial Consolidated'!AB101</f>
        <v>0</v>
      </c>
      <c r="AD310" s="471">
        <f>'Managerial Consolidated'!AC101</f>
        <v>0</v>
      </c>
      <c r="AE310" s="471">
        <f>'Managerial Consolidated'!AD101</f>
        <v>0</v>
      </c>
      <c r="AF310" s="471">
        <f>'Managerial Consolidated'!AE101</f>
        <v>0</v>
      </c>
      <c r="AG310" s="471">
        <f>'Managerial Consolidated'!AF101</f>
        <v>0</v>
      </c>
      <c r="AH310" s="331"/>
      <c r="AI310" s="331"/>
      <c r="AJ310" s="331"/>
      <c r="AK310" s="331"/>
      <c r="AL310" s="331"/>
      <c r="AM310" s="331"/>
      <c r="AN310" s="331"/>
      <c r="AO310" s="331"/>
      <c r="AQ310" s="73"/>
      <c r="AR310" s="73"/>
      <c r="AS310" s="73"/>
      <c r="AT310" s="73"/>
      <c r="AU310" s="73"/>
      <c r="AV310" s="73"/>
      <c r="AW310" s="73"/>
      <c r="AX310" s="73"/>
      <c r="AZ310" s="73"/>
      <c r="BA310" s="73"/>
      <c r="BC310" s="73"/>
      <c r="BD310" s="73"/>
    </row>
    <row r="311" spans="2:56" outlineLevel="1" x14ac:dyDescent="0.45">
      <c r="B311" s="293" t="s">
        <v>1107</v>
      </c>
      <c r="C311" s="314"/>
      <c r="D311" s="314"/>
      <c r="E311" s="314"/>
      <c r="F311" s="314"/>
      <c r="G311" s="314"/>
      <c r="H311" s="314"/>
      <c r="I311" s="314"/>
      <c r="J311" s="314"/>
      <c r="K311" s="314"/>
      <c r="L311" s="314"/>
      <c r="M311" s="314"/>
      <c r="N311" s="314"/>
      <c r="O311" s="314"/>
      <c r="P311" s="314"/>
      <c r="Q311" s="314"/>
      <c r="R311" s="314">
        <f>SUM(R304:R310)</f>
        <v>3170859.4400000749</v>
      </c>
      <c r="S311" s="314">
        <f t="shared" ref="S311:AF311" si="161">SUM(S304:S310)</f>
        <v>-4982351.6700000018</v>
      </c>
      <c r="T311" s="314">
        <f t="shared" si="161"/>
        <v>7172860.9080635216</v>
      </c>
      <c r="U311" s="314">
        <f t="shared" si="161"/>
        <v>41730511.191936553</v>
      </c>
      <c r="V311" s="314">
        <f t="shared" si="161"/>
        <v>52752012.39999979</v>
      </c>
      <c r="W311" s="314">
        <f t="shared" si="161"/>
        <v>-8883874.7299998123</v>
      </c>
      <c r="X311" s="314">
        <f t="shared" si="161"/>
        <v>-61473542.950000077</v>
      </c>
      <c r="Y311" s="314">
        <f t="shared" si="161"/>
        <v>-10720993.54000004</v>
      </c>
      <c r="Z311" s="314">
        <f t="shared" si="161"/>
        <v>-26962348.189999923</v>
      </c>
      <c r="AA311" s="314">
        <f t="shared" si="161"/>
        <v>-32468496.120000139</v>
      </c>
      <c r="AB311" s="314">
        <f t="shared" si="161"/>
        <v>-2823910.8399999011</v>
      </c>
      <c r="AC311" s="314">
        <f t="shared" si="161"/>
        <v>149276467.97000009</v>
      </c>
      <c r="AD311" s="314">
        <f t="shared" si="161"/>
        <v>29253609.879999947</v>
      </c>
      <c r="AE311" s="314">
        <f t="shared" si="161"/>
        <v>-21575171.153855085</v>
      </c>
      <c r="AF311" s="314">
        <f t="shared" si="161"/>
        <v>-9588391.3317702208</v>
      </c>
      <c r="AG311" s="314">
        <f t="shared" ref="AG311" si="162">SUM(AG304:AG310)</f>
        <v>-12597942.364374785</v>
      </c>
      <c r="AH311" s="331"/>
      <c r="AI311" s="331"/>
      <c r="AJ311" s="331"/>
      <c r="AK311" s="331"/>
      <c r="AL311" s="331"/>
      <c r="AM311" s="331"/>
      <c r="AN311" s="331"/>
      <c r="AO311" s="331"/>
      <c r="AQ311" s="73"/>
      <c r="AR311" s="73"/>
      <c r="AS311" s="73"/>
      <c r="AT311" s="73"/>
      <c r="AU311" s="73"/>
      <c r="AV311" s="73"/>
      <c r="AW311" s="73"/>
      <c r="AX311" s="73"/>
      <c r="AZ311" s="73"/>
      <c r="BA311" s="73"/>
      <c r="BC311" s="73"/>
      <c r="BD311" s="73"/>
    </row>
    <row r="312" spans="2:56" outlineLevel="1" x14ac:dyDescent="0.45">
      <c r="AH312" s="331"/>
      <c r="AI312" s="331"/>
      <c r="AJ312" s="331"/>
      <c r="AK312" s="331"/>
      <c r="AL312" s="331"/>
      <c r="AM312" s="331"/>
      <c r="AN312" s="331"/>
      <c r="AO312" s="331"/>
      <c r="AQ312" s="73"/>
      <c r="AR312" s="73"/>
      <c r="AS312" s="73"/>
      <c r="AT312" s="73"/>
      <c r="AU312" s="73"/>
      <c r="AV312" s="73"/>
      <c r="AW312" s="73"/>
      <c r="AX312" s="73"/>
      <c r="AZ312" s="73"/>
      <c r="BA312" s="73"/>
      <c r="BC312" s="73"/>
      <c r="BD312" s="73"/>
    </row>
    <row r="313" spans="2:56" outlineLevel="2" x14ac:dyDescent="0.45">
      <c r="B313" s="468" t="s">
        <v>1108</v>
      </c>
      <c r="C313" s="471"/>
      <c r="D313" s="471"/>
      <c r="E313" s="471"/>
      <c r="F313" s="471"/>
      <c r="G313" s="471"/>
      <c r="H313" s="471"/>
      <c r="I313" s="471"/>
      <c r="J313" s="471"/>
      <c r="K313" s="471"/>
      <c r="L313" s="471"/>
      <c r="M313" s="471"/>
      <c r="N313" s="471"/>
      <c r="O313" s="471"/>
      <c r="P313" s="471"/>
      <c r="Q313" s="471"/>
      <c r="R313" s="471">
        <f>'Managerial Consolidated'!Q104</f>
        <v>0</v>
      </c>
      <c r="S313" s="471">
        <f>'Managerial Consolidated'!R104</f>
        <v>0</v>
      </c>
      <c r="T313" s="471">
        <f>'Managerial Consolidated'!S104</f>
        <v>0</v>
      </c>
      <c r="U313" s="471">
        <f>'Managerial Consolidated'!T104</f>
        <v>0</v>
      </c>
      <c r="V313" s="471">
        <f>'Managerial Consolidated'!U104</f>
        <v>0</v>
      </c>
      <c r="W313" s="471">
        <f>'Managerial Consolidated'!V104</f>
        <v>0</v>
      </c>
      <c r="X313" s="471">
        <f>'Managerial Consolidated'!W104</f>
        <v>0</v>
      </c>
      <c r="Y313" s="471">
        <f>'Managerial Consolidated'!X104</f>
        <v>0</v>
      </c>
      <c r="Z313" s="471">
        <f>'Managerial Consolidated'!Y104</f>
        <v>0</v>
      </c>
      <c r="AA313" s="471">
        <f>'Managerial Consolidated'!Z104</f>
        <v>0</v>
      </c>
      <c r="AB313" s="471">
        <f>'Managerial Consolidated'!AA104</f>
        <v>0</v>
      </c>
      <c r="AC313" s="471">
        <f>'Managerial Consolidated'!AB104</f>
        <v>0</v>
      </c>
      <c r="AD313" s="471">
        <f>'Managerial Consolidated'!AC104</f>
        <v>0</v>
      </c>
      <c r="AE313" s="471">
        <f>'Managerial Consolidated'!AD104</f>
        <v>0</v>
      </c>
      <c r="AF313" s="471">
        <f>'Managerial Consolidated'!AE104</f>
        <v>0</v>
      </c>
      <c r="AG313" s="471">
        <f>'Managerial Consolidated'!AF104</f>
        <v>0</v>
      </c>
      <c r="AH313" s="331"/>
      <c r="AI313" s="331"/>
      <c r="AJ313" s="331"/>
      <c r="AK313" s="331"/>
      <c r="AL313" s="331"/>
      <c r="AM313" s="331"/>
      <c r="AN313" s="331"/>
      <c r="AO313" s="331"/>
      <c r="AQ313" s="73"/>
      <c r="AR313" s="73"/>
      <c r="AS313" s="73"/>
      <c r="AT313" s="73"/>
      <c r="AU313" s="73"/>
      <c r="AV313" s="73"/>
      <c r="AW313" s="73"/>
      <c r="AX313" s="73"/>
      <c r="AZ313" s="73"/>
      <c r="BA313" s="73"/>
      <c r="BC313" s="73"/>
      <c r="BD313" s="73"/>
    </row>
    <row r="314" spans="2:56" outlineLevel="2" x14ac:dyDescent="0.45">
      <c r="B314" s="468" t="s">
        <v>1130</v>
      </c>
      <c r="C314" s="471"/>
      <c r="D314" s="471"/>
      <c r="E314" s="471"/>
      <c r="F314" s="471"/>
      <c r="G314" s="471"/>
      <c r="H314" s="471"/>
      <c r="I314" s="471"/>
      <c r="J314" s="471"/>
      <c r="K314" s="471"/>
      <c r="L314" s="471"/>
      <c r="M314" s="471"/>
      <c r="N314" s="471"/>
      <c r="O314" s="471"/>
      <c r="P314" s="471"/>
      <c r="Q314" s="471"/>
      <c r="R314" s="471">
        <f>'Managerial Consolidated'!Q105</f>
        <v>-2342961.079999987</v>
      </c>
      <c r="S314" s="471">
        <f>'Managerial Consolidated'!R105</f>
        <v>-6348136.8499999559</v>
      </c>
      <c r="T314" s="471">
        <f>'Managerial Consolidated'!S105</f>
        <v>-13511543.680000007</v>
      </c>
      <c r="U314" s="471">
        <f>'Managerial Consolidated'!T105</f>
        <v>-58999404.249999993</v>
      </c>
      <c r="V314" s="471">
        <f>'Managerial Consolidated'!U105</f>
        <v>-41688595.580000013</v>
      </c>
      <c r="W314" s="471">
        <f>'Managerial Consolidated'!V105</f>
        <v>-8915495.4500000533</v>
      </c>
      <c r="X314" s="471">
        <f>'Managerial Consolidated'!W105</f>
        <v>-16383302.889999988</v>
      </c>
      <c r="Y314" s="471">
        <f>'Managerial Consolidated'!X105</f>
        <v>-9115746.2499999758</v>
      </c>
      <c r="Z314" s="471">
        <f>'Managerial Consolidated'!Y105</f>
        <v>-32100152.909999993</v>
      </c>
      <c r="AA314" s="471">
        <f>'Managerial Consolidated'!Z105</f>
        <v>-24454616.389999975</v>
      </c>
      <c r="AB314" s="471">
        <f>'Managerial Consolidated'!AA105</f>
        <v>-47640600.400000125</v>
      </c>
      <c r="AC314" s="471">
        <f>'Managerial Consolidated'!AB105</f>
        <v>-220275845.07999974</v>
      </c>
      <c r="AD314" s="471">
        <f>'Managerial Consolidated'!AC105</f>
        <v>-20538075.110000163</v>
      </c>
      <c r="AE314" s="471">
        <f>'Managerial Consolidated'!AD105</f>
        <v>-18429525.169999968</v>
      </c>
      <c r="AF314" s="471">
        <f>'Managerial Consolidated'!AE105</f>
        <v>-89855346.550000086</v>
      </c>
      <c r="AG314" s="471">
        <f>'Managerial Consolidated'!AF105</f>
        <v>-36281458.860000104</v>
      </c>
      <c r="AH314" s="331"/>
      <c r="AI314" s="331"/>
      <c r="AJ314" s="331"/>
      <c r="AK314" s="331"/>
      <c r="AL314" s="331"/>
      <c r="AM314" s="331"/>
      <c r="AN314" s="331"/>
      <c r="AO314" s="331"/>
      <c r="AQ314" s="73"/>
      <c r="AR314" s="73"/>
      <c r="AS314" s="73"/>
      <c r="AT314" s="73"/>
      <c r="AU314" s="73"/>
      <c r="AV314" s="73"/>
      <c r="AW314" s="73"/>
      <c r="AX314" s="73"/>
      <c r="AZ314" s="73"/>
      <c r="BA314" s="73"/>
      <c r="BC314" s="73"/>
      <c r="BD314" s="73"/>
    </row>
    <row r="315" spans="2:56" outlineLevel="2" x14ac:dyDescent="0.45">
      <c r="B315" s="468" t="s">
        <v>1110</v>
      </c>
      <c r="C315" s="471"/>
      <c r="D315" s="471"/>
      <c r="E315" s="471"/>
      <c r="F315" s="471"/>
      <c r="G315" s="471"/>
      <c r="H315" s="471"/>
      <c r="I315" s="471"/>
      <c r="J315" s="471"/>
      <c r="K315" s="471"/>
      <c r="L315" s="471"/>
      <c r="M315" s="471"/>
      <c r="N315" s="471"/>
      <c r="O315" s="471"/>
      <c r="P315" s="471"/>
      <c r="Q315" s="471"/>
      <c r="R315" s="471">
        <f>'Managerial Consolidated'!Q106</f>
        <v>0</v>
      </c>
      <c r="S315" s="471">
        <f>'Managerial Consolidated'!R106</f>
        <v>0</v>
      </c>
      <c r="T315" s="471">
        <f>'Managerial Consolidated'!S106</f>
        <v>0</v>
      </c>
      <c r="U315" s="471">
        <f>'Managerial Consolidated'!T106</f>
        <v>0</v>
      </c>
      <c r="V315" s="471">
        <f>'Managerial Consolidated'!U106</f>
        <v>0</v>
      </c>
      <c r="W315" s="471">
        <f>'Managerial Consolidated'!V106</f>
        <v>0</v>
      </c>
      <c r="X315" s="471">
        <f>'Managerial Consolidated'!W106</f>
        <v>0</v>
      </c>
      <c r="Y315" s="471">
        <f>'Managerial Consolidated'!X106</f>
        <v>0</v>
      </c>
      <c r="Z315" s="471">
        <f>'Managerial Consolidated'!Y106</f>
        <v>0</v>
      </c>
      <c r="AA315" s="471">
        <f>'Managerial Consolidated'!Z106</f>
        <v>0</v>
      </c>
      <c r="AB315" s="471">
        <f>'Managerial Consolidated'!AA106</f>
        <v>0</v>
      </c>
      <c r="AC315" s="471">
        <f>'Managerial Consolidated'!AB106</f>
        <v>0</v>
      </c>
      <c r="AD315" s="471">
        <f>'Managerial Consolidated'!AC106</f>
        <v>0</v>
      </c>
      <c r="AE315" s="471">
        <f>'Managerial Consolidated'!AD106</f>
        <v>0</v>
      </c>
      <c r="AF315" s="471">
        <f>'Managerial Consolidated'!AE106</f>
        <v>0</v>
      </c>
      <c r="AG315" s="471">
        <f>'Managerial Consolidated'!AF106</f>
        <v>0</v>
      </c>
      <c r="AH315" s="331"/>
      <c r="AI315" s="331"/>
      <c r="AJ315" s="331"/>
      <c r="AK315" s="331"/>
      <c r="AL315" s="331"/>
      <c r="AM315" s="331"/>
      <c r="AN315" s="331"/>
      <c r="AO315" s="331"/>
      <c r="AQ315" s="73"/>
      <c r="AR315" s="73"/>
      <c r="AS315" s="73"/>
      <c r="AT315" s="73"/>
      <c r="AU315" s="73"/>
      <c r="AV315" s="73"/>
      <c r="AW315" s="73"/>
      <c r="AX315" s="73"/>
      <c r="AZ315" s="73"/>
      <c r="BA315" s="73"/>
      <c r="BC315" s="73"/>
      <c r="BD315" s="73"/>
    </row>
    <row r="316" spans="2:56" outlineLevel="1" x14ac:dyDescent="0.45">
      <c r="B316" s="293" t="s">
        <v>1111</v>
      </c>
      <c r="C316" s="314"/>
      <c r="D316" s="314"/>
      <c r="E316" s="314"/>
      <c r="F316" s="314"/>
      <c r="G316" s="314"/>
      <c r="H316" s="314"/>
      <c r="I316" s="314"/>
      <c r="J316" s="314"/>
      <c r="K316" s="314"/>
      <c r="L316" s="314"/>
      <c r="M316" s="314"/>
      <c r="N316" s="314"/>
      <c r="O316" s="314"/>
      <c r="P316" s="314"/>
      <c r="Q316" s="314"/>
      <c r="R316" s="314">
        <f>SUM(R313:R315)</f>
        <v>-2342961.079999987</v>
      </c>
      <c r="S316" s="314">
        <f t="shared" ref="S316:AF316" si="163">SUM(S313:S315)</f>
        <v>-6348136.8499999559</v>
      </c>
      <c r="T316" s="314">
        <f t="shared" si="163"/>
        <v>-13511543.680000007</v>
      </c>
      <c r="U316" s="314">
        <f t="shared" si="163"/>
        <v>-58999404.249999993</v>
      </c>
      <c r="V316" s="314">
        <f t="shared" si="163"/>
        <v>-41688595.580000013</v>
      </c>
      <c r="W316" s="314">
        <f t="shared" si="163"/>
        <v>-8915495.4500000533</v>
      </c>
      <c r="X316" s="314">
        <f t="shared" si="163"/>
        <v>-16383302.889999988</v>
      </c>
      <c r="Y316" s="314">
        <f t="shared" si="163"/>
        <v>-9115746.2499999758</v>
      </c>
      <c r="Z316" s="314">
        <f t="shared" si="163"/>
        <v>-32100152.909999993</v>
      </c>
      <c r="AA316" s="314">
        <f t="shared" si="163"/>
        <v>-24454616.389999975</v>
      </c>
      <c r="AB316" s="314">
        <f t="shared" si="163"/>
        <v>-47640600.400000125</v>
      </c>
      <c r="AC316" s="314">
        <f t="shared" si="163"/>
        <v>-220275845.07999974</v>
      </c>
      <c r="AD316" s="314">
        <f t="shared" si="163"/>
        <v>-20538075.110000163</v>
      </c>
      <c r="AE316" s="314">
        <f t="shared" si="163"/>
        <v>-18429525.169999968</v>
      </c>
      <c r="AF316" s="314">
        <f t="shared" si="163"/>
        <v>-89855346.550000086</v>
      </c>
      <c r="AG316" s="314">
        <f t="shared" ref="AG316" si="164">SUM(AG313:AG315)</f>
        <v>-36281458.860000104</v>
      </c>
      <c r="AH316" s="331"/>
      <c r="AI316" s="331"/>
      <c r="AJ316" s="331"/>
      <c r="AK316" s="331"/>
      <c r="AL316" s="331"/>
      <c r="AM316" s="331"/>
      <c r="AN316" s="331"/>
      <c r="AO316" s="331"/>
      <c r="AQ316" s="73"/>
      <c r="AR316" s="73"/>
      <c r="AS316" s="73"/>
      <c r="AT316" s="73"/>
      <c r="AU316" s="73"/>
      <c r="AV316" s="73"/>
      <c r="AW316" s="73"/>
      <c r="AX316" s="73"/>
      <c r="AZ316" s="73"/>
      <c r="BA316" s="73"/>
      <c r="BC316" s="73"/>
      <c r="BD316" s="73"/>
    </row>
    <row r="317" spans="2:56" outlineLevel="1" x14ac:dyDescent="0.45">
      <c r="C317" s="480"/>
      <c r="D317" s="480"/>
      <c r="E317" s="480"/>
      <c r="F317" s="480"/>
      <c r="G317" s="480"/>
      <c r="H317" s="480"/>
      <c r="I317" s="480"/>
      <c r="J317" s="480"/>
      <c r="K317" s="480"/>
      <c r="L317" s="480"/>
      <c r="M317" s="480"/>
      <c r="N317" s="480"/>
      <c r="O317" s="480"/>
      <c r="P317" s="480"/>
      <c r="Q317" s="480"/>
      <c r="R317" s="480"/>
      <c r="S317" s="480"/>
      <c r="T317" s="480"/>
      <c r="U317" s="480"/>
      <c r="V317" s="480"/>
      <c r="W317" s="480"/>
      <c r="X317" s="480"/>
      <c r="Y317" s="480"/>
      <c r="Z317" s="480"/>
      <c r="AA317" s="480"/>
      <c r="AB317" s="480"/>
      <c r="AC317" s="480"/>
      <c r="AD317" s="480"/>
      <c r="AE317" s="480"/>
      <c r="AF317" s="480"/>
      <c r="AG317" s="480"/>
      <c r="AH317" s="331"/>
      <c r="AI317" s="331"/>
      <c r="AJ317" s="331"/>
      <c r="AK317" s="331"/>
      <c r="AL317" s="331"/>
      <c r="AM317" s="331"/>
      <c r="AN317" s="331"/>
      <c r="AO317" s="331"/>
      <c r="AQ317" s="73"/>
      <c r="AR317" s="73"/>
      <c r="AS317" s="73"/>
      <c r="AT317" s="73"/>
      <c r="AU317" s="73"/>
      <c r="AV317" s="73"/>
      <c r="AW317" s="73"/>
      <c r="AX317" s="73"/>
      <c r="AZ317" s="73"/>
      <c r="BA317" s="73"/>
      <c r="BC317" s="73"/>
      <c r="BD317" s="73"/>
    </row>
    <row r="318" spans="2:56" outlineLevel="1" x14ac:dyDescent="0.45">
      <c r="B318" s="293" t="s">
        <v>1112</v>
      </c>
      <c r="C318" s="314"/>
      <c r="D318" s="314"/>
      <c r="E318" s="314"/>
      <c r="F318" s="314"/>
      <c r="G318" s="314"/>
      <c r="H318" s="314"/>
      <c r="I318" s="314"/>
      <c r="J318" s="314"/>
      <c r="K318" s="314"/>
      <c r="L318" s="314"/>
      <c r="M318" s="314"/>
      <c r="N318" s="314"/>
      <c r="O318" s="314"/>
      <c r="P318" s="314"/>
      <c r="Q318" s="314"/>
      <c r="R318" s="314">
        <f>R311+R316</f>
        <v>827898.36000008788</v>
      </c>
      <c r="S318" s="314">
        <f t="shared" ref="S318:AF318" si="165">S311+S316</f>
        <v>-11330488.519999959</v>
      </c>
      <c r="T318" s="314">
        <f t="shared" si="165"/>
        <v>-6338682.7719364855</v>
      </c>
      <c r="U318" s="314">
        <f t="shared" si="165"/>
        <v>-17268893.05806344</v>
      </c>
      <c r="V318" s="314">
        <f t="shared" si="165"/>
        <v>11063416.819999777</v>
      </c>
      <c r="W318" s="314">
        <f t="shared" si="165"/>
        <v>-17799370.179999866</v>
      </c>
      <c r="X318" s="314">
        <f t="shared" si="165"/>
        <v>-77856845.840000063</v>
      </c>
      <c r="Y318" s="314">
        <f t="shared" si="165"/>
        <v>-19836739.790000014</v>
      </c>
      <c r="Z318" s="314">
        <f t="shared" si="165"/>
        <v>-59062501.09999992</v>
      </c>
      <c r="AA318" s="314">
        <f t="shared" si="165"/>
        <v>-56923112.51000011</v>
      </c>
      <c r="AB318" s="314">
        <f t="shared" si="165"/>
        <v>-50464511.240000024</v>
      </c>
      <c r="AC318" s="314">
        <f t="shared" si="165"/>
        <v>-70999377.109999657</v>
      </c>
      <c r="AD318" s="314">
        <f t="shared" si="165"/>
        <v>8715534.7699997835</v>
      </c>
      <c r="AE318" s="314">
        <f t="shared" si="165"/>
        <v>-40004696.323855057</v>
      </c>
      <c r="AF318" s="314">
        <f t="shared" si="165"/>
        <v>-99443737.881770313</v>
      </c>
      <c r="AG318" s="314">
        <f t="shared" ref="AG318" si="166">AG311+AG316</f>
        <v>-48879401.22437489</v>
      </c>
      <c r="AH318" s="331"/>
      <c r="AI318" s="331"/>
      <c r="AJ318" s="331"/>
      <c r="AK318" s="331"/>
      <c r="AL318" s="331"/>
      <c r="AM318" s="331"/>
      <c r="AN318" s="331"/>
      <c r="AO318" s="331"/>
      <c r="AQ318" s="73"/>
      <c r="AR318" s="73"/>
      <c r="AS318" s="73"/>
      <c r="AT318" s="73"/>
      <c r="AU318" s="73"/>
      <c r="AV318" s="73"/>
      <c r="AW318" s="73"/>
      <c r="AX318" s="73"/>
      <c r="AZ318" s="73"/>
      <c r="BA318" s="73"/>
      <c r="BC318" s="73"/>
      <c r="BD318" s="73"/>
    </row>
    <row r="319" spans="2:56" outlineLevel="1" x14ac:dyDescent="0.45">
      <c r="C319" s="480"/>
      <c r="D319" s="480"/>
      <c r="E319" s="480"/>
      <c r="F319" s="480"/>
      <c r="G319" s="480"/>
      <c r="H319" s="480"/>
      <c r="I319" s="480"/>
      <c r="J319" s="480"/>
      <c r="K319" s="480"/>
      <c r="L319" s="480"/>
      <c r="M319" s="480"/>
      <c r="N319" s="480"/>
      <c r="O319" s="480"/>
      <c r="P319" s="480"/>
      <c r="Q319" s="480"/>
      <c r="R319" s="480"/>
      <c r="S319" s="480"/>
      <c r="T319" s="480"/>
      <c r="U319" s="480"/>
      <c r="V319" s="480"/>
      <c r="W319" s="480"/>
      <c r="X319" s="480"/>
      <c r="Y319" s="480"/>
      <c r="Z319" s="480"/>
      <c r="AA319" s="480"/>
      <c r="AB319" s="480"/>
      <c r="AC319" s="480"/>
      <c r="AD319" s="480"/>
      <c r="AE319" s="480"/>
      <c r="AF319" s="480"/>
      <c r="AG319" s="480"/>
      <c r="AH319" s="331"/>
      <c r="AI319" s="331"/>
      <c r="AJ319" s="331"/>
      <c r="AK319" s="331"/>
      <c r="AL319" s="331"/>
      <c r="AM319" s="331"/>
      <c r="AN319" s="331"/>
      <c r="AO319" s="331"/>
      <c r="AQ319" s="73"/>
      <c r="AR319" s="73"/>
      <c r="AS319" s="73"/>
      <c r="AT319" s="73"/>
      <c r="AU319" s="73"/>
      <c r="AV319" s="73"/>
      <c r="AW319" s="73"/>
      <c r="AX319" s="73"/>
      <c r="AZ319" s="73"/>
      <c r="BA319" s="73"/>
      <c r="BC319" s="73"/>
      <c r="BD319" s="73"/>
    </row>
    <row r="320" spans="2:56" outlineLevel="2" x14ac:dyDescent="0.45">
      <c r="B320" s="468" t="s">
        <v>1113</v>
      </c>
      <c r="C320" s="471"/>
      <c r="D320" s="471"/>
      <c r="E320" s="471"/>
      <c r="F320" s="471"/>
      <c r="G320" s="471"/>
      <c r="H320" s="471"/>
      <c r="I320" s="471"/>
      <c r="J320" s="471"/>
      <c r="K320" s="471"/>
      <c r="L320" s="471"/>
      <c r="M320" s="471"/>
      <c r="N320" s="471"/>
      <c r="O320" s="471"/>
      <c r="P320" s="471"/>
      <c r="Q320" s="471"/>
      <c r="R320" s="471">
        <f>'Managerial Consolidated'!Q111</f>
        <v>0</v>
      </c>
      <c r="S320" s="471">
        <f>'Managerial Consolidated'!R111</f>
        <v>0</v>
      </c>
      <c r="T320" s="471">
        <f>'Managerial Consolidated'!S111</f>
        <v>0</v>
      </c>
      <c r="U320" s="471">
        <f>'Managerial Consolidated'!T111</f>
        <v>0</v>
      </c>
      <c r="V320" s="471">
        <f>'Managerial Consolidated'!U111</f>
        <v>0</v>
      </c>
      <c r="W320" s="471">
        <f>'Managerial Consolidated'!V111</f>
        <v>98023550</v>
      </c>
      <c r="X320" s="471">
        <f>'Managerial Consolidated'!W111</f>
        <v>1631346.1899999976</v>
      </c>
      <c r="Y320" s="471">
        <f>'Managerial Consolidated'!X111</f>
        <v>1686346.1899999976</v>
      </c>
      <c r="Z320" s="471">
        <f>'Managerial Consolidated'!Y111</f>
        <v>2190016.8500000089</v>
      </c>
      <c r="AA320" s="471">
        <f>'Managerial Consolidated'!Z111</f>
        <v>-3284467.0300000012</v>
      </c>
      <c r="AB320" s="471">
        <f>'Managerial Consolidated'!AA111</f>
        <v>1625044.799999997</v>
      </c>
      <c r="AC320" s="471">
        <f>'Managerial Consolidated'!AB111</f>
        <v>-2326743</v>
      </c>
      <c r="AD320" s="471">
        <f>'Managerial Consolidated'!AC111</f>
        <v>1307457.099999994</v>
      </c>
      <c r="AE320" s="471">
        <f>'Managerial Consolidated'!AD111</f>
        <v>1530169.8000000119</v>
      </c>
      <c r="AF320" s="471">
        <f>'Managerial Consolidated'!AE111</f>
        <v>-2231867.5</v>
      </c>
      <c r="AG320" s="471">
        <f>'Managerial Consolidated'!AF111</f>
        <v>1625044.799999997</v>
      </c>
      <c r="AH320" s="331"/>
      <c r="AI320" s="331"/>
      <c r="AJ320" s="331"/>
      <c r="AK320" s="331"/>
      <c r="AL320" s="331"/>
      <c r="AM320" s="331"/>
      <c r="AN320" s="331"/>
      <c r="AO320" s="331"/>
      <c r="AQ320" s="73"/>
      <c r="AR320" s="73"/>
      <c r="AS320" s="73"/>
      <c r="AT320" s="73"/>
      <c r="AU320" s="73"/>
      <c r="AV320" s="73"/>
      <c r="AW320" s="73"/>
      <c r="AX320" s="73"/>
      <c r="AZ320" s="73"/>
      <c r="BA320" s="73"/>
      <c r="BC320" s="73"/>
      <c r="BD320" s="73"/>
    </row>
    <row r="321" spans="2:56" outlineLevel="2" x14ac:dyDescent="0.45">
      <c r="B321" s="468" t="s">
        <v>1114</v>
      </c>
      <c r="C321" s="471"/>
      <c r="D321" s="471"/>
      <c r="E321" s="471"/>
      <c r="F321" s="471"/>
      <c r="G321" s="471"/>
      <c r="H321" s="471"/>
      <c r="I321" s="471"/>
      <c r="J321" s="471"/>
      <c r="K321" s="471"/>
      <c r="L321" s="471"/>
      <c r="M321" s="471"/>
      <c r="N321" s="471"/>
      <c r="O321" s="471"/>
      <c r="P321" s="471"/>
      <c r="Q321" s="471"/>
      <c r="R321" s="471">
        <f>'Managerial Consolidated'!Q112</f>
        <v>0</v>
      </c>
      <c r="S321" s="471">
        <f>'Managerial Consolidated'!R112</f>
        <v>10000000</v>
      </c>
      <c r="T321" s="471">
        <f>'Managerial Consolidated'!S112</f>
        <v>25200000</v>
      </c>
      <c r="U321" s="471">
        <f>'Managerial Consolidated'!T112</f>
        <v>0</v>
      </c>
      <c r="V321" s="471">
        <f>'Managerial Consolidated'!U112</f>
        <v>16133348</v>
      </c>
      <c r="W321" s="471">
        <f>'Managerial Consolidated'!V112</f>
        <v>1333333</v>
      </c>
      <c r="X321" s="471">
        <f>'Managerial Consolidated'!W112</f>
        <v>1333333</v>
      </c>
      <c r="Y321" s="471">
        <f>'Managerial Consolidated'!X112</f>
        <v>1333333</v>
      </c>
      <c r="Z321" s="471">
        <f>'Managerial Consolidated'!Y112</f>
        <v>51599812.99999997</v>
      </c>
      <c r="AA321" s="471">
        <f>'Managerial Consolidated'!Z112</f>
        <v>52595397.210000038</v>
      </c>
      <c r="AB321" s="471">
        <f>'Managerial Consolidated'!AA112</f>
        <v>50450870</v>
      </c>
      <c r="AC321" s="471">
        <f>'Managerial Consolidated'!AB112</f>
        <v>87741179</v>
      </c>
      <c r="AD321" s="471">
        <f>'Managerial Consolidated'!AC112</f>
        <v>-26545114</v>
      </c>
      <c r="AE321" s="471">
        <f>'Managerial Consolidated'!AD112</f>
        <v>41912492.50999999</v>
      </c>
      <c r="AF321" s="471">
        <f>'Managerial Consolidated'!AE112</f>
        <v>99695537</v>
      </c>
      <c r="AG321" s="471">
        <f>'Managerial Consolidated'!AF112</f>
        <v>50930958</v>
      </c>
      <c r="AH321" s="331"/>
      <c r="AI321" s="331"/>
      <c r="AJ321" s="331"/>
      <c r="AK321" s="331"/>
      <c r="AL321" s="331"/>
      <c r="AM321" s="331"/>
      <c r="AN321" s="331"/>
      <c r="AO321" s="331"/>
      <c r="AQ321" s="73"/>
      <c r="AR321" s="73"/>
      <c r="AS321" s="73"/>
      <c r="AT321" s="73"/>
      <c r="AU321" s="73"/>
      <c r="AV321" s="73"/>
      <c r="AW321" s="73"/>
      <c r="AX321" s="73"/>
      <c r="AZ321" s="73"/>
      <c r="BA321" s="73"/>
      <c r="BC321" s="73"/>
      <c r="BD321" s="73"/>
    </row>
    <row r="322" spans="2:56" outlineLevel="2" x14ac:dyDescent="0.45">
      <c r="B322" s="468" t="s">
        <v>1115</v>
      </c>
      <c r="C322" s="471"/>
      <c r="D322" s="471"/>
      <c r="E322" s="471"/>
      <c r="F322" s="471"/>
      <c r="G322" s="471"/>
      <c r="H322" s="471"/>
      <c r="I322" s="471"/>
      <c r="J322" s="471"/>
      <c r="K322" s="471"/>
      <c r="L322" s="471"/>
      <c r="M322" s="471"/>
      <c r="N322" s="471"/>
      <c r="O322" s="471"/>
      <c r="P322" s="471"/>
      <c r="Q322" s="471"/>
      <c r="R322" s="471">
        <f>'Managerial Consolidated'!Q113</f>
        <v>0</v>
      </c>
      <c r="S322" s="471">
        <f>'Managerial Consolidated'!R113</f>
        <v>0</v>
      </c>
      <c r="T322" s="471">
        <f>'Managerial Consolidated'!S113</f>
        <v>0</v>
      </c>
      <c r="U322" s="471">
        <f>'Managerial Consolidated'!T113</f>
        <v>0</v>
      </c>
      <c r="V322" s="471">
        <f>'Managerial Consolidated'!U113</f>
        <v>0</v>
      </c>
      <c r="W322" s="471">
        <f>'Managerial Consolidated'!V113</f>
        <v>0</v>
      </c>
      <c r="X322" s="471">
        <f>'Managerial Consolidated'!W113</f>
        <v>0</v>
      </c>
      <c r="Y322" s="471">
        <f>'Managerial Consolidated'!X113</f>
        <v>0</v>
      </c>
      <c r="Z322" s="471">
        <f>'Managerial Consolidated'!Y113</f>
        <v>0</v>
      </c>
      <c r="AA322" s="471">
        <f>'Managerial Consolidated'!Z113</f>
        <v>0</v>
      </c>
      <c r="AB322" s="471">
        <f>'Managerial Consolidated'!AA113</f>
        <v>0</v>
      </c>
      <c r="AC322" s="471">
        <f>'Managerial Consolidated'!AB113</f>
        <v>0</v>
      </c>
      <c r="AD322" s="471">
        <f>'Managerial Consolidated'!AC113</f>
        <v>0</v>
      </c>
      <c r="AE322" s="471">
        <f>'Managerial Consolidated'!AD113</f>
        <v>0</v>
      </c>
      <c r="AF322" s="471">
        <f>'Managerial Consolidated'!AE113</f>
        <v>0</v>
      </c>
      <c r="AG322" s="471">
        <f>'Managerial Consolidated'!AF113</f>
        <v>0</v>
      </c>
      <c r="AH322" s="331"/>
      <c r="AI322" s="331"/>
      <c r="AJ322" s="331"/>
      <c r="AK322" s="331"/>
      <c r="AL322" s="331"/>
      <c r="AM322" s="331"/>
      <c r="AN322" s="331"/>
      <c r="AO322" s="331"/>
      <c r="AQ322" s="73"/>
      <c r="AR322" s="73"/>
      <c r="AS322" s="73"/>
      <c r="AT322" s="73"/>
      <c r="AU322" s="73"/>
      <c r="AV322" s="73"/>
      <c r="AW322" s="73"/>
      <c r="AX322" s="73"/>
      <c r="AZ322" s="73"/>
      <c r="BA322" s="73"/>
      <c r="BC322" s="73"/>
      <c r="BD322" s="73"/>
    </row>
    <row r="323" spans="2:56" outlineLevel="1" x14ac:dyDescent="0.45">
      <c r="B323" s="293" t="s">
        <v>1116</v>
      </c>
      <c r="C323" s="314"/>
      <c r="D323" s="314"/>
      <c r="E323" s="314"/>
      <c r="F323" s="314"/>
      <c r="G323" s="314"/>
      <c r="H323" s="314"/>
      <c r="I323" s="314"/>
      <c r="J323" s="314"/>
      <c r="K323" s="314"/>
      <c r="L323" s="314"/>
      <c r="M323" s="314"/>
      <c r="N323" s="314"/>
      <c r="O323" s="314"/>
      <c r="P323" s="314"/>
      <c r="Q323" s="314"/>
      <c r="R323" s="314">
        <f>SUM(R320:R322)</f>
        <v>0</v>
      </c>
      <c r="S323" s="314">
        <f t="shared" ref="S323:AF323" si="167">SUM(S320:S322)</f>
        <v>10000000</v>
      </c>
      <c r="T323" s="314">
        <f t="shared" si="167"/>
        <v>25200000</v>
      </c>
      <c r="U323" s="314">
        <f t="shared" si="167"/>
        <v>0</v>
      </c>
      <c r="V323" s="314">
        <f t="shared" si="167"/>
        <v>16133348</v>
      </c>
      <c r="W323" s="314">
        <f t="shared" si="167"/>
        <v>99356883</v>
      </c>
      <c r="X323" s="314">
        <f t="shared" si="167"/>
        <v>2964679.1899999976</v>
      </c>
      <c r="Y323" s="314">
        <f t="shared" si="167"/>
        <v>3019679.1899999976</v>
      </c>
      <c r="Z323" s="314">
        <f t="shared" si="167"/>
        <v>53789829.849999979</v>
      </c>
      <c r="AA323" s="314">
        <f t="shared" si="167"/>
        <v>49310930.180000037</v>
      </c>
      <c r="AB323" s="314">
        <f t="shared" si="167"/>
        <v>52075914.799999997</v>
      </c>
      <c r="AC323" s="314">
        <f t="shared" si="167"/>
        <v>85414436</v>
      </c>
      <c r="AD323" s="314">
        <f t="shared" si="167"/>
        <v>-25237656.900000006</v>
      </c>
      <c r="AE323" s="314">
        <f t="shared" si="167"/>
        <v>43442662.310000002</v>
      </c>
      <c r="AF323" s="314">
        <f t="shared" si="167"/>
        <v>97463669.5</v>
      </c>
      <c r="AG323" s="314">
        <f t="shared" ref="AG323" si="168">SUM(AG320:AG322)</f>
        <v>52556002.799999997</v>
      </c>
      <c r="AH323" s="331"/>
      <c r="AI323" s="331"/>
      <c r="AJ323" s="331"/>
      <c r="AK323" s="331"/>
      <c r="AL323" s="331"/>
      <c r="AM323" s="331"/>
      <c r="AN323" s="331"/>
      <c r="AO323" s="331"/>
      <c r="AQ323" s="73"/>
      <c r="AR323" s="73"/>
      <c r="AS323" s="73"/>
      <c r="AT323" s="73"/>
      <c r="AU323" s="73"/>
      <c r="AV323" s="73"/>
      <c r="AW323" s="73"/>
      <c r="AX323" s="73"/>
      <c r="AZ323" s="73"/>
      <c r="BA323" s="73"/>
      <c r="BC323" s="73"/>
      <c r="BD323" s="73"/>
    </row>
    <row r="324" spans="2:56" outlineLevel="1" x14ac:dyDescent="0.45">
      <c r="C324" s="480"/>
      <c r="D324" s="480"/>
      <c r="E324" s="480"/>
      <c r="F324" s="480"/>
      <c r="G324" s="480"/>
      <c r="H324" s="480"/>
      <c r="I324" s="480"/>
      <c r="J324" s="480"/>
      <c r="K324" s="480"/>
      <c r="L324" s="480"/>
      <c r="M324" s="480"/>
      <c r="N324" s="480"/>
      <c r="O324" s="480"/>
      <c r="P324" s="480"/>
      <c r="Q324" s="480"/>
      <c r="R324" s="480"/>
      <c r="S324" s="480"/>
      <c r="T324" s="480"/>
      <c r="U324" s="480"/>
      <c r="V324" s="480"/>
      <c r="W324" s="480"/>
      <c r="X324" s="480"/>
      <c r="Y324" s="480"/>
      <c r="Z324" s="480"/>
      <c r="AA324" s="480"/>
      <c r="AB324" s="480"/>
      <c r="AC324" s="480"/>
      <c r="AD324" s="480"/>
      <c r="AE324" s="480"/>
      <c r="AF324" s="480"/>
      <c r="AG324" s="480"/>
      <c r="AH324" s="331"/>
      <c r="AI324" s="331"/>
      <c r="AJ324" s="331"/>
      <c r="AK324" s="331"/>
      <c r="AL324" s="331"/>
      <c r="AM324" s="331"/>
      <c r="AN324" s="331"/>
      <c r="AO324" s="331"/>
      <c r="AQ324" s="73"/>
      <c r="AR324" s="73"/>
      <c r="AS324" s="73"/>
      <c r="AT324" s="73"/>
      <c r="AU324" s="73"/>
      <c r="AV324" s="73"/>
      <c r="AW324" s="73"/>
      <c r="AX324" s="73"/>
      <c r="AZ324" s="73"/>
      <c r="BA324" s="73"/>
      <c r="BC324" s="73"/>
      <c r="BD324" s="73"/>
    </row>
    <row r="325" spans="2:56" outlineLevel="1" x14ac:dyDescent="0.45">
      <c r="B325" s="293" t="s">
        <v>1117</v>
      </c>
      <c r="C325" s="314"/>
      <c r="D325" s="314"/>
      <c r="E325" s="314"/>
      <c r="F325" s="314"/>
      <c r="G325" s="314"/>
      <c r="H325" s="314"/>
      <c r="I325" s="314"/>
      <c r="J325" s="314"/>
      <c r="K325" s="314"/>
      <c r="L325" s="314"/>
      <c r="M325" s="314"/>
      <c r="N325" s="314"/>
      <c r="O325" s="314"/>
      <c r="P325" s="314"/>
      <c r="Q325" s="314"/>
      <c r="R325" s="314">
        <f>R323+R318</f>
        <v>827898.36000008788</v>
      </c>
      <c r="S325" s="314">
        <f t="shared" ref="S325:AF325" si="169">S323+S318</f>
        <v>-1330488.5199999586</v>
      </c>
      <c r="T325" s="314">
        <f t="shared" si="169"/>
        <v>18861317.228063516</v>
      </c>
      <c r="U325" s="314">
        <f t="shared" si="169"/>
        <v>-17268893.05806344</v>
      </c>
      <c r="V325" s="314">
        <f t="shared" si="169"/>
        <v>27196764.819999777</v>
      </c>
      <c r="W325" s="314">
        <f t="shared" si="169"/>
        <v>81557512.820000142</v>
      </c>
      <c r="X325" s="314">
        <f t="shared" si="169"/>
        <v>-74892166.650000066</v>
      </c>
      <c r="Y325" s="314">
        <f t="shared" si="169"/>
        <v>-16817060.600000016</v>
      </c>
      <c r="Z325" s="314">
        <f t="shared" si="169"/>
        <v>-5272671.2499999404</v>
      </c>
      <c r="AA325" s="314">
        <f t="shared" si="169"/>
        <v>-7612182.3300000727</v>
      </c>
      <c r="AB325" s="314">
        <f t="shared" si="169"/>
        <v>1611403.5599999726</v>
      </c>
      <c r="AC325" s="314">
        <f t="shared" si="169"/>
        <v>14415058.890000343</v>
      </c>
      <c r="AD325" s="314">
        <f t="shared" si="169"/>
        <v>-16522122.130000222</v>
      </c>
      <c r="AE325" s="314">
        <f t="shared" si="169"/>
        <v>3437965.986144945</v>
      </c>
      <c r="AF325" s="314">
        <f t="shared" si="169"/>
        <v>-1980068.3817703128</v>
      </c>
      <c r="AG325" s="314">
        <f t="shared" ref="AG325" si="170">AG323+AG318</f>
        <v>3676601.5756251067</v>
      </c>
      <c r="AH325" s="331"/>
      <c r="AI325" s="331"/>
      <c r="AJ325" s="331"/>
      <c r="AK325" s="331"/>
      <c r="AL325" s="331"/>
      <c r="AM325" s="331"/>
      <c r="AN325" s="331"/>
      <c r="AO325" s="331"/>
      <c r="AQ325" s="73"/>
      <c r="AR325" s="73"/>
      <c r="AS325" s="73"/>
      <c r="AT325" s="73"/>
      <c r="AU325" s="73"/>
      <c r="AV325" s="73"/>
      <c r="AW325" s="73"/>
      <c r="AX325" s="73"/>
      <c r="AZ325" s="73"/>
      <c r="BA325" s="73"/>
      <c r="BC325" s="73"/>
      <c r="BD325" s="73"/>
    </row>
    <row r="326" spans="2:56" outlineLevel="1" x14ac:dyDescent="0.45">
      <c r="AG326" s="331"/>
      <c r="AH326" s="331"/>
      <c r="AI326" s="331"/>
      <c r="AJ326" s="331"/>
      <c r="AK326" s="331"/>
      <c r="AL326" s="331"/>
      <c r="AM326" s="331"/>
      <c r="AN326" s="331"/>
      <c r="AO326" s="331"/>
      <c r="AQ326" s="73"/>
      <c r="AR326" s="73"/>
      <c r="AS326" s="73"/>
      <c r="AT326" s="73"/>
      <c r="AU326" s="73"/>
      <c r="AV326" s="73"/>
      <c r="AW326" s="73"/>
      <c r="AX326" s="73"/>
      <c r="AZ326" s="73"/>
      <c r="BA326" s="73"/>
      <c r="BC326" s="73"/>
      <c r="BD326" s="73"/>
    </row>
    <row r="327" spans="2:56" x14ac:dyDescent="0.45">
      <c r="AH327" s="331"/>
      <c r="AI327" s="331"/>
      <c r="AJ327" s="331"/>
      <c r="AK327" s="331"/>
      <c r="AL327" s="331"/>
      <c r="AM327" s="331"/>
      <c r="AN327" s="331"/>
      <c r="AO327" s="331"/>
      <c r="AQ327" s="73"/>
      <c r="AR327" s="73"/>
      <c r="AS327" s="73"/>
      <c r="AT327" s="73"/>
      <c r="AU327" s="73"/>
      <c r="AV327" s="73"/>
      <c r="AW327" s="73"/>
      <c r="AX327" s="73"/>
      <c r="AZ327" s="73"/>
      <c r="BA327" s="73"/>
      <c r="BC327" s="73"/>
      <c r="BD327" s="73"/>
    </row>
    <row r="328" spans="2:56" x14ac:dyDescent="0.45">
      <c r="B328" s="323" t="s">
        <v>1118</v>
      </c>
      <c r="C328" s="332"/>
      <c r="D328" s="332"/>
      <c r="E328" s="332"/>
      <c r="F328" s="332"/>
      <c r="G328" s="332"/>
      <c r="H328" s="332"/>
      <c r="I328" s="332"/>
      <c r="J328" s="332"/>
      <c r="K328" s="332"/>
      <c r="L328" s="332"/>
      <c r="M328" s="332"/>
      <c r="N328" s="332"/>
      <c r="O328" s="332"/>
      <c r="P328" s="332"/>
      <c r="Q328" s="332"/>
      <c r="R328" s="332"/>
      <c r="S328" s="332"/>
      <c r="T328" s="332"/>
      <c r="U328" s="332"/>
      <c r="V328" s="332"/>
      <c r="W328" s="332"/>
      <c r="X328" s="332"/>
      <c r="Y328" s="332"/>
      <c r="Z328" s="332"/>
      <c r="AA328" s="332"/>
      <c r="AB328" s="332"/>
      <c r="AC328" s="332"/>
      <c r="AD328" s="332"/>
      <c r="AE328" s="332"/>
      <c r="AF328" s="332"/>
      <c r="AG328" s="332"/>
      <c r="AH328" s="331"/>
      <c r="AI328" s="331"/>
      <c r="AJ328" s="331"/>
      <c r="AK328" s="331"/>
      <c r="AL328" s="331"/>
      <c r="AM328" s="331"/>
      <c r="AN328" s="331"/>
      <c r="AO328" s="331"/>
      <c r="AQ328" s="73"/>
      <c r="AR328" s="73"/>
      <c r="AS328" s="73"/>
      <c r="AT328" s="73"/>
      <c r="AU328" s="73"/>
      <c r="AV328" s="73"/>
      <c r="AW328" s="73"/>
      <c r="AX328" s="73"/>
      <c r="AZ328" s="73"/>
      <c r="BA328" s="73"/>
      <c r="BC328" s="73"/>
      <c r="BD328" s="73"/>
    </row>
    <row r="329" spans="2:56" outlineLevel="1" x14ac:dyDescent="0.45">
      <c r="AH329" s="331"/>
      <c r="AI329" s="331"/>
      <c r="AJ329" s="331"/>
      <c r="AK329" s="331"/>
      <c r="AL329" s="331"/>
      <c r="AM329" s="331"/>
      <c r="AN329" s="331"/>
      <c r="AO329" s="331"/>
      <c r="AQ329" s="73"/>
      <c r="AR329" s="73"/>
      <c r="AS329" s="73"/>
      <c r="AT329" s="73"/>
      <c r="AU329" s="73"/>
      <c r="AV329" s="73"/>
      <c r="AW329" s="73"/>
      <c r="AX329" s="73"/>
      <c r="AZ329" s="73"/>
      <c r="BA329" s="73"/>
      <c r="BC329" s="73"/>
      <c r="BD329" s="73"/>
    </row>
    <row r="330" spans="2:56" outlineLevel="1" x14ac:dyDescent="0.45">
      <c r="B330" s="477" t="s">
        <v>1119</v>
      </c>
      <c r="C330" s="482"/>
      <c r="D330" s="482"/>
      <c r="E330" s="482"/>
      <c r="F330" s="482"/>
      <c r="G330" s="482"/>
      <c r="H330" s="482"/>
      <c r="I330" s="482"/>
      <c r="J330" s="482"/>
      <c r="K330" s="482"/>
      <c r="L330" s="482"/>
      <c r="M330" s="482"/>
      <c r="N330" s="482"/>
      <c r="O330" s="482"/>
      <c r="P330" s="482"/>
      <c r="Q330" s="482"/>
      <c r="R330" s="482">
        <v>1039405.5059999609</v>
      </c>
      <c r="S330" s="482">
        <f>R332</f>
        <v>1867303.8660000488</v>
      </c>
      <c r="T330" s="482">
        <f t="shared" ref="T330:AG330" si="171">S332</f>
        <v>536815.34600009024</v>
      </c>
      <c r="U330" s="482">
        <f t="shared" si="171"/>
        <v>19398132.574063607</v>
      </c>
      <c r="V330" s="482">
        <f t="shared" si="171"/>
        <v>2129239.5160001665</v>
      </c>
      <c r="W330" s="482">
        <f t="shared" si="171"/>
        <v>29326004.335999943</v>
      </c>
      <c r="X330" s="482">
        <f t="shared" si="171"/>
        <v>110883517.15600008</v>
      </c>
      <c r="Y330" s="482">
        <f t="shared" si="171"/>
        <v>35991350.506000012</v>
      </c>
      <c r="Z330" s="482">
        <f t="shared" si="171"/>
        <v>19174289.905999996</v>
      </c>
      <c r="AA330" s="482">
        <f t="shared" si="171"/>
        <v>13901618.656000055</v>
      </c>
      <c r="AB330" s="482">
        <f t="shared" si="171"/>
        <v>6289436.3259999827</v>
      </c>
      <c r="AC330" s="482">
        <f t="shared" si="171"/>
        <v>7900839.8859999552</v>
      </c>
      <c r="AD330" s="482">
        <f t="shared" si="171"/>
        <v>22315898.776000299</v>
      </c>
      <c r="AE330" s="482">
        <f t="shared" si="171"/>
        <v>5793776.6460000761</v>
      </c>
      <c r="AF330" s="482">
        <f t="shared" si="171"/>
        <v>9231742.6321450211</v>
      </c>
      <c r="AG330" s="482">
        <f t="shared" si="171"/>
        <v>7251674.2503747083</v>
      </c>
      <c r="AH330" s="331"/>
      <c r="AI330" s="331"/>
      <c r="AJ330" s="331"/>
      <c r="AK330" s="331"/>
      <c r="AL330" s="331"/>
      <c r="AM330" s="331"/>
      <c r="AN330" s="331"/>
      <c r="AO330" s="331"/>
      <c r="AQ330" s="73"/>
      <c r="AR330" s="73"/>
      <c r="AS330" s="73"/>
      <c r="AT330" s="73"/>
      <c r="AU330" s="73"/>
      <c r="AV330" s="73"/>
      <c r="AW330" s="73"/>
      <c r="AX330" s="73"/>
      <c r="AZ330" s="73"/>
      <c r="BA330" s="73"/>
      <c r="BC330" s="73"/>
      <c r="BD330" s="73"/>
    </row>
    <row r="331" spans="2:56" outlineLevel="1" x14ac:dyDescent="0.45">
      <c r="B331" s="478" t="s">
        <v>1117</v>
      </c>
      <c r="C331" s="483"/>
      <c r="D331" s="483"/>
      <c r="E331" s="483"/>
      <c r="F331" s="483"/>
      <c r="G331" s="483"/>
      <c r="H331" s="483"/>
      <c r="I331" s="483"/>
      <c r="J331" s="483"/>
      <c r="K331" s="483"/>
      <c r="L331" s="483"/>
      <c r="M331" s="483"/>
      <c r="N331" s="483"/>
      <c r="O331" s="483"/>
      <c r="P331" s="483"/>
      <c r="Q331" s="483"/>
      <c r="R331" s="483">
        <f>R325</f>
        <v>827898.36000008788</v>
      </c>
      <c r="S331" s="483">
        <f t="shared" ref="S331:AF331" si="172">S325</f>
        <v>-1330488.5199999586</v>
      </c>
      <c r="T331" s="483">
        <f t="shared" si="172"/>
        <v>18861317.228063516</v>
      </c>
      <c r="U331" s="483">
        <f t="shared" si="172"/>
        <v>-17268893.05806344</v>
      </c>
      <c r="V331" s="483">
        <f t="shared" si="172"/>
        <v>27196764.819999777</v>
      </c>
      <c r="W331" s="483">
        <f t="shared" si="172"/>
        <v>81557512.820000142</v>
      </c>
      <c r="X331" s="483">
        <f t="shared" si="172"/>
        <v>-74892166.650000066</v>
      </c>
      <c r="Y331" s="483">
        <f t="shared" si="172"/>
        <v>-16817060.600000016</v>
      </c>
      <c r="Z331" s="483">
        <f t="shared" si="172"/>
        <v>-5272671.2499999404</v>
      </c>
      <c r="AA331" s="483">
        <f t="shared" si="172"/>
        <v>-7612182.3300000727</v>
      </c>
      <c r="AB331" s="483">
        <f t="shared" si="172"/>
        <v>1611403.5599999726</v>
      </c>
      <c r="AC331" s="483">
        <f t="shared" si="172"/>
        <v>14415058.890000343</v>
      </c>
      <c r="AD331" s="483">
        <f t="shared" si="172"/>
        <v>-16522122.130000222</v>
      </c>
      <c r="AE331" s="483">
        <f t="shared" si="172"/>
        <v>3437965.986144945</v>
      </c>
      <c r="AF331" s="483">
        <f t="shared" si="172"/>
        <v>-1980068.3817703128</v>
      </c>
      <c r="AG331" s="483">
        <f t="shared" ref="AG331" si="173">AG325</f>
        <v>3676601.5756251067</v>
      </c>
      <c r="AH331" s="331"/>
      <c r="AI331" s="331"/>
      <c r="AJ331" s="331"/>
      <c r="AK331" s="331"/>
      <c r="AL331" s="331"/>
      <c r="AM331" s="331"/>
      <c r="AN331" s="331"/>
      <c r="AO331" s="331"/>
      <c r="AQ331" s="73"/>
      <c r="AR331" s="73"/>
      <c r="AS331" s="73"/>
      <c r="AT331" s="73"/>
      <c r="AU331" s="73"/>
      <c r="AV331" s="73"/>
      <c r="AW331" s="73"/>
      <c r="AX331" s="73"/>
      <c r="AZ331" s="73"/>
      <c r="BA331" s="73"/>
      <c r="BC331" s="73"/>
      <c r="BD331" s="73"/>
    </row>
    <row r="332" spans="2:56" outlineLevel="1" x14ac:dyDescent="0.45">
      <c r="B332" s="479" t="s">
        <v>1120</v>
      </c>
      <c r="C332" s="72"/>
      <c r="D332" s="72"/>
      <c r="E332" s="72"/>
      <c r="F332" s="72"/>
      <c r="G332" s="72"/>
      <c r="H332" s="72"/>
      <c r="I332" s="72"/>
      <c r="J332" s="72"/>
      <c r="K332" s="72"/>
      <c r="L332" s="72"/>
      <c r="M332" s="72"/>
      <c r="N332" s="72"/>
      <c r="O332" s="72"/>
      <c r="P332" s="72"/>
      <c r="Q332" s="72"/>
      <c r="R332" s="73">
        <f>R331+R330</f>
        <v>1867303.8660000488</v>
      </c>
      <c r="S332" s="73">
        <f>S331+S330</f>
        <v>536815.34600009024</v>
      </c>
      <c r="T332" s="73">
        <f t="shared" ref="T332:AF332" si="174">T331+T330</f>
        <v>19398132.574063607</v>
      </c>
      <c r="U332" s="73">
        <f t="shared" si="174"/>
        <v>2129239.5160001665</v>
      </c>
      <c r="V332" s="73">
        <f t="shared" si="174"/>
        <v>29326004.335999943</v>
      </c>
      <c r="W332" s="73">
        <f t="shared" si="174"/>
        <v>110883517.15600008</v>
      </c>
      <c r="X332" s="73">
        <f t="shared" si="174"/>
        <v>35991350.506000012</v>
      </c>
      <c r="Y332" s="73">
        <f t="shared" si="174"/>
        <v>19174289.905999996</v>
      </c>
      <c r="Z332" s="73">
        <f t="shared" si="174"/>
        <v>13901618.656000055</v>
      </c>
      <c r="AA332" s="73">
        <f t="shared" si="174"/>
        <v>6289436.3259999827</v>
      </c>
      <c r="AB332" s="73">
        <f t="shared" si="174"/>
        <v>7900839.8859999552</v>
      </c>
      <c r="AC332" s="73">
        <f t="shared" si="174"/>
        <v>22315898.776000299</v>
      </c>
      <c r="AD332" s="73">
        <f t="shared" si="174"/>
        <v>5793776.6460000761</v>
      </c>
      <c r="AE332" s="73">
        <f t="shared" si="174"/>
        <v>9231742.6321450211</v>
      </c>
      <c r="AF332" s="73">
        <f t="shared" si="174"/>
        <v>7251674.2503747083</v>
      </c>
      <c r="AG332" s="73">
        <f t="shared" ref="AG332" si="175">AG331+AG330</f>
        <v>10928275.825999815</v>
      </c>
      <c r="AH332" s="331"/>
      <c r="AI332" s="331"/>
      <c r="AJ332" s="331"/>
      <c r="AK332" s="331"/>
      <c r="AL332" s="331"/>
      <c r="AM332" s="331"/>
      <c r="AN332" s="331"/>
      <c r="AO332" s="331"/>
      <c r="AQ332" s="73"/>
      <c r="AR332" s="73"/>
      <c r="AS332" s="73"/>
      <c r="AT332" s="73"/>
      <c r="AU332" s="73"/>
      <c r="AV332" s="73"/>
      <c r="AW332" s="73"/>
      <c r="AX332" s="73"/>
      <c r="AZ332" s="73"/>
      <c r="BA332" s="73"/>
      <c r="BC332" s="73"/>
      <c r="BD332" s="73"/>
    </row>
    <row r="333" spans="2:56" outlineLevel="1" x14ac:dyDescent="0.45">
      <c r="B333" s="72"/>
      <c r="C333" s="72"/>
      <c r="D333" s="72"/>
      <c r="E333" s="72"/>
      <c r="F333" s="72"/>
      <c r="G333" s="72"/>
      <c r="H333" s="72"/>
      <c r="I333" s="72"/>
      <c r="J333" s="72"/>
      <c r="K333" s="72"/>
      <c r="L333" s="72"/>
      <c r="M333" s="72"/>
      <c r="N333" s="72"/>
      <c r="O333" s="72"/>
      <c r="P333" s="72"/>
      <c r="Q333" s="72"/>
      <c r="R333" s="73">
        <f>R332-'Managerial Consolidated'!Q122</f>
        <v>-3.9999485015869141E-3</v>
      </c>
      <c r="S333" s="73">
        <f>S332-'Managerial Consolidated'!R122</f>
        <v>-3.9999447762966156E-3</v>
      </c>
      <c r="T333" s="73">
        <f>T332-'Managerial Consolidated'!S122</f>
        <v>-3.9999336004257202E-3</v>
      </c>
      <c r="U333" s="73">
        <f>U332-'Managerial Consolidated'!T122</f>
        <v>-3.9999485015869141E-3</v>
      </c>
      <c r="V333" s="73">
        <f>V332-'Managerial Consolidated'!U122</f>
        <v>-3.9999485015869141E-3</v>
      </c>
      <c r="W333" s="73">
        <f>W332-'Managerial Consolidated'!V122</f>
        <v>-3.9999186992645264E-3</v>
      </c>
      <c r="X333" s="73">
        <f>X332-'Managerial Consolidated'!W122</f>
        <v>-3.9999186992645264E-3</v>
      </c>
      <c r="Y333" s="73">
        <f>Y332-'Managerial Consolidated'!X122</f>
        <v>-3.9999261498451233E-3</v>
      </c>
      <c r="Z333" s="73">
        <f>Z332-'Managerial Consolidated'!Y122</f>
        <v>-3.9999410510063171E-3</v>
      </c>
      <c r="AA333" s="73">
        <f>AA332-'Managerial Consolidated'!Z122</f>
        <v>-3.9999857544898987E-3</v>
      </c>
      <c r="AB333" s="73">
        <f>AB332-'Managerial Consolidated'!AA122</f>
        <v>-3.999955952167511E-3</v>
      </c>
      <c r="AC333" s="73">
        <f>AC332-'Managerial Consolidated'!AB122</f>
        <v>-3.9999261498451233E-3</v>
      </c>
      <c r="AD333" s="73">
        <f>AD332-'Managerial Consolidated'!AC122</f>
        <v>-3.9999783039093018E-3</v>
      </c>
      <c r="AE333" s="73">
        <f>AE332-'Managerial Consolidated'!AD122</f>
        <v>-3.9999783039093018E-3</v>
      </c>
      <c r="AF333" s="73">
        <f>AF332-'Managerial Consolidated'!AE122</f>
        <v>-3.9999783039093018E-3</v>
      </c>
      <c r="AG333" s="73">
        <f>AG332-'Managerial Consolidated'!AF122</f>
        <v>-3.9999783039093018E-3</v>
      </c>
      <c r="AH333" s="331"/>
      <c r="AI333" s="331"/>
      <c r="AJ333" s="331"/>
      <c r="AK333" s="331"/>
      <c r="AL333" s="331"/>
      <c r="AM333" s="331"/>
      <c r="AN333" s="331"/>
      <c r="AO333" s="331"/>
      <c r="AQ333" s="73"/>
      <c r="AR333" s="73"/>
      <c r="AS333" s="73"/>
      <c r="AT333" s="73"/>
      <c r="AU333" s="73"/>
      <c r="AV333" s="73"/>
      <c r="AW333" s="73"/>
      <c r="AX333" s="73"/>
      <c r="AZ333" s="73"/>
      <c r="BA333" s="73"/>
      <c r="BC333" s="73"/>
      <c r="BD333" s="73"/>
    </row>
    <row r="335" spans="2:56" x14ac:dyDescent="0.45">
      <c r="B335" s="323" t="s">
        <v>1057</v>
      </c>
      <c r="C335" s="323"/>
      <c r="D335" s="332"/>
      <c r="E335" s="332"/>
      <c r="F335" s="332"/>
      <c r="G335" s="332"/>
      <c r="H335" s="332"/>
      <c r="I335" s="332"/>
      <c r="J335" s="332"/>
      <c r="K335" s="332"/>
      <c r="L335" s="332"/>
      <c r="M335" s="332"/>
      <c r="N335" s="332"/>
      <c r="O335" s="332"/>
      <c r="P335" s="332"/>
      <c r="Q335" s="332"/>
      <c r="R335" s="332"/>
      <c r="S335" s="332"/>
      <c r="T335" s="332"/>
      <c r="U335" s="332"/>
      <c r="V335" s="332"/>
      <c r="W335" s="332"/>
      <c r="X335" s="332"/>
      <c r="Y335" s="332"/>
      <c r="Z335" s="332"/>
      <c r="AA335" s="332"/>
      <c r="AB335" s="332"/>
      <c r="AC335" s="332"/>
      <c r="AD335" s="332"/>
      <c r="AE335" s="332"/>
      <c r="AF335" s="332"/>
      <c r="AG335" s="332"/>
      <c r="AH335" s="332"/>
      <c r="AI335" s="332"/>
      <c r="AJ335" s="332"/>
      <c r="AK335" s="332"/>
      <c r="AL335" s="332"/>
      <c r="AM335" s="332"/>
      <c r="AN335" s="332"/>
      <c r="AO335" s="332"/>
      <c r="AQ335" s="333"/>
      <c r="AR335" s="333"/>
      <c r="AS335" s="333"/>
      <c r="AT335" s="333"/>
      <c r="AU335" s="333"/>
      <c r="AV335" s="333"/>
      <c r="AW335" s="333"/>
      <c r="AX335" s="333"/>
      <c r="AZ335" s="333"/>
      <c r="BA335" s="333"/>
      <c r="BC335" s="333"/>
      <c r="BD335" s="333"/>
    </row>
    <row r="336" spans="2:56" outlineLevel="1" x14ac:dyDescent="0.45">
      <c r="B336" s="384"/>
      <c r="C336" s="384"/>
      <c r="D336" s="333"/>
      <c r="E336" s="333"/>
      <c r="F336" s="333"/>
      <c r="G336" s="333"/>
      <c r="H336" s="333"/>
      <c r="I336" s="333"/>
      <c r="J336" s="333"/>
      <c r="K336" s="333"/>
      <c r="L336" s="333"/>
      <c r="M336" s="333"/>
      <c r="N336" s="333"/>
      <c r="O336" s="333"/>
      <c r="P336" s="333"/>
      <c r="Q336" s="333"/>
      <c r="R336" s="333"/>
      <c r="S336" s="333"/>
      <c r="T336" s="333"/>
      <c r="U336" s="333"/>
      <c r="V336" s="333"/>
      <c r="W336" s="333"/>
      <c r="X336" s="333"/>
      <c r="Y336" s="333"/>
      <c r="Z336" s="333"/>
      <c r="AA336" s="333"/>
      <c r="AB336" s="333"/>
      <c r="AC336" s="333"/>
      <c r="AD336" s="333"/>
      <c r="AE336" s="333"/>
      <c r="AF336" s="333"/>
      <c r="AG336" s="333"/>
      <c r="AH336" s="333"/>
      <c r="AI336" s="333"/>
      <c r="AJ336" s="333"/>
      <c r="AK336" s="333"/>
      <c r="AL336" s="333"/>
      <c r="AM336" s="333"/>
      <c r="AN336" s="333"/>
      <c r="AO336" s="333"/>
      <c r="AQ336" s="333"/>
      <c r="AR336" s="333"/>
      <c r="AS336" s="333"/>
      <c r="AT336" s="333"/>
      <c r="AU336" s="333"/>
      <c r="AV336" s="333"/>
      <c r="AW336" s="333"/>
      <c r="AX336" s="333"/>
      <c r="AZ336" s="333"/>
      <c r="BA336" s="333"/>
      <c r="BC336" s="333"/>
      <c r="BD336" s="333"/>
    </row>
    <row r="337" spans="2:55" outlineLevel="1" x14ac:dyDescent="0.45">
      <c r="B337" s="291" t="s">
        <v>1056</v>
      </c>
      <c r="AD337" s="278"/>
      <c r="AE337" s="278"/>
      <c r="AF337" s="278"/>
      <c r="AG337" s="538"/>
    </row>
    <row r="338" spans="2:55" outlineLevel="1" x14ac:dyDescent="0.45">
      <c r="B338" s="53" t="s">
        <v>1058</v>
      </c>
      <c r="C338" s="310"/>
      <c r="D338" s="339"/>
      <c r="E338" s="311"/>
      <c r="F338" s="312"/>
      <c r="G338" s="312"/>
      <c r="H338" s="312"/>
      <c r="I338" s="312"/>
      <c r="J338" s="312"/>
      <c r="K338" s="312"/>
      <c r="L338" s="312"/>
      <c r="M338" s="312"/>
      <c r="N338" s="312"/>
      <c r="O338" s="312"/>
      <c r="P338" s="312"/>
      <c r="Q338" s="312"/>
      <c r="R338" s="51">
        <f t="shared" ref="R338:AO338" si="176">SUM(R339:R358)</f>
        <v>0</v>
      </c>
      <c r="S338" s="51">
        <f t="shared" si="176"/>
        <v>0</v>
      </c>
      <c r="T338" s="51">
        <f t="shared" si="176"/>
        <v>0</v>
      </c>
      <c r="U338" s="51">
        <f t="shared" si="176"/>
        <v>0</v>
      </c>
      <c r="V338" s="51">
        <f t="shared" si="176"/>
        <v>0</v>
      </c>
      <c r="W338" s="51">
        <f t="shared" si="176"/>
        <v>0</v>
      </c>
      <c r="X338" s="51">
        <f t="shared" si="176"/>
        <v>0</v>
      </c>
      <c r="Y338" s="51">
        <f t="shared" si="176"/>
        <v>0</v>
      </c>
      <c r="Z338" s="51">
        <f t="shared" si="176"/>
        <v>0</v>
      </c>
      <c r="AA338" s="51">
        <f t="shared" si="176"/>
        <v>0</v>
      </c>
      <c r="AB338" s="51">
        <f t="shared" si="176"/>
        <v>0</v>
      </c>
      <c r="AC338" s="51">
        <f t="shared" si="176"/>
        <v>0</v>
      </c>
      <c r="AD338" s="51">
        <f t="shared" si="176"/>
        <v>-2417817.4699999997</v>
      </c>
      <c r="AE338" s="51">
        <f t="shared" si="176"/>
        <v>-2410670.6099999994</v>
      </c>
      <c r="AF338" s="51">
        <f t="shared" si="176"/>
        <v>-2894759.0900000003</v>
      </c>
      <c r="AG338" s="51">
        <f t="shared" si="176"/>
        <v>-2864148.53</v>
      </c>
      <c r="AH338" s="51">
        <f t="shared" si="176"/>
        <v>0</v>
      </c>
      <c r="AI338" s="51">
        <f t="shared" si="176"/>
        <v>0</v>
      </c>
      <c r="AJ338" s="51">
        <f t="shared" si="176"/>
        <v>0</v>
      </c>
      <c r="AK338" s="51">
        <f t="shared" si="176"/>
        <v>0</v>
      </c>
      <c r="AL338" s="51">
        <f t="shared" si="176"/>
        <v>0</v>
      </c>
      <c r="AM338" s="51">
        <f t="shared" si="176"/>
        <v>0</v>
      </c>
      <c r="AN338" s="51">
        <f t="shared" si="176"/>
        <v>0</v>
      </c>
      <c r="AO338" s="51">
        <f t="shared" si="176"/>
        <v>0</v>
      </c>
    </row>
    <row r="339" spans="2:55" outlineLevel="1" x14ac:dyDescent="0.45">
      <c r="B339" s="269" t="s">
        <v>2035</v>
      </c>
      <c r="R339" s="73"/>
      <c r="S339" s="73"/>
      <c r="T339" s="73"/>
      <c r="U339" s="73"/>
      <c r="V339" s="73"/>
      <c r="W339" s="73"/>
      <c r="X339" s="73"/>
      <c r="Y339" s="73"/>
      <c r="Z339" s="73"/>
      <c r="AA339" s="73"/>
      <c r="AB339" s="73"/>
      <c r="AC339" s="73"/>
      <c r="AD339" s="73"/>
      <c r="AE339" s="73"/>
      <c r="AF339" s="534">
        <v>-406881.36</v>
      </c>
      <c r="AG339" s="73">
        <v>-409725.32</v>
      </c>
      <c r="AH339" s="378"/>
      <c r="AI339" s="378"/>
      <c r="AJ339" s="378"/>
      <c r="AK339" s="378"/>
      <c r="AL339" s="378"/>
      <c r="AM339" s="378"/>
      <c r="AN339" s="378"/>
      <c r="AO339" s="378"/>
    </row>
    <row r="340" spans="2:55" outlineLevel="1" x14ac:dyDescent="0.45">
      <c r="B340" s="491" t="s">
        <v>2036</v>
      </c>
      <c r="C340" s="491"/>
      <c r="D340" s="491"/>
      <c r="E340" s="491"/>
      <c r="F340" s="491"/>
      <c r="G340" s="491"/>
      <c r="H340" s="491"/>
      <c r="I340" s="491"/>
      <c r="J340" s="491"/>
      <c r="K340" s="491"/>
      <c r="L340" s="491"/>
      <c r="M340" s="491"/>
      <c r="N340" s="491"/>
      <c r="O340" s="491"/>
      <c r="P340" s="491"/>
      <c r="Q340" s="491"/>
      <c r="R340" s="378"/>
      <c r="S340" s="378"/>
      <c r="T340" s="378"/>
      <c r="U340" s="378"/>
      <c r="V340" s="378"/>
      <c r="W340" s="378"/>
      <c r="X340" s="378"/>
      <c r="Y340" s="378"/>
      <c r="Z340" s="378"/>
      <c r="AA340" s="378"/>
      <c r="AB340" s="378"/>
      <c r="AC340" s="378"/>
      <c r="AD340" s="378">
        <v>-312286.25</v>
      </c>
      <c r="AE340" s="378">
        <v>-311430.39</v>
      </c>
      <c r="AF340" s="378">
        <v>-310568.24</v>
      </c>
      <c r="AG340" s="378">
        <v>-308605.03000000003</v>
      </c>
      <c r="AH340" s="378"/>
      <c r="AI340" s="378"/>
      <c r="AJ340" s="378"/>
      <c r="AK340" s="378"/>
      <c r="AL340" s="378"/>
      <c r="AM340" s="378"/>
      <c r="AN340" s="378"/>
      <c r="AO340" s="378"/>
    </row>
    <row r="341" spans="2:55" outlineLevel="1" x14ac:dyDescent="0.45">
      <c r="B341" s="491" t="s">
        <v>2037</v>
      </c>
      <c r="C341" s="491"/>
      <c r="D341" s="491"/>
      <c r="E341" s="491"/>
      <c r="F341" s="491"/>
      <c r="G341" s="491"/>
      <c r="H341" s="491"/>
      <c r="I341" s="491"/>
      <c r="J341" s="491"/>
      <c r="K341" s="491"/>
      <c r="L341" s="491"/>
      <c r="M341" s="491"/>
      <c r="N341" s="491"/>
      <c r="O341" s="491"/>
      <c r="P341" s="491"/>
      <c r="Q341" s="491"/>
      <c r="R341" s="378"/>
      <c r="S341" s="378"/>
      <c r="T341" s="378"/>
      <c r="U341" s="378"/>
      <c r="V341" s="378"/>
      <c r="W341" s="378"/>
      <c r="X341" s="378"/>
      <c r="Y341" s="378"/>
      <c r="Z341" s="378"/>
      <c r="AA341" s="378"/>
      <c r="AB341" s="378"/>
      <c r="AC341" s="378"/>
      <c r="AD341" s="378">
        <v>-271640.23</v>
      </c>
      <c r="AE341" s="378">
        <v>-273638.29000000004</v>
      </c>
      <c r="AF341" s="378">
        <v>-273887.17999999993</v>
      </c>
      <c r="AG341" s="378">
        <v>-277678.62</v>
      </c>
      <c r="AH341" s="378"/>
      <c r="AI341" s="378"/>
      <c r="AJ341" s="378"/>
      <c r="AK341" s="378"/>
      <c r="AL341" s="378"/>
      <c r="AM341" s="378"/>
      <c r="AN341" s="378"/>
      <c r="AO341" s="378"/>
    </row>
    <row r="342" spans="2:55" outlineLevel="1" x14ac:dyDescent="0.45">
      <c r="B342" s="491" t="s">
        <v>2038</v>
      </c>
      <c r="C342" s="491"/>
      <c r="D342" s="491"/>
      <c r="E342" s="491"/>
      <c r="F342" s="491"/>
      <c r="G342" s="491"/>
      <c r="H342" s="491"/>
      <c r="I342" s="491"/>
      <c r="J342" s="491"/>
      <c r="K342" s="491"/>
      <c r="L342" s="491"/>
      <c r="M342" s="491"/>
      <c r="N342" s="491"/>
      <c r="O342" s="491"/>
      <c r="P342" s="491"/>
      <c r="Q342" s="491"/>
      <c r="R342" s="378"/>
      <c r="S342" s="378"/>
      <c r="T342" s="378"/>
      <c r="U342" s="378"/>
      <c r="V342" s="378"/>
      <c r="W342" s="378"/>
      <c r="X342" s="378"/>
      <c r="Y342" s="378"/>
      <c r="Z342" s="378"/>
      <c r="AA342" s="378"/>
      <c r="AB342" s="378"/>
      <c r="AC342" s="378"/>
      <c r="AD342" s="378">
        <v>-274979.75</v>
      </c>
      <c r="AE342" s="378">
        <v>-274435.57999999996</v>
      </c>
      <c r="AF342" s="378">
        <v>-275651.05000000005</v>
      </c>
      <c r="AG342" s="378">
        <v>-273334.52</v>
      </c>
      <c r="AH342" s="378"/>
      <c r="AI342" s="378"/>
      <c r="AJ342" s="378"/>
      <c r="AK342" s="378"/>
      <c r="AL342" s="378"/>
      <c r="AM342" s="378"/>
      <c r="AN342" s="378"/>
      <c r="AO342" s="378"/>
    </row>
    <row r="343" spans="2:55" outlineLevel="1" x14ac:dyDescent="0.45">
      <c r="B343" s="491" t="s">
        <v>2039</v>
      </c>
      <c r="C343" s="491"/>
      <c r="D343" s="491"/>
      <c r="E343" s="491"/>
      <c r="F343" s="491"/>
      <c r="G343" s="491"/>
      <c r="H343" s="491"/>
      <c r="I343" s="491"/>
      <c r="J343" s="491"/>
      <c r="K343" s="491"/>
      <c r="L343" s="491"/>
      <c r="M343" s="491"/>
      <c r="N343" s="491"/>
      <c r="O343" s="491"/>
      <c r="P343" s="491"/>
      <c r="Q343" s="491"/>
      <c r="R343" s="378"/>
      <c r="S343" s="378"/>
      <c r="T343" s="378"/>
      <c r="U343" s="378"/>
      <c r="V343" s="378"/>
      <c r="W343" s="378"/>
      <c r="X343" s="378"/>
      <c r="Y343" s="378"/>
      <c r="Z343" s="378"/>
      <c r="AA343" s="378"/>
      <c r="AB343" s="378"/>
      <c r="AC343" s="378"/>
      <c r="AD343" s="378">
        <v>-263893.06</v>
      </c>
      <c r="AE343" s="378">
        <v>-263487.35000000003</v>
      </c>
      <c r="AF343" s="378">
        <v>-263078.41999999993</v>
      </c>
      <c r="AG343" s="378">
        <v>-262666.23999999999</v>
      </c>
      <c r="AH343" s="378"/>
      <c r="AI343" s="378"/>
      <c r="AJ343" s="378"/>
      <c r="AK343" s="378"/>
      <c r="AL343" s="378"/>
      <c r="AM343" s="378"/>
      <c r="AN343" s="378"/>
      <c r="AO343" s="378"/>
    </row>
    <row r="344" spans="2:55" outlineLevel="1" x14ac:dyDescent="0.45">
      <c r="B344" s="491" t="s">
        <v>988</v>
      </c>
      <c r="C344" s="491"/>
      <c r="D344" s="491"/>
      <c r="E344" s="491"/>
      <c r="F344" s="491"/>
      <c r="G344" s="491"/>
      <c r="H344" s="491"/>
      <c r="I344" s="491"/>
      <c r="J344" s="491"/>
      <c r="K344" s="491"/>
      <c r="L344" s="491"/>
      <c r="M344" s="491"/>
      <c r="N344" s="491"/>
      <c r="O344" s="491"/>
      <c r="P344" s="491"/>
      <c r="Q344" s="491"/>
      <c r="R344" s="378"/>
      <c r="S344" s="378"/>
      <c r="T344" s="378"/>
      <c r="U344" s="378"/>
      <c r="V344" s="378"/>
      <c r="W344" s="378"/>
      <c r="X344" s="378"/>
      <c r="Y344" s="378"/>
      <c r="Z344" s="378"/>
      <c r="AA344" s="378"/>
      <c r="AB344" s="378"/>
      <c r="AC344" s="378"/>
      <c r="AD344" s="378">
        <v>-213409.7</v>
      </c>
      <c r="AE344" s="378">
        <v>-212763.7</v>
      </c>
      <c r="AF344" s="378">
        <v>-212112.51</v>
      </c>
      <c r="AG344" s="378">
        <v>-211456.09</v>
      </c>
      <c r="AH344" s="378"/>
      <c r="AI344" s="378"/>
      <c r="AJ344" s="378"/>
      <c r="AK344" s="378"/>
      <c r="AL344" s="378"/>
      <c r="AM344" s="378"/>
      <c r="AN344" s="378"/>
      <c r="AO344" s="378"/>
    </row>
    <row r="345" spans="2:55" outlineLevel="1" x14ac:dyDescent="0.45">
      <c r="B345" s="536" t="s">
        <v>2040</v>
      </c>
      <c r="C345" s="536"/>
      <c r="D345" s="536"/>
      <c r="E345" s="536"/>
      <c r="F345" s="536"/>
      <c r="G345" s="536"/>
      <c r="H345" s="536"/>
      <c r="I345" s="536"/>
      <c r="J345" s="536"/>
      <c r="K345" s="536"/>
      <c r="L345" s="536"/>
      <c r="M345" s="536"/>
      <c r="N345" s="536"/>
      <c r="O345" s="536"/>
      <c r="P345" s="536"/>
      <c r="Q345" s="536"/>
      <c r="R345" s="537"/>
      <c r="S345" s="537"/>
      <c r="T345" s="537"/>
      <c r="U345" s="537"/>
      <c r="V345" s="537"/>
      <c r="W345" s="537"/>
      <c r="X345" s="537"/>
      <c r="Y345" s="537"/>
      <c r="Z345" s="537"/>
      <c r="AA345" s="537"/>
      <c r="AB345" s="537"/>
      <c r="AC345" s="537"/>
      <c r="AD345" s="537">
        <v>-175587.45</v>
      </c>
      <c r="AE345" s="537">
        <v>-214316.40999999997</v>
      </c>
      <c r="AF345" s="537">
        <v>-212839.77000000002</v>
      </c>
      <c r="AG345" s="537">
        <v>-171157.42</v>
      </c>
      <c r="AH345" s="378"/>
      <c r="AI345" s="378"/>
      <c r="AJ345" s="378"/>
      <c r="AK345" s="378"/>
      <c r="AL345" s="378"/>
      <c r="AM345" s="378"/>
      <c r="AN345" s="378"/>
      <c r="AO345" s="378"/>
    </row>
    <row r="346" spans="2:55" outlineLevel="1" x14ac:dyDescent="0.45">
      <c r="B346" s="491" t="s">
        <v>2041</v>
      </c>
      <c r="C346" s="491"/>
      <c r="D346" s="491"/>
      <c r="E346" s="491"/>
      <c r="F346" s="491"/>
      <c r="G346" s="491"/>
      <c r="H346" s="491"/>
      <c r="I346" s="491"/>
      <c r="J346" s="491"/>
      <c r="K346" s="491"/>
      <c r="L346" s="491"/>
      <c r="M346" s="491"/>
      <c r="N346" s="491"/>
      <c r="O346" s="491"/>
      <c r="P346" s="491"/>
      <c r="Q346" s="491"/>
      <c r="R346" s="378"/>
      <c r="S346" s="378"/>
      <c r="T346" s="378"/>
      <c r="U346" s="378"/>
      <c r="V346" s="378"/>
      <c r="W346" s="378"/>
      <c r="X346" s="378"/>
      <c r="Y346" s="378"/>
      <c r="Z346" s="378"/>
      <c r="AA346" s="378"/>
      <c r="AB346" s="378"/>
      <c r="AC346" s="378"/>
      <c r="AD346" s="378">
        <v>-146371.62</v>
      </c>
      <c r="AE346" s="378">
        <v>-145951.5</v>
      </c>
      <c r="AF346" s="378">
        <v>-146952.29999999999</v>
      </c>
      <c r="AG346" s="378">
        <v>-146536.16</v>
      </c>
      <c r="AH346" s="378"/>
      <c r="AI346" s="378"/>
      <c r="AJ346" s="378"/>
      <c r="AK346" s="378"/>
      <c r="AL346" s="378"/>
      <c r="AM346" s="378"/>
      <c r="AN346" s="378"/>
      <c r="AO346" s="378"/>
    </row>
    <row r="347" spans="2:55" outlineLevel="1" x14ac:dyDescent="0.45">
      <c r="B347" s="491" t="s">
        <v>2042</v>
      </c>
      <c r="C347" s="491"/>
      <c r="D347" s="491"/>
      <c r="E347" s="491"/>
      <c r="F347" s="491"/>
      <c r="G347" s="491"/>
      <c r="H347" s="491"/>
      <c r="I347" s="491"/>
      <c r="J347" s="491"/>
      <c r="K347" s="491"/>
      <c r="L347" s="491"/>
      <c r="M347" s="491"/>
      <c r="N347" s="491"/>
      <c r="O347" s="491"/>
      <c r="P347" s="491"/>
      <c r="Q347" s="491"/>
      <c r="R347" s="378"/>
      <c r="S347" s="378"/>
      <c r="T347" s="378"/>
      <c r="U347" s="378"/>
      <c r="V347" s="378"/>
      <c r="W347" s="378"/>
      <c r="X347" s="378"/>
      <c r="Y347" s="378"/>
      <c r="Z347" s="378"/>
      <c r="AA347" s="378"/>
      <c r="AB347" s="378"/>
      <c r="AC347" s="378"/>
      <c r="AD347" s="378">
        <v>-57015.74</v>
      </c>
      <c r="AE347" s="378">
        <v>-140099.20000000001</v>
      </c>
      <c r="AF347" s="378">
        <v>-139062.71000000002</v>
      </c>
      <c r="AG347" s="378">
        <v>-138018.54</v>
      </c>
      <c r="AH347" s="378"/>
      <c r="AI347" s="378"/>
      <c r="AJ347" s="378"/>
      <c r="AK347" s="378"/>
      <c r="AL347" s="378"/>
      <c r="AM347" s="378"/>
      <c r="AN347" s="378"/>
      <c r="AO347" s="378"/>
    </row>
    <row r="348" spans="2:55" outlineLevel="1" x14ac:dyDescent="0.45">
      <c r="B348" s="491" t="s">
        <v>2043</v>
      </c>
      <c r="C348" s="491"/>
      <c r="D348" s="491"/>
      <c r="E348" s="491"/>
      <c r="F348" s="491"/>
      <c r="G348" s="491"/>
      <c r="H348" s="491"/>
      <c r="I348" s="491"/>
      <c r="J348" s="491"/>
      <c r="K348" s="491"/>
      <c r="L348" s="491"/>
      <c r="M348" s="491"/>
      <c r="N348" s="491"/>
      <c r="O348" s="491"/>
      <c r="P348" s="491"/>
      <c r="Q348" s="491"/>
      <c r="R348" s="378"/>
      <c r="S348" s="378"/>
      <c r="T348" s="378"/>
      <c r="U348" s="378"/>
      <c r="V348" s="378"/>
      <c r="W348" s="378"/>
      <c r="X348" s="378"/>
      <c r="Y348" s="378"/>
      <c r="Z348" s="378"/>
      <c r="AA348" s="378"/>
      <c r="AB348" s="378"/>
      <c r="AC348" s="378"/>
      <c r="AD348" s="378">
        <v>-116166.2</v>
      </c>
      <c r="AE348" s="378">
        <v>-117016.40999999999</v>
      </c>
      <c r="AF348" s="378">
        <v>-117872.84000000003</v>
      </c>
      <c r="AG348" s="378">
        <v>-117564.52</v>
      </c>
      <c r="AH348" s="378"/>
      <c r="AI348" s="378"/>
      <c r="AJ348" s="378"/>
      <c r="AK348" s="378"/>
      <c r="AL348" s="378"/>
      <c r="AM348" s="378"/>
      <c r="AN348" s="378"/>
      <c r="AO348" s="378"/>
    </row>
    <row r="349" spans="2:55" outlineLevel="1" x14ac:dyDescent="0.45">
      <c r="B349" s="269" t="s">
        <v>2044</v>
      </c>
      <c r="R349" s="73"/>
      <c r="S349" s="73"/>
      <c r="T349" s="73"/>
      <c r="U349" s="73"/>
      <c r="V349" s="73"/>
      <c r="W349" s="73"/>
      <c r="X349" s="73"/>
      <c r="Y349" s="73"/>
      <c r="Z349" s="73"/>
      <c r="AA349" s="73"/>
      <c r="AB349" s="73"/>
      <c r="AC349" s="73"/>
      <c r="AD349" s="73">
        <v>-112074.85</v>
      </c>
      <c r="AE349" s="73">
        <v>-112859.94999999998</v>
      </c>
      <c r="AF349" s="73">
        <v>-113650.54999999999</v>
      </c>
      <c r="AG349" s="73">
        <v>-114446.69</v>
      </c>
      <c r="AH349" s="378"/>
      <c r="AI349" s="378"/>
      <c r="AJ349" s="378"/>
      <c r="AK349" s="378"/>
      <c r="AL349" s="378"/>
      <c r="AM349" s="378"/>
      <c r="AN349" s="378"/>
      <c r="AO349" s="378"/>
    </row>
    <row r="350" spans="2:55" outlineLevel="1" x14ac:dyDescent="0.45">
      <c r="B350" s="536" t="s">
        <v>2045</v>
      </c>
      <c r="C350" s="536"/>
      <c r="D350" s="536"/>
      <c r="E350" s="536"/>
      <c r="F350" s="536"/>
      <c r="G350" s="536"/>
      <c r="H350" s="536"/>
      <c r="I350" s="536"/>
      <c r="J350" s="536"/>
      <c r="K350" s="536"/>
      <c r="L350" s="536"/>
      <c r="M350" s="536"/>
      <c r="N350" s="536"/>
      <c r="O350" s="536"/>
      <c r="P350" s="536"/>
      <c r="Q350" s="536"/>
      <c r="R350" s="537"/>
      <c r="S350" s="537"/>
      <c r="T350" s="537"/>
      <c r="U350" s="537"/>
      <c r="V350" s="537"/>
      <c r="W350" s="537"/>
      <c r="X350" s="537"/>
      <c r="Y350" s="537"/>
      <c r="Z350" s="537"/>
      <c r="AA350" s="537"/>
      <c r="AB350" s="537"/>
      <c r="AC350" s="537"/>
      <c r="AD350" s="537">
        <v>-82053.320000000007</v>
      </c>
      <c r="AE350" s="537">
        <v>-81241.669999999984</v>
      </c>
      <c r="AF350" s="537">
        <v>-80424.110000000015</v>
      </c>
      <c r="AG350" s="537">
        <v>-103604.27</v>
      </c>
      <c r="AH350" s="73"/>
      <c r="AI350" s="73"/>
      <c r="AJ350" s="73"/>
      <c r="AK350" s="73"/>
      <c r="AL350" s="73"/>
      <c r="AM350" s="73"/>
      <c r="AN350" s="73"/>
      <c r="AO350" s="73"/>
    </row>
    <row r="351" spans="2:55" outlineLevel="1" x14ac:dyDescent="0.45">
      <c r="B351" s="515" t="s">
        <v>2046</v>
      </c>
      <c r="C351" s="491"/>
      <c r="D351" s="491"/>
      <c r="E351" s="491"/>
      <c r="F351" s="491"/>
      <c r="G351" s="491"/>
      <c r="H351" s="491"/>
      <c r="I351" s="491"/>
      <c r="J351" s="491"/>
      <c r="K351" s="491"/>
      <c r="L351" s="491"/>
      <c r="M351" s="491"/>
      <c r="N351" s="491"/>
      <c r="O351" s="491"/>
      <c r="P351" s="491"/>
      <c r="Q351" s="491"/>
      <c r="R351" s="378"/>
      <c r="S351" s="378"/>
      <c r="T351" s="378"/>
      <c r="U351" s="378"/>
      <c r="V351" s="378"/>
      <c r="W351" s="378"/>
      <c r="X351" s="378"/>
      <c r="Y351" s="378"/>
      <c r="Z351" s="378"/>
      <c r="AA351" s="378"/>
      <c r="AB351" s="378"/>
      <c r="AC351" s="378"/>
      <c r="AD351" s="378">
        <v>-103724.35</v>
      </c>
      <c r="AE351" s="378">
        <v>-103309.35999999999</v>
      </c>
      <c r="AF351" s="378">
        <v>-102891.31000000003</v>
      </c>
      <c r="AG351" s="378">
        <v>-102470.16</v>
      </c>
      <c r="AH351" s="73"/>
      <c r="AI351" s="73"/>
      <c r="AJ351" s="73"/>
      <c r="AK351" s="73"/>
      <c r="AL351" s="73"/>
      <c r="AM351" s="73"/>
      <c r="AN351" s="73"/>
      <c r="AO351" s="73"/>
      <c r="BC351" s="278"/>
    </row>
    <row r="352" spans="2:55" outlineLevel="1" x14ac:dyDescent="0.45">
      <c r="B352" s="522" t="s">
        <v>2047</v>
      </c>
      <c r="C352" s="536"/>
      <c r="D352" s="536"/>
      <c r="E352" s="536"/>
      <c r="F352" s="536"/>
      <c r="G352" s="536"/>
      <c r="H352" s="536"/>
      <c r="I352" s="536"/>
      <c r="J352" s="536"/>
      <c r="K352" s="536"/>
      <c r="L352" s="536"/>
      <c r="M352" s="536"/>
      <c r="N352" s="536"/>
      <c r="O352" s="536"/>
      <c r="P352" s="536"/>
      <c r="Q352" s="536"/>
      <c r="R352" s="537"/>
      <c r="S352" s="537"/>
      <c r="T352" s="537"/>
      <c r="U352" s="537"/>
      <c r="V352" s="537"/>
      <c r="W352" s="537"/>
      <c r="X352" s="537"/>
      <c r="Y352" s="537"/>
      <c r="Z352" s="537"/>
      <c r="AA352" s="537"/>
      <c r="AB352" s="537"/>
      <c r="AC352" s="537"/>
      <c r="AD352" s="537">
        <v>-85191.4</v>
      </c>
      <c r="AE352" s="537">
        <v>-84297.48000000001</v>
      </c>
      <c r="AF352" s="537">
        <v>-83397.639999999985</v>
      </c>
      <c r="AG352" s="537">
        <v>-84227.78</v>
      </c>
      <c r="AH352" s="73"/>
      <c r="AI352" s="73"/>
      <c r="AJ352" s="73"/>
      <c r="AK352" s="73"/>
      <c r="AL352" s="73"/>
      <c r="AM352" s="73"/>
      <c r="AN352" s="73"/>
      <c r="AO352" s="73"/>
    </row>
    <row r="353" spans="2:56" outlineLevel="1" x14ac:dyDescent="0.45">
      <c r="B353" s="491" t="s">
        <v>2048</v>
      </c>
      <c r="C353" s="491"/>
      <c r="D353" s="491"/>
      <c r="E353" s="491"/>
      <c r="F353" s="491"/>
      <c r="G353" s="491"/>
      <c r="H353" s="491"/>
      <c r="I353" s="491"/>
      <c r="J353" s="491"/>
      <c r="K353" s="491"/>
      <c r="L353" s="491"/>
      <c r="M353" s="491"/>
      <c r="N353" s="491"/>
      <c r="O353" s="491"/>
      <c r="P353" s="491"/>
      <c r="Q353" s="491"/>
      <c r="R353" s="378"/>
      <c r="S353" s="378"/>
      <c r="T353" s="378"/>
      <c r="U353" s="378"/>
      <c r="V353" s="378"/>
      <c r="W353" s="378"/>
      <c r="X353" s="378"/>
      <c r="Y353" s="378"/>
      <c r="Z353" s="378"/>
      <c r="AA353" s="378"/>
      <c r="AB353" s="378"/>
      <c r="AC353" s="378"/>
      <c r="AD353" s="378">
        <v>-42514.05</v>
      </c>
      <c r="AE353" s="378">
        <v>-42278.11</v>
      </c>
      <c r="AF353" s="378">
        <v>-42040.89</v>
      </c>
      <c r="AG353" s="378">
        <v>-41802.379999999997</v>
      </c>
      <c r="AH353" s="73"/>
      <c r="AI353" s="73"/>
      <c r="AJ353" s="73"/>
      <c r="AK353" s="73"/>
      <c r="AL353" s="73"/>
      <c r="AM353" s="73"/>
      <c r="AN353" s="73"/>
      <c r="AO353" s="73"/>
    </row>
    <row r="354" spans="2:56" outlineLevel="1" x14ac:dyDescent="0.45">
      <c r="B354" s="269" t="s">
        <v>2049</v>
      </c>
      <c r="R354" s="73"/>
      <c r="S354" s="73"/>
      <c r="T354" s="73"/>
      <c r="U354" s="73"/>
      <c r="V354" s="73"/>
      <c r="W354" s="73"/>
      <c r="X354" s="73"/>
      <c r="Y354" s="73"/>
      <c r="Z354" s="73"/>
      <c r="AA354" s="73"/>
      <c r="AB354" s="73"/>
      <c r="AC354" s="73"/>
      <c r="AD354" s="73"/>
      <c r="AE354" s="73"/>
      <c r="AF354" s="73">
        <v>-80966.990000000005</v>
      </c>
      <c r="AG354" s="73">
        <v>-40930.29</v>
      </c>
      <c r="AH354" s="378"/>
      <c r="AI354" s="378"/>
      <c r="AJ354" s="378"/>
      <c r="AK354" s="378"/>
      <c r="AL354" s="378"/>
      <c r="AM354" s="378"/>
      <c r="AN354" s="378"/>
      <c r="AO354" s="378"/>
    </row>
    <row r="355" spans="2:56" outlineLevel="1" x14ac:dyDescent="0.45">
      <c r="B355" s="536" t="s">
        <v>2050</v>
      </c>
      <c r="C355" s="536"/>
      <c r="D355" s="536"/>
      <c r="E355" s="536"/>
      <c r="F355" s="536"/>
      <c r="G355" s="536"/>
      <c r="H355" s="536"/>
      <c r="I355" s="536"/>
      <c r="J355" s="536"/>
      <c r="K355" s="536"/>
      <c r="L355" s="536"/>
      <c r="M355" s="536"/>
      <c r="N355" s="536"/>
      <c r="O355" s="536"/>
      <c r="P355" s="536"/>
      <c r="Q355" s="536"/>
      <c r="R355" s="537"/>
      <c r="S355" s="537"/>
      <c r="T355" s="537"/>
      <c r="U355" s="537"/>
      <c r="V355" s="537"/>
      <c r="W355" s="537"/>
      <c r="X355" s="537"/>
      <c r="Y355" s="537"/>
      <c r="Z355" s="537"/>
      <c r="AA355" s="537"/>
      <c r="AB355" s="537"/>
      <c r="AC355" s="537"/>
      <c r="AD355" s="537">
        <v>-34600.07</v>
      </c>
      <c r="AE355" s="537">
        <v>-33545.21</v>
      </c>
      <c r="AF355" s="537">
        <v>-32481.22</v>
      </c>
      <c r="AG355" s="539">
        <v>-31408.03</v>
      </c>
      <c r="AH355" s="73"/>
      <c r="AI355" s="73"/>
      <c r="AJ355" s="73"/>
      <c r="AK355" s="73"/>
      <c r="AL355" s="73"/>
      <c r="AM355" s="73"/>
      <c r="AN355" s="73"/>
      <c r="AO355" s="73"/>
    </row>
    <row r="356" spans="2:56" outlineLevel="1" x14ac:dyDescent="0.45">
      <c r="B356" s="269" t="s">
        <v>1029</v>
      </c>
      <c r="R356" s="73"/>
      <c r="S356" s="73"/>
      <c r="T356" s="73"/>
      <c r="U356" s="73"/>
      <c r="V356" s="73"/>
      <c r="W356" s="73"/>
      <c r="X356" s="73"/>
      <c r="Y356" s="73"/>
      <c r="Z356" s="73"/>
      <c r="AA356" s="73"/>
      <c r="AB356" s="73"/>
      <c r="AC356" s="73"/>
      <c r="AD356" s="73">
        <v>-42197.1</v>
      </c>
      <c r="AE356" s="73"/>
      <c r="AF356" s="73"/>
      <c r="AG356" s="528"/>
      <c r="AH356" s="73"/>
      <c r="AI356" s="73"/>
      <c r="AJ356" s="73"/>
      <c r="AK356" s="73"/>
      <c r="AL356" s="73"/>
      <c r="AM356" s="73"/>
      <c r="AN356" s="73"/>
      <c r="AO356" s="73"/>
    </row>
    <row r="357" spans="2:56" outlineLevel="1" x14ac:dyDescent="0.45">
      <c r="B357" s="102" t="s">
        <v>721</v>
      </c>
      <c r="R357" s="73"/>
      <c r="S357" s="73"/>
      <c r="T357" s="73"/>
      <c r="U357" s="73"/>
      <c r="V357" s="73"/>
      <c r="W357" s="73"/>
      <c r="X357" s="73"/>
      <c r="Y357" s="73"/>
      <c r="Z357" s="73"/>
      <c r="AA357" s="73"/>
      <c r="AB357" s="73"/>
      <c r="AC357" s="73"/>
      <c r="AD357" s="73">
        <v>-84112.33</v>
      </c>
      <c r="AE357" s="73"/>
      <c r="AF357" s="73"/>
      <c r="AG357" s="528"/>
      <c r="AH357" s="73"/>
      <c r="AI357" s="73"/>
      <c r="AJ357" s="73"/>
      <c r="AK357" s="73"/>
      <c r="AL357" s="73"/>
      <c r="AM357" s="73"/>
      <c r="AN357" s="73"/>
      <c r="AO357" s="73"/>
    </row>
    <row r="358" spans="2:56" outlineLevel="1" x14ac:dyDescent="0.45">
      <c r="B358" s="269" t="s">
        <v>2051</v>
      </c>
      <c r="R358" s="73"/>
      <c r="S358" s="73"/>
      <c r="T358" s="73"/>
      <c r="U358" s="73"/>
      <c r="V358" s="73"/>
      <c r="W358" s="73"/>
      <c r="X358" s="73"/>
      <c r="Y358" s="73"/>
      <c r="Z358" s="73"/>
      <c r="AA358" s="73"/>
      <c r="AB358" s="73"/>
      <c r="AC358" s="73"/>
      <c r="AD358" s="73"/>
      <c r="AE358" s="73"/>
      <c r="AF358" s="73"/>
      <c r="AG358" s="73">
        <v>-28516.47</v>
      </c>
      <c r="AH358" s="378"/>
      <c r="AI358" s="378"/>
      <c r="AJ358" s="378"/>
      <c r="AK358" s="378"/>
      <c r="AL358" s="378"/>
      <c r="AM358" s="378"/>
      <c r="AN358" s="378"/>
      <c r="AO358" s="378"/>
      <c r="BD358" s="503"/>
    </row>
    <row r="359" spans="2:56" outlineLevel="1" x14ac:dyDescent="0.45">
      <c r="B359" s="53" t="s">
        <v>2052</v>
      </c>
      <c r="C359" s="310"/>
      <c r="D359" s="339"/>
      <c r="E359" s="311"/>
      <c r="F359" s="312"/>
      <c r="G359" s="312"/>
      <c r="H359" s="312"/>
      <c r="I359" s="312"/>
      <c r="J359" s="312"/>
      <c r="K359" s="312"/>
      <c r="L359" s="312"/>
      <c r="M359" s="312"/>
      <c r="N359" s="312"/>
      <c r="O359" s="312"/>
      <c r="P359" s="312"/>
      <c r="Q359" s="312"/>
      <c r="R359" s="51" t="e">
        <f>#REF!+R358+R354+R349+R348+R341+R340+R339</f>
        <v>#REF!</v>
      </c>
      <c r="S359" s="51" t="e">
        <f>#REF!+S358+S354+S349+S348+S341+S340+S339</f>
        <v>#REF!</v>
      </c>
      <c r="T359" s="51" t="e">
        <f>#REF!+T358+T354+T349+T348+T341+T340+T339</f>
        <v>#REF!</v>
      </c>
      <c r="U359" s="51" t="e">
        <f>#REF!+U358+U354+U349+U348+U341+U340+U339</f>
        <v>#REF!</v>
      </c>
      <c r="V359" s="51" t="e">
        <f>#REF!+V358+V354+V349+V348+V341+V340+V339</f>
        <v>#REF!</v>
      </c>
      <c r="W359" s="51" t="e">
        <f>#REF!+W358+W354+W349+W348+W341+W340+W339</f>
        <v>#REF!</v>
      </c>
      <c r="X359" s="51" t="e">
        <f>#REF!+X358+X354+X349+X348+X341+X340+X339</f>
        <v>#REF!</v>
      </c>
      <c r="Y359" s="51" t="e">
        <f>#REF!+Y358+Y354+Y349+Y348+Y341+Y340+Y339</f>
        <v>#REF!</v>
      </c>
      <c r="Z359" s="51" t="e">
        <f>#REF!+Z358+Z354+Z349+Z348+Z341+Z340+Z339</f>
        <v>#REF!</v>
      </c>
      <c r="AA359" s="51" t="e">
        <f>#REF!+AA358+AA354+AA349+AA348+AA341+AA340+AA339</f>
        <v>#REF!</v>
      </c>
      <c r="AB359" s="51" t="e">
        <f>#REF!+AB358+AB354+AB349+AB348+AB341+AB340+AB339</f>
        <v>#REF!</v>
      </c>
      <c r="AC359" s="51" t="e">
        <f>#REF!+AC358+AC354+AC349+AC348+AC341+AC340+AC339</f>
        <v>#REF!</v>
      </c>
      <c r="AD359" s="51">
        <f>AD343+AD353+AD347+AD346+AD342+AD340+AD351+AD344</f>
        <v>-1414194.52</v>
      </c>
      <c r="AE359" s="51">
        <f>AE343+AE353+AE347+AE346+AE342+AE340+AE351+AE344</f>
        <v>-1493755.1899999997</v>
      </c>
      <c r="AF359" s="51">
        <f>AF343+AF353+AF347+AF346+AF342+AF340+AF351+AF344+AF341+AF348</f>
        <v>-1884117.45</v>
      </c>
      <c r="AG359" s="51">
        <f>AG340+AG341+AG342+AG343+AG344+AG346+AG347+AG348+AG351+AG353</f>
        <v>-1880132.26</v>
      </c>
      <c r="AH359" s="51"/>
      <c r="AI359" s="51"/>
      <c r="AJ359" s="51"/>
      <c r="AK359" s="51"/>
      <c r="AL359" s="51"/>
      <c r="AM359" s="51"/>
      <c r="AN359" s="51"/>
      <c r="AO359" s="51"/>
      <c r="BC359" s="278"/>
      <c r="BD359" s="505"/>
    </row>
    <row r="360" spans="2:56" outlineLevel="1" x14ac:dyDescent="0.45">
      <c r="B360" s="53" t="s">
        <v>2053</v>
      </c>
      <c r="C360" s="310"/>
      <c r="D360" s="339"/>
      <c r="E360" s="311"/>
      <c r="F360" s="312"/>
      <c r="G360" s="312"/>
      <c r="H360" s="312"/>
      <c r="I360" s="312"/>
      <c r="J360" s="312"/>
      <c r="K360" s="312"/>
      <c r="L360" s="312"/>
      <c r="M360" s="312"/>
      <c r="N360" s="312"/>
      <c r="O360" s="312"/>
      <c r="P360" s="312"/>
      <c r="Q360" s="312"/>
      <c r="R360" s="51"/>
      <c r="S360" s="51"/>
      <c r="T360" s="51"/>
      <c r="U360" s="51"/>
      <c r="V360" s="51"/>
      <c r="W360" s="51"/>
      <c r="X360" s="51"/>
      <c r="Y360" s="51"/>
      <c r="Z360" s="51"/>
      <c r="AA360" s="51"/>
      <c r="AB360" s="51"/>
      <c r="AC360" s="51"/>
      <c r="AD360" s="51">
        <f>AD345+AD350+AD352+AD355+AD356+AD357</f>
        <v>-503741.67000000004</v>
      </c>
      <c r="AE360" s="51">
        <f>AE345+AE350+AE352+AE355+AE356+AE357</f>
        <v>-413400.76999999996</v>
      </c>
      <c r="AF360" s="51">
        <f>AF345+AF350+AF352+AF355+AF356+AF357</f>
        <v>-409142.74</v>
      </c>
      <c r="AG360" s="51">
        <f>AG345+AG350+AG352+AG355+AG356+AG357</f>
        <v>-390397.5</v>
      </c>
      <c r="AH360" s="535"/>
      <c r="AI360" s="535"/>
      <c r="AJ360" s="535"/>
      <c r="AK360" s="535"/>
      <c r="AL360" s="535"/>
      <c r="AM360" s="535"/>
      <c r="AN360" s="535"/>
      <c r="AO360" s="535"/>
      <c r="BC360" s="278"/>
      <c r="BD360" s="505"/>
    </row>
    <row r="361" spans="2:56" outlineLevel="1" x14ac:dyDescent="0.45">
      <c r="B361" s="53" t="s">
        <v>2052</v>
      </c>
      <c r="C361" s="310"/>
      <c r="D361" s="339"/>
      <c r="E361" s="311"/>
      <c r="F361" s="312"/>
      <c r="G361" s="312"/>
      <c r="H361" s="312"/>
      <c r="I361" s="312"/>
      <c r="J361" s="312"/>
      <c r="K361" s="312"/>
      <c r="L361" s="312"/>
      <c r="M361" s="312"/>
      <c r="N361" s="312"/>
      <c r="O361" s="312"/>
      <c r="P361" s="312"/>
      <c r="Q361" s="312"/>
      <c r="R361" s="51"/>
      <c r="S361" s="51"/>
      <c r="T361" s="51"/>
      <c r="U361" s="51"/>
      <c r="V361" s="51"/>
      <c r="W361" s="51"/>
      <c r="X361" s="51"/>
      <c r="Y361" s="51"/>
      <c r="Z361" s="51"/>
      <c r="AA361" s="51"/>
      <c r="AB361" s="51"/>
      <c r="AC361" s="51"/>
      <c r="AD361" s="51">
        <f>AD338-AD359-AD360</f>
        <v>-499881.27999999968</v>
      </c>
      <c r="AE361" s="51">
        <f>AE338-AE359-AE360</f>
        <v>-503514.64999999973</v>
      </c>
      <c r="AF361" s="51">
        <f>AF338-AF359-AF360</f>
        <v>-601498.90000000037</v>
      </c>
      <c r="AG361" s="51">
        <f>AG339+AG349+AG354+AG358</f>
        <v>-593618.77</v>
      </c>
      <c r="AH361" s="535"/>
      <c r="AI361" s="535"/>
      <c r="AJ361" s="535"/>
      <c r="AK361" s="535"/>
      <c r="AL361" s="535"/>
      <c r="AM361" s="535"/>
      <c r="AN361" s="535"/>
      <c r="AO361" s="535"/>
      <c r="BC361" s="278"/>
      <c r="BD361" s="505"/>
    </row>
    <row r="362" spans="2:56" outlineLevel="1" x14ac:dyDescent="0.45">
      <c r="AD362" s="504">
        <f>AD359+AD360+AD361-AD338</f>
        <v>0</v>
      </c>
      <c r="AE362" s="504">
        <f>AE359+AE360+AE361-AE338</f>
        <v>0</v>
      </c>
      <c r="AF362" s="504">
        <f>AF359+AF360+AF361-AF338</f>
        <v>0</v>
      </c>
      <c r="AG362" s="504">
        <f>AG359+AG360+AG361-AG338</f>
        <v>0</v>
      </c>
    </row>
    <row r="363" spans="2:56" outlineLevel="1" x14ac:dyDescent="0.45">
      <c r="B363" s="291" t="s">
        <v>1054</v>
      </c>
      <c r="AD363" s="278"/>
      <c r="AE363" s="278"/>
      <c r="AF363" s="278"/>
      <c r="AG363" s="278"/>
    </row>
    <row r="364" spans="2:56" outlineLevel="1" x14ac:dyDescent="0.45">
      <c r="B364" s="53" t="s">
        <v>1055</v>
      </c>
      <c r="C364" s="310"/>
      <c r="D364" s="339"/>
      <c r="E364" s="311"/>
      <c r="F364" s="312"/>
      <c r="G364" s="312"/>
      <c r="H364" s="312"/>
      <c r="I364" s="312"/>
      <c r="J364" s="312"/>
      <c r="K364" s="312"/>
      <c r="L364" s="312"/>
      <c r="M364" s="312"/>
      <c r="N364" s="312"/>
      <c r="O364" s="312"/>
      <c r="P364" s="312"/>
      <c r="Q364" s="312"/>
      <c r="R364" s="51">
        <f t="shared" ref="R364:AG364" si="177">SUM(R365:R383)</f>
        <v>0</v>
      </c>
      <c r="S364" s="51">
        <f t="shared" si="177"/>
        <v>0</v>
      </c>
      <c r="T364" s="51">
        <f t="shared" si="177"/>
        <v>0</v>
      </c>
      <c r="U364" s="51">
        <f t="shared" si="177"/>
        <v>0</v>
      </c>
      <c r="V364" s="51">
        <f t="shared" si="177"/>
        <v>0</v>
      </c>
      <c r="W364" s="51">
        <f t="shared" si="177"/>
        <v>0</v>
      </c>
      <c r="X364" s="51">
        <f t="shared" si="177"/>
        <v>0</v>
      </c>
      <c r="Y364" s="51">
        <f t="shared" si="177"/>
        <v>0</v>
      </c>
      <c r="Z364" s="51">
        <f t="shared" si="177"/>
        <v>0</v>
      </c>
      <c r="AA364" s="51">
        <f t="shared" si="177"/>
        <v>0</v>
      </c>
      <c r="AB364" s="51">
        <f t="shared" si="177"/>
        <v>0</v>
      </c>
      <c r="AC364" s="51">
        <f t="shared" si="177"/>
        <v>0</v>
      </c>
      <c r="AD364" s="51">
        <f t="shared" si="177"/>
        <v>-2514847.6900000004</v>
      </c>
      <c r="AE364" s="51">
        <f t="shared" si="177"/>
        <v>-2514847.37</v>
      </c>
      <c r="AF364" s="51">
        <f t="shared" si="177"/>
        <v>-2818383.21</v>
      </c>
      <c r="AG364" s="51">
        <f t="shared" si="177"/>
        <v>-2779421.7199999997</v>
      </c>
      <c r="AH364" s="51"/>
      <c r="AI364" s="51"/>
      <c r="AJ364" s="51"/>
      <c r="AK364" s="51"/>
      <c r="AL364" s="51"/>
      <c r="AM364" s="51"/>
      <c r="AN364" s="51"/>
      <c r="AO364" s="51"/>
    </row>
    <row r="365" spans="2:56" outlineLevel="1" x14ac:dyDescent="0.45">
      <c r="B365" s="102" t="s">
        <v>2049</v>
      </c>
      <c r="R365" s="73"/>
      <c r="S365" s="73"/>
      <c r="T365" s="73"/>
      <c r="U365" s="73"/>
      <c r="V365" s="73"/>
      <c r="W365" s="73"/>
      <c r="X365" s="73"/>
      <c r="Y365" s="73"/>
      <c r="Z365" s="73"/>
      <c r="AA365" s="73"/>
      <c r="AB365" s="73"/>
      <c r="AC365" s="73"/>
      <c r="AD365" s="71"/>
      <c r="AE365" s="71"/>
      <c r="AF365" s="71">
        <v>-60985.9</v>
      </c>
      <c r="AG365" s="71">
        <v>-30492.95</v>
      </c>
      <c r="AH365" s="379"/>
      <c r="AI365" s="379"/>
      <c r="AJ365" s="379"/>
      <c r="AK365" s="379"/>
      <c r="AL365" s="379"/>
      <c r="AM365" s="379"/>
      <c r="AN365" s="379"/>
      <c r="AO365" s="379"/>
      <c r="BD365" s="504"/>
    </row>
    <row r="366" spans="2:56" outlineLevel="1" x14ac:dyDescent="0.45">
      <c r="B366" s="491" t="s">
        <v>2048</v>
      </c>
      <c r="C366" s="491"/>
      <c r="D366" s="491"/>
      <c r="E366" s="491"/>
      <c r="F366" s="491"/>
      <c r="G366" s="491"/>
      <c r="H366" s="491"/>
      <c r="I366" s="491"/>
      <c r="J366" s="491"/>
      <c r="K366" s="491"/>
      <c r="L366" s="491"/>
      <c r="M366" s="491"/>
      <c r="N366" s="491"/>
      <c r="O366" s="491"/>
      <c r="P366" s="491"/>
      <c r="Q366" s="491"/>
      <c r="R366" s="378"/>
      <c r="S366" s="378"/>
      <c r="T366" s="378"/>
      <c r="U366" s="378"/>
      <c r="V366" s="378"/>
      <c r="W366" s="378"/>
      <c r="X366" s="378"/>
      <c r="Y366" s="378"/>
      <c r="Z366" s="378"/>
      <c r="AA366" s="378"/>
      <c r="AB366" s="378"/>
      <c r="AC366" s="378"/>
      <c r="AD366" s="379">
        <v>-57240.91</v>
      </c>
      <c r="AE366" s="379">
        <v>-57240.91</v>
      </c>
      <c r="AF366" s="379">
        <v>-57240.91</v>
      </c>
      <c r="AG366" s="378">
        <v>-57240.91</v>
      </c>
      <c r="AH366" s="379"/>
      <c r="AI366" s="379"/>
      <c r="AJ366" s="379"/>
      <c r="AK366" s="379"/>
      <c r="AL366" s="379"/>
      <c r="AM366" s="379"/>
      <c r="AN366" s="379"/>
      <c r="AO366" s="379"/>
      <c r="BD366" s="278"/>
    </row>
    <row r="367" spans="2:56" outlineLevel="1" x14ac:dyDescent="0.45">
      <c r="B367" s="102" t="s">
        <v>2044</v>
      </c>
      <c r="R367" s="73"/>
      <c r="S367" s="73"/>
      <c r="T367" s="73"/>
      <c r="U367" s="73"/>
      <c r="V367" s="73"/>
      <c r="W367" s="73"/>
      <c r="X367" s="73"/>
      <c r="Y367" s="73"/>
      <c r="Z367" s="73"/>
      <c r="AA367" s="73"/>
      <c r="AB367" s="73"/>
      <c r="AC367" s="73"/>
      <c r="AD367" s="71">
        <v>-63361.79</v>
      </c>
      <c r="AE367" s="71">
        <v>-63361.79</v>
      </c>
      <c r="AF367" s="71">
        <v>-63361.79</v>
      </c>
      <c r="AG367" s="71">
        <v>-63361.79</v>
      </c>
      <c r="AH367" s="379"/>
      <c r="AI367" s="379"/>
      <c r="AJ367" s="379"/>
      <c r="AK367" s="379"/>
      <c r="AL367" s="379"/>
      <c r="AM367" s="379"/>
      <c r="AN367" s="379"/>
      <c r="AO367" s="379"/>
      <c r="BD367" s="278"/>
    </row>
    <row r="368" spans="2:56" outlineLevel="1" x14ac:dyDescent="0.45">
      <c r="B368" s="491" t="s">
        <v>2043</v>
      </c>
      <c r="C368" s="491"/>
      <c r="D368" s="491"/>
      <c r="E368" s="491"/>
      <c r="F368" s="491"/>
      <c r="G368" s="491"/>
      <c r="H368" s="491"/>
      <c r="I368" s="491"/>
      <c r="J368" s="491"/>
      <c r="K368" s="491"/>
      <c r="L368" s="491"/>
      <c r="M368" s="491"/>
      <c r="N368" s="491"/>
      <c r="O368" s="491"/>
      <c r="P368" s="491"/>
      <c r="Q368" s="491"/>
      <c r="R368" s="378"/>
      <c r="S368" s="378"/>
      <c r="T368" s="378"/>
      <c r="U368" s="378"/>
      <c r="V368" s="378"/>
      <c r="W368" s="378"/>
      <c r="X368" s="378"/>
      <c r="Y368" s="378"/>
      <c r="Z368" s="378"/>
      <c r="AA368" s="378"/>
      <c r="AB368" s="378"/>
      <c r="AC368" s="378"/>
      <c r="AD368" s="379">
        <v>-79128.12</v>
      </c>
      <c r="AE368" s="379">
        <v>-79128.12</v>
      </c>
      <c r="AF368" s="379">
        <v>-79128.12</v>
      </c>
      <c r="AG368" s="378">
        <v>-79128.12</v>
      </c>
      <c r="AH368" s="379"/>
      <c r="AI368" s="379"/>
      <c r="AJ368" s="379"/>
      <c r="AK368" s="379"/>
      <c r="AL368" s="379"/>
      <c r="AM368" s="379"/>
      <c r="AN368" s="379"/>
      <c r="AO368" s="379"/>
      <c r="BD368" s="278"/>
    </row>
    <row r="369" spans="2:56" outlineLevel="1" x14ac:dyDescent="0.45">
      <c r="B369" s="491" t="s">
        <v>2041</v>
      </c>
      <c r="C369" s="491"/>
      <c r="D369" s="491"/>
      <c r="E369" s="491"/>
      <c r="F369" s="491"/>
      <c r="G369" s="491"/>
      <c r="H369" s="491"/>
      <c r="I369" s="491"/>
      <c r="J369" s="491"/>
      <c r="K369" s="491"/>
      <c r="L369" s="491"/>
      <c r="M369" s="491"/>
      <c r="N369" s="491"/>
      <c r="O369" s="491"/>
      <c r="P369" s="491"/>
      <c r="Q369" s="491"/>
      <c r="R369" s="378"/>
      <c r="S369" s="378"/>
      <c r="T369" s="378"/>
      <c r="U369" s="378"/>
      <c r="V369" s="378"/>
      <c r="W369" s="378"/>
      <c r="X369" s="378"/>
      <c r="Y369" s="378"/>
      <c r="Z369" s="378"/>
      <c r="AA369" s="378"/>
      <c r="AB369" s="378"/>
      <c r="AC369" s="378"/>
      <c r="AD369" s="379">
        <v>-114652.19</v>
      </c>
      <c r="AE369" s="379">
        <v>-114652.19</v>
      </c>
      <c r="AF369" s="379">
        <v>-114652.19</v>
      </c>
      <c r="AG369" s="378">
        <v>-114652.19</v>
      </c>
      <c r="AH369" s="379"/>
      <c r="AI369" s="379"/>
      <c r="AJ369" s="379"/>
      <c r="AK369" s="379"/>
      <c r="AL369" s="379"/>
      <c r="AM369" s="379"/>
      <c r="AN369" s="379"/>
      <c r="AO369" s="379"/>
      <c r="BD369" s="278"/>
    </row>
    <row r="370" spans="2:56" outlineLevel="1" x14ac:dyDescent="0.45">
      <c r="B370" s="491" t="s">
        <v>2046</v>
      </c>
      <c r="C370" s="491"/>
      <c r="D370" s="491"/>
      <c r="E370" s="491"/>
      <c r="F370" s="491"/>
      <c r="G370" s="491"/>
      <c r="H370" s="491"/>
      <c r="I370" s="491"/>
      <c r="J370" s="491"/>
      <c r="K370" s="491"/>
      <c r="L370" s="491"/>
      <c r="M370" s="491"/>
      <c r="N370" s="491"/>
      <c r="O370" s="491"/>
      <c r="P370" s="491"/>
      <c r="Q370" s="491"/>
      <c r="R370" s="378"/>
      <c r="S370" s="378"/>
      <c r="T370" s="378"/>
      <c r="U370" s="378"/>
      <c r="V370" s="378"/>
      <c r="W370" s="378"/>
      <c r="X370" s="378"/>
      <c r="Y370" s="378"/>
      <c r="Z370" s="378"/>
      <c r="AA370" s="378"/>
      <c r="AB370" s="378"/>
      <c r="AC370" s="378"/>
      <c r="AD370" s="379">
        <v>-117091.64</v>
      </c>
      <c r="AE370" s="379">
        <v>-117091.64</v>
      </c>
      <c r="AF370" s="379">
        <v>-117091.64</v>
      </c>
      <c r="AG370" s="378">
        <v>-117091.64</v>
      </c>
      <c r="AH370" s="379"/>
      <c r="AI370" s="379"/>
      <c r="AJ370" s="379"/>
      <c r="AK370" s="379"/>
      <c r="AL370" s="379"/>
      <c r="AM370" s="379"/>
      <c r="AN370" s="379"/>
      <c r="AO370" s="379"/>
    </row>
    <row r="371" spans="2:56" outlineLevel="1" x14ac:dyDescent="0.45">
      <c r="B371" s="536" t="s">
        <v>2050</v>
      </c>
      <c r="C371" s="536"/>
      <c r="D371" s="536"/>
      <c r="E371" s="536"/>
      <c r="F371" s="536"/>
      <c r="G371" s="536"/>
      <c r="H371" s="536"/>
      <c r="I371" s="536"/>
      <c r="J371" s="536"/>
      <c r="K371" s="536"/>
      <c r="L371" s="536"/>
      <c r="M371" s="536"/>
      <c r="N371" s="536"/>
      <c r="O371" s="536"/>
      <c r="P371" s="536"/>
      <c r="Q371" s="536"/>
      <c r="R371" s="537"/>
      <c r="S371" s="537"/>
      <c r="T371" s="537"/>
      <c r="U371" s="537"/>
      <c r="V371" s="537"/>
      <c r="W371" s="537"/>
      <c r="X371" s="537"/>
      <c r="Y371" s="537"/>
      <c r="Z371" s="537"/>
      <c r="AA371" s="537"/>
      <c r="AB371" s="537"/>
      <c r="AC371" s="537"/>
      <c r="AD371" s="540">
        <v>-122683.13</v>
      </c>
      <c r="AE371" s="540">
        <v>-122683.13</v>
      </c>
      <c r="AF371" s="541">
        <v>-122683.13</v>
      </c>
      <c r="AG371" s="537">
        <v>-122683.13</v>
      </c>
      <c r="AH371" s="379"/>
      <c r="AI371" s="379"/>
      <c r="AJ371" s="379"/>
      <c r="AK371" s="379"/>
      <c r="AL371" s="379"/>
      <c r="AM371" s="379"/>
      <c r="AN371" s="379"/>
      <c r="AO371" s="379"/>
    </row>
    <row r="372" spans="2:56" outlineLevel="1" x14ac:dyDescent="0.45">
      <c r="B372" s="491" t="s">
        <v>2039</v>
      </c>
      <c r="C372" s="491"/>
      <c r="D372" s="491"/>
      <c r="E372" s="491"/>
      <c r="F372" s="491"/>
      <c r="G372" s="491"/>
      <c r="H372" s="491"/>
      <c r="I372" s="491"/>
      <c r="J372" s="491"/>
      <c r="K372" s="491"/>
      <c r="L372" s="491"/>
      <c r="M372" s="491"/>
      <c r="N372" s="491"/>
      <c r="O372" s="491"/>
      <c r="P372" s="491"/>
      <c r="Q372" s="491"/>
      <c r="R372" s="378"/>
      <c r="S372" s="378"/>
      <c r="T372" s="378"/>
      <c r="U372" s="378"/>
      <c r="V372" s="378"/>
      <c r="W372" s="378"/>
      <c r="X372" s="378"/>
      <c r="Y372" s="378"/>
      <c r="Z372" s="378"/>
      <c r="AA372" s="378"/>
      <c r="AB372" s="378"/>
      <c r="AC372" s="378"/>
      <c r="AD372" s="379">
        <v>-136634.82</v>
      </c>
      <c r="AE372" s="379">
        <v>-136634.82</v>
      </c>
      <c r="AF372" s="379">
        <v>-136634.82</v>
      </c>
      <c r="AG372" s="378">
        <v>-136634.82</v>
      </c>
      <c r="AH372" s="379"/>
      <c r="AI372" s="379"/>
      <c r="AJ372" s="379"/>
      <c r="AK372" s="379"/>
      <c r="AL372" s="379"/>
      <c r="AM372" s="379"/>
      <c r="AN372" s="379"/>
      <c r="AO372" s="379"/>
    </row>
    <row r="373" spans="2:56" outlineLevel="1" x14ac:dyDescent="0.45">
      <c r="B373" s="491" t="s">
        <v>988</v>
      </c>
      <c r="C373" s="491"/>
      <c r="D373" s="491"/>
      <c r="E373" s="491"/>
      <c r="F373" s="491"/>
      <c r="G373" s="491"/>
      <c r="H373" s="491"/>
      <c r="I373" s="491"/>
      <c r="J373" s="491"/>
      <c r="K373" s="491"/>
      <c r="L373" s="491"/>
      <c r="M373" s="491"/>
      <c r="N373" s="491"/>
      <c r="O373" s="491"/>
      <c r="P373" s="491"/>
      <c r="Q373" s="491"/>
      <c r="R373" s="378"/>
      <c r="S373" s="378"/>
      <c r="T373" s="378"/>
      <c r="U373" s="378"/>
      <c r="V373" s="378"/>
      <c r="W373" s="378"/>
      <c r="X373" s="378"/>
      <c r="Y373" s="378"/>
      <c r="Z373" s="378"/>
      <c r="AA373" s="378"/>
      <c r="AB373" s="378"/>
      <c r="AC373" s="378"/>
      <c r="AD373" s="379">
        <v>-154665.39000000001</v>
      </c>
      <c r="AE373" s="379">
        <v>-154665.39000000001</v>
      </c>
      <c r="AF373" s="379">
        <v>-154665.39000000001</v>
      </c>
      <c r="AG373" s="378">
        <v>-154665.39000000001</v>
      </c>
      <c r="AH373" s="379"/>
      <c r="AI373" s="379"/>
      <c r="AJ373" s="379"/>
      <c r="AK373" s="379"/>
      <c r="AL373" s="379"/>
      <c r="AM373" s="379"/>
      <c r="AN373" s="379"/>
      <c r="AO373" s="379"/>
    </row>
    <row r="374" spans="2:56" outlineLevel="1" x14ac:dyDescent="0.45">
      <c r="B374" s="491" t="s">
        <v>2038</v>
      </c>
      <c r="C374" s="491"/>
      <c r="D374" s="491"/>
      <c r="E374" s="491"/>
      <c r="F374" s="491"/>
      <c r="G374" s="491"/>
      <c r="H374" s="491"/>
      <c r="I374" s="491"/>
      <c r="J374" s="491"/>
      <c r="K374" s="491"/>
      <c r="L374" s="491"/>
      <c r="M374" s="491"/>
      <c r="N374" s="491"/>
      <c r="O374" s="491"/>
      <c r="P374" s="491"/>
      <c r="Q374" s="491"/>
      <c r="R374" s="378"/>
      <c r="S374" s="378"/>
      <c r="T374" s="378"/>
      <c r="U374" s="378"/>
      <c r="V374" s="378"/>
      <c r="W374" s="378"/>
      <c r="X374" s="378"/>
      <c r="Y374" s="378"/>
      <c r="Z374" s="378"/>
      <c r="AA374" s="378"/>
      <c r="AB374" s="378"/>
      <c r="AC374" s="378"/>
      <c r="AD374" s="379">
        <v>-157287.94</v>
      </c>
      <c r="AE374" s="379">
        <v>-157287.94</v>
      </c>
      <c r="AF374" s="379">
        <v>-157287.94</v>
      </c>
      <c r="AG374" s="378">
        <v>-157287.94</v>
      </c>
      <c r="AH374" s="71"/>
      <c r="AI374" s="71"/>
      <c r="AJ374" s="71"/>
      <c r="AK374" s="71"/>
      <c r="AL374" s="71"/>
      <c r="AM374" s="71"/>
      <c r="AN374" s="71"/>
      <c r="AO374" s="71"/>
      <c r="BC374" s="278"/>
    </row>
    <row r="375" spans="2:56" outlineLevel="1" x14ac:dyDescent="0.45">
      <c r="B375" s="536" t="s">
        <v>2047</v>
      </c>
      <c r="C375" s="536"/>
      <c r="D375" s="536"/>
      <c r="E375" s="536"/>
      <c r="F375" s="536"/>
      <c r="G375" s="536"/>
      <c r="H375" s="536"/>
      <c r="I375" s="536"/>
      <c r="J375" s="536"/>
      <c r="K375" s="536"/>
      <c r="L375" s="536"/>
      <c r="M375" s="536"/>
      <c r="N375" s="536"/>
      <c r="O375" s="536"/>
      <c r="P375" s="536"/>
      <c r="Q375" s="536"/>
      <c r="R375" s="537"/>
      <c r="S375" s="537"/>
      <c r="T375" s="537"/>
      <c r="U375" s="537"/>
      <c r="V375" s="537"/>
      <c r="W375" s="537"/>
      <c r="X375" s="537"/>
      <c r="Y375" s="537"/>
      <c r="Z375" s="537"/>
      <c r="AA375" s="537"/>
      <c r="AB375" s="537"/>
      <c r="AC375" s="537"/>
      <c r="AD375" s="537">
        <v>-155213.78</v>
      </c>
      <c r="AE375" s="537">
        <v>-155213.46</v>
      </c>
      <c r="AF375" s="537">
        <v>-155213.46</v>
      </c>
      <c r="AG375" s="537">
        <v>-159351.67999999999</v>
      </c>
      <c r="AH375" s="71"/>
      <c r="AI375" s="71"/>
      <c r="AJ375" s="71"/>
      <c r="AK375" s="71"/>
      <c r="AL375" s="71"/>
      <c r="AM375" s="71"/>
      <c r="AN375" s="71"/>
      <c r="AO375" s="71"/>
    </row>
    <row r="376" spans="2:56" outlineLevel="1" x14ac:dyDescent="0.45">
      <c r="B376" s="536" t="s">
        <v>2045</v>
      </c>
      <c r="C376" s="536"/>
      <c r="D376" s="536"/>
      <c r="E376" s="536"/>
      <c r="F376" s="536"/>
      <c r="G376" s="536"/>
      <c r="H376" s="536"/>
      <c r="I376" s="536"/>
      <c r="J376" s="536"/>
      <c r="K376" s="536"/>
      <c r="L376" s="536"/>
      <c r="M376" s="536"/>
      <c r="N376" s="536"/>
      <c r="O376" s="536"/>
      <c r="P376" s="536"/>
      <c r="Q376" s="536"/>
      <c r="R376" s="537"/>
      <c r="S376" s="537"/>
      <c r="T376" s="537"/>
      <c r="U376" s="537"/>
      <c r="V376" s="537"/>
      <c r="W376" s="537"/>
      <c r="X376" s="537"/>
      <c r="Y376" s="537"/>
      <c r="Z376" s="537"/>
      <c r="AA376" s="537"/>
      <c r="AB376" s="537"/>
      <c r="AC376" s="537"/>
      <c r="AD376" s="537">
        <v>-131361.35</v>
      </c>
      <c r="AE376" s="537">
        <v>-131361.35</v>
      </c>
      <c r="AF376" s="537">
        <v>-131361.35</v>
      </c>
      <c r="AG376" s="537">
        <v>-183461.43</v>
      </c>
      <c r="AH376" s="379"/>
      <c r="AI376" s="379"/>
      <c r="AJ376" s="379"/>
      <c r="AK376" s="379"/>
      <c r="AL376" s="379"/>
      <c r="AM376" s="379"/>
      <c r="AN376" s="379"/>
      <c r="AO376" s="379"/>
    </row>
    <row r="377" spans="2:56" outlineLevel="1" x14ac:dyDescent="0.45">
      <c r="B377" s="491" t="s">
        <v>2042</v>
      </c>
      <c r="C377" s="491"/>
      <c r="D377" s="491"/>
      <c r="E377" s="491"/>
      <c r="F377" s="491"/>
      <c r="G377" s="491"/>
      <c r="H377" s="491"/>
      <c r="I377" s="491"/>
      <c r="J377" s="491"/>
      <c r="K377" s="491"/>
      <c r="L377" s="491"/>
      <c r="M377" s="491"/>
      <c r="N377" s="491"/>
      <c r="O377" s="491"/>
      <c r="P377" s="491"/>
      <c r="Q377" s="491"/>
      <c r="R377" s="378"/>
      <c r="S377" s="378"/>
      <c r="T377" s="378"/>
      <c r="U377" s="378"/>
      <c r="V377" s="378"/>
      <c r="W377" s="378"/>
      <c r="X377" s="378"/>
      <c r="Y377" s="378"/>
      <c r="Z377" s="378"/>
      <c r="AA377" s="378"/>
      <c r="AB377" s="378"/>
      <c r="AC377" s="378"/>
      <c r="AD377" s="379">
        <v>-185082.79</v>
      </c>
      <c r="AE377" s="379">
        <v>-185082.79</v>
      </c>
      <c r="AF377" s="379">
        <v>-185082.79</v>
      </c>
      <c r="AG377" s="378">
        <v>-185082.79</v>
      </c>
      <c r="AH377" s="71"/>
      <c r="AI377" s="71"/>
      <c r="AJ377" s="71"/>
      <c r="AK377" s="71"/>
      <c r="AL377" s="71"/>
      <c r="AM377" s="71"/>
      <c r="AN377" s="71"/>
      <c r="AO377" s="71"/>
    </row>
    <row r="378" spans="2:56" outlineLevel="1" x14ac:dyDescent="0.45">
      <c r="B378" s="491" t="s">
        <v>2037</v>
      </c>
      <c r="C378" s="491"/>
      <c r="D378" s="491"/>
      <c r="E378" s="491"/>
      <c r="F378" s="491"/>
      <c r="G378" s="491"/>
      <c r="H378" s="491"/>
      <c r="I378" s="491"/>
      <c r="J378" s="491"/>
      <c r="K378" s="491"/>
      <c r="L378" s="491"/>
      <c r="M378" s="491"/>
      <c r="N378" s="491"/>
      <c r="O378" s="491"/>
      <c r="P378" s="491"/>
      <c r="Q378" s="491"/>
      <c r="R378" s="378"/>
      <c r="S378" s="378"/>
      <c r="T378" s="378"/>
      <c r="U378" s="378"/>
      <c r="V378" s="378"/>
      <c r="W378" s="378"/>
      <c r="X378" s="378"/>
      <c r="Y378" s="378"/>
      <c r="Z378" s="378"/>
      <c r="AA378" s="378"/>
      <c r="AB378" s="378"/>
      <c r="AC378" s="378"/>
      <c r="AD378" s="379">
        <v>-192553.55</v>
      </c>
      <c r="AE378" s="379">
        <v>-192553.55</v>
      </c>
      <c r="AF378" s="379">
        <v>-192553.55</v>
      </c>
      <c r="AG378" s="378">
        <v>-192553.55</v>
      </c>
      <c r="AH378" s="71"/>
      <c r="AI378" s="71"/>
      <c r="AJ378" s="71"/>
      <c r="AK378" s="71"/>
      <c r="AL378" s="71"/>
      <c r="AM378" s="71"/>
      <c r="AN378" s="71"/>
      <c r="AO378" s="71"/>
    </row>
    <row r="379" spans="2:56" outlineLevel="1" x14ac:dyDescent="0.45">
      <c r="B379" s="491" t="s">
        <v>2036</v>
      </c>
      <c r="C379" s="491"/>
      <c r="D379" s="491"/>
      <c r="E379" s="491"/>
      <c r="F379" s="491"/>
      <c r="G379" s="491"/>
      <c r="H379" s="491"/>
      <c r="I379" s="491"/>
      <c r="J379" s="491"/>
      <c r="K379" s="491"/>
      <c r="L379" s="491"/>
      <c r="M379" s="491"/>
      <c r="N379" s="491"/>
      <c r="O379" s="491"/>
      <c r="P379" s="491"/>
      <c r="Q379" s="491"/>
      <c r="R379" s="378"/>
      <c r="S379" s="378"/>
      <c r="T379" s="378"/>
      <c r="U379" s="378"/>
      <c r="V379" s="378"/>
      <c r="W379" s="378"/>
      <c r="X379" s="378"/>
      <c r="Y379" s="378"/>
      <c r="Z379" s="378"/>
      <c r="AA379" s="378"/>
      <c r="AB379" s="378"/>
      <c r="AC379" s="378"/>
      <c r="AD379" s="379">
        <v>-219243.89</v>
      </c>
      <c r="AE379" s="379">
        <v>-219243.89</v>
      </c>
      <c r="AF379" s="379">
        <v>-219243.89</v>
      </c>
      <c r="AG379" s="378">
        <v>-212561.65</v>
      </c>
      <c r="AH379" s="379"/>
      <c r="AI379" s="379"/>
      <c r="AJ379" s="379"/>
      <c r="AK379" s="379"/>
      <c r="AL379" s="379"/>
      <c r="AM379" s="379"/>
      <c r="AN379" s="379"/>
      <c r="AO379" s="379"/>
    </row>
    <row r="380" spans="2:56" outlineLevel="1" x14ac:dyDescent="0.45">
      <c r="B380" s="491" t="s">
        <v>2056</v>
      </c>
      <c r="C380" s="491"/>
      <c r="D380" s="491"/>
      <c r="E380" s="491"/>
      <c r="F380" s="491"/>
      <c r="G380" s="491"/>
      <c r="H380" s="491"/>
      <c r="I380" s="491"/>
      <c r="J380" s="491"/>
      <c r="K380" s="491"/>
      <c r="L380" s="491"/>
      <c r="M380" s="491"/>
      <c r="N380" s="491"/>
      <c r="O380" s="491"/>
      <c r="P380" s="491"/>
      <c r="Q380" s="491"/>
      <c r="R380" s="378"/>
      <c r="S380" s="378"/>
      <c r="T380" s="378"/>
      <c r="U380" s="378"/>
      <c r="V380" s="378"/>
      <c r="W380" s="378"/>
      <c r="X380" s="378"/>
      <c r="Y380" s="378"/>
      <c r="Z380" s="378"/>
      <c r="AA380" s="378"/>
      <c r="AB380" s="378"/>
      <c r="AC380" s="378"/>
      <c r="AD380" s="379">
        <v>-391065.73</v>
      </c>
      <c r="AE380" s="379">
        <v>-391065.73</v>
      </c>
      <c r="AF380" s="379">
        <v>-391065.73</v>
      </c>
      <c r="AG380" s="378"/>
      <c r="AH380" s="379"/>
      <c r="AI380" s="379"/>
      <c r="AJ380" s="379"/>
      <c r="AK380" s="379"/>
      <c r="AL380" s="379"/>
      <c r="AM380" s="379"/>
      <c r="AN380" s="379"/>
      <c r="AO380" s="379"/>
    </row>
    <row r="381" spans="2:56" outlineLevel="1" x14ac:dyDescent="0.45">
      <c r="B381" s="536" t="s">
        <v>2040</v>
      </c>
      <c r="C381" s="536"/>
      <c r="D381" s="536"/>
      <c r="E381" s="536"/>
      <c r="F381" s="536"/>
      <c r="G381" s="536"/>
      <c r="H381" s="536"/>
      <c r="I381" s="536"/>
      <c r="J381" s="536"/>
      <c r="K381" s="536"/>
      <c r="L381" s="536"/>
      <c r="M381" s="536"/>
      <c r="N381" s="536"/>
      <c r="O381" s="536"/>
      <c r="P381" s="536"/>
      <c r="Q381" s="536"/>
      <c r="R381" s="537"/>
      <c r="S381" s="537"/>
      <c r="T381" s="537"/>
      <c r="U381" s="537"/>
      <c r="V381" s="537"/>
      <c r="W381" s="537"/>
      <c r="X381" s="537"/>
      <c r="Y381" s="537"/>
      <c r="Z381" s="537"/>
      <c r="AA381" s="537"/>
      <c r="AB381" s="537"/>
      <c r="AC381" s="537"/>
      <c r="AD381" s="537">
        <v>-237580.67</v>
      </c>
      <c r="AE381" s="537">
        <v>-237580.67</v>
      </c>
      <c r="AF381" s="537">
        <v>-237580.67</v>
      </c>
      <c r="AG381" s="537">
        <v>-237580.67</v>
      </c>
      <c r="AH381" s="71"/>
      <c r="AI381" s="71"/>
      <c r="AJ381" s="71"/>
      <c r="AK381" s="71"/>
      <c r="AL381" s="71"/>
      <c r="AM381" s="71"/>
      <c r="AN381" s="71"/>
      <c r="AO381" s="71"/>
    </row>
    <row r="382" spans="2:56" outlineLevel="1" x14ac:dyDescent="0.45">
      <c r="B382" s="102" t="s">
        <v>2035</v>
      </c>
      <c r="R382" s="73"/>
      <c r="S382" s="73"/>
      <c r="T382" s="73"/>
      <c r="U382" s="73"/>
      <c r="V382" s="73"/>
      <c r="W382" s="73"/>
      <c r="X382" s="73"/>
      <c r="Y382" s="73"/>
      <c r="Z382" s="73"/>
      <c r="AA382" s="73"/>
      <c r="AB382" s="73"/>
      <c r="AC382" s="73"/>
      <c r="AD382" s="71"/>
      <c r="AE382" s="71"/>
      <c r="AF382" s="71">
        <v>-242549.94</v>
      </c>
      <c r="AG382" s="71">
        <v>-242549.94</v>
      </c>
      <c r="AH382" s="379"/>
      <c r="AI382" s="379"/>
      <c r="AJ382" s="379"/>
      <c r="AK382" s="379"/>
      <c r="AL382" s="379"/>
      <c r="AM382" s="379"/>
      <c r="AN382" s="379"/>
      <c r="AO382" s="379"/>
    </row>
    <row r="383" spans="2:56" outlineLevel="1" x14ac:dyDescent="0.45">
      <c r="B383" s="102" t="s">
        <v>2051</v>
      </c>
      <c r="R383" s="73"/>
      <c r="S383" s="73"/>
      <c r="T383" s="73"/>
      <c r="U383" s="73"/>
      <c r="V383" s="73"/>
      <c r="W383" s="73"/>
      <c r="X383" s="73"/>
      <c r="Y383" s="73"/>
      <c r="Z383" s="73"/>
      <c r="AA383" s="73"/>
      <c r="AB383" s="73"/>
      <c r="AC383" s="73"/>
      <c r="AD383" s="71"/>
      <c r="AE383" s="71"/>
      <c r="AF383" s="71"/>
      <c r="AG383" s="71">
        <v>-333041.13</v>
      </c>
      <c r="AH383" s="379"/>
      <c r="AI383" s="379"/>
      <c r="AJ383" s="379"/>
      <c r="AK383" s="379"/>
      <c r="AL383" s="379"/>
      <c r="AM383" s="379"/>
      <c r="AN383" s="379"/>
      <c r="AO383" s="379"/>
    </row>
    <row r="384" spans="2:56" outlineLevel="1" x14ac:dyDescent="0.45">
      <c r="B384" s="53" t="s">
        <v>2052</v>
      </c>
      <c r="C384" s="310"/>
      <c r="D384" s="339"/>
      <c r="E384" s="311"/>
      <c r="F384" s="312"/>
      <c r="G384" s="312"/>
      <c r="H384" s="312"/>
      <c r="I384" s="312"/>
      <c r="J384" s="312"/>
      <c r="K384" s="312"/>
      <c r="L384" s="312"/>
      <c r="M384" s="312"/>
      <c r="N384" s="312"/>
      <c r="O384" s="312"/>
      <c r="P384" s="312"/>
      <c r="Q384" s="312"/>
      <c r="R384" s="51" t="e">
        <f>#REF!+R383+R378+R373+R372+R365+R364+R363</f>
        <v>#REF!</v>
      </c>
      <c r="S384" s="51" t="e">
        <f>#REF!+S383+S378+S373+S372+S365+S364+S363</f>
        <v>#REF!</v>
      </c>
      <c r="T384" s="51" t="e">
        <f>#REF!+T383+T378+T373+T372+T365+T364+T363</f>
        <v>#REF!</v>
      </c>
      <c r="U384" s="51" t="e">
        <f>#REF!+U383+U378+U373+U372+U365+U364+U363</f>
        <v>#REF!</v>
      </c>
      <c r="V384" s="51" t="e">
        <f>#REF!+V383+V378+V373+V372+V365+V364+V363</f>
        <v>#REF!</v>
      </c>
      <c r="W384" s="51" t="e">
        <f>#REF!+W383+W378+W373+W372+W365+W364+W363</f>
        <v>#REF!</v>
      </c>
      <c r="X384" s="51" t="e">
        <f>#REF!+X383+X378+X373+X372+X365+X364+X363</f>
        <v>#REF!</v>
      </c>
      <c r="Y384" s="51" t="e">
        <f>#REF!+Y383+Y378+Y373+Y372+Y365+Y364+Y363</f>
        <v>#REF!</v>
      </c>
      <c r="Z384" s="51" t="e">
        <f>#REF!+Z383+Z378+Z373+Z372+Z365+Z364+Z363</f>
        <v>#REF!</v>
      </c>
      <c r="AA384" s="51" t="e">
        <f>#REF!+AA383+AA378+AA373+AA372+AA365+AA364+AA363</f>
        <v>#REF!</v>
      </c>
      <c r="AB384" s="51" t="e">
        <f>#REF!+AB383+AB378+AB373+AB372+AB365+AB364+AB363</f>
        <v>#REF!</v>
      </c>
      <c r="AC384" s="51" t="e">
        <f>#REF!+AC383+AC378+AC373+AC372+AC365+AC364+AC363</f>
        <v>#REF!</v>
      </c>
      <c r="AD384" s="98">
        <f>AD372+AD366+AD377+AD369+AD374+AD379+AD370+AD373</f>
        <v>-1141899.57</v>
      </c>
      <c r="AE384" s="98">
        <f>AE372+AE366+AE377+AE369+AE374+AE379+AE370+AE373</f>
        <v>-1141899.57</v>
      </c>
      <c r="AF384" s="98">
        <f>AF372+AF366+AF377+AF369+AF374+AF379+AF370+AF373+AF378+AF368</f>
        <v>-1413581.2400000002</v>
      </c>
      <c r="AG384" s="51">
        <f>AG366+AG368+AG369+AG370+AG372+AG373+AG374+AG377+AG378+AG379</f>
        <v>-1406899</v>
      </c>
      <c r="AH384" s="51"/>
      <c r="AI384" s="51"/>
      <c r="AJ384" s="51"/>
      <c r="AK384" s="51"/>
      <c r="AL384" s="51"/>
      <c r="AM384" s="51"/>
      <c r="AN384" s="51"/>
      <c r="AO384" s="51"/>
      <c r="BC384" s="278"/>
      <c r="BD384" s="505"/>
    </row>
    <row r="385" spans="2:56" outlineLevel="1" x14ac:dyDescent="0.45">
      <c r="B385" s="53" t="s">
        <v>2053</v>
      </c>
      <c r="C385" s="310"/>
      <c r="D385" s="339"/>
      <c r="E385" s="311"/>
      <c r="F385" s="312"/>
      <c r="G385" s="312"/>
      <c r="H385" s="312"/>
      <c r="I385" s="312"/>
      <c r="J385" s="312"/>
      <c r="K385" s="312"/>
      <c r="L385" s="312"/>
      <c r="M385" s="312"/>
      <c r="N385" s="312"/>
      <c r="O385" s="312"/>
      <c r="P385" s="312"/>
      <c r="Q385" s="312"/>
      <c r="R385" s="51"/>
      <c r="S385" s="51"/>
      <c r="T385" s="51"/>
      <c r="U385" s="51"/>
      <c r="V385" s="51"/>
      <c r="W385" s="51"/>
      <c r="X385" s="51"/>
      <c r="Y385" s="51"/>
      <c r="Z385" s="51"/>
      <c r="AA385" s="51"/>
      <c r="AB385" s="51"/>
      <c r="AC385" s="51"/>
      <c r="AD385" s="51">
        <f>AD371+AD375+AD376+AD381</f>
        <v>-646838.93000000005</v>
      </c>
      <c r="AE385" s="51">
        <f>AE371+AE375+AE376+AE381</f>
        <v>-646838.61</v>
      </c>
      <c r="AF385" s="51">
        <f>AF371+AF375+AF376+AF381</f>
        <v>-646838.61</v>
      </c>
      <c r="AG385" s="51">
        <f>AG371+AG375+AG376+AG381</f>
        <v>-703076.91</v>
      </c>
      <c r="AH385" s="535"/>
      <c r="AI385" s="535"/>
      <c r="AJ385" s="535"/>
      <c r="AK385" s="535"/>
      <c r="AL385" s="535"/>
      <c r="AM385" s="535"/>
      <c r="AN385" s="535"/>
      <c r="AO385" s="535"/>
      <c r="BC385" s="278"/>
      <c r="BD385" s="505"/>
    </row>
    <row r="386" spans="2:56" outlineLevel="1" x14ac:dyDescent="0.45">
      <c r="B386" s="53" t="s">
        <v>2052</v>
      </c>
      <c r="C386" s="310"/>
      <c r="D386" s="339"/>
      <c r="E386" s="311"/>
      <c r="F386" s="312"/>
      <c r="G386" s="312"/>
      <c r="H386" s="312"/>
      <c r="I386" s="312"/>
      <c r="J386" s="312"/>
      <c r="K386" s="312"/>
      <c r="L386" s="312"/>
      <c r="M386" s="312"/>
      <c r="N386" s="312"/>
      <c r="O386" s="312"/>
      <c r="P386" s="312"/>
      <c r="Q386" s="312"/>
      <c r="R386" s="51"/>
      <c r="S386" s="51"/>
      <c r="T386" s="51"/>
      <c r="U386" s="51"/>
      <c r="V386" s="51"/>
      <c r="W386" s="51"/>
      <c r="X386" s="51"/>
      <c r="Y386" s="51"/>
      <c r="Z386" s="51"/>
      <c r="AA386" s="51"/>
      <c r="AB386" s="51"/>
      <c r="AC386" s="51"/>
      <c r="AD386" s="51">
        <f>AD364-AD384-AD385</f>
        <v>-726109.19000000029</v>
      </c>
      <c r="AE386" s="51">
        <f>AE364-AE384-AE385</f>
        <v>-726109.19000000006</v>
      </c>
      <c r="AF386" s="51">
        <f>AF364-AF384-AF385</f>
        <v>-757963.35999999975</v>
      </c>
      <c r="AG386" s="51">
        <f>AG365+AG367+AG382+AG383</f>
        <v>-669445.81000000006</v>
      </c>
      <c r="AH386" s="535"/>
      <c r="AI386" s="535"/>
      <c r="AJ386" s="535"/>
      <c r="AK386" s="535"/>
      <c r="AL386" s="535"/>
      <c r="AM386" s="535"/>
      <c r="AN386" s="535"/>
      <c r="AO386" s="535"/>
      <c r="BC386" s="278"/>
      <c r="BD386" s="505"/>
    </row>
    <row r="387" spans="2:56" outlineLevel="1" x14ac:dyDescent="0.45"/>
  </sheetData>
  <conditionalFormatting sqref="D2:Q2">
    <cfRule type="expression" dxfId="82" priority="3">
      <formula>D2="Q"</formula>
    </cfRule>
    <cfRule type="expression" dxfId="81" priority="4">
      <formula>D2="R"</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B313-6185-4C3A-A25F-C511DEC9DA81}">
  <sheetPr codeName="Sheet8">
    <tabColor theme="7" tint="0.79998168889431442"/>
  </sheetPr>
  <dimension ref="C1:AI85"/>
  <sheetViews>
    <sheetView topLeftCell="A14" workbookViewId="0">
      <selection activeCell="I22" sqref="I22"/>
    </sheetView>
    <sheetView topLeftCell="A2" zoomScale="70" zoomScaleNormal="70" workbookViewId="1">
      <selection activeCell="I43" sqref="I43"/>
    </sheetView>
  </sheetViews>
  <sheetFormatPr baseColWidth="10" defaultColWidth="8.453125" defaultRowHeight="15" customHeight="1" x14ac:dyDescent="0.35"/>
  <cols>
    <col min="1" max="1" width="7.453125" style="6" bestFit="1" customWidth="1"/>
    <col min="2" max="2" width="1.453125" style="6" customWidth="1"/>
    <col min="3" max="3" width="40.54296875" style="6" bestFit="1" customWidth="1"/>
    <col min="4" max="4" width="15.54296875" style="6" bestFit="1" customWidth="1"/>
    <col min="5" max="5" width="15.453125" style="6" customWidth="1"/>
    <col min="6" max="7" width="20.1796875" style="6" bestFit="1" customWidth="1"/>
    <col min="8" max="8" width="13.81640625" style="6" bestFit="1" customWidth="1"/>
    <col min="9" max="9" width="20.453125" style="6" customWidth="1"/>
    <col min="10" max="10" width="15.453125" style="6" customWidth="1"/>
    <col min="11" max="11" width="21.54296875" style="6" bestFit="1" customWidth="1"/>
    <col min="12" max="12" width="16.54296875" style="6" customWidth="1"/>
    <col min="13" max="15" width="15.453125" style="6" customWidth="1"/>
    <col min="16" max="16" width="14.54296875" style="6" customWidth="1"/>
    <col min="17" max="17" width="18.453125" style="6" customWidth="1"/>
    <col min="18" max="18" width="17.453125" style="6" bestFit="1" customWidth="1"/>
    <col min="19" max="19" width="15.54296875" style="6" bestFit="1" customWidth="1"/>
    <col min="20" max="20" width="14.54296875" style="6" bestFit="1" customWidth="1"/>
    <col min="21" max="22" width="11.453125" style="6" customWidth="1"/>
    <col min="23" max="23" width="17" style="6" bestFit="1" customWidth="1"/>
    <col min="24" max="24" width="13" style="6" bestFit="1" customWidth="1"/>
    <col min="25" max="25" width="10.1796875" style="6" customWidth="1"/>
    <col min="26" max="26" width="13.54296875" style="6" bestFit="1" customWidth="1"/>
    <col min="27" max="27" width="12.81640625" style="6" bestFit="1" customWidth="1"/>
    <col min="28" max="30" width="11.453125" style="6" bestFit="1" customWidth="1"/>
    <col min="31" max="32" width="8.453125" style="6"/>
    <col min="33" max="33" width="13.1796875" style="6" bestFit="1" customWidth="1"/>
    <col min="34" max="34" width="12" style="6" bestFit="1" customWidth="1"/>
    <col min="35" max="35" width="10.453125" style="6" bestFit="1" customWidth="1"/>
    <col min="36" max="37" width="8.453125" style="6"/>
    <col min="38" max="38" width="12.54296875" style="6" customWidth="1"/>
    <col min="39" max="16384" width="8.453125" style="6"/>
  </cols>
  <sheetData>
    <row r="1" spans="3:35" ht="15" customHeight="1" thickBot="1" x14ac:dyDescent="0.4">
      <c r="C1" s="25" t="s">
        <v>863</v>
      </c>
      <c r="D1" s="26" t="s">
        <v>856</v>
      </c>
      <c r="E1" s="25"/>
      <c r="F1" s="25"/>
      <c r="G1" s="25"/>
      <c r="H1" s="25"/>
      <c r="I1" s="25"/>
      <c r="J1" s="25"/>
      <c r="K1" s="25"/>
      <c r="L1" s="25"/>
      <c r="M1" s="25"/>
      <c r="N1" s="25"/>
      <c r="O1" s="25"/>
      <c r="P1" s="25"/>
      <c r="Q1" s="25"/>
      <c r="R1" s="25"/>
      <c r="S1" s="25"/>
      <c r="T1" s="25"/>
    </row>
    <row r="2" spans="3:35" ht="15" customHeight="1" thickBot="1" x14ac:dyDescent="0.4">
      <c r="C2" s="25" t="s">
        <v>857</v>
      </c>
      <c r="D2" s="116">
        <f>+Scenarios!$F$7</f>
        <v>46142</v>
      </c>
      <c r="E2" s="25"/>
      <c r="F2" s="215">
        <f>+YEAR(D2)</f>
        <v>2026</v>
      </c>
      <c r="G2" s="215" t="s">
        <v>362</v>
      </c>
      <c r="H2" s="25"/>
      <c r="I2" s="25"/>
      <c r="J2" s="25"/>
      <c r="K2" s="25"/>
      <c r="L2" s="25"/>
      <c r="M2" s="25"/>
      <c r="N2" s="25"/>
      <c r="O2" s="25"/>
      <c r="P2" s="25"/>
      <c r="Q2" s="25"/>
      <c r="R2" s="25"/>
      <c r="S2" s="25"/>
      <c r="T2" s="25"/>
    </row>
    <row r="4" spans="3:35" ht="15" customHeight="1" x14ac:dyDescent="0.35">
      <c r="C4" s="112" t="s">
        <v>864</v>
      </c>
      <c r="D4" s="115"/>
      <c r="E4" s="115"/>
      <c r="F4" s="115"/>
      <c r="G4" s="115"/>
      <c r="H4" s="115"/>
      <c r="I4" s="115"/>
      <c r="J4" s="115"/>
      <c r="K4" s="115"/>
      <c r="L4" s="115"/>
      <c r="M4" s="115"/>
      <c r="N4" s="115"/>
      <c r="O4" s="115"/>
      <c r="P4" s="115"/>
      <c r="Q4" s="115"/>
      <c r="R4" s="115"/>
      <c r="S4" s="115"/>
      <c r="T4" s="115"/>
      <c r="AI4" s="6" t="s">
        <v>31</v>
      </c>
    </row>
    <row r="5" spans="3:35" ht="9" customHeight="1" thickBot="1" x14ac:dyDescent="0.4">
      <c r="I5" s="240"/>
      <c r="J5" s="234"/>
      <c r="K5" s="234"/>
    </row>
    <row r="6" spans="3:35" ht="15" hidden="1" customHeight="1" thickBot="1" x14ac:dyDescent="0.4">
      <c r="I6" s="240"/>
      <c r="J6" s="234"/>
    </row>
    <row r="7" spans="3:35" ht="28.5" customHeight="1" x14ac:dyDescent="0.35">
      <c r="C7" s="347"/>
      <c r="D7" s="348">
        <f>+EOMONTH(F7,-12)</f>
        <v>45777</v>
      </c>
      <c r="E7" s="348">
        <f>+EOMONTH(F7,-1)</f>
        <v>46112</v>
      </c>
      <c r="F7" s="349">
        <f>+D2</f>
        <v>46142</v>
      </c>
      <c r="G7" s="350" t="s">
        <v>861</v>
      </c>
      <c r="I7" s="349" t="s">
        <v>942</v>
      </c>
      <c r="J7" s="350" t="s">
        <v>943</v>
      </c>
      <c r="K7" s="435"/>
      <c r="L7" s="351" t="s">
        <v>865</v>
      </c>
      <c r="M7" s="351" t="s">
        <v>860</v>
      </c>
      <c r="N7" s="360" t="s">
        <v>859</v>
      </c>
      <c r="O7" s="351" t="s">
        <v>866</v>
      </c>
      <c r="P7" s="343"/>
      <c r="Q7" s="351" t="s">
        <v>865</v>
      </c>
      <c r="R7" s="351" t="s">
        <v>860</v>
      </c>
      <c r="S7" s="360" t="s">
        <v>859</v>
      </c>
      <c r="T7" s="351" t="s">
        <v>866</v>
      </c>
    </row>
    <row r="8" spans="3:35" ht="15" customHeight="1" x14ac:dyDescent="0.35">
      <c r="C8" s="353" t="s">
        <v>829</v>
      </c>
      <c r="D8" s="201">
        <f>SUMIFS('VCN Board View (Details) Nuevo'!$D$155:$AO$155,'VCN Board View (Details) Nuevo'!$D$7:$AO$7,D$7)+SUMIFS('VCN Board View (Details) Nuevo'!$D$156:$AO$156,'VCN Board View (Details) Nuevo'!$D$7:$AO$7,D$7)</f>
        <v>3356309</v>
      </c>
      <c r="E8" s="201">
        <f>SUMIFS('VCN Board View (Details) Nuevo'!$D$155:$AO$155,'VCN Board View (Details) Nuevo'!$D$7:$AO$7,E$7)+SUMIFS('VCN Board View (Details) Nuevo'!$D$156:$AO$156,'VCN Board View (Details) Nuevo'!$D$7:$AO$7,E$7)</f>
        <v>7096272.1499999994</v>
      </c>
      <c r="F8" s="344">
        <f>SUMIFS('VCN Board View (Details) Nuevo'!$D$155:$AO$155,'VCN Board View (Details) Nuevo'!$D$7:$AO$7,F$7)+SUMIFS('VCN Board View (Details) Nuevo'!$D$156:$AO$156,'VCN Board View (Details) Nuevo'!$D$7:$AO$7,F$7)</f>
        <v>7232648.8600000003</v>
      </c>
      <c r="G8" s="201">
        <f>'VCN Board View (Details) Nuevo'!BD155+'VCN Board View (Details) Nuevo'!BD156</f>
        <v>26446041.009999998</v>
      </c>
      <c r="H8" s="552">
        <f>F8-E8</f>
        <v>136376.71000000089</v>
      </c>
      <c r="I8" s="344">
        <f>SUMIFS('VCN Board View (Budget) '!AD16:AO16,'VCN Board View (Budget) '!$AD$7:$AO$7,$F$7)</f>
        <v>7794717.2129783258</v>
      </c>
      <c r="J8" s="201">
        <f>'VCN Board View (Budget) '!BD16</f>
        <v>26460129.914564781</v>
      </c>
      <c r="K8" s="435"/>
      <c r="L8" s="201">
        <f t="shared" ref="L8:L14" si="0">+F8-D8</f>
        <v>3876339.8600000003</v>
      </c>
      <c r="M8" s="202">
        <f t="shared" ref="M8:M14" si="1">+F8-E8</f>
        <v>136376.71000000089</v>
      </c>
      <c r="N8" s="201">
        <f t="shared" ref="N8:N14" si="2">F8-I8</f>
        <v>-562068.35297832545</v>
      </c>
      <c r="O8" s="201">
        <f t="shared" ref="O8:O14" si="3">+G8-J8</f>
        <v>-14088.904564782977</v>
      </c>
      <c r="Q8" s="361">
        <f t="shared" ref="Q8:R14" si="4">+IFERROR(L8/ABS(D8),"n/m")</f>
        <v>1.1549412941418684</v>
      </c>
      <c r="R8" s="362">
        <f t="shared" si="4"/>
        <v>1.9218077762138942E-2</v>
      </c>
      <c r="S8" s="361">
        <f>+IFERROR(N8/ABS(I8),"n/m")</f>
        <v>-7.2108883185970224E-2</v>
      </c>
      <c r="T8" s="361">
        <f t="shared" ref="T8:T14" si="5">+IFERROR(O8/ABS(J8),"n/m")</f>
        <v>-5.3245787568971254E-4</v>
      </c>
    </row>
    <row r="9" spans="3:35" ht="15" customHeight="1" x14ac:dyDescent="0.35">
      <c r="C9" s="353" t="s">
        <v>1034</v>
      </c>
      <c r="D9" s="201">
        <f>SUMIFS('VCN Board View (Details) Nuevo'!$D$157:$AO$157,'VCN Board View (Details) Nuevo'!$D$7:$AO$7,D$7)</f>
        <v>2446127.0999999959</v>
      </c>
      <c r="E9" s="201">
        <f>SUMIFS('VCN Board View (Details) Nuevo'!$D$157:$AO$157,'VCN Board View (Details) Nuevo'!$D$7:$AO$7,E$7)</f>
        <v>5262837.3899999997</v>
      </c>
      <c r="F9" s="344">
        <f>SUMIFS('VCN Board View (Details) Nuevo'!$D$157:$AO$157,'VCN Board View (Details) Nuevo'!$D$7:$AO$7,F$7)</f>
        <v>5615041.540000001</v>
      </c>
      <c r="G9" s="201">
        <f>'VCN Board View (Details) Nuevo'!BD157</f>
        <v>19196029.050000001</v>
      </c>
      <c r="H9" s="552">
        <f t="shared" ref="H9:H42" si="6">F9-E9</f>
        <v>352204.1500000013</v>
      </c>
      <c r="I9" s="344">
        <f>SUMIFS('VCN Board View (Budget) '!AD17:AO17,'VCN Board View (Budget) '!$AD$7:$AO$7,$F$7)</f>
        <v>5537485.9479048196</v>
      </c>
      <c r="J9" s="425">
        <f>'VCN Board View (Budget) '!BD17</f>
        <v>19761707.364573836</v>
      </c>
      <c r="K9" s="436"/>
      <c r="L9" s="201">
        <f t="shared" si="0"/>
        <v>3168914.4400000051</v>
      </c>
      <c r="M9" s="202">
        <f t="shared" si="1"/>
        <v>352204.1500000013</v>
      </c>
      <c r="N9" s="201">
        <f t="shared" si="2"/>
        <v>77555.592095181346</v>
      </c>
      <c r="O9" s="201">
        <f t="shared" si="3"/>
        <v>-565678.31457383558</v>
      </c>
      <c r="Q9" s="361">
        <f t="shared" si="4"/>
        <v>1.2954823320505342</v>
      </c>
      <c r="R9" s="362">
        <f t="shared" si="4"/>
        <v>6.6922863828023635E-2</v>
      </c>
      <c r="S9" s="361">
        <f t="shared" ref="S9:S14" si="7">+IFERROR(N9/ABS(I9),"n/m")</f>
        <v>1.4005560072712333E-2</v>
      </c>
      <c r="T9" s="361">
        <f t="shared" si="5"/>
        <v>-2.8624971726274446E-2</v>
      </c>
    </row>
    <row r="10" spans="3:35" ht="15" customHeight="1" x14ac:dyDescent="0.35">
      <c r="C10" s="353" t="s">
        <v>847</v>
      </c>
      <c r="D10" s="201">
        <f>SUMIFS('VCN Board View (Details) Nuevo'!$D$159:$AO$159,'VCN Board View (Details) Nuevo'!$D$7:$AO$7,D$7)</f>
        <v>0</v>
      </c>
      <c r="E10" s="201">
        <f>SUMIFS('VCN Board View (Details) Nuevo'!$D$159:$AO$159,'VCN Board View (Details) Nuevo'!$D$7:$AO$7,E$7)</f>
        <v>376546.54999999993</v>
      </c>
      <c r="F10" s="344">
        <f>SUMIFS('VCN Board View (Details) Nuevo'!$D$159:$AO$159,'VCN Board View (Details) Nuevo'!$D$7:$AO$7,F$7)</f>
        <v>316710.33999999997</v>
      </c>
      <c r="G10" s="201">
        <f>'VCN Board View (Details) Nuevo'!BD159</f>
        <v>1155647.4099999999</v>
      </c>
      <c r="H10" s="552">
        <f t="shared" si="6"/>
        <v>-59836.209999999963</v>
      </c>
      <c r="I10" s="344">
        <f>SUMIFS('VCN Board View (Budget) '!AD19:AO19,'VCN Board View (Budget) '!$AD$7:$AO$7,$F$7)</f>
        <v>302850.70912490325</v>
      </c>
      <c r="J10" s="425">
        <f>'VCN Board View (Budget) '!BD19</f>
        <v>1081609.6754460828</v>
      </c>
      <c r="K10" s="436"/>
      <c r="L10" s="201">
        <f t="shared" si="0"/>
        <v>316710.33999999997</v>
      </c>
      <c r="M10" s="202">
        <f t="shared" si="1"/>
        <v>-59836.209999999963</v>
      </c>
      <c r="N10" s="201">
        <f t="shared" si="2"/>
        <v>13859.630875096715</v>
      </c>
      <c r="O10" s="201">
        <f t="shared" si="3"/>
        <v>74037.734553917078</v>
      </c>
      <c r="Q10" s="361" t="str">
        <f t="shared" si="4"/>
        <v>n/m</v>
      </c>
      <c r="R10" s="362">
        <f t="shared" si="4"/>
        <v>-0.15890786942544016</v>
      </c>
      <c r="S10" s="361">
        <f t="shared" si="7"/>
        <v>4.5763904318218564E-2</v>
      </c>
      <c r="T10" s="361">
        <f t="shared" si="5"/>
        <v>6.8451435147695097E-2</v>
      </c>
    </row>
    <row r="11" spans="3:35" ht="15" customHeight="1" x14ac:dyDescent="0.35">
      <c r="C11" s="353" t="s">
        <v>1035</v>
      </c>
      <c r="D11" s="201">
        <f>SUMIFS('VCN Board View (Details) Nuevo'!$D$158:$AO$158,'VCN Board View (Details) Nuevo'!$D$7:$AO$7,D$7)</f>
        <v>0</v>
      </c>
      <c r="E11" s="201">
        <f>SUMIFS('VCN Board View (Details) Nuevo'!$D$158:$AO$158,'VCN Board View (Details) Nuevo'!$D$7:$AO$7,E$7)</f>
        <v>278042.82000000007</v>
      </c>
      <c r="F11" s="344">
        <f>SUMIFS('VCN Board View (Details) Nuevo'!$D$158:$AO$158,'VCN Board View (Details) Nuevo'!$D$7:$AO$7,F$7)</f>
        <v>388136.71999999986</v>
      </c>
      <c r="G11" s="201">
        <f>'VCN Board View (Details) Nuevo'!BD158</f>
        <v>1102580.3999999999</v>
      </c>
      <c r="H11" s="552">
        <f t="shared" si="6"/>
        <v>110093.89999999979</v>
      </c>
      <c r="I11" s="344">
        <f>SUMIFS('VCN Board View (Budget) '!AD18:AO18,'VCN Board View (Budget) '!$AD$7:$AO$7,$F$7)</f>
        <v>340773.40793710912</v>
      </c>
      <c r="J11" s="425">
        <f>'VCN Board View (Budget) '!BD18</f>
        <v>1175642.5040839179</v>
      </c>
      <c r="L11" s="201">
        <f t="shared" si="0"/>
        <v>388136.71999999986</v>
      </c>
      <c r="M11" s="202">
        <f t="shared" si="1"/>
        <v>110093.89999999979</v>
      </c>
      <c r="N11" s="201">
        <f t="shared" si="2"/>
        <v>47363.312062890735</v>
      </c>
      <c r="O11" s="201">
        <f t="shared" si="3"/>
        <v>-73062.104083918035</v>
      </c>
      <c r="Q11" s="361" t="str">
        <f t="shared" si="4"/>
        <v>n/m</v>
      </c>
      <c r="R11" s="362">
        <f t="shared" si="4"/>
        <v>0.39596023375104511</v>
      </c>
      <c r="S11" s="361">
        <f t="shared" si="7"/>
        <v>0.13898769962599838</v>
      </c>
      <c r="T11" s="361">
        <f t="shared" si="5"/>
        <v>-6.2146531645561214E-2</v>
      </c>
    </row>
    <row r="12" spans="3:35" ht="15" customHeight="1" x14ac:dyDescent="0.35">
      <c r="C12" s="353" t="s">
        <v>450</v>
      </c>
      <c r="D12" s="201">
        <f>SUMIFS('VCN Board View (Details) Nuevo'!$D$160:$AO$160,'VCN Board View (Details) Nuevo'!$D$7:$AO$7,D$7)</f>
        <v>1001267.8999999999</v>
      </c>
      <c r="E12" s="201">
        <f>SUMIFS('VCN Board View (Details) Nuevo'!$D$160:$AO$160,'VCN Board View (Details) Nuevo'!$D$7:$AO$7,E$7)</f>
        <v>1048437.9099999999</v>
      </c>
      <c r="F12" s="344">
        <f>SUMIFS('VCN Board View (Details) Nuevo'!$D$160:$AO$160,'VCN Board View (Details) Nuevo'!$D$7:$AO$7,F$7)</f>
        <v>1048437.9100000001</v>
      </c>
      <c r="G12" s="201">
        <f>'VCN Board View (Details) Nuevo'!BD160</f>
        <v>4193751.64</v>
      </c>
      <c r="H12" s="552">
        <f t="shared" si="6"/>
        <v>0</v>
      </c>
      <c r="I12" s="344">
        <f>SUMIFS('VCN Board View (Budget) '!AD20:AO20,'VCN Board View (Budget) '!$AD$7:$AO$7,$F$7)</f>
        <v>1084226.5100000002</v>
      </c>
      <c r="J12" s="425">
        <f>'VCN Board View (Budget) '!BD20</f>
        <v>4336906.040000001</v>
      </c>
      <c r="L12" s="201">
        <f t="shared" si="0"/>
        <v>47170.010000000242</v>
      </c>
      <c r="M12" s="202">
        <f t="shared" si="1"/>
        <v>0</v>
      </c>
      <c r="N12" s="201">
        <f t="shared" si="2"/>
        <v>-35788.600000000093</v>
      </c>
      <c r="O12" s="201">
        <f t="shared" si="3"/>
        <v>-143154.40000000084</v>
      </c>
      <c r="Q12" s="361">
        <f t="shared" si="4"/>
        <v>4.7110278877411579E-2</v>
      </c>
      <c r="R12" s="362">
        <f t="shared" si="4"/>
        <v>0</v>
      </c>
      <c r="S12" s="361">
        <f t="shared" si="7"/>
        <v>-3.3008416294857137E-2</v>
      </c>
      <c r="T12" s="361">
        <f t="shared" si="5"/>
        <v>-3.3008416294857242E-2</v>
      </c>
    </row>
    <row r="13" spans="3:35" ht="15" customHeight="1" x14ac:dyDescent="0.35">
      <c r="C13" s="353" t="s">
        <v>1036</v>
      </c>
      <c r="D13" s="201">
        <f>SUMIFS('VCN Board View (Details) Nuevo'!$D$161:$AO$161,'VCN Board View (Details) Nuevo'!$D$7:$AO$7,D$7)+SUMIFS('VCN Board View (Details) Nuevo'!$D$162:$AO$162,'VCN Board View (Details) Nuevo'!$D$7:$AO$7,D$7)</f>
        <v>2829059.3200000003</v>
      </c>
      <c r="E13" s="201">
        <f>SUMIFS('VCN Board View (Details) Nuevo'!$D$161:$AO$161,'VCN Board View (Details) Nuevo'!$D$7:$AO$7,E$7)+SUMIFS('VCN Board View (Details) Nuevo'!$D$162:$AO$162,'VCN Board View (Details) Nuevo'!$D$7:$AO$7,E$7)</f>
        <v>2884021.84</v>
      </c>
      <c r="F13" s="344">
        <f>SUMIFS('VCN Board View (Details) Nuevo'!$D$161:$AO$161,'VCN Board View (Details) Nuevo'!$D$7:$AO$7,F$7)+SUMIFS('VCN Board View (Details) Nuevo'!$D$162:$AO$162,'VCN Board View (Details) Nuevo'!$D$7:$AO$7,F$7)</f>
        <v>2050701.9500000002</v>
      </c>
      <c r="G13" s="201">
        <f>'VCN Board View (Details) Nuevo'!BD161+'VCN Board View (Details) Nuevo'!BD162</f>
        <v>10576261.33</v>
      </c>
      <c r="H13" s="552">
        <f t="shared" si="6"/>
        <v>-833319.88999999966</v>
      </c>
      <c r="I13" s="344">
        <f>SUMIFS('VCN Board View (Budget) '!AD23:AO23,'VCN Board View (Budget) '!$AD$7:$AO$7,$F$7)</f>
        <v>2271013.5329720741</v>
      </c>
      <c r="J13" s="425">
        <f>'VCN Board View (Budget) '!BD23+'VCN Board View (Budget) '!BD22+'VCN Board View (Budget) '!BD21</f>
        <v>9096407.8203290105</v>
      </c>
      <c r="L13" s="201">
        <f t="shared" si="0"/>
        <v>-778357.37000000011</v>
      </c>
      <c r="M13" s="202">
        <f t="shared" si="1"/>
        <v>-833319.88999999966</v>
      </c>
      <c r="N13" s="201">
        <f t="shared" si="2"/>
        <v>-220311.58297207393</v>
      </c>
      <c r="O13" s="201">
        <f t="shared" si="3"/>
        <v>1479853.5096709896</v>
      </c>
      <c r="Q13" s="361">
        <f t="shared" si="4"/>
        <v>-0.27512939177252743</v>
      </c>
      <c r="R13" s="362">
        <f t="shared" si="4"/>
        <v>-0.28894368220179628</v>
      </c>
      <c r="S13" s="361">
        <f t="shared" si="7"/>
        <v>-9.7010246646902318E-2</v>
      </c>
      <c r="T13" s="361">
        <f t="shared" si="5"/>
        <v>0.16268548408348124</v>
      </c>
    </row>
    <row r="14" spans="3:35" ht="15" customHeight="1" x14ac:dyDescent="0.35">
      <c r="C14" s="354" t="s">
        <v>862</v>
      </c>
      <c r="D14" s="364">
        <f>SUM(D8:D13)</f>
        <v>9632763.3199999966</v>
      </c>
      <c r="E14" s="364">
        <f>SUM(E8:E13)</f>
        <v>16946158.66</v>
      </c>
      <c r="F14" s="365">
        <f>SUM(F8:F13)</f>
        <v>16651677.320000004</v>
      </c>
      <c r="G14" s="364">
        <f t="shared" ref="G14" si="8">SUM(G8:G13)</f>
        <v>62670310.839999996</v>
      </c>
      <c r="H14" s="552">
        <f t="shared" si="6"/>
        <v>-294481.33999999613</v>
      </c>
      <c r="I14" s="365">
        <f>SUM(I8:I13)</f>
        <v>17331067.320917234</v>
      </c>
      <c r="J14" s="426">
        <f>SUM(J8:J13)</f>
        <v>61912403.318997629</v>
      </c>
      <c r="K14" s="366"/>
      <c r="L14" s="364">
        <f t="shared" si="0"/>
        <v>7018914.0000000075</v>
      </c>
      <c r="M14" s="367">
        <f t="shared" si="1"/>
        <v>-294481.33999999613</v>
      </c>
      <c r="N14" s="364">
        <f t="shared" si="2"/>
        <v>-679390.0009172298</v>
      </c>
      <c r="O14" s="364">
        <f t="shared" si="3"/>
        <v>757907.52100236714</v>
      </c>
      <c r="P14" s="366"/>
      <c r="Q14" s="368">
        <f t="shared" si="4"/>
        <v>0.72865010452680878</v>
      </c>
      <c r="R14" s="369">
        <f t="shared" si="4"/>
        <v>-1.7377468599718403E-2</v>
      </c>
      <c r="S14" s="368">
        <f t="shared" si="7"/>
        <v>-3.9200701741967131E-2</v>
      </c>
      <c r="T14" s="368">
        <f t="shared" si="5"/>
        <v>1.2241610410394222E-2</v>
      </c>
    </row>
    <row r="15" spans="3:35" ht="15" customHeight="1" x14ac:dyDescent="0.35">
      <c r="C15" s="355"/>
      <c r="D15" s="201"/>
      <c r="E15" s="201"/>
      <c r="F15" s="344"/>
      <c r="G15" s="201"/>
      <c r="H15" s="552">
        <f t="shared" si="6"/>
        <v>0</v>
      </c>
      <c r="I15" s="344"/>
      <c r="J15" s="425"/>
      <c r="Q15" s="363"/>
      <c r="R15" s="363"/>
      <c r="S15" s="363"/>
      <c r="T15" s="363"/>
    </row>
    <row r="16" spans="3:35" ht="15" customHeight="1" x14ac:dyDescent="0.35">
      <c r="C16" s="353" t="s">
        <v>867</v>
      </c>
      <c r="D16" s="201">
        <f>SUMIFS('VCN Board View (Details) Nuevo'!$D$173:$AO$173,'VCN Board View (Details) Nuevo'!$D$7:$AO$7,D$7)</f>
        <v>-5345961.459999999</v>
      </c>
      <c r="E16" s="201">
        <f>SUMIFS('VCN Board View (Details) Nuevo'!$D$173:$AO$173,'VCN Board View (Details) Nuevo'!$D$7:$AO$7,E$7)</f>
        <v>-11589771.66</v>
      </c>
      <c r="F16" s="344">
        <f>SUMIFS('VCN Board View (Details) Nuevo'!$D$173:$AO$173,'VCN Board View (Details) Nuevo'!$D$7:$AO$7,F$7)</f>
        <v>-8853400.4000000022</v>
      </c>
      <c r="G16" s="201">
        <f>'VCN Board View (Details) Nuevo'!BD173</f>
        <v>-35850080.770000003</v>
      </c>
      <c r="H16" s="552">
        <f t="shared" si="6"/>
        <v>2736371.2599999979</v>
      </c>
      <c r="I16" s="344">
        <f>SUMIFS('VCN Board View (Budget) '!AD35:AO35,'VCN Board View (Budget) '!$AD$7:$AO$7,$F$7)</f>
        <v>-9565985.7506822776</v>
      </c>
      <c r="J16" s="425">
        <f>'VCN Board View (Budget) '!BD35</f>
        <v>-34649296.077009365</v>
      </c>
      <c r="L16" s="201">
        <f>+F16-D16</f>
        <v>-3507438.9400000032</v>
      </c>
      <c r="M16" s="202">
        <f>+F16-E16</f>
        <v>2736371.2599999979</v>
      </c>
      <c r="N16" s="201">
        <f>F16-I16</f>
        <v>712585.35068227537</v>
      </c>
      <c r="O16" s="201">
        <f>+G16-J16</f>
        <v>-1200784.6929906383</v>
      </c>
      <c r="Q16" s="361">
        <f t="shared" ref="Q16:R18" si="9">+IFERROR(L16/ABS(D16),"n/m")</f>
        <v>-0.65609132543204007</v>
      </c>
      <c r="R16" s="362">
        <f t="shared" si="9"/>
        <v>0.23610225811817226</v>
      </c>
      <c r="S16" s="361">
        <f>+IFERROR(N16/ABS(I16),"n/m")</f>
        <v>7.4491575594439016E-2</v>
      </c>
      <c r="T16" s="361">
        <f t="shared" ref="T16:T18" si="10">+IFERROR(O16/ABS(J16),"n/m")</f>
        <v>-3.4655384926777416E-2</v>
      </c>
    </row>
    <row r="17" spans="3:20" ht="15" customHeight="1" x14ac:dyDescent="0.35">
      <c r="C17" s="353" t="s">
        <v>491</v>
      </c>
      <c r="D17" s="201">
        <f>SUMIFS('VCN Board View (Details) Nuevo'!$D$181:$AO$181,'VCN Board View (Details) Nuevo'!$D$7:$AO$7,D$7)</f>
        <v>-1897468.1000000006</v>
      </c>
      <c r="E17" s="201">
        <f>SUMIFS('VCN Board View (Details) Nuevo'!$D$181:$AO$181,'VCN Board View (Details) Nuevo'!$D$7:$AO$7,E$7)</f>
        <v>-4377976.4700000007</v>
      </c>
      <c r="F17" s="344">
        <f>SUMIFS('VCN Board View (Details) Nuevo'!$D$181:$AO$181,'VCN Board View (Details) Nuevo'!$D$7:$AO$7,F$7)</f>
        <v>-4065004.17</v>
      </c>
      <c r="G17" s="201">
        <f>'VCN Board View (Details) Nuevo'!BD181</f>
        <v>-15116852.500000002</v>
      </c>
      <c r="H17" s="552">
        <f t="shared" si="6"/>
        <v>312972.30000000075</v>
      </c>
      <c r="I17" s="344">
        <f>SUMIFS('VCN Board View (Budget) '!AD44:AO44,'VCN Board View (Budget) '!$AD$7:$AO$7,$F$7)</f>
        <v>-3707832.4293319997</v>
      </c>
      <c r="J17" s="425">
        <f>'VCN Board View (Budget) '!BD44</f>
        <v>-13475572.757995998</v>
      </c>
      <c r="L17" s="201">
        <f>+F17-D17</f>
        <v>-2167536.0699999994</v>
      </c>
      <c r="M17" s="202">
        <f>+F17-E17</f>
        <v>312972.30000000075</v>
      </c>
      <c r="N17" s="201">
        <f>F17-I17</f>
        <v>-357171.74066800019</v>
      </c>
      <c r="O17" s="201">
        <f>+G17-J17</f>
        <v>-1641279.7420040034</v>
      </c>
      <c r="Q17" s="361">
        <f t="shared" si="9"/>
        <v>-1.1423307037414747</v>
      </c>
      <c r="R17" s="362">
        <f t="shared" si="9"/>
        <v>7.1487889929203005E-2</v>
      </c>
      <c r="S17" s="361">
        <f>+IFERROR(N17/ABS(I17),"n/m")</f>
        <v>-9.632898667223426E-2</v>
      </c>
      <c r="T17" s="361">
        <f t="shared" si="10"/>
        <v>-0.12179665914609214</v>
      </c>
    </row>
    <row r="18" spans="3:20" ht="15" customHeight="1" x14ac:dyDescent="0.35">
      <c r="C18" s="356" t="s">
        <v>1037</v>
      </c>
      <c r="D18" s="370">
        <f>SUM(D16:D17)</f>
        <v>-7243429.5599999996</v>
      </c>
      <c r="E18" s="370">
        <f t="shared" ref="E18:G18" si="11">SUM(E16:E17)</f>
        <v>-15967748.130000001</v>
      </c>
      <c r="F18" s="371">
        <f>SUM(F16:F17)</f>
        <v>-12918404.570000002</v>
      </c>
      <c r="G18" s="370">
        <f t="shared" si="11"/>
        <v>-50966933.270000003</v>
      </c>
      <c r="H18" s="552">
        <f t="shared" si="6"/>
        <v>3049343.5599999987</v>
      </c>
      <c r="I18" s="371">
        <f t="shared" ref="I18:J18" si="12">SUM(I16:I17)</f>
        <v>-13273818.180014277</v>
      </c>
      <c r="J18" s="427">
        <f t="shared" si="12"/>
        <v>-48124868.835005365</v>
      </c>
      <c r="K18" s="366"/>
      <c r="L18" s="370">
        <f>+F18-D18</f>
        <v>-5674975.0100000026</v>
      </c>
      <c r="M18" s="372">
        <f>+F18-E18</f>
        <v>3049343.5599999987</v>
      </c>
      <c r="N18" s="370">
        <f>F18-I18</f>
        <v>355413.61001427472</v>
      </c>
      <c r="O18" s="370">
        <f>+G18-J18</f>
        <v>-2842064.434994638</v>
      </c>
      <c r="P18" s="366"/>
      <c r="Q18" s="373">
        <f t="shared" si="9"/>
        <v>-0.78346520291142352</v>
      </c>
      <c r="R18" s="374">
        <f t="shared" si="9"/>
        <v>0.19096891654189679</v>
      </c>
      <c r="S18" s="373">
        <f>+IFERROR(N18/ABS(I18),"n/m")</f>
        <v>2.6775537015370842E-2</v>
      </c>
      <c r="T18" s="373">
        <f t="shared" si="10"/>
        <v>-5.9056045321153362E-2</v>
      </c>
    </row>
    <row r="19" spans="3:20" ht="15" customHeight="1" x14ac:dyDescent="0.35">
      <c r="C19" s="355"/>
      <c r="D19" s="201"/>
      <c r="E19" s="201"/>
      <c r="F19" s="344"/>
      <c r="G19" s="201"/>
      <c r="H19" s="552">
        <f t="shared" si="6"/>
        <v>0</v>
      </c>
      <c r="I19" s="344"/>
      <c r="J19" s="425"/>
      <c r="Q19" s="363"/>
      <c r="R19" s="363"/>
      <c r="S19" s="363"/>
      <c r="T19" s="363"/>
    </row>
    <row r="20" spans="3:20" ht="15" customHeight="1" x14ac:dyDescent="0.35">
      <c r="C20" s="354" t="s">
        <v>868</v>
      </c>
      <c r="D20" s="364">
        <f>D14+D18</f>
        <v>2389333.759999997</v>
      </c>
      <c r="E20" s="364">
        <f>E14+E18</f>
        <v>978410.52999999933</v>
      </c>
      <c r="F20" s="365">
        <f>F14+F18</f>
        <v>3733272.7500000019</v>
      </c>
      <c r="G20" s="364">
        <f t="shared" ref="G20" si="13">G14+G18</f>
        <v>11703377.569999993</v>
      </c>
      <c r="H20" s="552">
        <f t="shared" si="6"/>
        <v>2754862.2200000025</v>
      </c>
      <c r="I20" s="365">
        <f t="shared" ref="I20:J20" si="14">I14+I18</f>
        <v>4057249.1409029569</v>
      </c>
      <c r="J20" s="426">
        <f t="shared" si="14"/>
        <v>13787534.483992264</v>
      </c>
      <c r="K20" s="366"/>
      <c r="L20" s="364">
        <f>+F20-D20</f>
        <v>1343938.9900000049</v>
      </c>
      <c r="M20" s="367">
        <f>+F20-E20</f>
        <v>2754862.2200000025</v>
      </c>
      <c r="N20" s="364">
        <f>F20-I20</f>
        <v>-323976.39090295509</v>
      </c>
      <c r="O20" s="364">
        <f>+G20-J20</f>
        <v>-2084156.9139922708</v>
      </c>
      <c r="P20" s="366"/>
      <c r="Q20" s="368">
        <f>+IFERROR(L20/ABS(D20),"n/m")</f>
        <v>0.56247436523895544</v>
      </c>
      <c r="R20" s="369">
        <f>+IFERROR(M20/ABS(E20),"n/m")</f>
        <v>2.8156506246922794</v>
      </c>
      <c r="S20" s="368">
        <f>+IFERROR(N20/ABS(I20),"n/m")</f>
        <v>-7.9851243946742909E-2</v>
      </c>
      <c r="T20" s="368">
        <f>+IFERROR(O20/ABS(J20),"n/m")</f>
        <v>-0.15116240807317935</v>
      </c>
    </row>
    <row r="21" spans="3:20" ht="15" customHeight="1" x14ac:dyDescent="0.35">
      <c r="C21" s="357" t="s">
        <v>1038</v>
      </c>
      <c r="D21" s="232">
        <f>D20/D14</f>
        <v>0.24804240285226875</v>
      </c>
      <c r="E21" s="232">
        <f>E20/E14</f>
        <v>5.7736419776917118E-2</v>
      </c>
      <c r="F21" s="345">
        <f>F20/F14</f>
        <v>0.22419799989254183</v>
      </c>
      <c r="G21" s="232">
        <f t="shared" ref="G21" si="15">G20/G14</f>
        <v>0.18674516550395323</v>
      </c>
      <c r="H21" s="552">
        <f t="shared" si="6"/>
        <v>0.1664615801156247</v>
      </c>
      <c r="I21" s="345">
        <f t="shared" ref="I21:J21" si="16">I20/I14</f>
        <v>0.23410267041119717</v>
      </c>
      <c r="J21" s="428">
        <f t="shared" si="16"/>
        <v>0.2226942219146838</v>
      </c>
      <c r="Q21" s="363"/>
      <c r="R21" s="363"/>
      <c r="S21" s="363"/>
      <c r="T21" s="363"/>
    </row>
    <row r="22" spans="3:20" ht="15" customHeight="1" x14ac:dyDescent="0.35">
      <c r="C22" s="354" t="s">
        <v>1039</v>
      </c>
      <c r="D22" s="364">
        <f>SUMIFS('VCN Board View (Details) Nuevo'!$D$183:$AO$183,'VCN Board View (Details) Nuevo'!$D$7:$AO$7,D$7)</f>
        <v>2389333.759999997</v>
      </c>
      <c r="E22" s="364">
        <f>SUMIFS('VCN Board View (Details) Nuevo'!$D$183:$AO$183,'VCN Board View (Details) Nuevo'!$D$7:$AO$7,E$7)</f>
        <v>978410.52999999933</v>
      </c>
      <c r="F22" s="365">
        <f>SUMIFS('VCN Board View (Details) Nuevo'!$D$183:$AO$183,'VCN Board View (Details) Nuevo'!$D$7:$AO$7,F$7)</f>
        <v>3733272.7500000019</v>
      </c>
      <c r="G22" s="364">
        <f>'VCN Board View (Details) Nuevo'!BD183</f>
        <v>11703377.57</v>
      </c>
      <c r="H22" s="552">
        <f t="shared" si="6"/>
        <v>2754862.2200000025</v>
      </c>
      <c r="I22" s="365" t="s">
        <v>2058</v>
      </c>
      <c r="J22" s="426" t="s">
        <v>1095</v>
      </c>
      <c r="K22" s="366"/>
      <c r="L22" s="364">
        <f>+F22-D22</f>
        <v>1343938.9900000049</v>
      </c>
      <c r="M22" s="367">
        <f>+F22-E22</f>
        <v>2754862.2200000025</v>
      </c>
      <c r="N22" s="364" t="e">
        <f>F22-I22</f>
        <v>#VALUE!</v>
      </c>
      <c r="O22" s="364" t="e">
        <f>+G22-J22</f>
        <v>#VALUE!</v>
      </c>
      <c r="P22" s="366"/>
      <c r="Q22" s="368">
        <f>+IFERROR(L22/ABS(D22),"n/m")</f>
        <v>0.56247436523895544</v>
      </c>
      <c r="R22" s="369">
        <f>+IFERROR(M22/ABS(E22),"n/m")</f>
        <v>2.8156506246922794</v>
      </c>
      <c r="S22" s="368" t="str">
        <f>+IFERROR(N22/ABS(I22),"n/m")</f>
        <v>n/m</v>
      </c>
      <c r="T22" s="368" t="str">
        <f>+IFERROR(O22/ABS(J22),"n/m")</f>
        <v>n/m</v>
      </c>
    </row>
    <row r="23" spans="3:20" ht="15" customHeight="1" x14ac:dyDescent="0.35">
      <c r="C23" s="357" t="s">
        <v>1040</v>
      </c>
      <c r="D23" s="232">
        <f>SUMIFS('VCN Board View (Details) Nuevo'!$D$184:$AO$184,'VCN Board View (Details) Nuevo'!$D$7:$AO$7,D$7)</f>
        <v>0.24804240285226875</v>
      </c>
      <c r="E23" s="232">
        <f>SUMIFS('VCN Board View (Details) Nuevo'!$D$184:$AO$184,'VCN Board View (Details) Nuevo'!$D$7:$AO$7,E$7)</f>
        <v>6.6467705593640528E-2</v>
      </c>
      <c r="F23" s="345">
        <f>SUMIFS('VCN Board View (Details) Nuevo'!$D$184:$AO$184,'VCN Board View (Details) Nuevo'!$D$7:$AO$7,F$7)</f>
        <v>0.24792060627065662</v>
      </c>
      <c r="G23" s="232">
        <f>'VCN Board View (Details) Nuevo'!BD184</f>
        <v>0.21544894080697743</v>
      </c>
      <c r="H23" s="552">
        <f t="shared" si="6"/>
        <v>0.18145290067701608</v>
      </c>
      <c r="I23" s="345"/>
      <c r="J23" s="428"/>
      <c r="Q23" s="363"/>
      <c r="R23" s="363"/>
      <c r="S23" s="363"/>
      <c r="T23" s="363"/>
    </row>
    <row r="24" spans="3:20" ht="15" customHeight="1" x14ac:dyDescent="0.35">
      <c r="C24" s="355"/>
      <c r="D24" s="201"/>
      <c r="E24" s="201"/>
      <c r="F24" s="344"/>
      <c r="G24" s="201"/>
      <c r="H24" s="552">
        <f t="shared" si="6"/>
        <v>0</v>
      </c>
      <c r="I24" s="344"/>
      <c r="J24" s="425"/>
      <c r="Q24" s="363"/>
      <c r="R24" s="363"/>
      <c r="S24" s="363"/>
      <c r="T24" s="363"/>
    </row>
    <row r="25" spans="3:20" ht="15" customHeight="1" x14ac:dyDescent="0.35">
      <c r="C25" s="353" t="s">
        <v>1041</v>
      </c>
      <c r="D25" s="201">
        <f>SUMIFS('VCN Board View (Details) Nuevo'!$D$212:$AO$212,'VCN Board View (Details) Nuevo'!$D$7:$AO$7,D$7)</f>
        <v>-1779239.56</v>
      </c>
      <c r="E25" s="201">
        <f>SUMIFS('VCN Board View (Details) Nuevo'!$D$212:$AO$212,'VCN Board View (Details) Nuevo'!$D$7:$AO$7,E$7)</f>
        <v>-5199583.916666666</v>
      </c>
      <c r="F25" s="344">
        <f>SUMIFS('VCN Board View (Details) Nuevo'!$D$212:$AO$212,'VCN Board View (Details) Nuevo'!$D$7:$AO$7,F$7)</f>
        <v>-5589641.4266666668</v>
      </c>
      <c r="G25" s="201">
        <f>'VCN Board View (Details) Nuevo'!BD212</f>
        <v>-18198789.786666665</v>
      </c>
      <c r="H25" s="552">
        <f t="shared" si="6"/>
        <v>-390057.51000000071</v>
      </c>
      <c r="I25" s="344">
        <f>SUMIFS('VCN Board View (Budget) '!AD56:AO56,'VCN Board View (Budget) '!$AD$7:$AO$7,$F$7)</f>
        <v>-5791455.0747679109</v>
      </c>
      <c r="J25" s="425">
        <f>'VCN Board View (Budget) '!BD56</f>
        <v>-20457627.993932068</v>
      </c>
      <c r="L25" s="201">
        <f>+F25-D25</f>
        <v>-3810401.8666666667</v>
      </c>
      <c r="M25" s="202">
        <f>+F25-E25</f>
        <v>-390057.51000000071</v>
      </c>
      <c r="N25" s="201">
        <f>F25-I25</f>
        <v>201813.64810124412</v>
      </c>
      <c r="O25" s="201">
        <f>+G25-J25</f>
        <v>2258838.2072654031</v>
      </c>
      <c r="Q25" s="361">
        <f t="shared" ref="Q25:R27" si="17">+IFERROR(L25/ABS(D25),"n/m")</f>
        <v>-2.141590122168072</v>
      </c>
      <c r="R25" s="362">
        <f t="shared" si="17"/>
        <v>-7.5017062182555869E-2</v>
      </c>
      <c r="S25" s="361">
        <f>+IFERROR(N25/ABS(I25),"n/m")</f>
        <v>3.4846795062004637E-2</v>
      </c>
      <c r="T25" s="361">
        <f t="shared" ref="T25:T27" si="18">+IFERROR(O25/ABS(J25),"n/m")</f>
        <v>0.11041545031200081</v>
      </c>
    </row>
    <row r="26" spans="3:20" ht="15" customHeight="1" x14ac:dyDescent="0.35">
      <c r="C26" s="353" t="s">
        <v>1042</v>
      </c>
      <c r="D26" s="201">
        <f>SUMIFS('VCN Board View (Details) Nuevo'!$D$214:$AO$214,'VCN Board View (Details) Nuevo'!$D$7:$AO$7,D$7)+SUMIFS('VCN Board View (Details) Nuevo'!$D$215:$AO$215,'VCN Board View (Details) Nuevo'!$D$7:$AO$7,D$7)+SUMIFS('VCN Board View (Details) Nuevo'!$D$216:$AO$216,'VCN Board View (Details) Nuevo'!$D$7:$AO$7,D$7)</f>
        <v>-5692211.847702127</v>
      </c>
      <c r="E26" s="201">
        <f>SUMIFS('VCN Board View (Details) Nuevo'!$D$214:$AO$214,'VCN Board View (Details) Nuevo'!$D$7:$AO$7,E$7)+SUMIFS('VCN Board View (Details) Nuevo'!$D$215:$AO$215,'VCN Board View (Details) Nuevo'!$D$7:$AO$7,E$7)+SUMIFS('VCN Board View (Details) Nuevo'!$D$216:$AO$216,'VCN Board View (Details) Nuevo'!$D$7:$AO$7,E$7)</f>
        <v>-9373988.8541033696</v>
      </c>
      <c r="F26" s="344">
        <f>SUMIFS('VCN Board View (Details) Nuevo'!$D$214:$AO$214,'VCN Board View (Details) Nuevo'!$D$7:$AO$7,F$7)+SUMIFS('VCN Board View (Details) Nuevo'!$D$215:$AO$215,'VCN Board View (Details) Nuevo'!$D$7:$AO$7,F$7)+SUMIFS('VCN Board View (Details) Nuevo'!$D$216:$AO$216,'VCN Board View (Details) Nuevo'!$D$7:$AO$7,F$7)</f>
        <v>-9098649.8078201376</v>
      </c>
      <c r="G26" s="201">
        <f>'VCN Board View (Details) Nuevo'!BD214+'VCN Board View (Details) Nuevo'!BD215+'VCN Board View (Details) Nuevo'!BD216</f>
        <v>-36225032.483475313</v>
      </c>
      <c r="H26" s="552">
        <f t="shared" si="6"/>
        <v>275339.04628323205</v>
      </c>
      <c r="I26" s="344">
        <f>SUMIFS('VCN Board View (Budget) '!AD58:AO58,'VCN Board View (Budget) '!$AD$7:$AO$7,$F$7)+SUMIFS('VCN Board View (Budget) '!AD59:AO59,'VCN Board View (Budget) '!$AD$7:$AO$7,$F$7)</f>
        <v>-10714881.281963311</v>
      </c>
      <c r="J26" s="425">
        <f>'VCN Board View (Budget) '!BD58+'VCN Board View (Budget) '!BD59</f>
        <v>-41353211.895847499</v>
      </c>
      <c r="L26" s="201">
        <f>+F26-D26</f>
        <v>-3406437.9601180106</v>
      </c>
      <c r="M26" s="202">
        <f>+F26-E26</f>
        <v>275339.04628323205</v>
      </c>
      <c r="N26" s="201">
        <f>F26-I26</f>
        <v>1616231.4741431735</v>
      </c>
      <c r="O26" s="201">
        <f>+G26-J26</f>
        <v>5128179.4123721868</v>
      </c>
      <c r="Q26" s="361">
        <f t="shared" si="17"/>
        <v>-0.59843836653640115</v>
      </c>
      <c r="R26" s="362">
        <f t="shared" si="17"/>
        <v>2.937266627564904E-2</v>
      </c>
      <c r="S26" s="361">
        <f>+IFERROR(N26/ABS(I26),"n/m")</f>
        <v>0.15083988628635817</v>
      </c>
      <c r="T26" s="361">
        <f t="shared" si="18"/>
        <v>0.12400921663081593</v>
      </c>
    </row>
    <row r="27" spans="3:20" ht="15" customHeight="1" x14ac:dyDescent="0.35">
      <c r="C27" s="356" t="s">
        <v>480</v>
      </c>
      <c r="D27" s="370">
        <f>SUM(D25:D26)</f>
        <v>-7471451.4077021275</v>
      </c>
      <c r="E27" s="370">
        <f t="shared" ref="E27:G27" si="19">SUM(E25:E26)</f>
        <v>-14573572.770770036</v>
      </c>
      <c r="F27" s="371">
        <f>SUM(F25:F26)</f>
        <v>-14688291.234486803</v>
      </c>
      <c r="G27" s="370">
        <f t="shared" si="19"/>
        <v>-54423822.270141974</v>
      </c>
      <c r="H27" s="552">
        <f t="shared" si="6"/>
        <v>-114718.46371676773</v>
      </c>
      <c r="I27" s="371">
        <f t="shared" ref="I27:J27" si="20">SUM(I25:I26)</f>
        <v>-16506336.356731221</v>
      </c>
      <c r="J27" s="427">
        <f t="shared" si="20"/>
        <v>-61810839.889779568</v>
      </c>
      <c r="K27" s="366"/>
      <c r="L27" s="370">
        <f>+F27-D27</f>
        <v>-7216839.8267846759</v>
      </c>
      <c r="M27" s="372">
        <f>+F27-E27</f>
        <v>-114718.46371676773</v>
      </c>
      <c r="N27" s="370">
        <f>F27-I27</f>
        <v>1818045.1222444177</v>
      </c>
      <c r="O27" s="370">
        <f>+G27-J27</f>
        <v>7387017.6196375936</v>
      </c>
      <c r="P27" s="366"/>
      <c r="Q27" s="373">
        <f t="shared" si="17"/>
        <v>-0.96592207229575511</v>
      </c>
      <c r="R27" s="374">
        <f t="shared" si="17"/>
        <v>-7.8716774205743554E-3</v>
      </c>
      <c r="S27" s="373">
        <f>+IFERROR(N27/ABS(I27),"n/m")</f>
        <v>0.1101422558557657</v>
      </c>
      <c r="T27" s="373">
        <f t="shared" si="18"/>
        <v>0.11951006704989035</v>
      </c>
    </row>
    <row r="28" spans="3:20" ht="15" customHeight="1" x14ac:dyDescent="0.35">
      <c r="C28" s="355"/>
      <c r="D28" s="201"/>
      <c r="E28" s="201"/>
      <c r="F28" s="344"/>
      <c r="G28" s="201"/>
      <c r="H28" s="552">
        <f t="shared" si="6"/>
        <v>0</v>
      </c>
      <c r="I28" s="344"/>
      <c r="J28" s="425"/>
      <c r="Q28" s="363"/>
      <c r="R28" s="363"/>
      <c r="S28" s="363"/>
      <c r="T28" s="363"/>
    </row>
    <row r="29" spans="3:20" ht="15" customHeight="1" x14ac:dyDescent="0.35">
      <c r="C29" s="354" t="s">
        <v>812</v>
      </c>
      <c r="D29" s="364">
        <f>D27+D20</f>
        <v>-5082117.6477021305</v>
      </c>
      <c r="E29" s="364">
        <f t="shared" ref="E29:G29" si="21">E27+E20</f>
        <v>-13595162.240770036</v>
      </c>
      <c r="F29" s="365">
        <f t="shared" si="21"/>
        <v>-10955018.484486802</v>
      </c>
      <c r="G29" s="364">
        <f t="shared" si="21"/>
        <v>-42720444.700141981</v>
      </c>
      <c r="H29" s="552">
        <f t="shared" si="6"/>
        <v>2640143.7562832348</v>
      </c>
      <c r="I29" s="365">
        <f>I27+I20</f>
        <v>-12449087.215828264</v>
      </c>
      <c r="J29" s="426">
        <f t="shared" ref="J29" si="22">J27+J20</f>
        <v>-48023305.405787304</v>
      </c>
      <c r="K29" s="366"/>
      <c r="L29" s="364">
        <f>+F29-D29</f>
        <v>-5872900.8367846711</v>
      </c>
      <c r="M29" s="367">
        <f>+F29-E29</f>
        <v>2640143.7562832348</v>
      </c>
      <c r="N29" s="364">
        <f>F29-I29</f>
        <v>1494068.7313414626</v>
      </c>
      <c r="O29" s="364">
        <f>+G29-J29</f>
        <v>5302860.7056453228</v>
      </c>
      <c r="P29" s="366"/>
      <c r="Q29" s="368">
        <f>+IFERROR(L29/ABS(D29),"n/m")</f>
        <v>-1.1556011182543346</v>
      </c>
      <c r="R29" s="369">
        <f>+IFERROR(M29/ABS(E29),"n/m")</f>
        <v>0.19419729676824335</v>
      </c>
      <c r="S29" s="368">
        <f>+IFERROR(N29/ABS(I29),"n/m")</f>
        <v>0.12001431955925605</v>
      </c>
      <c r="T29" s="368">
        <f>+IFERROR(O29/ABS(J29),"n/m")</f>
        <v>0.11042265126977856</v>
      </c>
    </row>
    <row r="30" spans="3:20" ht="15" customHeight="1" x14ac:dyDescent="0.35">
      <c r="C30" s="357" t="s">
        <v>1043</v>
      </c>
      <c r="D30" s="232">
        <f>D29/D14</f>
        <v>-0.52758668295632249</v>
      </c>
      <c r="E30" s="232">
        <f>E29/E14</f>
        <v>-0.80225628200096388</v>
      </c>
      <c r="F30" s="345">
        <f>F29/F14</f>
        <v>-0.65789279205698659</v>
      </c>
      <c r="G30" s="232">
        <f t="shared" ref="G30" si="23">G29/G14</f>
        <v>-0.6816695836918556</v>
      </c>
      <c r="H30" s="552">
        <f t="shared" si="6"/>
        <v>0.1443634899439773</v>
      </c>
      <c r="I30" s="345">
        <f>I29/I14</f>
        <v>-0.71831047593953989</v>
      </c>
      <c r="J30" s="428">
        <f t="shared" ref="J30" si="24">I30</f>
        <v>-0.71831047593953989</v>
      </c>
      <c r="Q30" s="363"/>
      <c r="R30" s="363"/>
      <c r="S30" s="363"/>
      <c r="T30" s="363"/>
    </row>
    <row r="31" spans="3:20" ht="15" customHeight="1" x14ac:dyDescent="0.35">
      <c r="C31" s="358" t="s">
        <v>1044</v>
      </c>
      <c r="D31" s="201">
        <f>D20+D25</f>
        <v>610094.19999999693</v>
      </c>
      <c r="E31" s="201">
        <f>E20+E25</f>
        <v>-4221173.3866666667</v>
      </c>
      <c r="F31" s="344">
        <f>F20+F25</f>
        <v>-1856368.6766666649</v>
      </c>
      <c r="G31" s="201">
        <f t="shared" ref="G31" si="25">G20+G25</f>
        <v>-6495412.2166666724</v>
      </c>
      <c r="H31" s="552">
        <f t="shared" si="6"/>
        <v>2364804.7100000018</v>
      </c>
      <c r="I31" s="344">
        <f>I20+I25</f>
        <v>-1734205.9338649539</v>
      </c>
      <c r="J31" s="425">
        <f>J20+J25</f>
        <v>-6670093.5099398047</v>
      </c>
      <c r="L31" s="201">
        <f>+F31-D31</f>
        <v>-2466462.8766666618</v>
      </c>
      <c r="M31" s="202">
        <f>+F31-E31</f>
        <v>2364804.7100000018</v>
      </c>
      <c r="N31" s="201">
        <f>F31-I31</f>
        <v>-122162.74280171096</v>
      </c>
      <c r="O31" s="201">
        <f>+G31-J31</f>
        <v>174681.29327313229</v>
      </c>
      <c r="Q31" s="361">
        <f>+IFERROR(L31/ABS(D31),"n/m")</f>
        <v>-4.042757457236398</v>
      </c>
      <c r="R31" s="362">
        <f>+IFERROR(M31/ABS(E31),"n/m")</f>
        <v>0.56022449053376056</v>
      </c>
      <c r="S31" s="361">
        <f>+IFERROR(N31/ABS(I31),"n/m")</f>
        <v>-7.0443042787572435E-2</v>
      </c>
      <c r="T31" s="361">
        <f>+IFERROR(O31/ABS(J31),"n/m")</f>
        <v>2.6188732288808456E-2</v>
      </c>
    </row>
    <row r="32" spans="3:20" ht="15" customHeight="1" x14ac:dyDescent="0.35">
      <c r="C32" s="358" t="s">
        <v>1059</v>
      </c>
      <c r="D32" s="234">
        <v>-2003363.3899999969</v>
      </c>
      <c r="E32" s="234">
        <v>-6040285.929999995</v>
      </c>
      <c r="F32" s="429">
        <v>-2813925.7300000042</v>
      </c>
      <c r="G32" s="234">
        <v>-12675820.430000003</v>
      </c>
      <c r="H32" s="552">
        <f t="shared" si="6"/>
        <v>3226360.1999999909</v>
      </c>
      <c r="I32" s="344"/>
      <c r="J32" s="425"/>
      <c r="L32" s="201">
        <f>+F32-D32</f>
        <v>-810562.3400000073</v>
      </c>
      <c r="M32" s="202">
        <f>+F32-E32</f>
        <v>3226360.1999999909</v>
      </c>
      <c r="N32" s="201">
        <f>F32-I32</f>
        <v>-2813925.7300000042</v>
      </c>
      <c r="O32" s="201">
        <f>+G32-J32</f>
        <v>-12675820.430000003</v>
      </c>
      <c r="Q32" s="361">
        <f>+IFERROR(L32/ABS(D32),"n/m")</f>
        <v>-0.4046007549334365</v>
      </c>
      <c r="R32" s="362">
        <f>+IFERROR(M32/ABS(E32),"n/m")</f>
        <v>0.53414031014256858</v>
      </c>
      <c r="S32" s="361" t="str">
        <f>+IFERROR(N32/ABS(I32),"n/m")</f>
        <v>n/m</v>
      </c>
      <c r="T32" s="361" t="str">
        <f>+IFERROR(O32/ABS(J32),"n/m")</f>
        <v>n/m</v>
      </c>
    </row>
    <row r="33" spans="3:20" ht="15" customHeight="1" x14ac:dyDescent="0.35">
      <c r="C33" s="355"/>
      <c r="D33" s="201"/>
      <c r="E33" s="201"/>
      <c r="F33" s="344"/>
      <c r="G33" s="201"/>
      <c r="H33" s="552">
        <f t="shared" si="6"/>
        <v>0</v>
      </c>
      <c r="I33" s="344"/>
      <c r="J33" s="425"/>
      <c r="Q33" s="363"/>
      <c r="R33" s="363"/>
      <c r="S33" s="363"/>
      <c r="T33" s="363"/>
    </row>
    <row r="34" spans="3:20" ht="15" customHeight="1" x14ac:dyDescent="0.45">
      <c r="C34" s="359" t="s">
        <v>557</v>
      </c>
      <c r="D34" s="201">
        <f>SUMIFS('VCN Board View (Details) Nuevo'!$D$246:$AO$246,'VCN Board View (Details) Nuevo'!$D$7:$AO$7,D$7)</f>
        <v>-2474407.2900000005</v>
      </c>
      <c r="E34" s="201">
        <f>SUMIFS('VCN Board View (Details) Nuevo'!$D$246:$AO$246,'VCN Board View (Details) Nuevo'!$D$7:$AO$7,E$7)</f>
        <v>-2787003.57</v>
      </c>
      <c r="F34" s="344">
        <f>SUMIFS('VCN Board View (Details) Nuevo'!$D$246:$AO$246,'VCN Board View (Details) Nuevo'!$D$7:$AO$7,F$7)</f>
        <v>-2768829.9999999995</v>
      </c>
      <c r="G34" s="201">
        <f>'VCN Board View (Details) Nuevo'!BD246</f>
        <v>-10660393.26</v>
      </c>
      <c r="H34" s="552">
        <f t="shared" si="6"/>
        <v>18173.570000000298</v>
      </c>
      <c r="I34" s="344">
        <f>SUMIFS('VCN Board View (Budget) '!AD64:AO64,'VCN Board View (Budget) '!$AD$7:$AO$7,$F$7)</f>
        <v>-2640350.3566732886</v>
      </c>
      <c r="J34" s="425">
        <f>'VCN Board View (Budget) '!BD64</f>
        <v>-8698088.7402957492</v>
      </c>
      <c r="L34" s="201">
        <f>+F34-D34</f>
        <v>-294422.70999999903</v>
      </c>
      <c r="M34" s="202">
        <f>+F34-E34</f>
        <v>18173.570000000298</v>
      </c>
      <c r="N34" s="201">
        <f>F34-I34</f>
        <v>-128479.64332671091</v>
      </c>
      <c r="O34" s="201">
        <f>+G34-J34</f>
        <v>-1962304.5197042506</v>
      </c>
      <c r="Q34" s="361">
        <f>+IFERROR(L34/ABS(D34),"n/m")</f>
        <v>-0.11898716560926353</v>
      </c>
      <c r="R34" s="362">
        <f>+IFERROR(M34/ABS(E34),"n/m")</f>
        <v>6.5208276715627957E-3</v>
      </c>
      <c r="S34" s="361">
        <f>+IFERROR(N34/ABS(I34),"n/m")</f>
        <v>-4.8660073842847484E-2</v>
      </c>
      <c r="T34" s="361">
        <f>+IFERROR(O34/ABS(J34),"n/m")</f>
        <v>-0.22560180498199067</v>
      </c>
    </row>
    <row r="35" spans="3:20" ht="15" customHeight="1" x14ac:dyDescent="0.35">
      <c r="C35" s="356" t="s">
        <v>813</v>
      </c>
      <c r="D35" s="370">
        <f>D34+D29</f>
        <v>-7556524.9377021305</v>
      </c>
      <c r="E35" s="370">
        <f t="shared" ref="E35:I35" si="26">E34+E29</f>
        <v>-16382165.810770037</v>
      </c>
      <c r="F35" s="371">
        <f t="shared" si="26"/>
        <v>-13723848.484486802</v>
      </c>
      <c r="G35" s="370">
        <f t="shared" si="26"/>
        <v>-53380837.960141979</v>
      </c>
      <c r="H35" s="552">
        <f t="shared" si="6"/>
        <v>2658317.3262832351</v>
      </c>
      <c r="I35" s="371">
        <f t="shared" si="26"/>
        <v>-15089437.572501553</v>
      </c>
      <c r="J35" s="427">
        <f>J34+J29</f>
        <v>-56721394.146083057</v>
      </c>
      <c r="K35" s="366"/>
      <c r="L35" s="370">
        <f>+F35-D35</f>
        <v>-6167323.546784671</v>
      </c>
      <c r="M35" s="372">
        <f>+F35-E35</f>
        <v>2658317.3262832351</v>
      </c>
      <c r="N35" s="370">
        <f>F35-I35</f>
        <v>1365589.0880147517</v>
      </c>
      <c r="O35" s="370">
        <f>+G35-J35</f>
        <v>3340556.1859410778</v>
      </c>
      <c r="P35" s="366"/>
      <c r="Q35" s="373">
        <f>+IFERROR(L35/ABS(D35),"n/m")</f>
        <v>-0.81615869697111032</v>
      </c>
      <c r="R35" s="374">
        <f>+IFERROR(M35/ABS(E35),"n/m")</f>
        <v>0.16226897938828042</v>
      </c>
      <c r="S35" s="373">
        <f>+IFERROR(N35/ABS(I35),"n/m")</f>
        <v>9.0499667827471056E-2</v>
      </c>
      <c r="T35" s="373">
        <f>+IFERROR(O35/ABS(J35),"n/m")</f>
        <v>5.8894112816367764E-2</v>
      </c>
    </row>
    <row r="36" spans="3:20" ht="15" customHeight="1" x14ac:dyDescent="0.35">
      <c r="C36" s="355"/>
      <c r="D36" s="201"/>
      <c r="E36" s="201"/>
      <c r="F36" s="344"/>
      <c r="G36" s="201"/>
      <c r="H36" s="552">
        <f t="shared" si="6"/>
        <v>0</v>
      </c>
      <c r="I36" s="344"/>
      <c r="J36" s="425"/>
      <c r="Q36" s="363"/>
      <c r="R36" s="363"/>
      <c r="S36" s="363"/>
      <c r="T36" s="363"/>
    </row>
    <row r="37" spans="3:20" ht="15" customHeight="1" x14ac:dyDescent="0.45">
      <c r="C37" s="359" t="s">
        <v>564</v>
      </c>
      <c r="D37" s="201">
        <f>SUMIFS('VCN Board View (Details) Nuevo'!$D$248:$AO$248,'VCN Board View (Details) Nuevo'!$D$7:$AO$7,D$7)</f>
        <v>34303.300000000003</v>
      </c>
      <c r="E37" s="201">
        <f>SUMIFS('VCN Board View (Details) Nuevo'!$D$248:$AO$248,'VCN Board View (Details) Nuevo'!$D$7:$AO$7,E$7)</f>
        <v>1363684.31</v>
      </c>
      <c r="F37" s="344">
        <f>SUMIFS('VCN Board View (Details) Nuevo'!$D$248:$AO$248,'VCN Board View (Details) Nuevo'!$D$7:$AO$7,F$7)</f>
        <v>-1355873.78</v>
      </c>
      <c r="G37" s="201">
        <f>'VCN Board View (Details) Nuevo'!BD248</f>
        <v>-5267239.76</v>
      </c>
      <c r="H37" s="552">
        <f t="shared" si="6"/>
        <v>-2719558.09</v>
      </c>
      <c r="I37" s="344">
        <f>SUMIFS('VCN Board View (Budget) '!AD66:AO66,'VCN Board View (Budget) '!$AD$7:$AO$7,$F$7)</f>
        <v>-3029895.8333333335</v>
      </c>
      <c r="J37" s="425">
        <f>'VCN Board View (Budget) '!BD66</f>
        <v>-10915937.500000002</v>
      </c>
      <c r="L37" s="201">
        <f>+F37-D37</f>
        <v>-1390177.08</v>
      </c>
      <c r="M37" s="202">
        <f>+F37-E37</f>
        <v>-2719558.09</v>
      </c>
      <c r="N37" s="201">
        <f>F37-I37</f>
        <v>1674022.0533333335</v>
      </c>
      <c r="O37" s="201">
        <f>+G37-J37</f>
        <v>5648697.7400000021</v>
      </c>
      <c r="Q37" s="361">
        <f>+IFERROR(L37/ABS(D37),"n/m")</f>
        <v>-40.52604501607717</v>
      </c>
      <c r="R37" s="362">
        <f>+IFERROR(M37/ABS(E37),"n/m")</f>
        <v>-1.994272479383443</v>
      </c>
      <c r="S37" s="361">
        <f>+IFERROR(N37/ABS(I37),"n/m")</f>
        <v>0.5525015199917489</v>
      </c>
      <c r="T37" s="361">
        <f>+IFERROR(O37/ABS(J37),"n/m")</f>
        <v>0.51747252492055773</v>
      </c>
    </row>
    <row r="38" spans="3:20" ht="15" customHeight="1" x14ac:dyDescent="0.35">
      <c r="C38" s="356" t="s">
        <v>814</v>
      </c>
      <c r="D38" s="370">
        <f>D37+D35</f>
        <v>-7522221.6377021307</v>
      </c>
      <c r="E38" s="370">
        <f t="shared" ref="E38:J38" si="27">E37+E35</f>
        <v>-15018481.500770036</v>
      </c>
      <c r="F38" s="371">
        <f t="shared" si="27"/>
        <v>-15079722.264486801</v>
      </c>
      <c r="G38" s="370">
        <f t="shared" si="27"/>
        <v>-58648077.720141977</v>
      </c>
      <c r="H38" s="552">
        <f t="shared" si="6"/>
        <v>-61240.763716764748</v>
      </c>
      <c r="I38" s="371">
        <f t="shared" si="27"/>
        <v>-18119333.405834887</v>
      </c>
      <c r="J38" s="427">
        <f t="shared" si="27"/>
        <v>-67637331.646083057</v>
      </c>
      <c r="K38" s="366"/>
      <c r="L38" s="370">
        <f>+F38-D38</f>
        <v>-7557500.6267846702</v>
      </c>
      <c r="M38" s="372">
        <f>+F38-E38</f>
        <v>-61240.763716764748</v>
      </c>
      <c r="N38" s="370">
        <f>F38-I38</f>
        <v>3039611.1413480863</v>
      </c>
      <c r="O38" s="370">
        <f>+G38-J38</f>
        <v>8989253.9259410799</v>
      </c>
      <c r="P38" s="366"/>
      <c r="Q38" s="373">
        <f>+IFERROR(L38/ABS(D38),"n/m")</f>
        <v>-1.0046899693709792</v>
      </c>
      <c r="R38" s="374">
        <f>+IFERROR(M38/ABS(E38),"n/m")</f>
        <v>-4.0776934548026559E-3</v>
      </c>
      <c r="S38" s="373">
        <f>+IFERROR(N38/ABS(I38),"n/m")</f>
        <v>0.16775513057060112</v>
      </c>
      <c r="T38" s="373">
        <f>+IFERROR(O38/ABS(J38),"n/m")</f>
        <v>0.13290373388734439</v>
      </c>
    </row>
    <row r="39" spans="3:20" ht="15" customHeight="1" x14ac:dyDescent="0.35">
      <c r="C39" s="355"/>
      <c r="D39" s="201"/>
      <c r="E39" s="201"/>
      <c r="F39" s="344"/>
      <c r="G39" s="201"/>
      <c r="H39" s="552">
        <f t="shared" si="6"/>
        <v>0</v>
      </c>
      <c r="I39" s="344"/>
      <c r="J39" s="425"/>
      <c r="Q39" s="363"/>
      <c r="R39" s="363"/>
      <c r="S39" s="363"/>
      <c r="T39" s="363"/>
    </row>
    <row r="40" spans="3:20" ht="15" customHeight="1" x14ac:dyDescent="0.45">
      <c r="C40" s="359" t="s">
        <v>820</v>
      </c>
      <c r="D40" s="201">
        <f>SUMIFS('VCN Board View (Details) Nuevo'!$D$253:$AO$253,'VCN Board View (Details) Nuevo'!$D$7:$AO$7,D$7)</f>
        <v>0</v>
      </c>
      <c r="E40" s="201">
        <f>SUMIFS('VCN Board View (Details) Nuevo'!$D$253:$AO$253,'VCN Board View (Details) Nuevo'!$D$7:$AO$7,E$7)</f>
        <v>0</v>
      </c>
      <c r="F40" s="344">
        <f>SUMIFS('VCN Board View (Details) Nuevo'!$D$253:$AO$253,'VCN Board View (Details) Nuevo'!$D$7:$AO$7,F$7)</f>
        <v>0</v>
      </c>
      <c r="G40" s="201">
        <f>'VCN Board View (Details) Nuevo'!BD253</f>
        <v>0</v>
      </c>
      <c r="H40" s="552">
        <f t="shared" si="6"/>
        <v>0</v>
      </c>
      <c r="I40" s="344">
        <f>SUMIFS('VCN Board View (Budget) '!AD71:AO71,'VCN Board View (Budget) '!$AD$7:$AO$7,$F$7)</f>
        <v>0</v>
      </c>
      <c r="J40" s="425">
        <f>'VCN Board View (Budget) '!BD71</f>
        <v>0</v>
      </c>
      <c r="L40" s="201">
        <f>+F40-D40</f>
        <v>0</v>
      </c>
      <c r="M40" s="202">
        <f>+F40-E40</f>
        <v>0</v>
      </c>
      <c r="N40" s="201">
        <f>F40-I40</f>
        <v>0</v>
      </c>
      <c r="O40" s="201">
        <f>+G40-J40</f>
        <v>0</v>
      </c>
      <c r="Q40" s="361" t="str">
        <f>+IFERROR(L40/ABS(D40),"n/m")</f>
        <v>n/m</v>
      </c>
      <c r="R40" s="362" t="str">
        <f>+IFERROR(M40/ABS(E40),"n/m")</f>
        <v>n/m</v>
      </c>
      <c r="S40" s="361" t="str">
        <f>+IFERROR(N40/ABS(I40),"n/m")</f>
        <v>n/m</v>
      </c>
      <c r="T40" s="361" t="str">
        <f>+IFERROR(O40/ABS(J40),"n/m")</f>
        <v>n/m</v>
      </c>
    </row>
    <row r="41" spans="3:20" ht="15" customHeight="1" x14ac:dyDescent="0.35">
      <c r="C41" s="354" t="s">
        <v>869</v>
      </c>
      <c r="D41" s="364">
        <f>D40+D38</f>
        <v>-7522221.6377021307</v>
      </c>
      <c r="E41" s="364">
        <f t="shared" ref="E41:G41" si="28">E40+E38</f>
        <v>-15018481.500770036</v>
      </c>
      <c r="F41" s="365">
        <f t="shared" si="28"/>
        <v>-15079722.264486801</v>
      </c>
      <c r="G41" s="364">
        <f t="shared" si="28"/>
        <v>-58648077.720141977</v>
      </c>
      <c r="H41" s="552">
        <f t="shared" si="6"/>
        <v>-61240.763716764748</v>
      </c>
      <c r="I41" s="365">
        <f t="shared" ref="I41:J41" si="29">I40+I38</f>
        <v>-18119333.405834887</v>
      </c>
      <c r="J41" s="426">
        <f t="shared" si="29"/>
        <v>-67637331.646083057</v>
      </c>
      <c r="K41" s="366"/>
      <c r="L41" s="364">
        <f>+F41-D41</f>
        <v>-7557500.6267846702</v>
      </c>
      <c r="M41" s="367">
        <f>+F41-E41</f>
        <v>-61240.763716764748</v>
      </c>
      <c r="N41" s="364">
        <f>F41-I41</f>
        <v>3039611.1413480863</v>
      </c>
      <c r="O41" s="364">
        <f>+G41-J41</f>
        <v>8989253.9259410799</v>
      </c>
      <c r="P41" s="366"/>
      <c r="Q41" s="368">
        <f>+IFERROR(L41/ABS(D41),"n/m")</f>
        <v>-1.0046899693709792</v>
      </c>
      <c r="R41" s="369">
        <f>+IFERROR(M41/ABS(E41),"n/m")</f>
        <v>-4.0776934548026559E-3</v>
      </c>
      <c r="S41" s="368">
        <f>+IFERROR(N41/ABS(I41),"n/m")</f>
        <v>0.16775513057060112</v>
      </c>
      <c r="T41" s="368">
        <f>+IFERROR(O41/ABS(J41),"n/m")</f>
        <v>0.13290373388734439</v>
      </c>
    </row>
    <row r="42" spans="3:20" ht="15" customHeight="1" thickBot="1" x14ac:dyDescent="0.4">
      <c r="C42" s="357" t="s">
        <v>870</v>
      </c>
      <c r="D42" s="232">
        <f>D41/D14</f>
        <v>-0.78089966376357867</v>
      </c>
      <c r="E42" s="232">
        <f t="shared" ref="E42:G42" si="30">E41/E14</f>
        <v>-0.88624695437438072</v>
      </c>
      <c r="F42" s="346">
        <f>F41/F14</f>
        <v>-0.90559779502662119</v>
      </c>
      <c r="G42" s="232">
        <f t="shared" si="30"/>
        <v>-0.9358191611634582</v>
      </c>
      <c r="H42" s="552">
        <f t="shared" si="6"/>
        <v>-1.9350840652240464E-2</v>
      </c>
      <c r="I42" s="346">
        <f t="shared" ref="I42" si="31">I41/I14</f>
        <v>-1.0454828355531387</v>
      </c>
      <c r="J42" s="428">
        <f>I42</f>
        <v>-1.0454828355531387</v>
      </c>
      <c r="Q42" s="363"/>
      <c r="R42" s="363"/>
      <c r="S42" s="363"/>
      <c r="T42" s="363"/>
    </row>
    <row r="45" spans="3:20" ht="15" customHeight="1" x14ac:dyDescent="0.35">
      <c r="C45" s="203" t="s">
        <v>1019</v>
      </c>
      <c r="D45" s="200">
        <v>-6014674.8299999991</v>
      </c>
      <c r="F45" s="6">
        <v>-210906.26066800067</v>
      </c>
    </row>
    <row r="46" spans="3:20" ht="15" customHeight="1" x14ac:dyDescent="0.35">
      <c r="C46" s="203" t="s">
        <v>1019</v>
      </c>
      <c r="D46" s="200">
        <v>-6850488.4900000002</v>
      </c>
    </row>
    <row r="47" spans="3:20" ht="15" customHeight="1" x14ac:dyDescent="0.35">
      <c r="D47" s="200">
        <v>2241374.3900000006</v>
      </c>
    </row>
    <row r="49" spans="3:27" ht="15" customHeight="1" thickBot="1" x14ac:dyDescent="0.4"/>
    <row r="50" spans="3:27" s="445" customFormat="1" ht="15" customHeight="1" x14ac:dyDescent="0.35">
      <c r="C50" s="444"/>
      <c r="D50" s="446" t="s">
        <v>1183</v>
      </c>
      <c r="E50" s="444">
        <v>46053</v>
      </c>
      <c r="F50" s="444">
        <v>46081</v>
      </c>
      <c r="G50" s="444">
        <v>46112</v>
      </c>
      <c r="H50" s="446" t="s">
        <v>7</v>
      </c>
      <c r="I50" s="446" t="s">
        <v>1182</v>
      </c>
      <c r="J50" s="444">
        <v>46142</v>
      </c>
      <c r="K50" s="444">
        <v>46173</v>
      </c>
      <c r="L50" s="444">
        <v>46203</v>
      </c>
      <c r="M50" s="446" t="s">
        <v>13</v>
      </c>
      <c r="N50" s="444">
        <v>46234</v>
      </c>
      <c r="O50" s="444">
        <v>46265</v>
      </c>
      <c r="P50" s="444">
        <v>46295</v>
      </c>
      <c r="Q50" s="446" t="s">
        <v>20</v>
      </c>
      <c r="R50" s="444">
        <v>46326</v>
      </c>
      <c r="S50" s="444">
        <v>46356</v>
      </c>
      <c r="T50" s="444">
        <v>46387</v>
      </c>
      <c r="U50" s="446" t="s">
        <v>26</v>
      </c>
      <c r="W50" s="351" t="s">
        <v>1184</v>
      </c>
      <c r="X50" s="360" t="s">
        <v>859</v>
      </c>
      <c r="Z50" s="351" t="s">
        <v>1184</v>
      </c>
      <c r="AA50" s="360" t="s">
        <v>859</v>
      </c>
    </row>
    <row r="51" spans="3:27" ht="15" customHeight="1" x14ac:dyDescent="0.35">
      <c r="C51" s="353" t="s">
        <v>829</v>
      </c>
      <c r="D51" s="344" t="e">
        <f>SUM(#REF!)</f>
        <v>#REF!</v>
      </c>
      <c r="E51" s="201" t="e">
        <f>SUMIF(#REF!,$E$50,#REF!)+SUMIF(#REF!,$E$50,#REF!)</f>
        <v>#REF!</v>
      </c>
      <c r="F51" s="201" t="e">
        <f>SUMIF(#REF!,F50,#REF!)+SUMIF(#REF!,F50,#REF!)</f>
        <v>#REF!</v>
      </c>
      <c r="G51" s="201" t="e">
        <f>SUMIF(#REF!,G50,#REF!)+SUMIF(#REF!,G50,#REF!)</f>
        <v>#REF!</v>
      </c>
      <c r="H51" s="344" t="e">
        <f t="shared" ref="H51:H56" si="32">SUM(E51:G51)</f>
        <v>#REF!</v>
      </c>
      <c r="I51" s="344">
        <f>SUM('VCN Board View (Budget) '!AD16:AF16)</f>
        <v>18665412.701586455</v>
      </c>
      <c r="J51" s="201"/>
      <c r="K51" s="201"/>
      <c r="L51" s="201"/>
      <c r="M51" s="344"/>
      <c r="N51" s="201"/>
      <c r="O51" s="201"/>
      <c r="P51" s="201"/>
      <c r="Q51" s="344"/>
      <c r="R51" s="201"/>
      <c r="S51" s="201"/>
      <c r="T51" s="201"/>
      <c r="U51" s="344"/>
      <c r="W51" s="202" t="e">
        <f>+H51-D51</f>
        <v>#REF!</v>
      </c>
      <c r="X51" s="201" t="e">
        <f t="shared" ref="X51:X57" si="33">H51-I51</f>
        <v>#REF!</v>
      </c>
      <c r="Z51" s="362" t="str">
        <f>+IFERROR(W51/ABS(D51),"n/m")</f>
        <v>n/m</v>
      </c>
      <c r="AA51" s="512" t="str">
        <f t="shared" ref="AA51:AA57" si="34">IFERROR(X51/ABS(I51),"n/m")</f>
        <v>n/m</v>
      </c>
    </row>
    <row r="52" spans="3:27" ht="15" customHeight="1" x14ac:dyDescent="0.35">
      <c r="C52" s="353" t="s">
        <v>1034</v>
      </c>
      <c r="D52" s="344" t="e">
        <f>SUM(#REF!)</f>
        <v>#REF!</v>
      </c>
      <c r="E52" s="201" t="e">
        <f>SUMIF(#REF!,$E$50,#REF!)</f>
        <v>#REF!</v>
      </c>
      <c r="F52" s="201" t="e">
        <f>SUMIF(#REF!,F50,#REF!)</f>
        <v>#REF!</v>
      </c>
      <c r="G52" s="201" t="e">
        <f>SUMIF(#REF!,G50,#REF!)</f>
        <v>#REF!</v>
      </c>
      <c r="H52" s="344" t="e">
        <f t="shared" si="32"/>
        <v>#REF!</v>
      </c>
      <c r="I52" s="344">
        <f>SUM('VCN Board View (Budget) '!AD17:AF17)</f>
        <v>14224221.416669017</v>
      </c>
      <c r="J52" s="201"/>
      <c r="K52" s="201"/>
      <c r="L52" s="201"/>
      <c r="M52" s="344"/>
      <c r="N52" s="201"/>
      <c r="O52" s="201"/>
      <c r="P52" s="201"/>
      <c r="Q52" s="344"/>
      <c r="R52" s="201"/>
      <c r="S52" s="201"/>
      <c r="T52" s="201"/>
      <c r="U52" s="344"/>
      <c r="W52" s="202" t="e">
        <f t="shared" ref="W52:W57" si="35">+H52-D52</f>
        <v>#REF!</v>
      </c>
      <c r="X52" s="201" t="e">
        <f t="shared" si="33"/>
        <v>#REF!</v>
      </c>
      <c r="Z52" s="362" t="str">
        <f t="shared" ref="Z52:Z57" si="36">+IFERROR(W52/ABS(D52),"n/m")</f>
        <v>n/m</v>
      </c>
      <c r="AA52" s="512" t="str">
        <f t="shared" si="34"/>
        <v>n/m</v>
      </c>
    </row>
    <row r="53" spans="3:27" ht="15" customHeight="1" x14ac:dyDescent="0.35">
      <c r="C53" s="353" t="s">
        <v>847</v>
      </c>
      <c r="D53" s="344" t="e">
        <f>SUM(#REF!)</f>
        <v>#REF!</v>
      </c>
      <c r="E53" s="201" t="e">
        <f>SUMIF(#REF!,$E$50,#REF!)</f>
        <v>#REF!</v>
      </c>
      <c r="F53" s="201" t="e">
        <f>SUMIF(#REF!,F50,#REF!)</f>
        <v>#REF!</v>
      </c>
      <c r="G53" s="201" t="e">
        <f>SUMIF(#REF!,G50,#REF!)</f>
        <v>#REF!</v>
      </c>
      <c r="H53" s="344" t="e">
        <f t="shared" si="32"/>
        <v>#REF!</v>
      </c>
      <c r="I53" s="344">
        <f>SUM('VCN Board View (Budget) '!AD19:AF19)</f>
        <v>778758.96632117964</v>
      </c>
      <c r="J53" s="201"/>
      <c r="K53" s="201"/>
      <c r="L53" s="201"/>
      <c r="M53" s="344"/>
      <c r="N53" s="201"/>
      <c r="O53" s="201"/>
      <c r="P53" s="201"/>
      <c r="Q53" s="344"/>
      <c r="R53" s="201"/>
      <c r="S53" s="201"/>
      <c r="T53" s="201"/>
      <c r="U53" s="344"/>
      <c r="W53" s="202" t="e">
        <f t="shared" si="35"/>
        <v>#REF!</v>
      </c>
      <c r="X53" s="201" t="e">
        <f t="shared" si="33"/>
        <v>#REF!</v>
      </c>
      <c r="Z53" s="362" t="str">
        <f t="shared" si="36"/>
        <v>n/m</v>
      </c>
      <c r="AA53" s="512" t="str">
        <f t="shared" si="34"/>
        <v>n/m</v>
      </c>
    </row>
    <row r="54" spans="3:27" ht="15" customHeight="1" x14ac:dyDescent="0.35">
      <c r="C54" s="353" t="s">
        <v>1035</v>
      </c>
      <c r="D54" s="344" t="e">
        <f>SUM(#REF!)</f>
        <v>#REF!</v>
      </c>
      <c r="E54" s="201" t="e">
        <f>SUMIF(#REF!,$E$50,#REF!)</f>
        <v>#REF!</v>
      </c>
      <c r="F54" s="201" t="e">
        <f>SUMIF(#REF!,F50,#REF!)</f>
        <v>#REF!</v>
      </c>
      <c r="G54" s="201" t="e">
        <f>SUMIF(#REF!,G50,#REF!)</f>
        <v>#REF!</v>
      </c>
      <c r="H54" s="344" t="e">
        <f t="shared" si="32"/>
        <v>#REF!</v>
      </c>
      <c r="I54" s="344">
        <f>SUM('VCN Board View (Budget) '!AD18:AF18)</f>
        <v>834869.09614680894</v>
      </c>
      <c r="J54" s="201"/>
      <c r="K54" s="201"/>
      <c r="L54" s="201"/>
      <c r="M54" s="344"/>
      <c r="N54" s="201"/>
      <c r="O54" s="201"/>
      <c r="P54" s="201"/>
      <c r="Q54" s="344"/>
      <c r="R54" s="201"/>
      <c r="S54" s="201"/>
      <c r="T54" s="201"/>
      <c r="U54" s="344"/>
      <c r="W54" s="202" t="e">
        <f t="shared" si="35"/>
        <v>#REF!</v>
      </c>
      <c r="X54" s="201" t="e">
        <f t="shared" si="33"/>
        <v>#REF!</v>
      </c>
      <c r="Z54" s="362" t="str">
        <f t="shared" si="36"/>
        <v>n/m</v>
      </c>
      <c r="AA54" s="512" t="str">
        <f t="shared" si="34"/>
        <v>n/m</v>
      </c>
    </row>
    <row r="55" spans="3:27" ht="15" customHeight="1" x14ac:dyDescent="0.35">
      <c r="C55" s="353" t="s">
        <v>450</v>
      </c>
      <c r="D55" s="344" t="e">
        <f>SUM(#REF!)</f>
        <v>#REF!</v>
      </c>
      <c r="E55" s="201" t="e">
        <f>SUMIF(#REF!,$E$50,#REF!)</f>
        <v>#REF!</v>
      </c>
      <c r="F55" s="201" t="e">
        <f>SUMIF(#REF!,F50,#REF!)</f>
        <v>#REF!</v>
      </c>
      <c r="G55" s="201" t="e">
        <f>SUMIF(#REF!,G50,#REF!)</f>
        <v>#REF!</v>
      </c>
      <c r="H55" s="344" t="e">
        <f t="shared" si="32"/>
        <v>#REF!</v>
      </c>
      <c r="I55" s="344">
        <f>SUM('VCN Board View (Budget) '!AD20:AF20)</f>
        <v>3252679.5300000007</v>
      </c>
      <c r="J55" s="201"/>
      <c r="K55" s="201"/>
      <c r="L55" s="201"/>
      <c r="M55" s="344"/>
      <c r="N55" s="201"/>
      <c r="O55" s="201"/>
      <c r="P55" s="201"/>
      <c r="Q55" s="344"/>
      <c r="R55" s="201"/>
      <c r="S55" s="201"/>
      <c r="T55" s="201"/>
      <c r="U55" s="344"/>
      <c r="W55" s="202" t="e">
        <f t="shared" si="35"/>
        <v>#REF!</v>
      </c>
      <c r="X55" s="201" t="e">
        <f t="shared" si="33"/>
        <v>#REF!</v>
      </c>
      <c r="Z55" s="362" t="str">
        <f t="shared" si="36"/>
        <v>n/m</v>
      </c>
      <c r="AA55" s="512" t="str">
        <f t="shared" si="34"/>
        <v>n/m</v>
      </c>
    </row>
    <row r="56" spans="3:27" ht="15" customHeight="1" x14ac:dyDescent="0.35">
      <c r="C56" s="353" t="s">
        <v>1036</v>
      </c>
      <c r="D56" s="344" t="e">
        <f>SUM(#REF!)</f>
        <v>#REF!</v>
      </c>
      <c r="E56" s="201" t="e">
        <f>SUMIF(#REF!,$E$50,#REF!)-SUM(E51:E55)</f>
        <v>#REF!</v>
      </c>
      <c r="F56" s="201" t="e">
        <f>SUMIF(#REF!,$F$50,#REF!)-SUM(F51:F55)</f>
        <v>#REF!</v>
      </c>
      <c r="G56" s="201" t="e">
        <f>SUMIF(#REF!,$G$50,#REF!)-SUM(G51:G55)</f>
        <v>#REF!</v>
      </c>
      <c r="H56" s="344" t="e">
        <f t="shared" si="32"/>
        <v>#REF!</v>
      </c>
      <c r="I56" s="344">
        <f>SUM('VCN Board View (Budget) '!AD21:AF23)</f>
        <v>6825394.2873569354</v>
      </c>
      <c r="J56" s="201"/>
      <c r="K56" s="201"/>
      <c r="L56" s="201"/>
      <c r="M56" s="344"/>
      <c r="N56" s="201"/>
      <c r="O56" s="201"/>
      <c r="P56" s="201"/>
      <c r="Q56" s="344"/>
      <c r="R56" s="201"/>
      <c r="S56" s="201"/>
      <c r="T56" s="201"/>
      <c r="U56" s="344"/>
      <c r="W56" s="202" t="e">
        <f t="shared" si="35"/>
        <v>#REF!</v>
      </c>
      <c r="X56" s="201" t="e">
        <f t="shared" si="33"/>
        <v>#REF!</v>
      </c>
      <c r="Z56" s="362" t="str">
        <f t="shared" si="36"/>
        <v>n/m</v>
      </c>
      <c r="AA56" s="512" t="str">
        <f t="shared" si="34"/>
        <v>n/m</v>
      </c>
    </row>
    <row r="57" spans="3:27" ht="15" customHeight="1" x14ac:dyDescent="0.35">
      <c r="C57" s="354" t="s">
        <v>862</v>
      </c>
      <c r="D57" s="365" t="e">
        <f t="shared" ref="D57:I57" si="37">SUM(D51:D56)</f>
        <v>#REF!</v>
      </c>
      <c r="E57" s="364" t="e">
        <f t="shared" si="37"/>
        <v>#REF!</v>
      </c>
      <c r="F57" s="364" t="e">
        <f t="shared" si="37"/>
        <v>#REF!</v>
      </c>
      <c r="G57" s="364" t="e">
        <f t="shared" si="37"/>
        <v>#REF!</v>
      </c>
      <c r="H57" s="365" t="e">
        <f t="shared" si="37"/>
        <v>#REF!</v>
      </c>
      <c r="I57" s="365">
        <f t="shared" si="37"/>
        <v>44581335.998080395</v>
      </c>
      <c r="J57" s="364"/>
      <c r="K57" s="364"/>
      <c r="L57" s="364"/>
      <c r="M57" s="365"/>
      <c r="N57" s="364"/>
      <c r="O57" s="364"/>
      <c r="P57" s="364"/>
      <c r="Q57" s="365"/>
      <c r="R57" s="364"/>
      <c r="S57" s="364"/>
      <c r="T57" s="364"/>
      <c r="U57" s="365"/>
      <c r="W57" s="367" t="e">
        <f t="shared" si="35"/>
        <v>#REF!</v>
      </c>
      <c r="X57" s="364" t="e">
        <f t="shared" si="33"/>
        <v>#REF!</v>
      </c>
      <c r="Z57" s="369" t="str">
        <f t="shared" si="36"/>
        <v>n/m</v>
      </c>
      <c r="AA57" s="513" t="str">
        <f t="shared" si="34"/>
        <v>n/m</v>
      </c>
    </row>
    <row r="58" spans="3:27" ht="15" customHeight="1" x14ac:dyDescent="0.35">
      <c r="C58" s="355"/>
      <c r="D58" s="344"/>
      <c r="E58" s="201"/>
      <c r="F58" s="201"/>
      <c r="G58" s="201"/>
      <c r="H58" s="344"/>
      <c r="I58" s="344"/>
      <c r="J58" s="201"/>
      <c r="K58" s="201"/>
      <c r="L58" s="201"/>
      <c r="M58" s="344"/>
      <c r="N58" s="201"/>
      <c r="O58" s="201"/>
      <c r="P58" s="201"/>
      <c r="Q58" s="344"/>
      <c r="R58" s="201"/>
      <c r="S58" s="201"/>
      <c r="T58" s="201"/>
      <c r="U58" s="344"/>
      <c r="Z58" s="363"/>
      <c r="AA58" s="363"/>
    </row>
    <row r="59" spans="3:27" ht="15" customHeight="1" x14ac:dyDescent="0.35">
      <c r="C59" s="353" t="s">
        <v>867</v>
      </c>
      <c r="D59" s="344" t="e">
        <f>SUM(#REF!)</f>
        <v>#REF!</v>
      </c>
      <c r="E59" s="201" t="e">
        <f>SUMIF(#REF!,$E$50,#REF!)</f>
        <v>#REF!</v>
      </c>
      <c r="F59" s="201" t="e">
        <f>SUMIF(#REF!,F50,#REF!)</f>
        <v>#REF!</v>
      </c>
      <c r="G59" s="201" t="e">
        <f>SUMIF(#REF!,G50,#REF!)</f>
        <v>#REF!</v>
      </c>
      <c r="H59" s="344" t="e">
        <f>SUM(E59:G59)</f>
        <v>#REF!</v>
      </c>
      <c r="I59" s="344">
        <f>SUM('VCN Board View (Budget) '!AD35:AF35)</f>
        <v>-25083310.326327089</v>
      </c>
      <c r="J59" s="201"/>
      <c r="K59" s="201"/>
      <c r="L59" s="201"/>
      <c r="M59" s="344"/>
      <c r="N59" s="201"/>
      <c r="O59" s="201"/>
      <c r="P59" s="201"/>
      <c r="Q59" s="344"/>
      <c r="R59" s="201"/>
      <c r="S59" s="201"/>
      <c r="T59" s="201"/>
      <c r="U59" s="344"/>
      <c r="W59" s="202" t="e">
        <f>+H59-D59</f>
        <v>#REF!</v>
      </c>
      <c r="X59" s="201" t="e">
        <f>H59-I59</f>
        <v>#REF!</v>
      </c>
      <c r="Z59" s="362" t="str">
        <f t="shared" ref="Z59:Z61" si="38">+IFERROR(W59/ABS(D59),"n/m")</f>
        <v>n/m</v>
      </c>
      <c r="AA59" s="512" t="str">
        <f>IFERROR(X59/ABS(I59),"n/m")</f>
        <v>n/m</v>
      </c>
    </row>
    <row r="60" spans="3:27" ht="15" customHeight="1" x14ac:dyDescent="0.35">
      <c r="C60" s="353" t="s">
        <v>491</v>
      </c>
      <c r="D60" s="344" t="e">
        <f>SUM(#REF!)</f>
        <v>#REF!</v>
      </c>
      <c r="E60" s="201" t="e">
        <f>SUMIF(#REF!,$E$50,#REF!)</f>
        <v>#REF!</v>
      </c>
      <c r="F60" s="201" t="e">
        <f>SUMIF(#REF!,F50,#REF!)</f>
        <v>#REF!</v>
      </c>
      <c r="G60" s="201" t="e">
        <f>SUMIF(#REF!,G50,#REF!)</f>
        <v>#REF!</v>
      </c>
      <c r="H60" s="344" t="e">
        <f>SUM(E60:G60)</f>
        <v>#REF!</v>
      </c>
      <c r="I60" s="344">
        <f>SUM('VCN Board View (Budget) '!AD44:AF44)</f>
        <v>-9767740.3286639992</v>
      </c>
      <c r="J60" s="201"/>
      <c r="K60" s="201"/>
      <c r="L60" s="201"/>
      <c r="M60" s="344"/>
      <c r="N60" s="201"/>
      <c r="O60" s="201"/>
      <c r="P60" s="201"/>
      <c r="Q60" s="344"/>
      <c r="R60" s="201"/>
      <c r="S60" s="201"/>
      <c r="T60" s="201"/>
      <c r="U60" s="344"/>
      <c r="W60" s="202" t="e">
        <f>+H60-D60</f>
        <v>#REF!</v>
      </c>
      <c r="X60" s="201" t="e">
        <f>H60-I60</f>
        <v>#REF!</v>
      </c>
      <c r="Z60" s="362" t="str">
        <f t="shared" si="38"/>
        <v>n/m</v>
      </c>
      <c r="AA60" s="512" t="str">
        <f>IFERROR(X60/ABS(I60),"n/m")</f>
        <v>n/m</v>
      </c>
    </row>
    <row r="61" spans="3:27" ht="15" customHeight="1" x14ac:dyDescent="0.35">
      <c r="C61" s="356" t="s">
        <v>1037</v>
      </c>
      <c r="D61" s="371" t="e">
        <f t="shared" ref="D61:I61" si="39">SUM(D59:D60)</f>
        <v>#REF!</v>
      </c>
      <c r="E61" s="370" t="e">
        <f t="shared" si="39"/>
        <v>#REF!</v>
      </c>
      <c r="F61" s="370" t="e">
        <f t="shared" si="39"/>
        <v>#REF!</v>
      </c>
      <c r="G61" s="370" t="e">
        <f t="shared" si="39"/>
        <v>#REF!</v>
      </c>
      <c r="H61" s="371" t="e">
        <f t="shared" si="39"/>
        <v>#REF!</v>
      </c>
      <c r="I61" s="371">
        <f t="shared" si="39"/>
        <v>-34851050.65499109</v>
      </c>
      <c r="J61" s="370"/>
      <c r="K61" s="370"/>
      <c r="L61" s="370"/>
      <c r="M61" s="371"/>
      <c r="N61" s="370"/>
      <c r="O61" s="370"/>
      <c r="P61" s="370"/>
      <c r="Q61" s="371"/>
      <c r="R61" s="370"/>
      <c r="S61" s="370"/>
      <c r="T61" s="370"/>
      <c r="U61" s="371"/>
      <c r="W61" s="372" t="e">
        <f>+H61-D61</f>
        <v>#REF!</v>
      </c>
      <c r="X61" s="370" t="e">
        <f>H61-I61</f>
        <v>#REF!</v>
      </c>
      <c r="Z61" s="374" t="str">
        <f t="shared" si="38"/>
        <v>n/m</v>
      </c>
      <c r="AA61" s="514" t="str">
        <f>IFERROR(X61/ABS(I61),"n/m")</f>
        <v>n/m</v>
      </c>
    </row>
    <row r="62" spans="3:27" ht="15" customHeight="1" x14ac:dyDescent="0.35">
      <c r="C62" s="355"/>
      <c r="D62" s="344"/>
      <c r="E62" s="201"/>
      <c r="F62" s="201"/>
      <c r="G62" s="201"/>
      <c r="H62" s="344"/>
      <c r="I62" s="344"/>
      <c r="J62" s="201"/>
      <c r="K62" s="201"/>
      <c r="L62" s="201"/>
      <c r="M62" s="344"/>
      <c r="N62" s="201"/>
      <c r="O62" s="201"/>
      <c r="P62" s="201"/>
      <c r="Q62" s="344"/>
      <c r="R62" s="201"/>
      <c r="S62" s="201"/>
      <c r="T62" s="201"/>
      <c r="U62" s="344"/>
      <c r="Z62" s="363"/>
      <c r="AA62" s="363"/>
    </row>
    <row r="63" spans="3:27" ht="15" customHeight="1" x14ac:dyDescent="0.35">
      <c r="C63" s="354" t="s">
        <v>868</v>
      </c>
      <c r="D63" s="365" t="e">
        <f t="shared" ref="D63:I63" si="40">D57+D61</f>
        <v>#REF!</v>
      </c>
      <c r="E63" s="364" t="e">
        <f t="shared" si="40"/>
        <v>#REF!</v>
      </c>
      <c r="F63" s="364" t="e">
        <f t="shared" si="40"/>
        <v>#REF!</v>
      </c>
      <c r="G63" s="364" t="e">
        <f t="shared" si="40"/>
        <v>#REF!</v>
      </c>
      <c r="H63" s="365" t="e">
        <f t="shared" si="40"/>
        <v>#REF!</v>
      </c>
      <c r="I63" s="365">
        <f t="shared" si="40"/>
        <v>9730285.3430893049</v>
      </c>
      <c r="J63" s="364"/>
      <c r="K63" s="364"/>
      <c r="L63" s="364"/>
      <c r="M63" s="365"/>
      <c r="N63" s="364"/>
      <c r="O63" s="364"/>
      <c r="P63" s="364"/>
      <c r="Q63" s="365"/>
      <c r="R63" s="364"/>
      <c r="S63" s="364"/>
      <c r="T63" s="364"/>
      <c r="U63" s="365"/>
      <c r="W63" s="367" t="e">
        <f>+H63-D63</f>
        <v>#REF!</v>
      </c>
      <c r="X63" s="364" t="e">
        <f>H63-I63</f>
        <v>#REF!</v>
      </c>
      <c r="Z63" s="369" t="str">
        <f>+IFERROR(W63/ABS(D63),"n/m")</f>
        <v>n/m</v>
      </c>
      <c r="AA63" s="513" t="str">
        <f>IFERROR(X63/ABS(I63),"n/m")</f>
        <v>n/m</v>
      </c>
    </row>
    <row r="64" spans="3:27" ht="15" customHeight="1" x14ac:dyDescent="0.35">
      <c r="C64" s="357" t="s">
        <v>1038</v>
      </c>
      <c r="D64" s="345" t="e">
        <f t="shared" ref="D64:I64" si="41">D63/D57</f>
        <v>#REF!</v>
      </c>
      <c r="E64" s="232" t="e">
        <f t="shared" si="41"/>
        <v>#REF!</v>
      </c>
      <c r="F64" s="232" t="e">
        <f t="shared" si="41"/>
        <v>#REF!</v>
      </c>
      <c r="G64" s="232" t="e">
        <f t="shared" si="41"/>
        <v>#REF!</v>
      </c>
      <c r="H64" s="345" t="e">
        <f t="shared" si="41"/>
        <v>#REF!</v>
      </c>
      <c r="I64" s="345">
        <f t="shared" si="41"/>
        <v>0.21825916889319505</v>
      </c>
      <c r="J64" s="232"/>
      <c r="K64" s="232"/>
      <c r="L64" s="232"/>
      <c r="M64" s="345"/>
      <c r="N64" s="232"/>
      <c r="O64" s="232"/>
      <c r="P64" s="232"/>
      <c r="Q64" s="345"/>
      <c r="R64" s="232"/>
      <c r="S64" s="232"/>
      <c r="T64" s="232"/>
      <c r="U64" s="345"/>
      <c r="Z64" s="363"/>
      <c r="AA64" s="363"/>
    </row>
    <row r="65" spans="3:27" ht="15" customHeight="1" x14ac:dyDescent="0.35">
      <c r="C65" s="354" t="s">
        <v>1039</v>
      </c>
      <c r="D65" s="365" t="e">
        <f>D63</f>
        <v>#REF!</v>
      </c>
      <c r="E65" s="364" t="e">
        <f>SUMIF(#REF!,$E$50,#REF!)</f>
        <v>#REF!</v>
      </c>
      <c r="F65" s="364" t="e">
        <f>SUMIF(#REF!,F50,#REF!)</f>
        <v>#REF!</v>
      </c>
      <c r="G65" s="364" t="e">
        <f>SUMIF(#REF!,G50,#REF!)</f>
        <v>#REF!</v>
      </c>
      <c r="H65" s="365" t="e">
        <f>SUM(E65:G65)</f>
        <v>#REF!</v>
      </c>
      <c r="I65" s="365"/>
      <c r="J65" s="364"/>
      <c r="K65" s="364"/>
      <c r="L65" s="364"/>
      <c r="M65" s="365"/>
      <c r="N65" s="364"/>
      <c r="O65" s="364"/>
      <c r="P65" s="364"/>
      <c r="Q65" s="365"/>
      <c r="R65" s="364"/>
      <c r="S65" s="364"/>
      <c r="T65" s="364"/>
      <c r="U65" s="365"/>
      <c r="W65" s="367" t="e">
        <f>+H65-D65</f>
        <v>#REF!</v>
      </c>
      <c r="X65" s="364" t="e">
        <f>H65-I65</f>
        <v>#REF!</v>
      </c>
      <c r="Z65" s="369" t="str">
        <f>+IFERROR(W65/ABS(D65),"n/m")</f>
        <v>n/m</v>
      </c>
      <c r="AA65" s="513" t="str">
        <f>IFERROR(X65/ABS(I65),"n/m")</f>
        <v>n/m</v>
      </c>
    </row>
    <row r="66" spans="3:27" ht="15" customHeight="1" x14ac:dyDescent="0.35">
      <c r="C66" s="357" t="s">
        <v>1040</v>
      </c>
      <c r="D66" s="509" t="e">
        <f>D65/D57</f>
        <v>#REF!</v>
      </c>
      <c r="E66" s="232" t="e">
        <f>#REF!</f>
        <v>#REF!</v>
      </c>
      <c r="F66" s="232" t="e">
        <f>#REF!</f>
        <v>#REF!</v>
      </c>
      <c r="G66" s="232" t="e">
        <f>#REF!</f>
        <v>#REF!</v>
      </c>
      <c r="H66" s="509" t="e">
        <f>AVERAGE(E66:G66)</f>
        <v>#REF!</v>
      </c>
      <c r="I66" s="509"/>
      <c r="J66" s="232"/>
      <c r="K66" s="232"/>
      <c r="L66" s="232"/>
      <c r="M66" s="345"/>
      <c r="N66" s="232"/>
      <c r="O66" s="232"/>
      <c r="P66" s="232"/>
      <c r="Q66" s="345"/>
      <c r="R66" s="232"/>
      <c r="S66" s="232"/>
      <c r="T66" s="232"/>
      <c r="U66" s="345"/>
      <c r="Z66" s="363"/>
      <c r="AA66" s="363"/>
    </row>
    <row r="67" spans="3:27" ht="15" customHeight="1" x14ac:dyDescent="0.35">
      <c r="C67" s="355"/>
      <c r="D67" s="344"/>
      <c r="E67" s="201"/>
      <c r="F67" s="201"/>
      <c r="G67" s="201"/>
      <c r="H67" s="344"/>
      <c r="I67" s="344"/>
      <c r="J67" s="201"/>
      <c r="K67" s="201"/>
      <c r="L67" s="201"/>
      <c r="M67" s="344"/>
      <c r="N67" s="201"/>
      <c r="O67" s="201"/>
      <c r="P67" s="201"/>
      <c r="Q67" s="344"/>
      <c r="R67" s="201"/>
      <c r="S67" s="201"/>
      <c r="T67" s="201"/>
      <c r="U67" s="344"/>
      <c r="Z67" s="363"/>
      <c r="AA67" s="363"/>
    </row>
    <row r="68" spans="3:27" ht="15" customHeight="1" x14ac:dyDescent="0.35">
      <c r="C68" s="353" t="s">
        <v>1041</v>
      </c>
      <c r="D68" s="344" t="e">
        <f>SUM(#REF!)</f>
        <v>#REF!</v>
      </c>
      <c r="E68" s="201" t="e">
        <f>SUMIF(#REF!,$E$50,#REF!)</f>
        <v>#REF!</v>
      </c>
      <c r="F68" s="201" t="e">
        <f>SUMIF(#REF!,F50,#REF!)</f>
        <v>#REF!</v>
      </c>
      <c r="G68" s="201" t="e">
        <f>SUMIF(#REF!,G50,#REF!)</f>
        <v>#REF!</v>
      </c>
      <c r="H68" s="344" t="e">
        <f>SUM(E68:G68)</f>
        <v>#REF!</v>
      </c>
      <c r="I68" s="344">
        <f>SUM('VCN Board View (Budget) '!AD56:AF56)</f>
        <v>-14666172.919164158</v>
      </c>
      <c r="J68" s="201"/>
      <c r="K68" s="201"/>
      <c r="L68" s="201"/>
      <c r="M68" s="344"/>
      <c r="N68" s="201"/>
      <c r="O68" s="201"/>
      <c r="P68" s="201"/>
      <c r="Q68" s="344"/>
      <c r="R68" s="201"/>
      <c r="S68" s="201"/>
      <c r="T68" s="201"/>
      <c r="U68" s="344"/>
      <c r="W68" s="202" t="e">
        <f>+H68-D68</f>
        <v>#REF!</v>
      </c>
      <c r="X68" s="201" t="e">
        <f>H68-I68</f>
        <v>#REF!</v>
      </c>
      <c r="Z68" s="362" t="str">
        <f t="shared" ref="Z68:Z70" si="42">+IFERROR(W68/ABS(D68),"n/m")</f>
        <v>n/m</v>
      </c>
      <c r="AA68" s="512" t="str">
        <f>IFERROR(X68/ABS(I68),"n/m")</f>
        <v>n/m</v>
      </c>
    </row>
    <row r="69" spans="3:27" ht="15" customHeight="1" x14ac:dyDescent="0.35">
      <c r="C69" s="353" t="s">
        <v>1042</v>
      </c>
      <c r="D69" s="344" t="e">
        <f>SUM(#REF!)</f>
        <v>#REF!</v>
      </c>
      <c r="E69" s="201" t="e">
        <f>SUMIF(#REF!,$E$50,#REF!)+SUMIF(#REF!,$E$50,#REF!)+SUMIF(#REF!,$E$50,#REF!)</f>
        <v>#REF!</v>
      </c>
      <c r="F69" s="201" t="e">
        <f>SUMIF(#REF!,F50,#REF!)+SUMIF(#REF!,$F$50,#REF!)+SUMIF(#REF!,$F$50,#REF!)</f>
        <v>#REF!</v>
      </c>
      <c r="G69" s="201" t="e">
        <f>SUMIF(#REF!,G50,#REF!)+SUMIF(#REF!,$G$50,#REF!)+SUMIF(#REF!,$G$50,#REF!)</f>
        <v>#REF!</v>
      </c>
      <c r="H69" s="344" t="e">
        <f>SUM(E69:G69)</f>
        <v>#REF!</v>
      </c>
      <c r="I69" s="344">
        <f>SUM('VCN Board View (Budget) '!AD58:AF59)</f>
        <v>-30638330.613884185</v>
      </c>
      <c r="J69" s="201"/>
      <c r="K69" s="201"/>
      <c r="L69" s="201"/>
      <c r="M69" s="344"/>
      <c r="N69" s="201"/>
      <c r="O69" s="201"/>
      <c r="P69" s="201"/>
      <c r="Q69" s="344"/>
      <c r="R69" s="201"/>
      <c r="S69" s="201"/>
      <c r="T69" s="201"/>
      <c r="U69" s="344"/>
      <c r="W69" s="202" t="e">
        <f>+H69-D69</f>
        <v>#REF!</v>
      </c>
      <c r="X69" s="201" t="e">
        <f>H69-I69</f>
        <v>#REF!</v>
      </c>
      <c r="Z69" s="362" t="str">
        <f t="shared" si="42"/>
        <v>n/m</v>
      </c>
      <c r="AA69" s="512" t="str">
        <f>IFERROR(X69/ABS(I69),"n/m")</f>
        <v>n/m</v>
      </c>
    </row>
    <row r="70" spans="3:27" ht="15" customHeight="1" x14ac:dyDescent="0.35">
      <c r="C70" s="356" t="s">
        <v>480</v>
      </c>
      <c r="D70" s="371" t="e">
        <f>SUM(D68:D69)</f>
        <v>#REF!</v>
      </c>
      <c r="E70" s="370" t="e">
        <f t="shared" ref="E70" si="43">SUM(E68:E69)</f>
        <v>#REF!</v>
      </c>
      <c r="F70" s="370" t="e">
        <f t="shared" ref="F70:G70" si="44">SUM(F68:F69)</f>
        <v>#REF!</v>
      </c>
      <c r="G70" s="370" t="e">
        <f t="shared" si="44"/>
        <v>#REF!</v>
      </c>
      <c r="H70" s="371" t="e">
        <f>SUM(H68:H69)</f>
        <v>#REF!</v>
      </c>
      <c r="I70" s="371">
        <f>SUM(I68:I69)</f>
        <v>-45304503.533048347</v>
      </c>
      <c r="J70" s="370"/>
      <c r="K70" s="370"/>
      <c r="L70" s="370"/>
      <c r="M70" s="371"/>
      <c r="N70" s="370"/>
      <c r="O70" s="370"/>
      <c r="P70" s="370"/>
      <c r="Q70" s="371"/>
      <c r="R70" s="370"/>
      <c r="S70" s="370"/>
      <c r="T70" s="370"/>
      <c r="U70" s="371"/>
      <c r="W70" s="372" t="e">
        <f>+H70-D70</f>
        <v>#REF!</v>
      </c>
      <c r="X70" s="370" t="e">
        <f>H70-I70</f>
        <v>#REF!</v>
      </c>
      <c r="Z70" s="374" t="str">
        <f t="shared" si="42"/>
        <v>n/m</v>
      </c>
      <c r="AA70" s="514" t="str">
        <f>IFERROR(X70/ABS(I70),"n/m")</f>
        <v>n/m</v>
      </c>
    </row>
    <row r="71" spans="3:27" ht="15" customHeight="1" x14ac:dyDescent="0.35">
      <c r="C71" s="355"/>
      <c r="D71" s="344"/>
      <c r="E71" s="201"/>
      <c r="F71" s="201"/>
      <c r="G71" s="201"/>
      <c r="H71" s="344"/>
      <c r="I71" s="344"/>
      <c r="J71" s="201"/>
      <c r="K71" s="201"/>
      <c r="L71" s="201"/>
      <c r="M71" s="344"/>
      <c r="N71" s="201"/>
      <c r="O71" s="201"/>
      <c r="P71" s="201"/>
      <c r="Q71" s="344"/>
      <c r="R71" s="201"/>
      <c r="S71" s="201"/>
      <c r="T71" s="201"/>
      <c r="U71" s="344"/>
      <c r="Z71" s="363"/>
      <c r="AA71" s="363"/>
    </row>
    <row r="72" spans="3:27" ht="15" customHeight="1" x14ac:dyDescent="0.35">
      <c r="C72" s="354" t="s">
        <v>812</v>
      </c>
      <c r="D72" s="365" t="e">
        <f>D63+D70</f>
        <v>#REF!</v>
      </c>
      <c r="E72" s="364" t="e">
        <f>E70+E63</f>
        <v>#REF!</v>
      </c>
      <c r="F72" s="364" t="e">
        <f>F70+F63</f>
        <v>#REF!</v>
      </c>
      <c r="G72" s="364" t="e">
        <f>G70+G63</f>
        <v>#REF!</v>
      </c>
      <c r="H72" s="365" t="e">
        <f>H63+H70</f>
        <v>#REF!</v>
      </c>
      <c r="I72" s="365">
        <f>I63+I70</f>
        <v>-35574218.189959042</v>
      </c>
      <c r="J72" s="364"/>
      <c r="K72" s="364"/>
      <c r="L72" s="364"/>
      <c r="M72" s="365"/>
      <c r="N72" s="364"/>
      <c r="O72" s="364"/>
      <c r="P72" s="364"/>
      <c r="Q72" s="365"/>
      <c r="R72" s="364"/>
      <c r="S72" s="364"/>
      <c r="T72" s="364"/>
      <c r="U72" s="365"/>
      <c r="W72" s="367" t="e">
        <f>+H72-D72</f>
        <v>#REF!</v>
      </c>
      <c r="X72" s="364" t="e">
        <f>H72-I72</f>
        <v>#REF!</v>
      </c>
      <c r="Z72" s="369" t="str">
        <f>+IFERROR(W72/ABS(D72),"n/m")</f>
        <v>n/m</v>
      </c>
      <c r="AA72" s="513" t="str">
        <f>IFERROR(X72/ABS(I72),"n/m")</f>
        <v>n/m</v>
      </c>
    </row>
    <row r="73" spans="3:27" ht="15" customHeight="1" x14ac:dyDescent="0.35">
      <c r="C73" s="357" t="s">
        <v>1043</v>
      </c>
      <c r="D73" s="345" t="e">
        <f t="shared" ref="D73:I73" si="45">D72/D57</f>
        <v>#REF!</v>
      </c>
      <c r="E73" s="232" t="e">
        <f t="shared" si="45"/>
        <v>#REF!</v>
      </c>
      <c r="F73" s="232" t="e">
        <f t="shared" si="45"/>
        <v>#REF!</v>
      </c>
      <c r="G73" s="232" t="e">
        <f t="shared" si="45"/>
        <v>#REF!</v>
      </c>
      <c r="H73" s="345" t="e">
        <f t="shared" si="45"/>
        <v>#REF!</v>
      </c>
      <c r="I73" s="345">
        <f t="shared" si="45"/>
        <v>-0.79796213804563443</v>
      </c>
      <c r="J73" s="232"/>
      <c r="K73" s="232"/>
      <c r="L73" s="232"/>
      <c r="M73" s="345"/>
      <c r="N73" s="232"/>
      <c r="O73" s="232"/>
      <c r="P73" s="232"/>
      <c r="Q73" s="345"/>
      <c r="R73" s="232"/>
      <c r="S73" s="232"/>
      <c r="T73" s="232"/>
      <c r="U73" s="345"/>
      <c r="Z73" s="363"/>
      <c r="AA73" s="363"/>
    </row>
    <row r="74" spans="3:27" ht="15" customHeight="1" x14ac:dyDescent="0.35">
      <c r="C74" s="358" t="s">
        <v>1044</v>
      </c>
      <c r="D74" s="201" t="e">
        <f t="shared" ref="D74:I74" si="46">D63+D68</f>
        <v>#REF!</v>
      </c>
      <c r="E74" s="201" t="e">
        <f t="shared" si="46"/>
        <v>#REF!</v>
      </c>
      <c r="F74" s="201" t="e">
        <f t="shared" si="46"/>
        <v>#REF!</v>
      </c>
      <c r="G74" s="201" t="e">
        <f t="shared" si="46"/>
        <v>#REF!</v>
      </c>
      <c r="H74" s="201" t="e">
        <f t="shared" si="46"/>
        <v>#REF!</v>
      </c>
      <c r="I74" s="201">
        <f t="shared" si="46"/>
        <v>-4935887.5760748535</v>
      </c>
      <c r="J74" s="201"/>
      <c r="K74" s="201"/>
      <c r="L74" s="201"/>
      <c r="M74" s="344"/>
      <c r="N74" s="201"/>
      <c r="O74" s="201"/>
      <c r="P74" s="201"/>
      <c r="Q74" s="344"/>
      <c r="R74" s="201"/>
      <c r="S74" s="201"/>
      <c r="T74" s="201"/>
      <c r="U74" s="344"/>
      <c r="W74" s="202" t="e">
        <f>+H74-D74</f>
        <v>#REF!</v>
      </c>
      <c r="X74" s="201" t="e">
        <f>H74-I74</f>
        <v>#REF!</v>
      </c>
      <c r="Z74" s="362" t="str">
        <f t="shared" ref="Z74:Z75" si="47">+IFERROR(W74/ABS(D74),"n/m")</f>
        <v>n/m</v>
      </c>
      <c r="AA74" s="512" t="str">
        <f>IFERROR(X74/ABS(I74),"n/m")</f>
        <v>n/m</v>
      </c>
    </row>
    <row r="75" spans="3:27" ht="15" customHeight="1" x14ac:dyDescent="0.35">
      <c r="C75" s="358" t="s">
        <v>1059</v>
      </c>
      <c r="D75" s="429"/>
      <c r="E75" s="234">
        <v>-721699.50999999605</v>
      </c>
      <c r="F75" s="234">
        <v>-3099909.2600000072</v>
      </c>
      <c r="G75" s="234">
        <v>-6040285.929999995</v>
      </c>
      <c r="H75" s="429">
        <f>SUM(E75:G75)</f>
        <v>-9861894.6999999993</v>
      </c>
      <c r="I75" s="429" t="s">
        <v>1095</v>
      </c>
      <c r="J75" s="234"/>
      <c r="K75" s="234"/>
      <c r="L75" s="234"/>
      <c r="M75" s="429"/>
      <c r="N75" s="234"/>
      <c r="O75" s="234"/>
      <c r="P75" s="234"/>
      <c r="Q75" s="429"/>
      <c r="R75" s="234"/>
      <c r="S75" s="234"/>
      <c r="T75" s="234"/>
      <c r="U75" s="429"/>
      <c r="W75" s="202">
        <f>+H75-D75</f>
        <v>-9861894.6999999993</v>
      </c>
      <c r="X75" s="201" t="e">
        <f>H75-I75</f>
        <v>#VALUE!</v>
      </c>
      <c r="Z75" s="362" t="str">
        <f t="shared" si="47"/>
        <v>n/m</v>
      </c>
      <c r="AA75" s="512" t="str">
        <f>IFERROR(X75/ABS(I75),"n/m")</f>
        <v>n/m</v>
      </c>
    </row>
    <row r="76" spans="3:27" ht="15" customHeight="1" x14ac:dyDescent="0.35">
      <c r="C76" s="355"/>
      <c r="D76" s="344"/>
      <c r="E76" s="201"/>
      <c r="F76" s="201"/>
      <c r="G76" s="201"/>
      <c r="H76" s="344"/>
      <c r="I76" s="344"/>
      <c r="J76" s="201"/>
      <c r="K76" s="201"/>
      <c r="L76" s="201"/>
      <c r="M76" s="344"/>
      <c r="N76" s="201"/>
      <c r="O76" s="201"/>
      <c r="P76" s="201"/>
      <c r="Q76" s="344"/>
      <c r="R76" s="201"/>
      <c r="S76" s="201"/>
      <c r="T76" s="201"/>
      <c r="U76" s="344"/>
      <c r="Z76" s="363"/>
      <c r="AA76" s="363"/>
    </row>
    <row r="77" spans="3:27" ht="15" customHeight="1" x14ac:dyDescent="0.45">
      <c r="C77" s="359" t="s">
        <v>557</v>
      </c>
      <c r="D77" s="344" t="e">
        <f>SUM(#REF!)</f>
        <v>#REF!</v>
      </c>
      <c r="E77" s="201" t="e">
        <f>SUMIF(#REF!,$E$50,#REF!)</f>
        <v>#REF!</v>
      </c>
      <c r="F77" s="201" t="e">
        <f>SUMIF(#REF!,F50,#REF!)</f>
        <v>#REF!</v>
      </c>
      <c r="G77" s="201" t="e">
        <f>SUMIF(#REF!,G50,#REF!)</f>
        <v>#REF!</v>
      </c>
      <c r="H77" s="344" t="e">
        <f>SUM(E77:G77)</f>
        <v>#REF!</v>
      </c>
      <c r="I77" s="344">
        <f>SUM('VCN Board View (Budget) '!AD64:AF64)</f>
        <v>-6057738.3836224601</v>
      </c>
      <c r="J77" s="201"/>
      <c r="K77" s="201"/>
      <c r="L77" s="201"/>
      <c r="M77" s="344"/>
      <c r="N77" s="201"/>
      <c r="O77" s="201"/>
      <c r="P77" s="201"/>
      <c r="Q77" s="344"/>
      <c r="R77" s="201"/>
      <c r="S77" s="201"/>
      <c r="T77" s="201"/>
      <c r="U77" s="344"/>
      <c r="W77" s="202" t="e">
        <f>+H77-D77</f>
        <v>#REF!</v>
      </c>
      <c r="X77" s="201" t="e">
        <f>H77-I77</f>
        <v>#REF!</v>
      </c>
      <c r="Z77" s="362" t="str">
        <f t="shared" ref="Z77:Z78" si="48">+IFERROR(W77/ABS(D77),"n/m")</f>
        <v>n/m</v>
      </c>
      <c r="AA77" s="512" t="str">
        <f>IFERROR(X77/ABS(I77),"n/m")</f>
        <v>n/m</v>
      </c>
    </row>
    <row r="78" spans="3:27" ht="15" customHeight="1" x14ac:dyDescent="0.35">
      <c r="C78" s="356" t="s">
        <v>813</v>
      </c>
      <c r="D78" s="371" t="e">
        <f t="shared" ref="D78:I78" si="49">D77+D72</f>
        <v>#REF!</v>
      </c>
      <c r="E78" s="370" t="e">
        <f t="shared" si="49"/>
        <v>#REF!</v>
      </c>
      <c r="F78" s="370" t="e">
        <f t="shared" si="49"/>
        <v>#REF!</v>
      </c>
      <c r="G78" s="370" t="e">
        <f t="shared" si="49"/>
        <v>#REF!</v>
      </c>
      <c r="H78" s="371" t="e">
        <f t="shared" si="49"/>
        <v>#REF!</v>
      </c>
      <c r="I78" s="371">
        <f t="shared" si="49"/>
        <v>-41631956.573581502</v>
      </c>
      <c r="J78" s="370"/>
      <c r="K78" s="370"/>
      <c r="L78" s="370"/>
      <c r="M78" s="371"/>
      <c r="N78" s="370"/>
      <c r="O78" s="370"/>
      <c r="P78" s="370"/>
      <c r="Q78" s="371"/>
      <c r="R78" s="370"/>
      <c r="S78" s="370"/>
      <c r="T78" s="370"/>
      <c r="U78" s="371"/>
      <c r="W78" s="372" t="e">
        <f>+H78-D78</f>
        <v>#REF!</v>
      </c>
      <c r="X78" s="370" t="e">
        <f>H78-I78</f>
        <v>#REF!</v>
      </c>
      <c r="Z78" s="374" t="str">
        <f t="shared" si="48"/>
        <v>n/m</v>
      </c>
      <c r="AA78" s="514" t="str">
        <f>IFERROR(X78/ABS(I78),"n/m")</f>
        <v>n/m</v>
      </c>
    </row>
    <row r="79" spans="3:27" ht="15" customHeight="1" x14ac:dyDescent="0.35">
      <c r="C79" s="355"/>
      <c r="D79" s="344"/>
      <c r="E79" s="201"/>
      <c r="F79" s="201"/>
      <c r="G79" s="201"/>
      <c r="H79" s="344"/>
      <c r="I79" s="344"/>
      <c r="J79" s="201"/>
      <c r="K79" s="201"/>
      <c r="L79" s="201"/>
      <c r="M79" s="344"/>
      <c r="N79" s="201"/>
      <c r="O79" s="201"/>
      <c r="P79" s="201"/>
      <c r="Q79" s="344"/>
      <c r="R79" s="201"/>
      <c r="S79" s="201"/>
      <c r="T79" s="201"/>
      <c r="U79" s="344"/>
      <c r="Z79" s="363"/>
      <c r="AA79" s="363"/>
    </row>
    <row r="80" spans="3:27" ht="15" customHeight="1" x14ac:dyDescent="0.45">
      <c r="C80" s="359" t="s">
        <v>564</v>
      </c>
      <c r="D80" s="344" t="e">
        <f>SUM(#REF!)</f>
        <v>#REF!</v>
      </c>
      <c r="E80" s="201" t="e">
        <f>SUMIF(#REF!,$E$50,#REF!)</f>
        <v>#REF!</v>
      </c>
      <c r="F80" s="201" t="e">
        <f>SUMIF(#REF!,F50,#REF!)</f>
        <v>#REF!</v>
      </c>
      <c r="G80" s="201" t="e">
        <f>SUMIF(#REF!,G50,#REF!)</f>
        <v>#REF!</v>
      </c>
      <c r="H80" s="344" t="e">
        <f>SUM(E80:G80)</f>
        <v>#REF!</v>
      </c>
      <c r="I80" s="344">
        <f>SUM('VCN Board View (Budget) '!AD66:AF66)</f>
        <v>-7886041.6666666679</v>
      </c>
      <c r="J80" s="201"/>
      <c r="K80" s="201"/>
      <c r="L80" s="201"/>
      <c r="M80" s="344"/>
      <c r="N80" s="201"/>
      <c r="O80" s="201"/>
      <c r="P80" s="201"/>
      <c r="Q80" s="344"/>
      <c r="R80" s="201"/>
      <c r="S80" s="201"/>
      <c r="T80" s="201"/>
      <c r="U80" s="344"/>
      <c r="W80" s="202" t="e">
        <f>+H80-D80</f>
        <v>#REF!</v>
      </c>
      <c r="X80" s="201" t="e">
        <f>H80-I80</f>
        <v>#REF!</v>
      </c>
      <c r="Z80" s="362" t="str">
        <f>+IFERROR(W80/ABS(D80),"n/m")</f>
        <v>n/m</v>
      </c>
      <c r="AA80" s="512" t="str">
        <f>IFERROR(X80/ABS(I80),"n/m")</f>
        <v>n/m</v>
      </c>
    </row>
    <row r="81" spans="3:27" ht="15" customHeight="1" x14ac:dyDescent="0.35">
      <c r="C81" s="356" t="s">
        <v>814</v>
      </c>
      <c r="D81" s="371" t="e">
        <f>D78+D80</f>
        <v>#REF!</v>
      </c>
      <c r="E81" s="370" t="e">
        <f>E80+E78</f>
        <v>#REF!</v>
      </c>
      <c r="F81" s="370" t="e">
        <f>F80+F78</f>
        <v>#REF!</v>
      </c>
      <c r="G81" s="370" t="e">
        <f>G80+G78</f>
        <v>#REF!</v>
      </c>
      <c r="H81" s="371" t="e">
        <f>H78+H80</f>
        <v>#REF!</v>
      </c>
      <c r="I81" s="371">
        <f>I78+I80</f>
        <v>-49517998.240248173</v>
      </c>
      <c r="J81" s="370"/>
      <c r="K81" s="370"/>
      <c r="L81" s="370"/>
      <c r="M81" s="371"/>
      <c r="N81" s="370"/>
      <c r="O81" s="370"/>
      <c r="P81" s="370"/>
      <c r="Q81" s="371"/>
      <c r="R81" s="370"/>
      <c r="S81" s="370"/>
      <c r="T81" s="370"/>
      <c r="U81" s="371"/>
      <c r="W81" s="372" t="e">
        <f>+H81-D81</f>
        <v>#REF!</v>
      </c>
      <c r="X81" s="370" t="e">
        <f>H81-I81</f>
        <v>#REF!</v>
      </c>
      <c r="Z81" s="374" t="str">
        <f>+IFERROR(W81/ABS(D81),"n/m")</f>
        <v>n/m</v>
      </c>
      <c r="AA81" s="514" t="str">
        <f>IFERROR(X81/ABS(I81),"n/m")</f>
        <v>n/m</v>
      </c>
    </row>
    <row r="82" spans="3:27" ht="15" customHeight="1" x14ac:dyDescent="0.35">
      <c r="C82" s="355"/>
      <c r="D82" s="344"/>
      <c r="E82" s="201"/>
      <c r="F82" s="201"/>
      <c r="G82" s="201"/>
      <c r="H82" s="344"/>
      <c r="I82" s="344"/>
      <c r="J82" s="201"/>
      <c r="K82" s="201"/>
      <c r="L82" s="201"/>
      <c r="M82" s="344"/>
      <c r="N82" s="201"/>
      <c r="O82" s="201"/>
      <c r="P82" s="201"/>
      <c r="Q82" s="344"/>
      <c r="R82" s="201"/>
      <c r="S82" s="201"/>
      <c r="T82" s="201"/>
      <c r="U82" s="344"/>
      <c r="Z82" s="363"/>
      <c r="AA82" s="363"/>
    </row>
    <row r="83" spans="3:27" ht="15" customHeight="1" x14ac:dyDescent="0.45">
      <c r="C83" s="359" t="s">
        <v>820</v>
      </c>
      <c r="D83" s="344" t="e">
        <f>SUM(#REF!)</f>
        <v>#REF!</v>
      </c>
      <c r="E83" s="201" t="e">
        <f>SUMIF(#REF!,$E$50,#REF!)</f>
        <v>#REF!</v>
      </c>
      <c r="F83" s="201" t="e">
        <f>SUMIF(#REF!,F50,#REF!)</f>
        <v>#REF!</v>
      </c>
      <c r="G83" s="201" t="e">
        <f>SUMIF(#REF!,G50,#REF!)</f>
        <v>#REF!</v>
      </c>
      <c r="H83" s="344" t="e">
        <f>SUM(E83:G83)</f>
        <v>#REF!</v>
      </c>
      <c r="I83" s="344">
        <f>SUM('VCN Board View (Budget) '!AD71:AF71)</f>
        <v>0</v>
      </c>
      <c r="J83" s="201"/>
      <c r="K83" s="201"/>
      <c r="L83" s="201"/>
      <c r="M83" s="344"/>
      <c r="N83" s="201"/>
      <c r="O83" s="201"/>
      <c r="P83" s="201"/>
      <c r="Q83" s="344"/>
      <c r="R83" s="201"/>
      <c r="S83" s="201"/>
      <c r="T83" s="201"/>
      <c r="U83" s="344"/>
      <c r="W83" s="202" t="e">
        <f>+H83-D83</f>
        <v>#REF!</v>
      </c>
      <c r="X83" s="201" t="e">
        <f>H83-I83</f>
        <v>#REF!</v>
      </c>
      <c r="Z83" s="362" t="str">
        <f>+IFERROR(W83/ABS(H83),"n/m")</f>
        <v>n/m</v>
      </c>
      <c r="AA83" s="512" t="str">
        <f>IFERROR(X83/ABS(I83),"n/m")</f>
        <v>n/m</v>
      </c>
    </row>
    <row r="84" spans="3:27" ht="15" customHeight="1" x14ac:dyDescent="0.35">
      <c r="C84" s="354" t="s">
        <v>869</v>
      </c>
      <c r="D84" s="365" t="e">
        <f>D83+D81</f>
        <v>#REF!</v>
      </c>
      <c r="E84" s="364" t="e">
        <f>E83+E81</f>
        <v>#REF!</v>
      </c>
      <c r="F84" s="364" t="e">
        <f>F83+F81</f>
        <v>#REF!</v>
      </c>
      <c r="G84" s="364" t="e">
        <f>G83+G81</f>
        <v>#REF!</v>
      </c>
      <c r="H84" s="365" t="e">
        <f>H83+H81</f>
        <v>#REF!</v>
      </c>
      <c r="I84" s="365">
        <f>I81+I83</f>
        <v>-49517998.240248173</v>
      </c>
      <c r="J84" s="364"/>
      <c r="K84" s="364"/>
      <c r="L84" s="364"/>
      <c r="M84" s="365"/>
      <c r="N84" s="364"/>
      <c r="O84" s="364"/>
      <c r="P84" s="364"/>
      <c r="Q84" s="365"/>
      <c r="R84" s="364"/>
      <c r="S84" s="364"/>
      <c r="T84" s="364"/>
      <c r="U84" s="365"/>
      <c r="W84" s="367" t="e">
        <f>+H84-D84</f>
        <v>#REF!</v>
      </c>
      <c r="X84" s="364" t="e">
        <f>H84-I84</f>
        <v>#REF!</v>
      </c>
      <c r="Z84" s="369" t="str">
        <f>+IFERROR(W84/ABS(D84),"n/m")</f>
        <v>n/m</v>
      </c>
      <c r="AA84" s="513" t="str">
        <f>IFERROR(X84/ABS(I84),"n/m")</f>
        <v>n/m</v>
      </c>
    </row>
    <row r="85" spans="3:27" ht="15" customHeight="1" thickBot="1" x14ac:dyDescent="0.4">
      <c r="C85" s="357" t="s">
        <v>870</v>
      </c>
      <c r="D85" s="346" t="e">
        <f t="shared" ref="D85:I85" si="50">D84/D57</f>
        <v>#REF!</v>
      </c>
      <c r="E85" s="232" t="e">
        <f t="shared" si="50"/>
        <v>#REF!</v>
      </c>
      <c r="F85" s="232" t="e">
        <f t="shared" si="50"/>
        <v>#REF!</v>
      </c>
      <c r="G85" s="232" t="e">
        <f t="shared" si="50"/>
        <v>#REF!</v>
      </c>
      <c r="H85" s="346" t="e">
        <f t="shared" si="50"/>
        <v>#REF!</v>
      </c>
      <c r="I85" s="346">
        <f t="shared" si="50"/>
        <v>-1.1107338336020334</v>
      </c>
      <c r="J85" s="201"/>
      <c r="K85" s="201"/>
      <c r="L85" s="201"/>
      <c r="M85" s="447"/>
      <c r="N85" s="201"/>
      <c r="O85" s="201"/>
      <c r="P85" s="201"/>
      <c r="Q85" s="447"/>
      <c r="R85" s="201"/>
      <c r="S85" s="201"/>
      <c r="T85" s="201"/>
      <c r="U85" s="447"/>
    </row>
  </sheetData>
  <conditionalFormatting sqref="L8:O14">
    <cfRule type="expression" dxfId="80" priority="163">
      <formula>L8&lt;0</formula>
    </cfRule>
    <cfRule type="expression" dxfId="79" priority="164">
      <formula>L8&gt;0</formula>
    </cfRule>
  </conditionalFormatting>
  <conditionalFormatting sqref="L16:O18">
    <cfRule type="expression" dxfId="78" priority="158">
      <formula>L16&gt;0</formula>
    </cfRule>
    <cfRule type="expression" dxfId="77" priority="157">
      <formula>L16&lt;0</formula>
    </cfRule>
  </conditionalFormatting>
  <conditionalFormatting sqref="L20:O20">
    <cfRule type="expression" dxfId="76" priority="156">
      <formula>L20&gt;0</formula>
    </cfRule>
    <cfRule type="expression" dxfId="75" priority="155">
      <formula>L20&lt;0</formula>
    </cfRule>
  </conditionalFormatting>
  <conditionalFormatting sqref="L22:O22">
    <cfRule type="expression" dxfId="74" priority="154">
      <formula>L22&gt;0</formula>
    </cfRule>
    <cfRule type="expression" dxfId="73" priority="153">
      <formula>L22&lt;0</formula>
    </cfRule>
  </conditionalFormatting>
  <conditionalFormatting sqref="L25:O27">
    <cfRule type="expression" dxfId="72" priority="148">
      <formula>L25&gt;0</formula>
    </cfRule>
    <cfRule type="expression" dxfId="71" priority="147">
      <formula>L25&lt;0</formula>
    </cfRule>
  </conditionalFormatting>
  <conditionalFormatting sqref="L29:O29">
    <cfRule type="expression" dxfId="70" priority="146">
      <formula>L29&gt;0</formula>
    </cfRule>
    <cfRule type="expression" dxfId="69" priority="145">
      <formula>L29&lt;0</formula>
    </cfRule>
  </conditionalFormatting>
  <conditionalFormatting sqref="L31:O32">
    <cfRule type="expression" dxfId="68" priority="84">
      <formula>L31&gt;0</formula>
    </cfRule>
    <cfRule type="expression" dxfId="67" priority="83">
      <formula>L31&lt;0</formula>
    </cfRule>
  </conditionalFormatting>
  <conditionalFormatting sqref="L34:O35">
    <cfRule type="expression" dxfId="66" priority="140">
      <formula>L34&gt;0</formula>
    </cfRule>
    <cfRule type="expression" dxfId="65" priority="139">
      <formula>L34&lt;0</formula>
    </cfRule>
  </conditionalFormatting>
  <conditionalFormatting sqref="L37:O38">
    <cfRule type="expression" dxfId="64" priority="136">
      <formula>L37&gt;0</formula>
    </cfRule>
    <cfRule type="expression" dxfId="63" priority="135">
      <formula>L37&lt;0</formula>
    </cfRule>
  </conditionalFormatting>
  <conditionalFormatting sqref="L40:O41">
    <cfRule type="expression" dxfId="62" priority="132">
      <formula>L40&gt;0</formula>
    </cfRule>
    <cfRule type="expression" dxfId="61" priority="131">
      <formula>L40&lt;0</formula>
    </cfRule>
  </conditionalFormatting>
  <conditionalFormatting sqref="Q8:T14">
    <cfRule type="expression" dxfId="60" priority="118">
      <formula>Q8&gt;0%</formula>
    </cfRule>
    <cfRule type="expression" dxfId="59" priority="117">
      <formula>Q8&lt;0%</formula>
    </cfRule>
  </conditionalFormatting>
  <conditionalFormatting sqref="Q16:T18">
    <cfRule type="expression" dxfId="58" priority="112">
      <formula>Q16&gt;0%</formula>
    </cfRule>
    <cfRule type="expression" dxfId="57" priority="111">
      <formula>Q16&lt;0%</formula>
    </cfRule>
  </conditionalFormatting>
  <conditionalFormatting sqref="Q20:T20">
    <cfRule type="expression" dxfId="56" priority="109">
      <formula>Q20&lt;0%</formula>
    </cfRule>
    <cfRule type="expression" dxfId="55" priority="110">
      <formula>Q20&gt;0%</formula>
    </cfRule>
  </conditionalFormatting>
  <conditionalFormatting sqref="Q22:T22">
    <cfRule type="expression" dxfId="54" priority="108">
      <formula>Q22&gt;0%</formula>
    </cfRule>
    <cfRule type="expression" dxfId="53" priority="107">
      <formula>Q22&lt;0%</formula>
    </cfRule>
  </conditionalFormatting>
  <conditionalFormatting sqref="Q25:T27">
    <cfRule type="expression" dxfId="52" priority="102">
      <formula>Q25&gt;0%</formula>
    </cfRule>
    <cfRule type="expression" dxfId="51" priority="101">
      <formula>Q25&lt;0%</formula>
    </cfRule>
  </conditionalFormatting>
  <conditionalFormatting sqref="Q29:T29">
    <cfRule type="expression" dxfId="50" priority="100">
      <formula>Q29&gt;0%</formula>
    </cfRule>
    <cfRule type="expression" dxfId="49" priority="99">
      <formula>Q29&lt;0%</formula>
    </cfRule>
  </conditionalFormatting>
  <conditionalFormatting sqref="Q31:T32">
    <cfRule type="expression" dxfId="48" priority="81">
      <formula>Q31&lt;0%</formula>
    </cfRule>
    <cfRule type="expression" dxfId="47" priority="82">
      <formula>Q31&gt;0%</formula>
    </cfRule>
  </conditionalFormatting>
  <conditionalFormatting sqref="Q34:T35">
    <cfRule type="expression" dxfId="46" priority="93">
      <formula>Q34&lt;0%</formula>
    </cfRule>
    <cfRule type="expression" dxfId="45" priority="94">
      <formula>Q34&gt;0%</formula>
    </cfRule>
  </conditionalFormatting>
  <conditionalFormatting sqref="Q37:T38">
    <cfRule type="expression" dxfId="44" priority="89">
      <formula>Q37&lt;0%</formula>
    </cfRule>
    <cfRule type="expression" dxfId="43" priority="90">
      <formula>Q37&gt;0%</formula>
    </cfRule>
  </conditionalFormatting>
  <conditionalFormatting sqref="Q40:T41">
    <cfRule type="expression" dxfId="42" priority="85">
      <formula>Q40&lt;0%</formula>
    </cfRule>
    <cfRule type="expression" dxfId="41" priority="86">
      <formula>Q40&gt;0%</formula>
    </cfRule>
  </conditionalFormatting>
  <conditionalFormatting sqref="W51:X57">
    <cfRule type="expression" dxfId="40" priority="40">
      <formula>W51&gt;0</formula>
    </cfRule>
    <cfRule type="expression" dxfId="39" priority="39">
      <formula>W51&lt;0</formula>
    </cfRule>
  </conditionalFormatting>
  <conditionalFormatting sqref="W59:X61">
    <cfRule type="expression" dxfId="38" priority="37">
      <formula>W59&lt;0</formula>
    </cfRule>
    <cfRule type="expression" dxfId="37" priority="38">
      <formula>W59&gt;0</formula>
    </cfRule>
  </conditionalFormatting>
  <conditionalFormatting sqref="W63:X63">
    <cfRule type="expression" dxfId="36" priority="36">
      <formula>W63&gt;0</formula>
    </cfRule>
    <cfRule type="expression" dxfId="35" priority="35">
      <formula>W63&lt;0</formula>
    </cfRule>
  </conditionalFormatting>
  <conditionalFormatting sqref="W65:X65">
    <cfRule type="expression" dxfId="34" priority="34">
      <formula>W65&gt;0</formula>
    </cfRule>
    <cfRule type="expression" dxfId="33" priority="33">
      <formula>W65&lt;0</formula>
    </cfRule>
  </conditionalFormatting>
  <conditionalFormatting sqref="W68:X70">
    <cfRule type="expression" dxfId="32" priority="32">
      <formula>W68&gt;0</formula>
    </cfRule>
    <cfRule type="expression" dxfId="31" priority="31">
      <formula>W68&lt;0</formula>
    </cfRule>
  </conditionalFormatting>
  <conditionalFormatting sqref="W72:X72">
    <cfRule type="expression" dxfId="30" priority="29">
      <formula>W72&lt;0</formula>
    </cfRule>
    <cfRule type="expression" dxfId="29" priority="30">
      <formula>W72&gt;0</formula>
    </cfRule>
  </conditionalFormatting>
  <conditionalFormatting sqref="W74:X75">
    <cfRule type="expression" dxfId="28" priority="22">
      <formula>W74&gt;0</formula>
    </cfRule>
    <cfRule type="expression" dxfId="27" priority="21">
      <formula>W74&lt;0</formula>
    </cfRule>
  </conditionalFormatting>
  <conditionalFormatting sqref="W77:X78">
    <cfRule type="expression" dxfId="26" priority="28">
      <formula>W77&gt;0</formula>
    </cfRule>
    <cfRule type="expression" dxfId="25" priority="27">
      <formula>W77&lt;0</formula>
    </cfRule>
  </conditionalFormatting>
  <conditionalFormatting sqref="W80:X81">
    <cfRule type="expression" dxfId="24" priority="26">
      <formula>W80&gt;0</formula>
    </cfRule>
    <cfRule type="expression" dxfId="23" priority="25">
      <formula>W80&lt;0</formula>
    </cfRule>
  </conditionalFormatting>
  <conditionalFormatting sqref="W83:X84">
    <cfRule type="expression" dxfId="22" priority="24">
      <formula>W83&gt;0</formula>
    </cfRule>
    <cfRule type="expression" dxfId="21" priority="23">
      <formula>W83&lt;0</formula>
    </cfRule>
  </conditionalFormatting>
  <conditionalFormatting sqref="Z51:AA57">
    <cfRule type="expression" dxfId="20" priority="20">
      <formula>Z51&gt;0%</formula>
    </cfRule>
    <cfRule type="expression" dxfId="19" priority="19">
      <formula>Z51&lt;0%</formula>
    </cfRule>
  </conditionalFormatting>
  <conditionalFormatting sqref="Z59:AA61">
    <cfRule type="expression" dxfId="18" priority="18">
      <formula>Z59&gt;0%</formula>
    </cfRule>
    <cfRule type="expression" dxfId="17" priority="17">
      <formula>Z59&lt;0%</formula>
    </cfRule>
  </conditionalFormatting>
  <conditionalFormatting sqref="Z63:AA63">
    <cfRule type="expression" dxfId="16" priority="15">
      <formula>Z63&lt;0%</formula>
    </cfRule>
    <cfRule type="expression" dxfId="15" priority="16">
      <formula>Z63&gt;0%</formula>
    </cfRule>
  </conditionalFormatting>
  <conditionalFormatting sqref="Z65:AA65">
    <cfRule type="expression" dxfId="14" priority="14">
      <formula>Z65&gt;0%</formula>
    </cfRule>
    <cfRule type="expression" dxfId="13" priority="13">
      <formula>Z65&lt;0%</formula>
    </cfRule>
  </conditionalFormatting>
  <conditionalFormatting sqref="Z68:AA70">
    <cfRule type="expression" dxfId="12" priority="11">
      <formula>Z68&lt;0%</formula>
    </cfRule>
    <cfRule type="expression" dxfId="11" priority="12">
      <formula>Z68&gt;0%</formula>
    </cfRule>
  </conditionalFormatting>
  <conditionalFormatting sqref="Z72:AA72">
    <cfRule type="expression" dxfId="10" priority="10">
      <formula>Z72&gt;0%</formula>
    </cfRule>
    <cfRule type="expression" dxfId="9" priority="9">
      <formula>Z72&lt;0%</formula>
    </cfRule>
  </conditionalFormatting>
  <conditionalFormatting sqref="Z74:AA75">
    <cfRule type="expression" dxfId="8" priority="2">
      <formula>Z74&gt;0%</formula>
    </cfRule>
    <cfRule type="expression" dxfId="7" priority="1">
      <formula>Z74&lt;0%</formula>
    </cfRule>
  </conditionalFormatting>
  <conditionalFormatting sqref="Z77:AA78">
    <cfRule type="expression" dxfId="6" priority="7">
      <formula>Z77&lt;0%</formula>
    </cfRule>
    <cfRule type="expression" dxfId="5" priority="8">
      <formula>Z77&gt;0%</formula>
    </cfRule>
  </conditionalFormatting>
  <conditionalFormatting sqref="Z80:AA81">
    <cfRule type="expression" dxfId="4" priority="5">
      <formula>Z80&lt;0%</formula>
    </cfRule>
    <cfRule type="expression" dxfId="3" priority="6">
      <formula>Z80&gt;0%</formula>
    </cfRule>
  </conditionalFormatting>
  <conditionalFormatting sqref="Z83:AA84">
    <cfRule type="expression" dxfId="2" priority="3">
      <formula>Z83&lt;0%</formula>
    </cfRule>
    <cfRule type="expression" dxfId="1" priority="4">
      <formula>Z83&gt;0%</formula>
    </cfRule>
  </conditionalFormatting>
  <pageMargins left="0.7" right="0.7" top="0.75" bottom="0.75" header="0.3" footer="0.3"/>
  <pageSetup scale="95" orientation="portrait" r:id="rId1"/>
  <rowBreaks count="1" manualBreakCount="1">
    <brk id="48" max="16383"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E37E1-C88B-48C9-AA6A-C3B29A07DF12}">
  <sheetPr codeName="Sheet10">
    <tabColor rgb="FF009999"/>
  </sheetPr>
  <dimension ref="A1:AZ56"/>
  <sheetViews>
    <sheetView workbookViewId="0"/>
    <sheetView workbookViewId="1"/>
  </sheetViews>
  <sheetFormatPr baseColWidth="10" defaultColWidth="0" defaultRowHeight="14.5" outlineLevelRow="1" outlineLevelCol="1" x14ac:dyDescent="0.35"/>
  <cols>
    <col min="1" max="1" width="11.453125" customWidth="1"/>
    <col min="2" max="2" width="36.453125" customWidth="1"/>
    <col min="3" max="3" width="11.453125" customWidth="1"/>
    <col min="4" max="16" width="4.453125" hidden="1" customWidth="1" outlineLevel="1"/>
    <col min="17" max="17" width="11.453125" customWidth="1" collapsed="1"/>
    <col min="18" max="28" width="11.453125" customWidth="1"/>
    <col min="29" max="29" width="12.81640625" bestFit="1" customWidth="1"/>
    <col min="30" max="41" width="11.453125" customWidth="1"/>
    <col min="42" max="54" width="0" hidden="1" customWidth="1"/>
    <col min="55" max="55" width="12.54296875" customWidth="1"/>
    <col min="56" max="56" width="0" hidden="1" customWidth="1"/>
  </cols>
  <sheetData>
    <row r="1" spans="2:52" s="46" customFormat="1" ht="15" x14ac:dyDescent="0.45">
      <c r="B1" s="25" t="s">
        <v>339</v>
      </c>
      <c r="C1" s="26" t="s">
        <v>808</v>
      </c>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spans="2:52" s="46" customFormat="1" ht="15" customHeight="1" x14ac:dyDescent="0.45">
      <c r="B2" s="25" t="s">
        <v>2</v>
      </c>
      <c r="C2" s="95" t="str">
        <f>+Scenarios!$F$15</f>
        <v>BP</v>
      </c>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row>
    <row r="3" spans="2:52" s="46" customFormat="1" ht="15" x14ac:dyDescent="0.45">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row>
    <row r="4" spans="2:52" s="46" customFormat="1" ht="15" x14ac:dyDescent="0.45">
      <c r="B4" s="91"/>
      <c r="C4" s="91"/>
      <c r="D4" s="91"/>
      <c r="E4" s="91"/>
      <c r="F4" s="91"/>
      <c r="G4" s="91"/>
      <c r="H4" s="91"/>
      <c r="I4" s="91"/>
      <c r="J4" s="91"/>
      <c r="K4" s="91"/>
      <c r="L4" s="91"/>
      <c r="M4" s="91"/>
      <c r="N4" s="91"/>
      <c r="O4" s="91"/>
      <c r="P4" s="91"/>
      <c r="Q4" s="92"/>
      <c r="R4" s="92"/>
      <c r="S4" s="92"/>
      <c r="T4" s="92"/>
      <c r="U4" s="92"/>
      <c r="V4" s="92"/>
      <c r="W4" s="92"/>
      <c r="X4" s="92"/>
      <c r="Y4" s="92"/>
      <c r="Z4" s="92"/>
      <c r="AA4" s="92"/>
      <c r="AB4" s="92"/>
      <c r="AC4" s="92"/>
      <c r="AD4" s="92"/>
      <c r="AE4" s="92"/>
      <c r="AF4" s="92"/>
      <c r="AG4" s="92"/>
      <c r="AH4" s="92"/>
      <c r="AI4" s="92"/>
      <c r="AJ4" s="92"/>
      <c r="AK4" s="92"/>
      <c r="AL4" s="92"/>
      <c r="AM4" s="92"/>
      <c r="AN4" s="92"/>
      <c r="AZ4" s="46" t="s">
        <v>31</v>
      </c>
    </row>
    <row r="5" spans="2:52" s="46" customFormat="1" ht="15" x14ac:dyDescent="0.45">
      <c r="B5" s="90"/>
      <c r="C5" s="90"/>
      <c r="D5" s="90"/>
      <c r="E5" s="90"/>
      <c r="F5" s="90"/>
      <c r="G5" s="90"/>
      <c r="H5" s="90"/>
      <c r="I5" s="90"/>
      <c r="J5" s="90"/>
      <c r="K5" s="90"/>
      <c r="L5" s="90"/>
      <c r="M5" s="90"/>
      <c r="N5" s="90"/>
      <c r="O5" s="90"/>
      <c r="P5" s="90"/>
    </row>
    <row r="6" spans="2:52" s="46" customFormat="1" ht="15" x14ac:dyDescent="0.45">
      <c r="B6" s="89" t="s">
        <v>810</v>
      </c>
      <c r="C6" s="89"/>
      <c r="D6" s="89"/>
      <c r="E6" s="89"/>
      <c r="F6" s="89"/>
      <c r="G6" s="89"/>
      <c r="H6" s="89"/>
      <c r="I6" s="89"/>
      <c r="J6" s="89"/>
      <c r="K6" s="89"/>
      <c r="L6" s="89"/>
      <c r="M6" s="89"/>
      <c r="N6" s="89"/>
      <c r="O6" s="89"/>
      <c r="P6" s="89"/>
      <c r="Q6" s="88">
        <v>45658</v>
      </c>
      <c r="R6" s="88">
        <v>45689</v>
      </c>
      <c r="S6" s="88">
        <v>45717</v>
      </c>
      <c r="T6" s="88">
        <v>45748</v>
      </c>
      <c r="U6" s="88">
        <v>45778</v>
      </c>
      <c r="V6" s="88">
        <v>45809</v>
      </c>
      <c r="W6" s="88">
        <v>45839</v>
      </c>
      <c r="X6" s="88">
        <v>45870</v>
      </c>
      <c r="Y6" s="88">
        <v>45901</v>
      </c>
      <c r="Z6" s="88">
        <v>45931</v>
      </c>
      <c r="AA6" s="88">
        <v>45962</v>
      </c>
      <c r="AB6" s="88">
        <v>45992</v>
      </c>
      <c r="AC6" s="88">
        <v>46023</v>
      </c>
      <c r="AD6" s="88">
        <v>46054</v>
      </c>
      <c r="AE6" s="88">
        <v>46082</v>
      </c>
      <c r="AF6" s="88">
        <v>46113</v>
      </c>
      <c r="AG6" s="88">
        <v>46143</v>
      </c>
      <c r="AH6" s="88">
        <v>46174</v>
      </c>
      <c r="AI6" s="88">
        <v>46204</v>
      </c>
      <c r="AJ6" s="88">
        <v>46235</v>
      </c>
      <c r="AK6" s="88">
        <v>46266</v>
      </c>
      <c r="AL6" s="88">
        <v>46296</v>
      </c>
      <c r="AM6" s="88">
        <v>46327</v>
      </c>
      <c r="AN6" s="88">
        <v>46357</v>
      </c>
    </row>
    <row r="7" spans="2:52" s="46" customFormat="1" ht="15" x14ac:dyDescent="0.45">
      <c r="B7" s="89" t="s">
        <v>359</v>
      </c>
      <c r="C7" s="89"/>
      <c r="D7" s="89"/>
      <c r="E7" s="89"/>
      <c r="F7" s="89"/>
      <c r="G7" s="89"/>
      <c r="H7" s="89"/>
      <c r="I7" s="89"/>
      <c r="J7" s="89"/>
      <c r="K7" s="89"/>
      <c r="L7" s="89"/>
      <c r="M7" s="89"/>
      <c r="N7" s="89"/>
      <c r="O7" s="89"/>
      <c r="P7" s="89"/>
      <c r="Q7" s="88">
        <v>45688</v>
      </c>
      <c r="R7" s="88">
        <v>45716</v>
      </c>
      <c r="S7" s="88">
        <v>45747</v>
      </c>
      <c r="T7" s="88">
        <v>45777</v>
      </c>
      <c r="U7" s="88">
        <v>45808</v>
      </c>
      <c r="V7" s="88">
        <v>45838</v>
      </c>
      <c r="W7" s="88">
        <v>45869</v>
      </c>
      <c r="X7" s="88">
        <v>45900</v>
      </c>
      <c r="Y7" s="88">
        <v>45930</v>
      </c>
      <c r="Z7" s="88">
        <v>45961</v>
      </c>
      <c r="AA7" s="88">
        <v>45991</v>
      </c>
      <c r="AB7" s="88">
        <v>46022</v>
      </c>
      <c r="AC7" s="88">
        <v>46053</v>
      </c>
      <c r="AD7" s="88">
        <v>46081</v>
      </c>
      <c r="AE7" s="88">
        <v>46112</v>
      </c>
      <c r="AF7" s="88">
        <v>46142</v>
      </c>
      <c r="AG7" s="88">
        <v>46173</v>
      </c>
      <c r="AH7" s="88">
        <v>46203</v>
      </c>
      <c r="AI7" s="88">
        <v>46234</v>
      </c>
      <c r="AJ7" s="88">
        <v>46265</v>
      </c>
      <c r="AK7" s="88">
        <v>46295</v>
      </c>
      <c r="AL7" s="88">
        <v>46326</v>
      </c>
      <c r="AM7" s="88">
        <v>46356</v>
      </c>
      <c r="AN7" s="88">
        <v>46387</v>
      </c>
    </row>
    <row r="8" spans="2:52" s="46" customFormat="1" ht="15" x14ac:dyDescent="0.45">
      <c r="B8" s="84" t="s">
        <v>360</v>
      </c>
      <c r="C8" s="84"/>
      <c r="D8" s="84"/>
      <c r="E8" s="84"/>
      <c r="F8" s="84"/>
      <c r="G8" s="84"/>
      <c r="H8" s="84"/>
      <c r="I8" s="84"/>
      <c r="J8" s="84"/>
      <c r="K8" s="84"/>
      <c r="L8" s="84"/>
      <c r="M8" s="84"/>
      <c r="N8" s="84"/>
      <c r="O8" s="84"/>
      <c r="P8" s="84"/>
      <c r="Q8" s="87">
        <v>2025</v>
      </c>
      <c r="R8" s="87">
        <v>2025</v>
      </c>
      <c r="S8" s="87">
        <v>2025</v>
      </c>
      <c r="T8" s="87">
        <v>2025</v>
      </c>
      <c r="U8" s="87">
        <v>2025</v>
      </c>
      <c r="V8" s="87">
        <v>2025</v>
      </c>
      <c r="W8" s="87">
        <v>2025</v>
      </c>
      <c r="X8" s="87">
        <v>2025</v>
      </c>
      <c r="Y8" s="87">
        <v>2025</v>
      </c>
      <c r="Z8" s="87">
        <v>2025</v>
      </c>
      <c r="AA8" s="87">
        <v>2025</v>
      </c>
      <c r="AB8" s="87">
        <v>2025</v>
      </c>
      <c r="AC8" s="87">
        <v>2026</v>
      </c>
      <c r="AD8" s="87">
        <v>2026</v>
      </c>
      <c r="AE8" s="87">
        <v>2026</v>
      </c>
      <c r="AF8" s="87">
        <v>2026</v>
      </c>
      <c r="AG8" s="87">
        <v>2026</v>
      </c>
      <c r="AH8" s="87">
        <v>2026</v>
      </c>
      <c r="AI8" s="87">
        <v>2026</v>
      </c>
      <c r="AJ8" s="87">
        <v>2026</v>
      </c>
      <c r="AK8" s="87">
        <v>2026</v>
      </c>
      <c r="AL8" s="87">
        <v>2026</v>
      </c>
      <c r="AM8" s="87">
        <v>2026</v>
      </c>
      <c r="AN8" s="87">
        <v>2026</v>
      </c>
    </row>
    <row r="9" spans="2:52" s="46" customFormat="1" ht="15" x14ac:dyDescent="0.45">
      <c r="B9" s="84" t="s">
        <v>361</v>
      </c>
      <c r="C9" s="84"/>
      <c r="D9" s="84"/>
      <c r="E9" s="84"/>
      <c r="F9" s="84"/>
      <c r="G9" s="84"/>
      <c r="H9" s="84"/>
      <c r="I9" s="84"/>
      <c r="J9" s="84"/>
      <c r="K9" s="84"/>
      <c r="L9" s="84"/>
      <c r="M9" s="84"/>
      <c r="N9" s="84"/>
      <c r="O9" s="84"/>
      <c r="P9" s="84"/>
      <c r="Q9" s="83" t="s">
        <v>7</v>
      </c>
      <c r="R9" s="83" t="s">
        <v>7</v>
      </c>
      <c r="S9" s="83" t="s">
        <v>7</v>
      </c>
      <c r="T9" s="83" t="s">
        <v>13</v>
      </c>
      <c r="U9" s="83" t="s">
        <v>13</v>
      </c>
      <c r="V9" s="83" t="s">
        <v>13</v>
      </c>
      <c r="W9" s="83" t="s">
        <v>13</v>
      </c>
      <c r="X9" s="83" t="s">
        <v>20</v>
      </c>
      <c r="Y9" s="83" t="s">
        <v>20</v>
      </c>
      <c r="Z9" s="83" t="s">
        <v>26</v>
      </c>
      <c r="AA9" s="83" t="s">
        <v>26</v>
      </c>
      <c r="AB9" s="83" t="s">
        <v>26</v>
      </c>
      <c r="AC9" s="83" t="s">
        <v>7</v>
      </c>
      <c r="AD9" s="83" t="s">
        <v>7</v>
      </c>
      <c r="AE9" s="83" t="s">
        <v>7</v>
      </c>
      <c r="AF9" s="83" t="s">
        <v>13</v>
      </c>
      <c r="AG9" s="83" t="s">
        <v>13</v>
      </c>
      <c r="AH9" s="83" t="s">
        <v>13</v>
      </c>
      <c r="AI9" s="83" t="s">
        <v>13</v>
      </c>
      <c r="AJ9" s="83" t="s">
        <v>20</v>
      </c>
      <c r="AK9" s="83" t="s">
        <v>20</v>
      </c>
      <c r="AL9" s="83" t="s">
        <v>26</v>
      </c>
      <c r="AM9" s="83" t="s">
        <v>26</v>
      </c>
      <c r="AN9" s="83" t="s">
        <v>26</v>
      </c>
    </row>
    <row r="10" spans="2:52" s="46" customFormat="1" ht="15" x14ac:dyDescent="0.45">
      <c r="B10" s="84"/>
      <c r="C10" s="84"/>
      <c r="D10" s="84"/>
      <c r="E10" s="84"/>
      <c r="F10" s="84"/>
      <c r="G10" s="84"/>
      <c r="H10" s="84"/>
      <c r="I10" s="84"/>
      <c r="J10" s="84"/>
      <c r="K10" s="84"/>
      <c r="L10" s="84"/>
      <c r="M10" s="84"/>
      <c r="N10" s="84"/>
      <c r="O10" s="84"/>
      <c r="P10" s="84"/>
      <c r="Q10" s="83"/>
      <c r="R10" s="83"/>
      <c r="S10" s="83"/>
      <c r="T10" s="83"/>
      <c r="U10" s="83"/>
      <c r="V10" s="83"/>
      <c r="W10" s="83"/>
      <c r="X10" s="83"/>
      <c r="Y10" s="83"/>
      <c r="Z10" s="83"/>
      <c r="AA10" s="83"/>
      <c r="AB10" s="83"/>
      <c r="AC10" s="83"/>
      <c r="AD10" s="83"/>
      <c r="AE10" s="83"/>
      <c r="AF10" s="83"/>
      <c r="AG10" s="83"/>
      <c r="AH10" s="83"/>
      <c r="AI10" s="83"/>
      <c r="AJ10" s="83"/>
      <c r="AK10" s="83"/>
      <c r="AL10" s="83"/>
      <c r="AM10" s="83"/>
      <c r="AN10" s="83"/>
    </row>
    <row r="12" spans="2:52" s="46" customFormat="1" ht="15" x14ac:dyDescent="0.45">
      <c r="B12" s="55" t="s">
        <v>907</v>
      </c>
      <c r="C12" s="54"/>
      <c r="D12" s="54"/>
      <c r="E12" s="54"/>
      <c r="F12" s="54"/>
      <c r="G12" s="54"/>
      <c r="H12" s="54"/>
      <c r="I12" s="54"/>
      <c r="J12" s="54"/>
      <c r="K12" s="54"/>
      <c r="L12" s="54"/>
      <c r="M12" s="54"/>
      <c r="N12" s="54"/>
      <c r="O12" s="54"/>
      <c r="P12" s="54"/>
      <c r="Q12" s="66"/>
      <c r="R12" s="66"/>
      <c r="S12" s="66"/>
      <c r="T12" s="66"/>
      <c r="U12" s="66"/>
      <c r="V12" s="66"/>
      <c r="W12" s="66"/>
      <c r="X12" s="66"/>
      <c r="Y12" s="66"/>
      <c r="Z12" s="66"/>
      <c r="AA12" s="66"/>
      <c r="AB12" s="66"/>
      <c r="AC12" s="66"/>
      <c r="AD12" s="66"/>
      <c r="AE12" s="66"/>
      <c r="AF12" s="66"/>
      <c r="AG12" s="66"/>
      <c r="AH12" s="66"/>
      <c r="AI12" s="66"/>
      <c r="AJ12" s="66"/>
      <c r="AK12" s="66"/>
      <c r="AL12" s="66"/>
      <c r="AM12" s="66"/>
      <c r="AN12" s="66"/>
    </row>
    <row r="13" spans="2:52" s="46" customFormat="1" ht="15" outlineLevel="1" x14ac:dyDescent="0.45">
      <c r="Y13" s="65"/>
    </row>
    <row r="14" spans="2:52" s="46" customFormat="1" ht="15" outlineLevel="1" x14ac:dyDescent="0.45">
      <c r="B14" s="55" t="s">
        <v>844</v>
      </c>
      <c r="C14" s="54"/>
      <c r="D14" s="54"/>
      <c r="E14" s="54"/>
      <c r="F14" s="54"/>
      <c r="G14" s="54"/>
      <c r="H14" s="54"/>
      <c r="I14" s="54"/>
      <c r="J14" s="54"/>
      <c r="K14" s="54"/>
      <c r="L14" s="54"/>
      <c r="M14" s="54"/>
      <c r="N14" s="54"/>
      <c r="O14" s="54"/>
      <c r="P14" s="54"/>
      <c r="Q14" s="66"/>
      <c r="R14" s="66"/>
      <c r="S14" s="66"/>
      <c r="T14" s="66"/>
      <c r="U14" s="66"/>
      <c r="V14" s="66"/>
      <c r="W14" s="66"/>
      <c r="X14" s="66"/>
      <c r="Y14" s="66"/>
      <c r="Z14" s="66"/>
      <c r="AA14" s="66"/>
      <c r="AB14" s="66"/>
      <c r="AC14" s="66"/>
      <c r="AD14" s="66"/>
      <c r="AE14" s="66"/>
      <c r="AF14" s="66"/>
      <c r="AG14" s="66"/>
      <c r="AH14" s="66"/>
      <c r="AI14" s="66"/>
      <c r="AJ14" s="66"/>
      <c r="AK14" s="66"/>
      <c r="AL14" s="66"/>
      <c r="AM14" s="66"/>
      <c r="AN14" s="66"/>
    </row>
    <row r="15" spans="2:52" s="46" customFormat="1" ht="15" outlineLevel="1" x14ac:dyDescent="0.45">
      <c r="B15" s="49" t="s">
        <v>908</v>
      </c>
      <c r="C15" s="49"/>
      <c r="D15" s="49"/>
      <c r="E15" s="49"/>
      <c r="F15" s="49"/>
      <c r="G15" s="49"/>
      <c r="H15" s="49"/>
      <c r="I15" s="49"/>
      <c r="J15" s="49"/>
      <c r="K15" s="49"/>
      <c r="L15" s="49"/>
      <c r="M15" s="49"/>
      <c r="N15" s="49"/>
      <c r="O15" s="49"/>
      <c r="P15" s="49"/>
      <c r="Q15" s="199">
        <v>7265318.8526871782</v>
      </c>
      <c r="R15" s="199">
        <v>10601369.987655193</v>
      </c>
      <c r="S15" s="199">
        <v>9169530.9825088773</v>
      </c>
      <c r="T15" s="199">
        <v>8715611.7298334986</v>
      </c>
      <c r="U15" s="199">
        <v>9274158.4141711835</v>
      </c>
      <c r="V15" s="199">
        <v>11556253.578171182</v>
      </c>
      <c r="W15" s="199">
        <v>9013565.1980000045</v>
      </c>
      <c r="X15" s="199">
        <v>7530342.8000000054</v>
      </c>
      <c r="Y15" s="199">
        <v>7136919.9071342926</v>
      </c>
      <c r="Z15" s="199">
        <v>8917905.0758385807</v>
      </c>
      <c r="AA15" s="199">
        <v>6809530.0160000008</v>
      </c>
      <c r="AB15" s="199">
        <v>5157367.8314284245</v>
      </c>
      <c r="AC15" s="199">
        <v>17088761.474093139</v>
      </c>
      <c r="AD15" s="199">
        <v>19861362.554200429</v>
      </c>
      <c r="AE15" s="199">
        <v>19572897.499235194</v>
      </c>
      <c r="AF15" s="199">
        <v>18429423.177208241</v>
      </c>
      <c r="AG15" s="199"/>
      <c r="AH15" s="199"/>
      <c r="AI15" s="199"/>
      <c r="AJ15" s="199"/>
      <c r="AK15" s="199"/>
      <c r="AL15" s="199"/>
      <c r="AM15" s="199"/>
      <c r="AN15" s="199"/>
    </row>
    <row r="16" spans="2:52" s="46" customFormat="1" ht="15" outlineLevel="1" x14ac:dyDescent="0.45">
      <c r="Z16" s="65"/>
      <c r="AA16" s="65"/>
      <c r="AB16" s="65"/>
      <c r="AC16" s="65"/>
      <c r="AD16" s="65"/>
      <c r="AE16" s="65"/>
      <c r="AF16" s="65"/>
      <c r="AG16" s="65"/>
      <c r="AH16" s="65"/>
      <c r="AI16" s="65"/>
      <c r="AJ16" s="65"/>
      <c r="AK16" s="65"/>
      <c r="AL16" s="65"/>
      <c r="AM16" s="65"/>
      <c r="AN16" s="65"/>
    </row>
    <row r="17" spans="2:40" s="46" customFormat="1" ht="15" outlineLevel="1" x14ac:dyDescent="0.45">
      <c r="B17" s="55" t="s">
        <v>482</v>
      </c>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row>
    <row r="18" spans="2:40" s="46" customFormat="1" ht="15" outlineLevel="1" x14ac:dyDescent="0.45">
      <c r="B18" s="49" t="s">
        <v>909</v>
      </c>
      <c r="C18" s="49"/>
      <c r="D18" s="49"/>
      <c r="E18" s="49"/>
      <c r="F18" s="49"/>
      <c r="G18" s="49"/>
      <c r="H18" s="49"/>
      <c r="I18" s="49"/>
      <c r="J18" s="49"/>
      <c r="K18" s="49"/>
      <c r="L18" s="49"/>
      <c r="M18" s="49"/>
      <c r="N18" s="49"/>
      <c r="O18" s="49"/>
      <c r="P18" s="49"/>
      <c r="Q18" s="199">
        <v>10009306.678201081</v>
      </c>
      <c r="R18" s="199">
        <v>11436491.41179892</v>
      </c>
      <c r="S18" s="199">
        <v>10779414.219759002</v>
      </c>
      <c r="T18" s="199">
        <v>11544584.478240998</v>
      </c>
      <c r="U18" s="199">
        <v>12089743.526000002</v>
      </c>
      <c r="V18" s="199">
        <v>11742629.702000001</v>
      </c>
      <c r="W18" s="199">
        <v>13492541.976972895</v>
      </c>
      <c r="X18" s="199">
        <v>12626100.59</v>
      </c>
      <c r="Y18" s="199">
        <v>13925905.675754625</v>
      </c>
      <c r="Z18" s="199">
        <v>11688806.675272465</v>
      </c>
      <c r="AA18" s="199">
        <v>13622075.564000003</v>
      </c>
      <c r="AB18" s="199">
        <v>20197013.602857105</v>
      </c>
      <c r="AC18" s="199">
        <v>8552830.1259068567</v>
      </c>
      <c r="AD18" s="199">
        <v>9692136.2158995755</v>
      </c>
      <c r="AE18" s="199">
        <v>9524605.330764804</v>
      </c>
      <c r="AF18" s="199">
        <v>9748363.1049917582</v>
      </c>
      <c r="AG18" s="199"/>
      <c r="AH18" s="199"/>
      <c r="AI18" s="199"/>
      <c r="AJ18" s="199"/>
      <c r="AK18" s="199"/>
      <c r="AL18" s="199"/>
      <c r="AM18" s="199"/>
      <c r="AN18" s="199"/>
    </row>
    <row r="19" spans="2:40" s="46" customFormat="1" ht="15" outlineLevel="1" x14ac:dyDescent="0.4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row>
    <row r="20" spans="2:40" s="46" customFormat="1" ht="15" outlineLevel="1" x14ac:dyDescent="0.45">
      <c r="B20" s="49" t="s">
        <v>910</v>
      </c>
      <c r="C20" s="49"/>
      <c r="D20" s="49"/>
      <c r="E20" s="49"/>
      <c r="F20" s="49"/>
      <c r="G20" s="49"/>
      <c r="H20" s="49"/>
      <c r="I20" s="49"/>
      <c r="J20" s="49"/>
      <c r="K20" s="49"/>
      <c r="L20" s="49"/>
      <c r="M20" s="49"/>
      <c r="N20" s="49"/>
      <c r="O20" s="49"/>
      <c r="P20" s="49"/>
      <c r="Q20" s="62">
        <f t="shared" ref="Q20:AM20" si="0">Q18+Q15</f>
        <v>17274625.530888259</v>
      </c>
      <c r="R20" s="62">
        <f t="shared" si="0"/>
        <v>22037861.399454113</v>
      </c>
      <c r="S20" s="62">
        <f t="shared" si="0"/>
        <v>19948945.202267878</v>
      </c>
      <c r="T20" s="62">
        <f t="shared" si="0"/>
        <v>20260196.208074495</v>
      </c>
      <c r="U20" s="62">
        <f t="shared" si="0"/>
        <v>21363901.940171186</v>
      </c>
      <c r="V20" s="62">
        <f t="shared" si="0"/>
        <v>23298883.280171186</v>
      </c>
      <c r="W20" s="62">
        <f t="shared" si="0"/>
        <v>22506107.174972899</v>
      </c>
      <c r="X20" s="62">
        <f t="shared" si="0"/>
        <v>20156443.390000004</v>
      </c>
      <c r="Y20" s="62">
        <f t="shared" si="0"/>
        <v>21062825.582888916</v>
      </c>
      <c r="Z20" s="62">
        <f t="shared" si="0"/>
        <v>20606711.751111045</v>
      </c>
      <c r="AA20" s="62">
        <f t="shared" si="0"/>
        <v>20431605.580000006</v>
      </c>
      <c r="AB20" s="62">
        <f t="shared" si="0"/>
        <v>25354381.434285529</v>
      </c>
      <c r="AC20" s="62">
        <f t="shared" si="0"/>
        <v>25641591.599999994</v>
      </c>
      <c r="AD20" s="62">
        <f t="shared" si="0"/>
        <v>29553498.770100005</v>
      </c>
      <c r="AE20" s="62">
        <f t="shared" si="0"/>
        <v>29097502.829999998</v>
      </c>
      <c r="AF20" s="62">
        <f t="shared" si="0"/>
        <v>28177786.282200001</v>
      </c>
      <c r="AG20" s="62">
        <f t="shared" si="0"/>
        <v>0</v>
      </c>
      <c r="AH20" s="62">
        <f t="shared" si="0"/>
        <v>0</v>
      </c>
      <c r="AI20" s="62">
        <f t="shared" si="0"/>
        <v>0</v>
      </c>
      <c r="AJ20" s="62">
        <f t="shared" si="0"/>
        <v>0</v>
      </c>
      <c r="AK20" s="62">
        <f t="shared" si="0"/>
        <v>0</v>
      </c>
      <c r="AL20" s="62">
        <f t="shared" si="0"/>
        <v>0</v>
      </c>
      <c r="AM20" s="62">
        <f t="shared" si="0"/>
        <v>0</v>
      </c>
      <c r="AN20" s="62">
        <f t="shared" ref="AN20" si="1">AN18+AN15</f>
        <v>0</v>
      </c>
    </row>
    <row r="21" spans="2:40" s="46" customFormat="1" ht="15" outlineLevel="1" x14ac:dyDescent="0.4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row>
    <row r="22" spans="2:40" s="46" customFormat="1" ht="15" outlineLevel="1" x14ac:dyDescent="0.45">
      <c r="B22" s="55" t="s">
        <v>911</v>
      </c>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row>
    <row r="23" spans="2:40" s="46" customFormat="1" ht="15" outlineLevel="1" x14ac:dyDescent="0.45">
      <c r="B23" s="53" t="s">
        <v>51</v>
      </c>
      <c r="C23" s="260"/>
      <c r="D23" s="174"/>
      <c r="E23" s="174"/>
      <c r="F23" s="174"/>
      <c r="G23" s="174"/>
      <c r="H23" s="174"/>
      <c r="I23" s="174"/>
      <c r="J23" s="174"/>
      <c r="K23" s="174"/>
      <c r="L23" s="174"/>
      <c r="M23" s="174"/>
      <c r="N23" s="174"/>
      <c r="O23" s="174"/>
      <c r="P23" s="174"/>
      <c r="Q23" s="239">
        <v>0.31590000000000001</v>
      </c>
      <c r="R23" s="239">
        <v>0.31590000000000001</v>
      </c>
      <c r="S23" s="239">
        <v>0.3</v>
      </c>
      <c r="T23" s="239">
        <v>0.3</v>
      </c>
      <c r="U23" s="239">
        <v>0.3</v>
      </c>
      <c r="V23" s="239">
        <v>0.3</v>
      </c>
      <c r="W23" s="239">
        <v>0.3</v>
      </c>
      <c r="X23" s="239">
        <v>0.3</v>
      </c>
      <c r="Y23" s="239">
        <v>0.3</v>
      </c>
      <c r="Z23" s="239">
        <v>0.3</v>
      </c>
      <c r="AA23" s="239">
        <v>0.3</v>
      </c>
      <c r="AB23" s="239">
        <v>0.3</v>
      </c>
      <c r="AC23" s="239">
        <v>0.3</v>
      </c>
      <c r="AD23" s="239">
        <v>0.3</v>
      </c>
      <c r="AE23" s="239">
        <v>0.3</v>
      </c>
      <c r="AF23" s="239">
        <v>0.3</v>
      </c>
      <c r="AG23" s="239">
        <v>0.3</v>
      </c>
      <c r="AH23" s="239">
        <v>0.3</v>
      </c>
      <c r="AI23" s="239">
        <v>0.3</v>
      </c>
      <c r="AJ23" s="239">
        <v>0.3</v>
      </c>
      <c r="AK23" s="239">
        <v>0.3</v>
      </c>
      <c r="AL23" s="239">
        <v>0.3</v>
      </c>
      <c r="AM23" s="239">
        <v>0.3</v>
      </c>
      <c r="AN23" s="239">
        <v>0.3</v>
      </c>
    </row>
    <row r="24" spans="2:40" s="46" customFormat="1" ht="15" outlineLevel="1" x14ac:dyDescent="0.45">
      <c r="Q24" s="238"/>
      <c r="R24" s="238"/>
      <c r="S24" s="238"/>
      <c r="T24" s="238"/>
      <c r="U24" s="238"/>
      <c r="V24" s="238"/>
      <c r="W24" s="238"/>
      <c r="X24" s="238"/>
      <c r="Y24" s="238"/>
      <c r="Z24" s="238"/>
      <c r="AA24" s="238"/>
      <c r="AB24" s="238"/>
      <c r="AC24" s="238"/>
      <c r="AD24" s="238"/>
      <c r="AE24" s="238"/>
      <c r="AF24" s="238"/>
      <c r="AG24" s="238"/>
      <c r="AH24" s="238"/>
      <c r="AI24" s="238"/>
      <c r="AJ24" s="238"/>
      <c r="AK24" s="238"/>
      <c r="AL24" s="238"/>
      <c r="AM24" s="238"/>
      <c r="AN24" s="238"/>
    </row>
    <row r="25" spans="2:40" s="46" customFormat="1" ht="15" outlineLevel="1" x14ac:dyDescent="0.45">
      <c r="B25" s="55" t="s">
        <v>912</v>
      </c>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row>
    <row r="26" spans="2:40" s="46" customFormat="1" ht="15" outlineLevel="1" x14ac:dyDescent="0.45">
      <c r="B26" s="53" t="s">
        <v>51</v>
      </c>
      <c r="C26" s="260"/>
      <c r="D26" s="174"/>
      <c r="E26" s="174"/>
      <c r="F26" s="174"/>
      <c r="G26" s="174"/>
      <c r="H26" s="174"/>
      <c r="I26" s="174"/>
      <c r="J26" s="174"/>
      <c r="K26" s="174"/>
      <c r="L26" s="174"/>
      <c r="M26" s="174"/>
      <c r="N26" s="174"/>
      <c r="O26" s="174"/>
      <c r="P26" s="174"/>
      <c r="Q26" s="239">
        <v>0.221588013454286</v>
      </c>
      <c r="R26" s="239">
        <v>0.221588013454286</v>
      </c>
      <c r="S26" s="239">
        <v>0.221588013454286</v>
      </c>
      <c r="T26" s="239">
        <v>0.221588013454286</v>
      </c>
      <c r="U26" s="239">
        <v>0.221588013454286</v>
      </c>
      <c r="V26" s="239">
        <v>0.221588013454286</v>
      </c>
      <c r="W26" s="239">
        <v>0.3</v>
      </c>
      <c r="X26" s="239">
        <v>0.3</v>
      </c>
      <c r="Y26" s="239">
        <v>0.3</v>
      </c>
      <c r="Z26" s="239">
        <v>0.3</v>
      </c>
      <c r="AA26" s="239">
        <v>0.3</v>
      </c>
      <c r="AB26" s="239">
        <v>0.3</v>
      </c>
      <c r="AC26" s="239">
        <v>0.3</v>
      </c>
      <c r="AD26" s="239">
        <v>0.3</v>
      </c>
      <c r="AE26" s="239">
        <v>0.3</v>
      </c>
      <c r="AF26" s="239">
        <v>0.3</v>
      </c>
      <c r="AG26" s="239">
        <v>0.3</v>
      </c>
      <c r="AH26" s="239">
        <v>0.3</v>
      </c>
      <c r="AI26" s="239">
        <v>0.3</v>
      </c>
      <c r="AJ26" s="239">
        <v>0.3</v>
      </c>
      <c r="AK26" s="239">
        <v>0.3</v>
      </c>
      <c r="AL26" s="239">
        <v>0.3</v>
      </c>
      <c r="AM26" s="239">
        <v>0.3</v>
      </c>
      <c r="AN26" s="239">
        <v>0.3</v>
      </c>
    </row>
    <row r="27" spans="2:40" s="46" customFormat="1" ht="15" outlineLevel="1" x14ac:dyDescent="0.45">
      <c r="Q27" s="238"/>
      <c r="R27" s="238"/>
      <c r="S27" s="238"/>
      <c r="T27" s="238"/>
      <c r="U27" s="238"/>
      <c r="V27" s="238"/>
      <c r="W27" s="238"/>
      <c r="X27" s="238"/>
      <c r="Y27" s="238"/>
      <c r="Z27" s="238"/>
      <c r="AA27" s="238"/>
      <c r="AB27" s="238"/>
      <c r="AC27" s="238"/>
      <c r="AD27" s="238"/>
      <c r="AE27" s="238"/>
      <c r="AF27" s="238"/>
      <c r="AG27" s="238"/>
      <c r="AH27" s="238"/>
      <c r="AI27" s="238"/>
      <c r="AJ27" s="238"/>
      <c r="AK27" s="238"/>
      <c r="AL27" s="238"/>
      <c r="AM27" s="238"/>
      <c r="AN27" s="238"/>
    </row>
    <row r="28" spans="2:40" s="46" customFormat="1" ht="15" outlineLevel="1" x14ac:dyDescent="0.45">
      <c r="B28" s="55" t="s">
        <v>51</v>
      </c>
      <c r="C28" s="54"/>
      <c r="D28" s="54"/>
      <c r="E28" s="54"/>
      <c r="F28" s="54"/>
      <c r="G28" s="54"/>
      <c r="H28" s="54"/>
      <c r="I28" s="54"/>
      <c r="J28" s="54"/>
      <c r="K28" s="54"/>
      <c r="L28" s="54"/>
      <c r="M28" s="54"/>
      <c r="N28" s="54"/>
      <c r="O28" s="54"/>
      <c r="P28" s="54"/>
      <c r="Q28" s="59"/>
      <c r="R28" s="59"/>
      <c r="S28" s="59"/>
      <c r="T28" s="59"/>
      <c r="U28" s="59"/>
      <c r="V28" s="59"/>
      <c r="W28" s="59"/>
      <c r="X28" s="59"/>
      <c r="Y28" s="59"/>
      <c r="Z28" s="59"/>
      <c r="AA28" s="59"/>
      <c r="AB28" s="59"/>
      <c r="AC28" s="59"/>
      <c r="AD28" s="59"/>
      <c r="AE28" s="59"/>
      <c r="AF28" s="59"/>
      <c r="AG28" s="59"/>
      <c r="AH28" s="59"/>
      <c r="AI28" s="59"/>
      <c r="AJ28" s="59"/>
      <c r="AK28" s="59"/>
      <c r="AL28" s="59"/>
      <c r="AM28" s="59"/>
      <c r="AN28" s="59"/>
    </row>
    <row r="29" spans="2:40" s="46" customFormat="1" ht="15.5" outlineLevel="1" x14ac:dyDescent="0.45">
      <c r="B29" s="58" t="s">
        <v>913</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row>
    <row r="30" spans="2:40" s="46" customFormat="1" ht="15.5" outlineLevel="1" x14ac:dyDescent="0.45">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row>
    <row r="31" spans="2:40" s="46" customFormat="1" ht="15" outlineLevel="1" x14ac:dyDescent="0.45">
      <c r="B31" s="53" t="s">
        <v>449</v>
      </c>
      <c r="C31" s="53"/>
      <c r="D31" s="53"/>
      <c r="E31" s="53"/>
      <c r="F31" s="53"/>
      <c r="G31" s="53"/>
      <c r="H31" s="53"/>
      <c r="I31" s="53"/>
      <c r="J31" s="53"/>
      <c r="K31" s="53"/>
      <c r="L31" s="53"/>
      <c r="M31" s="53"/>
      <c r="N31" s="53"/>
      <c r="O31" s="53"/>
      <c r="P31" s="53"/>
      <c r="Q31" s="51">
        <f>'Managerial Consolidated'!Q15</f>
        <v>8790220.4900000002</v>
      </c>
      <c r="R31" s="51">
        <f>'Managerial Consolidated'!R15</f>
        <v>8433174.4199999981</v>
      </c>
      <c r="S31" s="51">
        <f>'Managerial Consolidated'!S15</f>
        <v>8959087.6600000001</v>
      </c>
      <c r="T31" s="51">
        <f>'Managerial Consolidated'!T15</f>
        <v>10918876.149999995</v>
      </c>
      <c r="U31" s="51">
        <f>'Managerial Consolidated'!U15</f>
        <v>12639203.901758343</v>
      </c>
      <c r="V31" s="51">
        <f>'Managerial Consolidated'!V15</f>
        <v>12607587.788241694</v>
      </c>
      <c r="W31" s="51">
        <f>'Managerial Consolidated'!W15</f>
        <v>13082308.129999924</v>
      </c>
      <c r="X31" s="51">
        <f>'Managerial Consolidated'!X15</f>
        <v>13826520.190000048</v>
      </c>
      <c r="Y31" s="51">
        <f>'Managerial Consolidated'!Y15</f>
        <v>19625869.600000001</v>
      </c>
      <c r="Z31" s="51">
        <f>'Managerial Consolidated'!Z15</f>
        <v>15195865.779999999</v>
      </c>
      <c r="AA31" s="51">
        <f>'Managerial Consolidated'!AA15</f>
        <v>14683864.459999995</v>
      </c>
      <c r="AB31" s="51">
        <f>'Managerial Consolidated'!AB15</f>
        <v>16460862.059999999</v>
      </c>
      <c r="AC31" s="51">
        <f>'Managerial Consolidated'!AC15</f>
        <v>16611359.630000001</v>
      </c>
      <c r="AD31" s="51">
        <f>'Managerial Consolidated'!AD15</f>
        <v>16302424.749999998</v>
      </c>
      <c r="AE31" s="51">
        <f>'Managerial Consolidated'!AE15</f>
        <v>19144764.309999999</v>
      </c>
      <c r="AF31" s="51">
        <f>'Managerial Consolidated'!AF15</f>
        <v>19311159.885451943</v>
      </c>
      <c r="AG31" s="51">
        <f>'Managerial Consolidated'!AG15</f>
        <v>0</v>
      </c>
      <c r="AH31" s="51">
        <f>'Managerial Consolidated'!AH15</f>
        <v>0</v>
      </c>
      <c r="AI31" s="51">
        <f>'Managerial Consolidated'!AI15</f>
        <v>0</v>
      </c>
      <c r="AJ31" s="51">
        <f>'Managerial Consolidated'!AJ15</f>
        <v>0</v>
      </c>
      <c r="AK31" s="51">
        <f>'Managerial Consolidated'!AK15</f>
        <v>0</v>
      </c>
      <c r="AL31" s="51">
        <f>'Managerial Consolidated'!AL15</f>
        <v>0</v>
      </c>
      <c r="AM31" s="51">
        <f>'Managerial Consolidated'!AM15</f>
        <v>0</v>
      </c>
      <c r="AN31" s="51">
        <f>'Managerial Consolidated'!AN15</f>
        <v>0</v>
      </c>
    </row>
    <row r="32" spans="2:40" s="46" customFormat="1" ht="15" outlineLevel="1" x14ac:dyDescent="0.45">
      <c r="B32" s="53" t="s">
        <v>491</v>
      </c>
      <c r="C32" s="53"/>
      <c r="D32" s="53"/>
      <c r="E32" s="53"/>
      <c r="F32" s="53"/>
      <c r="G32" s="53"/>
      <c r="H32" s="53"/>
      <c r="I32" s="53"/>
      <c r="J32" s="53"/>
      <c r="K32" s="53"/>
      <c r="L32" s="53"/>
      <c r="M32" s="53"/>
      <c r="N32" s="53"/>
      <c r="O32" s="53"/>
      <c r="P32" s="53"/>
      <c r="Q32" s="51">
        <f>'Managerial Consolidated'!Q16</f>
        <v>-6804038.6200000001</v>
      </c>
      <c r="R32" s="51">
        <f>'Managerial Consolidated'!R16</f>
        <v>-7474231.7000000011</v>
      </c>
      <c r="S32" s="51">
        <f>'Managerial Consolidated'!S16</f>
        <v>-7278375.2400000012</v>
      </c>
      <c r="T32" s="51">
        <f>'Managerial Consolidated'!T16</f>
        <v>-8425618.5700000003</v>
      </c>
      <c r="U32" s="51">
        <f>'Managerial Consolidated'!U16</f>
        <v>-6142528.7700000005</v>
      </c>
      <c r="V32" s="51">
        <f>'Managerial Consolidated'!V16</f>
        <v>-8343729.6399999978</v>
      </c>
      <c r="W32" s="51">
        <f>'Managerial Consolidated'!W16</f>
        <v>-8033871.5300000012</v>
      </c>
      <c r="X32" s="51">
        <f>'Managerial Consolidated'!X16</f>
        <v>-7160858.4799999986</v>
      </c>
      <c r="Y32" s="51">
        <f>'Managerial Consolidated'!Y16</f>
        <v>-10039264.719999999</v>
      </c>
      <c r="Z32" s="51">
        <f>'Managerial Consolidated'!Z16</f>
        <v>-9136119.0599999987</v>
      </c>
      <c r="AA32" s="51">
        <f>'Managerial Consolidated'!AA16</f>
        <v>-10448619.33</v>
      </c>
      <c r="AB32" s="51">
        <f>'Managerial Consolidated'!AB16</f>
        <v>-16983833.079999998</v>
      </c>
      <c r="AC32" s="51">
        <f>'Managerial Consolidated'!AC16</f>
        <v>-10815508.509999998</v>
      </c>
      <c r="AD32" s="51">
        <f>'Managerial Consolidated'!AD16</f>
        <v>-11840176.209999999</v>
      </c>
      <c r="AE32" s="51">
        <f>'Managerial Consolidated'!AE16</f>
        <v>-15981776.450000003</v>
      </c>
      <c r="AF32" s="51">
        <f>'Managerial Consolidated'!AF16</f>
        <v>-13085247.449999999</v>
      </c>
      <c r="AG32" s="51">
        <f>'Managerial Consolidated'!AG16</f>
        <v>0</v>
      </c>
      <c r="AH32" s="51">
        <f>'Managerial Consolidated'!AH16</f>
        <v>0</v>
      </c>
      <c r="AI32" s="51">
        <f>'Managerial Consolidated'!AI16</f>
        <v>0</v>
      </c>
      <c r="AJ32" s="51">
        <f>'Managerial Consolidated'!AJ16</f>
        <v>0</v>
      </c>
      <c r="AK32" s="51">
        <f>'Managerial Consolidated'!AK16</f>
        <v>0</v>
      </c>
      <c r="AL32" s="51">
        <f>'Managerial Consolidated'!AL16</f>
        <v>0</v>
      </c>
      <c r="AM32" s="51">
        <f>'Managerial Consolidated'!AM16</f>
        <v>0</v>
      </c>
      <c r="AN32" s="51">
        <f>'Managerial Consolidated'!AN16</f>
        <v>0</v>
      </c>
    </row>
    <row r="33" spans="2:40" s="46" customFormat="1" ht="15" outlineLevel="1" x14ac:dyDescent="0.45">
      <c r="B33" s="57" t="s">
        <v>811</v>
      </c>
      <c r="C33" s="57"/>
      <c r="D33" s="57"/>
      <c r="E33" s="57"/>
      <c r="F33" s="57"/>
      <c r="G33" s="57"/>
      <c r="H33" s="57"/>
      <c r="I33" s="57"/>
      <c r="J33" s="57"/>
      <c r="K33" s="57"/>
      <c r="L33" s="57"/>
      <c r="M33" s="57"/>
      <c r="N33" s="57"/>
      <c r="O33" s="57"/>
      <c r="P33" s="57"/>
      <c r="Q33" s="56">
        <f t="shared" ref="Q33:AB33" si="2">+Q31+Q32</f>
        <v>1986181.87</v>
      </c>
      <c r="R33" s="56">
        <f t="shared" si="2"/>
        <v>958942.71999999695</v>
      </c>
      <c r="S33" s="56">
        <f t="shared" si="2"/>
        <v>1680712.419999999</v>
      </c>
      <c r="T33" s="56">
        <f t="shared" ref="T33" si="3">+T31+T32</f>
        <v>2493257.5799999945</v>
      </c>
      <c r="U33" s="56">
        <f t="shared" si="2"/>
        <v>6496675.1317583425</v>
      </c>
      <c r="V33" s="56">
        <f t="shared" si="2"/>
        <v>4263858.1482416959</v>
      </c>
      <c r="W33" s="56">
        <f t="shared" si="2"/>
        <v>5048436.5999999233</v>
      </c>
      <c r="X33" s="56">
        <f t="shared" si="2"/>
        <v>6665661.7100000493</v>
      </c>
      <c r="Y33" s="56">
        <f t="shared" si="2"/>
        <v>9586604.8800000027</v>
      </c>
      <c r="Z33" s="56">
        <f t="shared" si="2"/>
        <v>6059746.7200000007</v>
      </c>
      <c r="AA33" s="56">
        <f t="shared" si="2"/>
        <v>4235245.1299999952</v>
      </c>
      <c r="AB33" s="56">
        <f t="shared" si="2"/>
        <v>-522971.01999999955</v>
      </c>
      <c r="AC33" s="56">
        <f t="shared" ref="AC33:AN33" si="4">+AC31+AC32</f>
        <v>5795851.1200000029</v>
      </c>
      <c r="AD33" s="56">
        <f t="shared" si="4"/>
        <v>4462248.5399999991</v>
      </c>
      <c r="AE33" s="56">
        <f t="shared" si="4"/>
        <v>3162987.8599999957</v>
      </c>
      <c r="AF33" s="56">
        <f t="shared" si="4"/>
        <v>6225912.4354519434</v>
      </c>
      <c r="AG33" s="56">
        <f t="shared" si="4"/>
        <v>0</v>
      </c>
      <c r="AH33" s="56">
        <f t="shared" si="4"/>
        <v>0</v>
      </c>
      <c r="AI33" s="56">
        <f t="shared" si="4"/>
        <v>0</v>
      </c>
      <c r="AJ33" s="56">
        <f t="shared" si="4"/>
        <v>0</v>
      </c>
      <c r="AK33" s="56">
        <f t="shared" si="4"/>
        <v>0</v>
      </c>
      <c r="AL33" s="56">
        <f t="shared" si="4"/>
        <v>0</v>
      </c>
      <c r="AM33" s="56">
        <f t="shared" si="4"/>
        <v>0</v>
      </c>
      <c r="AN33" s="56">
        <f t="shared" si="4"/>
        <v>0</v>
      </c>
    </row>
    <row r="34" spans="2:40" s="46" customFormat="1" ht="15" outlineLevel="1" x14ac:dyDescent="0.45">
      <c r="B34" s="53" t="s">
        <v>476</v>
      </c>
      <c r="C34" s="53"/>
      <c r="D34" s="53"/>
      <c r="E34" s="53"/>
      <c r="F34" s="53"/>
      <c r="G34" s="53"/>
      <c r="H34" s="53"/>
      <c r="I34" s="53"/>
      <c r="J34" s="53"/>
      <c r="K34" s="53"/>
      <c r="L34" s="53"/>
      <c r="M34" s="53"/>
      <c r="N34" s="53"/>
      <c r="O34" s="53"/>
      <c r="P34" s="53"/>
      <c r="Q34" s="51">
        <f>'Managerial Consolidated'!Q18-Q52-Q37</f>
        <v>-1683741.6600000011</v>
      </c>
      <c r="R34" s="51">
        <f>'Managerial Consolidated'!R18-R52-R37</f>
        <v>-1814691.8600000013</v>
      </c>
      <c r="S34" s="51">
        <f>'Managerial Consolidated'!S18-S52-S37</f>
        <v>-2163939.4299999997</v>
      </c>
      <c r="T34" s="51">
        <f>'Managerial Consolidated'!T18-T52-T37</f>
        <v>-2061907.8700000003</v>
      </c>
      <c r="U34" s="51">
        <f>'Managerial Consolidated'!U18-U52-U37</f>
        <v>-3917709.5599999996</v>
      </c>
      <c r="V34" s="51">
        <f>'Managerial Consolidated'!V18-V52-V37</f>
        <v>-3387197.9200000009</v>
      </c>
      <c r="W34" s="51">
        <f>'Managerial Consolidated'!W18-W52-W37</f>
        <v>-3535173.9863596582</v>
      </c>
      <c r="X34" s="51">
        <f>'Managerial Consolidated'!X18-X52-X37</f>
        <v>-3721790.3936403422</v>
      </c>
      <c r="Y34" s="51">
        <f>'Managerial Consolidated'!Y18-Y52-Y37</f>
        <v>-3207430.3300000019</v>
      </c>
      <c r="Z34" s="51">
        <f>'Managerial Consolidated'!Z18-Z52-Z37</f>
        <v>-5650722.2754474161</v>
      </c>
      <c r="AA34" s="51">
        <f>'Managerial Consolidated'!AA18-AA52-AA37</f>
        <v>-4560648.9845525883</v>
      </c>
      <c r="AB34" s="51">
        <f>'Managerial Consolidated'!AB18-AB52-AB37</f>
        <v>13454688.418494422</v>
      </c>
      <c r="AC34" s="51">
        <f>'Managerial Consolidated'!AC18-AC52-AC37</f>
        <v>-4494771.6366666676</v>
      </c>
      <c r="AD34" s="51">
        <f>'Managerial Consolidated'!AD18-AD52-AD37</f>
        <v>-5238907.9966666652</v>
      </c>
      <c r="AE34" s="51">
        <f>'Managerial Consolidated'!AE18-AE52-AE37</f>
        <v>-3116152.7166666668</v>
      </c>
      <c r="AF34" s="51">
        <f>'Managerial Consolidated'!AF18-AF52-AF37</f>
        <v>-5405360.9066666644</v>
      </c>
      <c r="AG34" s="51">
        <f>'Managerial Consolidated'!AG18-AG52-AG37</f>
        <v>0</v>
      </c>
      <c r="AH34" s="51">
        <f>'Managerial Consolidated'!AH18-AH52-AH37</f>
        <v>0</v>
      </c>
      <c r="AI34" s="51">
        <f>'Managerial Consolidated'!AI18-AI52-AI37</f>
        <v>0</v>
      </c>
      <c r="AJ34" s="51">
        <f>'Managerial Consolidated'!AJ18-AJ52-AJ37</f>
        <v>0</v>
      </c>
      <c r="AK34" s="51">
        <f>'Managerial Consolidated'!AK18-AK52-AK37</f>
        <v>0</v>
      </c>
      <c r="AL34" s="51">
        <f>'Managerial Consolidated'!AL18-AL52-AL37</f>
        <v>0</v>
      </c>
      <c r="AM34" s="51">
        <f>'Managerial Consolidated'!AM18-AM52-AM37</f>
        <v>0</v>
      </c>
      <c r="AN34" s="51">
        <f>'Managerial Consolidated'!AN18-AN52-AN37</f>
        <v>0</v>
      </c>
    </row>
    <row r="35" spans="2:40" s="46" customFormat="1" ht="15" outlineLevel="1" x14ac:dyDescent="0.45">
      <c r="B35" s="53" t="s">
        <v>844</v>
      </c>
      <c r="C35" s="53"/>
      <c r="D35" s="53"/>
      <c r="E35" s="53"/>
      <c r="F35" s="53"/>
      <c r="G35" s="53"/>
      <c r="H35" s="53"/>
      <c r="I35" s="53"/>
      <c r="J35" s="53"/>
      <c r="K35" s="53"/>
      <c r="L35" s="53"/>
      <c r="M35" s="53"/>
      <c r="N35" s="53"/>
      <c r="O35" s="53"/>
      <c r="P35" s="53"/>
      <c r="Q35" s="51">
        <f>IF('Managerial Consolidated'!$C$2="ACC",0,IF('Managerial Consolidated'!$C$2="ACC wE",0,IF('Managerial Consolidated'!$C$2="BP",-(Inputs!Q$15*Inputs!Q$23),IF('Managerial Consolidated'!$C$2="BP wE",-(Inputs!Q$15*Inputs!Q$23)))))</f>
        <v>-2295114.2255638796</v>
      </c>
      <c r="R35" s="51">
        <f>IF('Managerial Consolidated'!$C$2="ACC",0,IF('Managerial Consolidated'!$C$2="ACC wE",0,IF('Managerial Consolidated'!$C$2="BP",-(Inputs!R$15*Inputs!R$23),IF('Managerial Consolidated'!$C$2="BP wE",-(Inputs!R$15*Inputs!R$23)))))</f>
        <v>-3348972.7791002756</v>
      </c>
      <c r="S35" s="51">
        <f>IF('Managerial Consolidated'!$C$2="ACC",0,IF('Managerial Consolidated'!$C$2="ACC wE",0,IF('Managerial Consolidated'!$C$2="BP",-(Inputs!S$15*Inputs!S$23),IF('Managerial Consolidated'!$C$2="BP wE",-(Inputs!S$15*Inputs!S$23)))))</f>
        <v>-2750859.294752663</v>
      </c>
      <c r="T35" s="51">
        <f>IF('Managerial Consolidated'!$C$2="ACC",0,IF('Managerial Consolidated'!$C$2="ACC wE",0,IF('Managerial Consolidated'!$C$2="BP",-(Inputs!T$15*Inputs!T$23),IF('Managerial Consolidated'!$C$2="BP wE",-(Inputs!T$15*Inputs!T$23)))))</f>
        <v>-2614683.5189500493</v>
      </c>
      <c r="U35" s="51">
        <f>IF('Managerial Consolidated'!$C$2="ACC",0,IF('Managerial Consolidated'!$C$2="ACC wE",0,IF('Managerial Consolidated'!$C$2="BP",-(Inputs!U$15*Inputs!U$23),IF('Managerial Consolidated'!$C$2="BP wE",-(Inputs!U$15*Inputs!U$23)))))</f>
        <v>-2782247.5242513549</v>
      </c>
      <c r="V35" s="51">
        <f>IF('Managerial Consolidated'!$C$2="ACC",0,IF('Managerial Consolidated'!$C$2="ACC wE",0,IF('Managerial Consolidated'!$C$2="BP",-(Inputs!V$15*Inputs!V$23),IF('Managerial Consolidated'!$C$2="BP wE",-(Inputs!V$15*Inputs!V$23)))))</f>
        <v>-3466876.0734513546</v>
      </c>
      <c r="W35" s="51">
        <f>IF('Managerial Consolidated'!$C$2="ACC",0,IF('Managerial Consolidated'!$C$2="ACC wE",0,IF('Managerial Consolidated'!$C$2="BP",-(Inputs!W$15*Inputs!W$23),IF('Managerial Consolidated'!$C$2="BP wE",-(Inputs!W$15*Inputs!W$23)))))</f>
        <v>-2704069.5594000011</v>
      </c>
      <c r="X35" s="51">
        <f>IF('Managerial Consolidated'!$C$2="ACC",0,IF('Managerial Consolidated'!$C$2="ACC wE",0,IF('Managerial Consolidated'!$C$2="BP",-(Inputs!X$15*Inputs!X$23),IF('Managerial Consolidated'!$C$2="BP wE",-(Inputs!X$15*Inputs!X$23)))))</f>
        <v>-2259102.8400000017</v>
      </c>
      <c r="Y35" s="51">
        <f>IF('Managerial Consolidated'!$C$2="ACC",0,IF('Managerial Consolidated'!$C$2="ACC wE",0,IF('Managerial Consolidated'!$C$2="BP",-(Inputs!Y$15*Inputs!Y$23),IF('Managerial Consolidated'!$C$2="BP wE",-(Inputs!Y$15*Inputs!Y$23)))))</f>
        <v>-2141075.9721402875</v>
      </c>
      <c r="Z35" s="51">
        <f>IF('Managerial Consolidated'!$C$2="ACC",0,IF('Managerial Consolidated'!$C$2="ACC wE",0,IF('Managerial Consolidated'!$C$2="BP",-(Inputs!Z$15*Inputs!Z$23),IF('Managerial Consolidated'!$C$2="BP wE",-(Inputs!Z$15*Inputs!Z$23)))))</f>
        <v>-2675371.5227515739</v>
      </c>
      <c r="AA35" s="51">
        <f>IF('Managerial Consolidated'!$C$2="ACC",0,IF('Managerial Consolidated'!$C$2="ACC wE",0,IF('Managerial Consolidated'!$C$2="BP",-(Inputs!AA$15*Inputs!AA$23),IF('Managerial Consolidated'!$C$2="BP wE",-(Inputs!AA$15*Inputs!AA$23)))))</f>
        <v>-2042859.0048000002</v>
      </c>
      <c r="AB35" s="51">
        <f>IF('Managerial Consolidated'!$C$2="ACC",0,IF('Managerial Consolidated'!$C$2="ACC wE",0,IF('Managerial Consolidated'!$C$2="BP",-(Inputs!AB$15*Inputs!AB$23),IF('Managerial Consolidated'!$C$2="BP wE",-(Inputs!AB$15*Inputs!AB$23)))))</f>
        <v>-1547210.3494285273</v>
      </c>
      <c r="AC35" s="51">
        <f>IF('Managerial Consolidated'!$C$2="ACC",0,IF('Managerial Consolidated'!$C$2="ACC wE",0,IF('Managerial Consolidated'!$C$2="BP",-(Inputs!AC$15*Inputs!AC$23),IF('Managerial Consolidated'!$C$2="BP wE",-(Inputs!AC$15*Inputs!AC$23)))))</f>
        <v>-5126628.4422279419</v>
      </c>
      <c r="AD35" s="51">
        <f>IF('Managerial Consolidated'!$C$2="ACC",0,IF('Managerial Consolidated'!$C$2="ACC wE",0,IF('Managerial Consolidated'!$C$2="BP",-(Inputs!AD$15*Inputs!AD$23),IF('Managerial Consolidated'!$C$2="BP wE",-(Inputs!AD$15*Inputs!AD$23)))))</f>
        <v>-5958408.7662601285</v>
      </c>
      <c r="AE35" s="51">
        <f>IF('Managerial Consolidated'!$C$2="ACC",0,IF('Managerial Consolidated'!$C$2="ACC wE",0,IF('Managerial Consolidated'!$C$2="BP",-(Inputs!AE$15*Inputs!AE$23),IF('Managerial Consolidated'!$C$2="BP wE",-(Inputs!AE$15*Inputs!AE$23)))))</f>
        <v>-5871869.2497705584</v>
      </c>
      <c r="AF35" s="51">
        <f>IF('Managerial Consolidated'!$C$2="ACC",0,IF('Managerial Consolidated'!$C$2="ACC wE",0,IF('Managerial Consolidated'!$C$2="BP",-(Inputs!AF$15*Inputs!AF$23),IF('Managerial Consolidated'!$C$2="BP wE",-(Inputs!AF$15*Inputs!AF$23)))))</f>
        <v>-5528826.9531624718</v>
      </c>
      <c r="AG35" s="51">
        <f>IF('Managerial Consolidated'!$C$2="ACC",0,IF('Managerial Consolidated'!$C$2="ACC wE",0,IF('Managerial Consolidated'!$C$2="BP",-(Inputs!AG$15*Inputs!AG$23),IF('Managerial Consolidated'!$C$2="BP wE",-(Inputs!AG$15*Inputs!AG$23)))))</f>
        <v>0</v>
      </c>
      <c r="AH35" s="51">
        <f>IF('Managerial Consolidated'!$C$2="ACC",0,IF('Managerial Consolidated'!$C$2="ACC wE",0,IF('Managerial Consolidated'!$C$2="BP",-(Inputs!AH$15*Inputs!AH$23),IF('Managerial Consolidated'!$C$2="BP wE",-(Inputs!AH$15*Inputs!AH$23)))))</f>
        <v>0</v>
      </c>
      <c r="AI35" s="51">
        <f>IF('Managerial Consolidated'!$C$2="ACC",0,IF('Managerial Consolidated'!$C$2="ACC wE",0,IF('Managerial Consolidated'!$C$2="BP",-(Inputs!AI$15*Inputs!AI$23),IF('Managerial Consolidated'!$C$2="BP wE",-(Inputs!AI$15*Inputs!AI$23)))))</f>
        <v>0</v>
      </c>
      <c r="AJ35" s="51">
        <f>IF('Managerial Consolidated'!$C$2="ACC",0,IF('Managerial Consolidated'!$C$2="ACC wE",0,IF('Managerial Consolidated'!$C$2="BP",-(Inputs!AJ$15*Inputs!AJ$23),IF('Managerial Consolidated'!$C$2="BP wE",-(Inputs!AJ$15*Inputs!AJ$23)))))</f>
        <v>0</v>
      </c>
      <c r="AK35" s="51">
        <f>IF('Managerial Consolidated'!$C$2="ACC",0,IF('Managerial Consolidated'!$C$2="ACC wE",0,IF('Managerial Consolidated'!$C$2="BP",-(Inputs!AK$15*Inputs!AK$23),IF('Managerial Consolidated'!$C$2="BP wE",-(Inputs!AK$15*Inputs!AK$23)))))</f>
        <v>0</v>
      </c>
      <c r="AL35" s="51">
        <f>IF('Managerial Consolidated'!$C$2="ACC",0,IF('Managerial Consolidated'!$C$2="ACC wE",0,IF('Managerial Consolidated'!$C$2="BP",-(Inputs!AL$15*Inputs!AL$23),IF('Managerial Consolidated'!$C$2="BP wE",-(Inputs!AL$15*Inputs!AL$23)))))</f>
        <v>0</v>
      </c>
      <c r="AM35" s="51">
        <f>IF('Managerial Consolidated'!$C$2="ACC",0,IF('Managerial Consolidated'!$C$2="ACC wE",0,IF('Managerial Consolidated'!$C$2="BP",-(Inputs!AM$15*Inputs!AM$23),IF('Managerial Consolidated'!$C$2="BP wE",-(Inputs!AM$15*Inputs!AM$23)))))</f>
        <v>0</v>
      </c>
      <c r="AN35" s="51">
        <f>IF('Managerial Consolidated'!$C$2="ACC",0,IF('Managerial Consolidated'!$C$2="ACC wE",0,IF('Managerial Consolidated'!$C$2="BP",-(Inputs!AN$15*Inputs!AN$23),IF('Managerial Consolidated'!$C$2="BP wE",-(Inputs!AN$15*Inputs!AN$23)))))</f>
        <v>0</v>
      </c>
    </row>
    <row r="36" spans="2:40" s="46" customFormat="1" ht="15" outlineLevel="1" x14ac:dyDescent="0.45">
      <c r="B36" s="53" t="s">
        <v>482</v>
      </c>
      <c r="C36" s="53"/>
      <c r="D36" s="53"/>
      <c r="E36" s="53"/>
      <c r="F36" s="53"/>
      <c r="G36" s="53"/>
      <c r="H36" s="53"/>
      <c r="I36" s="53"/>
      <c r="J36" s="53"/>
      <c r="K36" s="53"/>
      <c r="L36" s="53"/>
      <c r="M36" s="53"/>
      <c r="N36" s="53"/>
      <c r="O36" s="53"/>
      <c r="P36" s="53"/>
      <c r="Q36" s="51">
        <f>IF('Managerial Consolidated'!$C$2="ACC",Q52,IF('Managerial Consolidated'!$C$2="ACC wE",Q52,IF('Managerial Consolidated'!$C$2="BP",-(Inputs!Q$18*Inputs!Q$26),IF('Managerial Consolidated'!$C$2="BP wE",-(Inputs!Q$18*Inputs!Q$26)))))</f>
        <v>-2217942.3828772958</v>
      </c>
      <c r="R36" s="51">
        <f>IF('Managerial Consolidated'!$C$2="ACC",R52,IF('Managerial Consolidated'!$C$2="ACC wE",R52,IF('Managerial Consolidated'!$C$2="BP",-(Inputs!R$18*Inputs!R$26),IF('Managerial Consolidated'!$C$2="BP wE",-(Inputs!R$18*Inputs!R$26)))))</f>
        <v>-2534189.4128275253</v>
      </c>
      <c r="S36" s="51">
        <f>IF('Managerial Consolidated'!$C$2="ACC",S52,IF('Managerial Consolidated'!$C$2="ACC wE",S52,IF('Managerial Consolidated'!$C$2="BP",-(Inputs!S$18*Inputs!S$26),IF('Managerial Consolidated'!$C$2="BP wE",-(Inputs!S$18*Inputs!S$26)))))</f>
        <v>-2388588.9831572794</v>
      </c>
      <c r="T36" s="51">
        <f>IF('Managerial Consolidated'!$C$2="ACC",T52,IF('Managerial Consolidated'!$C$2="ACC wE",T52,IF('Managerial Consolidated'!$C$2="BP",-(Inputs!T$18*Inputs!T$26),IF('Managerial Consolidated'!$C$2="BP wE",-(Inputs!T$18*Inputs!T$26)))))</f>
        <v>-2558141.5406886078</v>
      </c>
      <c r="U36" s="51">
        <f>IF('Managerial Consolidated'!$C$2="ACC",U52,IF('Managerial Consolidated'!$C$2="ACC wE",U52,IF('Managerial Consolidated'!$C$2="BP",-(Inputs!U$18*Inputs!U$26),IF('Managerial Consolidated'!$C$2="BP wE",-(Inputs!U$18*Inputs!U$26)))))</f>
        <v>-2678942.2510981555</v>
      </c>
      <c r="V36" s="51">
        <f>IF('Managerial Consolidated'!$C$2="ACC",V52,IF('Managerial Consolidated'!$C$2="ACC wE",V52,IF('Managerial Consolidated'!$C$2="BP",-(Inputs!V$18*Inputs!V$26),IF('Managerial Consolidated'!$C$2="BP wE",-(Inputs!V$18*Inputs!V$26)))))</f>
        <v>-2602025.9883954749</v>
      </c>
      <c r="W36" s="51">
        <f>IF('Managerial Consolidated'!$C$2="ACC",W52,IF('Managerial Consolidated'!$C$2="ACC wE",W52,IF('Managerial Consolidated'!$C$2="BP",-(Inputs!W$18*Inputs!W$26),IF('Managerial Consolidated'!$C$2="BP wE",-(Inputs!W$18*Inputs!W$26)))))</f>
        <v>-4047762.5930918683</v>
      </c>
      <c r="X36" s="51">
        <f>IF('Managerial Consolidated'!$C$2="ACC",X52,IF('Managerial Consolidated'!$C$2="ACC wE",X52,IF('Managerial Consolidated'!$C$2="BP",-(Inputs!X$18*Inputs!X$26),IF('Managerial Consolidated'!$C$2="BP wE",-(Inputs!X$18*Inputs!X$26)))))</f>
        <v>-3787830.1769999997</v>
      </c>
      <c r="Y36" s="51">
        <f>IF('Managerial Consolidated'!$C$2="ACC",Y52,IF('Managerial Consolidated'!$C$2="ACC wE",Y52,IF('Managerial Consolidated'!$C$2="BP",-(Inputs!Y$18*Inputs!Y$26),IF('Managerial Consolidated'!$C$2="BP wE",-(Inputs!Y$18*Inputs!Y$26)))))</f>
        <v>-4177771.7027263874</v>
      </c>
      <c r="Z36" s="51">
        <f>IF('Managerial Consolidated'!$C$2="ACC",Z52,IF('Managerial Consolidated'!$C$2="ACC wE",Z52,IF('Managerial Consolidated'!$C$2="BP",-(Inputs!Z$18*Inputs!Z$26),IF('Managerial Consolidated'!$C$2="BP wE",-(Inputs!Z$18*Inputs!Z$26)))))</f>
        <v>-3506642.0025817393</v>
      </c>
      <c r="AA36" s="51">
        <f>IF('Managerial Consolidated'!$C$2="ACC",AA52,IF('Managerial Consolidated'!$C$2="ACC wE",AA52,IF('Managerial Consolidated'!$C$2="BP",-(Inputs!AA$18*Inputs!AA$26),IF('Managerial Consolidated'!$C$2="BP wE",-(Inputs!AA$18*Inputs!AA$26)))))</f>
        <v>-4086622.6692000008</v>
      </c>
      <c r="AB36" s="51">
        <f>IF('Managerial Consolidated'!$C$2="ACC",AB52,IF('Managerial Consolidated'!$C$2="ACC wE",AB52,IF('Managerial Consolidated'!$C$2="BP",-(Inputs!AB$18*Inputs!AB$26),IF('Managerial Consolidated'!$C$2="BP wE",-(Inputs!AB$18*Inputs!AB$26)))))</f>
        <v>-6059104.0808571316</v>
      </c>
      <c r="AC36" s="51">
        <f>IF('Managerial Consolidated'!$C$2="ACC",AC52,IF('Managerial Consolidated'!$C$2="ACC wE",AC52,IF('Managerial Consolidated'!$C$2="BP",-(Inputs!AC$18*Inputs!AC$26),IF('Managerial Consolidated'!$C$2="BP wE",-(Inputs!AC$18*Inputs!AC$26)))))</f>
        <v>-2565849.0377720571</v>
      </c>
      <c r="AD36" s="51">
        <f>IF('Managerial Consolidated'!$C$2="ACC",AD52,IF('Managerial Consolidated'!$C$2="ACC wE",AD52,IF('Managerial Consolidated'!$C$2="BP",-(Inputs!AD$18*Inputs!AD$26),IF('Managerial Consolidated'!$C$2="BP wE",-(Inputs!AD$18*Inputs!AD$26)))))</f>
        <v>-2907640.8647698727</v>
      </c>
      <c r="AE36" s="51">
        <f>IF('Managerial Consolidated'!$C$2="ACC",AE52,IF('Managerial Consolidated'!$C$2="ACC wE",AE52,IF('Managerial Consolidated'!$C$2="BP",-(Inputs!AE$18*Inputs!AE$26),IF('Managerial Consolidated'!$C$2="BP wE",-(Inputs!AE$18*Inputs!AE$26)))))</f>
        <v>-2857381.599229441</v>
      </c>
      <c r="AF36" s="51">
        <f>IF('Managerial Consolidated'!$C$2="ACC",AF52,IF('Managerial Consolidated'!$C$2="ACC wE",AF52,IF('Managerial Consolidated'!$C$2="BP",-(Inputs!AF$18*Inputs!AF$26),IF('Managerial Consolidated'!$C$2="BP wE",-(Inputs!AF$18*Inputs!AF$26)))))</f>
        <v>-2924508.9314975273</v>
      </c>
      <c r="AG36" s="51">
        <f>IF('Managerial Consolidated'!$C$2="ACC",AG52,IF('Managerial Consolidated'!$C$2="ACC wE",AG52,IF('Managerial Consolidated'!$C$2="BP",-(Inputs!AG$18*Inputs!AG$26),IF('Managerial Consolidated'!$C$2="BP wE",-(Inputs!AG$18*Inputs!AG$26)))))</f>
        <v>0</v>
      </c>
      <c r="AH36" s="51">
        <f>IF('Managerial Consolidated'!$C$2="ACC",AH52,IF('Managerial Consolidated'!$C$2="ACC wE",AH52,IF('Managerial Consolidated'!$C$2="BP",-(Inputs!AH$18*Inputs!AH$26),IF('Managerial Consolidated'!$C$2="BP wE",-(Inputs!AH$18*Inputs!AH$26)))))</f>
        <v>0</v>
      </c>
      <c r="AI36" s="51">
        <f>IF('Managerial Consolidated'!$C$2="ACC",AI52,IF('Managerial Consolidated'!$C$2="ACC wE",AI52,IF('Managerial Consolidated'!$C$2="BP",-(Inputs!AI$18*Inputs!AI$26),IF('Managerial Consolidated'!$C$2="BP wE",-(Inputs!AI$18*Inputs!AI$26)))))</f>
        <v>0</v>
      </c>
      <c r="AJ36" s="51">
        <f>IF('Managerial Consolidated'!$C$2="ACC",AJ52,IF('Managerial Consolidated'!$C$2="ACC wE",AJ52,IF('Managerial Consolidated'!$C$2="BP",-(Inputs!AJ$18*Inputs!AJ$26),IF('Managerial Consolidated'!$C$2="BP wE",-(Inputs!AJ$18*Inputs!AJ$26)))))</f>
        <v>0</v>
      </c>
      <c r="AK36" s="51">
        <f>IF('Managerial Consolidated'!$C$2="ACC",AK52,IF('Managerial Consolidated'!$C$2="ACC wE",AK52,IF('Managerial Consolidated'!$C$2="BP",-(Inputs!AK$18*Inputs!AK$26),IF('Managerial Consolidated'!$C$2="BP wE",-(Inputs!AK$18*Inputs!AK$26)))))</f>
        <v>0</v>
      </c>
      <c r="AL36" s="51">
        <f>IF('Managerial Consolidated'!$C$2="ACC",AL52,IF('Managerial Consolidated'!$C$2="ACC wE",AL52,IF('Managerial Consolidated'!$C$2="BP",-(Inputs!AL$18*Inputs!AL$26),IF('Managerial Consolidated'!$C$2="BP wE",-(Inputs!AL$18*Inputs!AL$26)))))</f>
        <v>0</v>
      </c>
      <c r="AM36" s="51">
        <f>IF('Managerial Consolidated'!$C$2="ACC",AM52,IF('Managerial Consolidated'!$C$2="ACC wE",AM52,IF('Managerial Consolidated'!$C$2="BP",-(Inputs!AM$18*Inputs!AM$26),IF('Managerial Consolidated'!$C$2="BP wE",-(Inputs!AM$18*Inputs!AM$26)))))</f>
        <v>0</v>
      </c>
      <c r="AN36" s="51">
        <f>IF('Managerial Consolidated'!$C$2="ACC",AN52,IF('Managerial Consolidated'!$C$2="ACC wE",AN52,IF('Managerial Consolidated'!$C$2="BP",-(Inputs!AN$18*Inputs!AN$26),IF('Managerial Consolidated'!$C$2="BP wE",-(Inputs!AN$18*Inputs!AN$26)))))</f>
        <v>0</v>
      </c>
    </row>
    <row r="37" spans="2:40" s="27" customFormat="1" ht="15" outlineLevel="1" x14ac:dyDescent="0.35">
      <c r="B37" s="53" t="s">
        <v>582</v>
      </c>
      <c r="Q37" s="51">
        <f>-SUMIF('Data BASE'!$L$490:$L$6000,$B$37,'Data BASE'!R$490:R$6000)</f>
        <v>-307164</v>
      </c>
      <c r="R37" s="51">
        <f>-SUMIF('Data BASE'!$L$490:$L$6000,$B$37,'Data BASE'!S$490:S$6000)</f>
        <v>-307164</v>
      </c>
      <c r="S37" s="51">
        <f>-SUMIF('Data BASE'!$L$490:$L$6000,$B$37,'Data BASE'!T$490:T$6000)</f>
        <v>-933973.00193646993</v>
      </c>
      <c r="T37" s="51">
        <f>-SUMIF('Data BASE'!$L$490:$L$6000,$B$37,'Data BASE'!U$490:U$6000)</f>
        <v>-519386.78806347004</v>
      </c>
      <c r="U37" s="51">
        <f>-SUMIF('Data BASE'!$L$490:$L$6000,$B$37,'Data BASE'!V$490:V$6000)</f>
        <v>-519386.8217585301</v>
      </c>
      <c r="V37" s="51">
        <f>-SUMIF('Data BASE'!$L$490:$L$6000,$B$37,'Data BASE'!W$490:W$6000)</f>
        <v>-519386.77824149001</v>
      </c>
      <c r="W37" s="51">
        <f>-SUMIF('Data BASE'!$L$490:$L$6000,$B$37,'Data BASE'!X$490:X$6000)</f>
        <v>-703179.04364032997</v>
      </c>
      <c r="X37" s="51">
        <f>-SUMIF('Data BASE'!$L$490:$L$6000,$B$37,'Data BASE'!Y$490:Y$6000)</f>
        <v>-703178.9563597599</v>
      </c>
      <c r="Y37" s="51">
        <f>-SUMIF('Data BASE'!$L$490:$L$6000,$B$37,'Data BASE'!Z$490:Z$6000)</f>
        <v>-703178.99999994971</v>
      </c>
      <c r="Z37" s="51">
        <f>-SUMIF('Data BASE'!$L$490:$L$6000,$B$37,'Data BASE'!AA$490:AA$6000)</f>
        <v>-703179.09455273021</v>
      </c>
      <c r="AA37" s="51">
        <f>-SUMIF('Data BASE'!$L$490:$L$6000,$B$37,'Data BASE'!AB$490:AB$6000)</f>
        <v>-703178.90544728003</v>
      </c>
      <c r="AB37" s="51">
        <f>-SUMIF('Data BASE'!$L$490:$L$6000,$B$37,'Data BASE'!AC$490:AC$6000)</f>
        <v>-703179.12849435024</v>
      </c>
      <c r="AC37" s="51">
        <f>-SUMIF('Data BASE'!$L$490:$L$6000,$B$37,'Data BASE'!AD$490:AD$6000)</f>
        <v>-587518.23333328997</v>
      </c>
      <c r="AD37" s="51">
        <f>-SUMIF('Data BASE'!$L$490:$L$6000,$B$37,'Data BASE'!AE$490:AE$6000)</f>
        <v>-606348.47718852002</v>
      </c>
      <c r="AE37" s="51">
        <f>-SUMIF('Data BASE'!$L$490:$L$6000,$B$37,'Data BASE'!AF$490:AF$6000)</f>
        <v>-644738.00510336994</v>
      </c>
      <c r="AF37" s="51">
        <f>-SUMIF('Data BASE'!$L$490:$L$6000,$B$37,'Data BASE'!AG$490:AG$6000)</f>
        <v>-645313.92316013994</v>
      </c>
      <c r="AG37" s="51">
        <f>-SUMIF('Data BASE'!$L$490:$L$6000,$B$37,'Data BASE'!AH$490:AH$6000)</f>
        <v>0</v>
      </c>
      <c r="AH37" s="51">
        <f>-SUMIF('Data BASE'!$L$490:$L$6000,$B$37,'Data BASE'!AI$490:AI$6000)</f>
        <v>0</v>
      </c>
      <c r="AI37" s="51">
        <f>-SUMIF('Data BASE'!$L$490:$L$6000,$B$37,'Data BASE'!AJ$490:AJ$6000)</f>
        <v>0</v>
      </c>
      <c r="AJ37" s="51">
        <f>-SUMIF('Data BASE'!$L$490:$L$6000,$B$37,'Data BASE'!AK$490:AK$6000)</f>
        <v>0</v>
      </c>
      <c r="AK37" s="51">
        <f>-SUMIF('Data BASE'!$L$490:$L$6000,$B$37,'Data BASE'!AL$490:AL$6000)</f>
        <v>0</v>
      </c>
      <c r="AL37" s="51">
        <f>-SUMIF('Data BASE'!$L$490:$L$6000,$B$37,'Data BASE'!AM$490:AM$6000)</f>
        <v>0</v>
      </c>
      <c r="AM37" s="51">
        <f>-SUMIF('Data BASE'!$L$490:$L$6000,$B$37,'Data BASE'!AN$490:AN$6000)</f>
        <v>0</v>
      </c>
      <c r="AN37" s="51">
        <f>-SUMIF('Data BASE'!$L$490:$L$6000,$B$37,'Data BASE'!AO$490:AO$6000)</f>
        <v>0</v>
      </c>
    </row>
    <row r="38" spans="2:40" s="46" customFormat="1" ht="15" outlineLevel="1" x14ac:dyDescent="0.45">
      <c r="B38" s="49" t="s">
        <v>812</v>
      </c>
      <c r="C38" s="49"/>
      <c r="D38" s="49"/>
      <c r="E38" s="49"/>
      <c r="F38" s="49"/>
      <c r="G38" s="49"/>
      <c r="H38" s="49"/>
      <c r="I38" s="49"/>
      <c r="J38" s="49"/>
      <c r="K38" s="49"/>
      <c r="L38" s="49"/>
      <c r="M38" s="49"/>
      <c r="N38" s="49"/>
      <c r="O38" s="49"/>
      <c r="P38" s="49"/>
      <c r="Q38" s="50">
        <f t="shared" ref="Q38:AB38" si="5">+Q33+Q34+Q35+Q36+Q37</f>
        <v>-4517780.3984411769</v>
      </c>
      <c r="R38" s="50">
        <f t="shared" si="5"/>
        <v>-7046075.3319278052</v>
      </c>
      <c r="S38" s="50">
        <f t="shared" si="5"/>
        <v>-6556648.2898464138</v>
      </c>
      <c r="T38" s="50">
        <f t="shared" ref="T38" si="6">+T33+T34+T35+T36+T37</f>
        <v>-5260862.1377021335</v>
      </c>
      <c r="U38" s="50">
        <f t="shared" si="5"/>
        <v>-3401611.0253496976</v>
      </c>
      <c r="V38" s="50">
        <f t="shared" si="5"/>
        <v>-5711628.6118466249</v>
      </c>
      <c r="W38" s="50">
        <f t="shared" si="5"/>
        <v>-5941748.5824919343</v>
      </c>
      <c r="X38" s="50">
        <f t="shared" si="5"/>
        <v>-3806240.6570000541</v>
      </c>
      <c r="Y38" s="50">
        <f t="shared" si="5"/>
        <v>-642852.12486662436</v>
      </c>
      <c r="Z38" s="50">
        <f t="shared" si="5"/>
        <v>-6476168.1753334589</v>
      </c>
      <c r="AA38" s="50">
        <f t="shared" si="5"/>
        <v>-7158064.4339998737</v>
      </c>
      <c r="AB38" s="50">
        <f t="shared" si="5"/>
        <v>4622223.8397144135</v>
      </c>
      <c r="AC38" s="50">
        <f t="shared" ref="AC38:AN38" si="7">+AC33+AC34+AC35+AC36+AC37</f>
        <v>-6978916.2299999539</v>
      </c>
      <c r="AD38" s="50">
        <f t="shared" si="7"/>
        <v>-10249057.564885188</v>
      </c>
      <c r="AE38" s="50">
        <f t="shared" si="7"/>
        <v>-9327153.7107700408</v>
      </c>
      <c r="AF38" s="50">
        <f t="shared" si="7"/>
        <v>-8278098.2790348604</v>
      </c>
      <c r="AG38" s="50">
        <f t="shared" si="7"/>
        <v>0</v>
      </c>
      <c r="AH38" s="50">
        <f t="shared" si="7"/>
        <v>0</v>
      </c>
      <c r="AI38" s="50">
        <f t="shared" si="7"/>
        <v>0</v>
      </c>
      <c r="AJ38" s="50">
        <f t="shared" si="7"/>
        <v>0</v>
      </c>
      <c r="AK38" s="50">
        <f t="shared" si="7"/>
        <v>0</v>
      </c>
      <c r="AL38" s="50">
        <f t="shared" si="7"/>
        <v>0</v>
      </c>
      <c r="AM38" s="50">
        <f t="shared" si="7"/>
        <v>0</v>
      </c>
      <c r="AN38" s="50">
        <f t="shared" si="7"/>
        <v>0</v>
      </c>
    </row>
    <row r="39" spans="2:40" s="46" customFormat="1" ht="15" outlineLevel="1" x14ac:dyDescent="0.45">
      <c r="B39" s="53" t="s">
        <v>557</v>
      </c>
      <c r="C39" s="53"/>
      <c r="D39" s="53"/>
      <c r="E39" s="53"/>
      <c r="F39" s="53"/>
      <c r="G39" s="53"/>
      <c r="H39" s="53"/>
      <c r="I39" s="53"/>
      <c r="J39" s="53"/>
      <c r="K39" s="53"/>
      <c r="L39" s="53"/>
      <c r="M39" s="53"/>
      <c r="N39" s="53"/>
      <c r="O39" s="53"/>
      <c r="P39" s="53"/>
      <c r="Q39" s="51">
        <f>'Managerial Consolidated'!Q21</f>
        <v>-1714955.5899999999</v>
      </c>
      <c r="R39" s="51">
        <f>'Managerial Consolidated'!R21</f>
        <v>-1840310.28</v>
      </c>
      <c r="S39" s="51">
        <f>'Managerial Consolidated'!S21</f>
        <v>-1830631.21</v>
      </c>
      <c r="T39" s="51">
        <f>'Managerial Consolidated'!T21</f>
        <v>-2474407.290000001</v>
      </c>
      <c r="U39" s="51">
        <f>'Managerial Consolidated'!U21</f>
        <v>-2424952.6300000008</v>
      </c>
      <c r="V39" s="51">
        <f>'Managerial Consolidated'!V21</f>
        <v>-2384325.7799999998</v>
      </c>
      <c r="W39" s="51">
        <f>'Managerial Consolidated'!W21</f>
        <v>-2890391.2999999993</v>
      </c>
      <c r="X39" s="51">
        <f>'Managerial Consolidated'!X21</f>
        <v>-2545876.4899999998</v>
      </c>
      <c r="Y39" s="51">
        <f>'Managerial Consolidated'!Y21</f>
        <v>-2736711.8700000015</v>
      </c>
      <c r="Z39" s="51">
        <f>'Managerial Consolidated'!Z21</f>
        <v>-2636109.1299999994</v>
      </c>
      <c r="AA39" s="51">
        <f>'Managerial Consolidated'!AA21</f>
        <v>-3049047.2199999988</v>
      </c>
      <c r="AB39" s="51">
        <f>'Managerial Consolidated'!AB21</f>
        <v>-9971241.0199999996</v>
      </c>
      <c r="AC39" s="51">
        <f>'Managerial Consolidated'!AC21</f>
        <v>-5110921.4399999985</v>
      </c>
      <c r="AD39" s="51">
        <f>'Managerial Consolidated'!AD21</f>
        <v>-5023333.3099999996</v>
      </c>
      <c r="AE39" s="51">
        <f>'Managerial Consolidated'!AE21</f>
        <v>-5605386.7800000003</v>
      </c>
      <c r="AF39" s="51">
        <f>'Managerial Consolidated'!AF21</f>
        <v>-5548251.7300000004</v>
      </c>
      <c r="AG39" s="51">
        <f>'Managerial Consolidated'!AG21</f>
        <v>0</v>
      </c>
      <c r="AH39" s="51">
        <f>'Managerial Consolidated'!AH21</f>
        <v>0</v>
      </c>
      <c r="AI39" s="51">
        <f>'Managerial Consolidated'!AI21</f>
        <v>0</v>
      </c>
      <c r="AJ39" s="51">
        <f>'Managerial Consolidated'!AJ21</f>
        <v>0</v>
      </c>
      <c r="AK39" s="51">
        <f>'Managerial Consolidated'!AK21</f>
        <v>0</v>
      </c>
      <c r="AL39" s="51">
        <f>'Managerial Consolidated'!AL21</f>
        <v>0</v>
      </c>
      <c r="AM39" s="51">
        <f>'Managerial Consolidated'!AM21</f>
        <v>0</v>
      </c>
      <c r="AN39" s="51">
        <f>'Managerial Consolidated'!AN21</f>
        <v>0</v>
      </c>
    </row>
    <row r="40" spans="2:40" s="46" customFormat="1" ht="15" outlineLevel="1" x14ac:dyDescent="0.45">
      <c r="B40" s="49" t="s">
        <v>813</v>
      </c>
      <c r="C40" s="49"/>
      <c r="D40" s="49"/>
      <c r="E40" s="49"/>
      <c r="F40" s="49"/>
      <c r="G40" s="49"/>
      <c r="H40" s="49"/>
      <c r="I40" s="49"/>
      <c r="J40" s="49"/>
      <c r="K40" s="49"/>
      <c r="L40" s="49"/>
      <c r="M40" s="49"/>
      <c r="N40" s="49"/>
      <c r="O40" s="49"/>
      <c r="P40" s="49"/>
      <c r="Q40" s="50">
        <f t="shared" ref="Q40:AB40" si="8">+Q38+Q39</f>
        <v>-6232735.9884411767</v>
      </c>
      <c r="R40" s="50">
        <f t="shared" si="8"/>
        <v>-8886385.6119278055</v>
      </c>
      <c r="S40" s="50">
        <f t="shared" si="8"/>
        <v>-8387279.4998464137</v>
      </c>
      <c r="T40" s="50">
        <f t="shared" ref="T40" si="9">+T38+T39</f>
        <v>-7735269.4277021345</v>
      </c>
      <c r="U40" s="50">
        <f t="shared" si="8"/>
        <v>-5826563.6553496979</v>
      </c>
      <c r="V40" s="50">
        <f t="shared" si="8"/>
        <v>-8095954.3918466251</v>
      </c>
      <c r="W40" s="50">
        <f t="shared" si="8"/>
        <v>-8832139.8824919332</v>
      </c>
      <c r="X40" s="50">
        <f t="shared" si="8"/>
        <v>-6352117.1470000539</v>
      </c>
      <c r="Y40" s="50">
        <f t="shared" si="8"/>
        <v>-3379563.9948666259</v>
      </c>
      <c r="Z40" s="50">
        <f t="shared" si="8"/>
        <v>-9112277.3053334579</v>
      </c>
      <c r="AA40" s="50">
        <f t="shared" si="8"/>
        <v>-10207111.653999873</v>
      </c>
      <c r="AB40" s="50">
        <f t="shared" si="8"/>
        <v>-5349017.180285586</v>
      </c>
      <c r="AC40" s="50">
        <f t="shared" ref="AC40:AN40" si="10">+AC38+AC39</f>
        <v>-12089837.669999953</v>
      </c>
      <c r="AD40" s="50">
        <f t="shared" si="10"/>
        <v>-15272390.874885187</v>
      </c>
      <c r="AE40" s="50">
        <f t="shared" si="10"/>
        <v>-14932540.490770042</v>
      </c>
      <c r="AF40" s="50">
        <f t="shared" si="10"/>
        <v>-13826350.009034861</v>
      </c>
      <c r="AG40" s="50">
        <f t="shared" si="10"/>
        <v>0</v>
      </c>
      <c r="AH40" s="50">
        <f t="shared" si="10"/>
        <v>0</v>
      </c>
      <c r="AI40" s="50">
        <f t="shared" si="10"/>
        <v>0</v>
      </c>
      <c r="AJ40" s="50">
        <f t="shared" si="10"/>
        <v>0</v>
      </c>
      <c r="AK40" s="50">
        <f t="shared" si="10"/>
        <v>0</v>
      </c>
      <c r="AL40" s="50">
        <f t="shared" si="10"/>
        <v>0</v>
      </c>
      <c r="AM40" s="50">
        <f t="shared" si="10"/>
        <v>0</v>
      </c>
      <c r="AN40" s="50">
        <f t="shared" si="10"/>
        <v>0</v>
      </c>
    </row>
    <row r="41" spans="2:40" s="46" customFormat="1" ht="15" outlineLevel="1" x14ac:dyDescent="0.45">
      <c r="B41" s="53" t="s">
        <v>564</v>
      </c>
      <c r="C41" s="53"/>
      <c r="D41" s="53"/>
      <c r="E41" s="53"/>
      <c r="F41" s="53"/>
      <c r="G41" s="53"/>
      <c r="H41" s="53"/>
      <c r="I41" s="53"/>
      <c r="J41" s="53"/>
      <c r="K41" s="53"/>
      <c r="L41" s="53"/>
      <c r="M41" s="53"/>
      <c r="N41" s="53"/>
      <c r="O41" s="53"/>
      <c r="P41" s="53"/>
      <c r="Q41" s="51">
        <f>'Managerial Consolidated'!Q23</f>
        <v>2310.44</v>
      </c>
      <c r="R41" s="51">
        <f>'Managerial Consolidated'!R23</f>
        <v>2278.14</v>
      </c>
      <c r="S41" s="51">
        <f>'Managerial Consolidated'!S23</f>
        <v>23607.979999999996</v>
      </c>
      <c r="T41" s="51">
        <f>'Managerial Consolidated'!T23</f>
        <v>34303.300000000003</v>
      </c>
      <c r="U41" s="51">
        <f>'Managerial Consolidated'!U23</f>
        <v>111601.91000000002</v>
      </c>
      <c r="V41" s="51">
        <f>'Managerial Consolidated'!V23</f>
        <v>69996.339999999967</v>
      </c>
      <c r="W41" s="51">
        <f>'Managerial Consolidated'!W23</f>
        <v>-976779.70999999985</v>
      </c>
      <c r="X41" s="51">
        <f>'Managerial Consolidated'!X23</f>
        <v>-1433668.58</v>
      </c>
      <c r="Y41" s="51">
        <f>'Managerial Consolidated'!Y23</f>
        <v>-1413642.0599999996</v>
      </c>
      <c r="Z41" s="51">
        <f>'Managerial Consolidated'!Z23</f>
        <v>-1451387.1400000008</v>
      </c>
      <c r="AA41" s="51">
        <f>'Managerial Consolidated'!AA23</f>
        <v>-1396654.73</v>
      </c>
      <c r="AB41" s="51">
        <f>'Managerial Consolidated'!AB23</f>
        <v>-1156524.0399999991</v>
      </c>
      <c r="AC41" s="51">
        <f>'Managerial Consolidated'!AC23</f>
        <v>-1440748.99</v>
      </c>
      <c r="AD41" s="51">
        <f>'Managerial Consolidated'!AD23</f>
        <v>-1323929.3</v>
      </c>
      <c r="AE41" s="51">
        <f>'Managerial Consolidated'!AE23</f>
        <v>-1146687.69</v>
      </c>
      <c r="AF41" s="51">
        <f>'Managerial Consolidated'!AF23</f>
        <v>-1355873.78</v>
      </c>
      <c r="AG41" s="51">
        <f>'Managerial Consolidated'!AG23</f>
        <v>0</v>
      </c>
      <c r="AH41" s="51">
        <f>'Managerial Consolidated'!AH23</f>
        <v>0</v>
      </c>
      <c r="AI41" s="51">
        <f>'Managerial Consolidated'!AI23</f>
        <v>0</v>
      </c>
      <c r="AJ41" s="51">
        <f>'Managerial Consolidated'!AJ23</f>
        <v>0</v>
      </c>
      <c r="AK41" s="51">
        <f>'Managerial Consolidated'!AK23</f>
        <v>0</v>
      </c>
      <c r="AL41" s="51">
        <f>'Managerial Consolidated'!AL23</f>
        <v>0</v>
      </c>
      <c r="AM41" s="51">
        <f>'Managerial Consolidated'!AM23</f>
        <v>0</v>
      </c>
      <c r="AN41" s="51">
        <f>'Managerial Consolidated'!AN23</f>
        <v>0</v>
      </c>
    </row>
    <row r="42" spans="2:40" s="46" customFormat="1" ht="15" outlineLevel="1" x14ac:dyDescent="0.45">
      <c r="B42" s="49" t="s">
        <v>814</v>
      </c>
      <c r="C42" s="49"/>
      <c r="D42" s="49"/>
      <c r="E42" s="49"/>
      <c r="F42" s="49"/>
      <c r="G42" s="49"/>
      <c r="H42" s="49"/>
      <c r="I42" s="49"/>
      <c r="J42" s="49"/>
      <c r="K42" s="49"/>
      <c r="L42" s="49"/>
      <c r="M42" s="49"/>
      <c r="N42" s="49"/>
      <c r="O42" s="49"/>
      <c r="P42" s="49"/>
      <c r="Q42" s="50">
        <f t="shared" ref="Q42:AB42" si="11">+Q40+Q41</f>
        <v>-6230425.5484411763</v>
      </c>
      <c r="R42" s="50">
        <f t="shared" si="11"/>
        <v>-8884107.4719278049</v>
      </c>
      <c r="S42" s="50">
        <f t="shared" si="11"/>
        <v>-8363671.5198464133</v>
      </c>
      <c r="T42" s="50">
        <f t="shared" ref="T42" si="12">+T40+T41</f>
        <v>-7700966.1277021347</v>
      </c>
      <c r="U42" s="50">
        <f t="shared" si="11"/>
        <v>-5714961.7453496978</v>
      </c>
      <c r="V42" s="50">
        <f t="shared" si="11"/>
        <v>-8025958.0518466253</v>
      </c>
      <c r="W42" s="50">
        <f t="shared" si="11"/>
        <v>-9808919.5924919322</v>
      </c>
      <c r="X42" s="50">
        <f t="shared" si="11"/>
        <v>-7785785.727000054</v>
      </c>
      <c r="Y42" s="50">
        <f t="shared" si="11"/>
        <v>-4793206.054866625</v>
      </c>
      <c r="Z42" s="50">
        <f t="shared" si="11"/>
        <v>-10563664.445333458</v>
      </c>
      <c r="AA42" s="50">
        <f t="shared" si="11"/>
        <v>-11603766.383999873</v>
      </c>
      <c r="AB42" s="50">
        <f t="shared" si="11"/>
        <v>-6505541.2202855852</v>
      </c>
      <c r="AC42" s="50">
        <f t="shared" ref="AC42:AN42" si="13">+AC40+AC41</f>
        <v>-13530586.659999954</v>
      </c>
      <c r="AD42" s="50">
        <f t="shared" si="13"/>
        <v>-16596320.174885187</v>
      </c>
      <c r="AE42" s="50">
        <f t="shared" si="13"/>
        <v>-16079228.180770041</v>
      </c>
      <c r="AF42" s="50">
        <f t="shared" si="13"/>
        <v>-15182223.78903486</v>
      </c>
      <c r="AG42" s="50">
        <f t="shared" si="13"/>
        <v>0</v>
      </c>
      <c r="AH42" s="50">
        <f t="shared" si="13"/>
        <v>0</v>
      </c>
      <c r="AI42" s="50">
        <f t="shared" si="13"/>
        <v>0</v>
      </c>
      <c r="AJ42" s="50">
        <f t="shared" si="13"/>
        <v>0</v>
      </c>
      <c r="AK42" s="50">
        <f t="shared" si="13"/>
        <v>0</v>
      </c>
      <c r="AL42" s="50">
        <f t="shared" si="13"/>
        <v>0</v>
      </c>
      <c r="AM42" s="50">
        <f t="shared" si="13"/>
        <v>0</v>
      </c>
      <c r="AN42" s="50">
        <f t="shared" si="13"/>
        <v>0</v>
      </c>
    </row>
    <row r="43" spans="2:40" s="46" customFormat="1" ht="15" outlineLevel="1" x14ac:dyDescent="0.45">
      <c r="B43" s="53" t="s">
        <v>819</v>
      </c>
      <c r="C43" s="53"/>
      <c r="D43" s="53"/>
      <c r="E43" s="53"/>
      <c r="F43" s="53"/>
      <c r="G43" s="53"/>
      <c r="H43" s="53"/>
      <c r="I43" s="53"/>
      <c r="J43" s="53"/>
      <c r="K43" s="53"/>
      <c r="L43" s="53"/>
      <c r="M43" s="53"/>
      <c r="N43" s="53"/>
      <c r="O43" s="53"/>
      <c r="P43" s="53"/>
      <c r="Q43" s="51">
        <f>'Managerial Consolidated'!Q25</f>
        <v>0</v>
      </c>
      <c r="R43" s="51">
        <f>'Managerial Consolidated'!R25</f>
        <v>0</v>
      </c>
      <c r="S43" s="51">
        <f>'Managerial Consolidated'!S25</f>
        <v>0</v>
      </c>
      <c r="T43" s="51">
        <f>'Managerial Consolidated'!T25</f>
        <v>0</v>
      </c>
      <c r="U43" s="51">
        <f>'Managerial Consolidated'!U25</f>
        <v>0</v>
      </c>
      <c r="V43" s="51">
        <f>'Managerial Consolidated'!V25</f>
        <v>0</v>
      </c>
      <c r="W43" s="51">
        <f>'Managerial Consolidated'!W25</f>
        <v>0</v>
      </c>
      <c r="X43" s="51">
        <f>'Managerial Consolidated'!X25</f>
        <v>0</v>
      </c>
      <c r="Y43" s="51">
        <f>'Managerial Consolidated'!Y25</f>
        <v>0</v>
      </c>
      <c r="Z43" s="51">
        <f>'Managerial Consolidated'!Z25</f>
        <v>0</v>
      </c>
      <c r="AA43" s="51">
        <f>'Managerial Consolidated'!AA25</f>
        <v>0</v>
      </c>
      <c r="AB43" s="51">
        <f>'Managerial Consolidated'!AB25</f>
        <v>0</v>
      </c>
      <c r="AC43" s="51">
        <f>'Managerial Consolidated'!AC25</f>
        <v>0</v>
      </c>
      <c r="AD43" s="51">
        <f>'Managerial Consolidated'!AD25</f>
        <v>0</v>
      </c>
      <c r="AE43" s="51">
        <f>'Managerial Consolidated'!AE25</f>
        <v>0</v>
      </c>
      <c r="AF43" s="51">
        <f>'Managerial Consolidated'!AF25</f>
        <v>0</v>
      </c>
      <c r="AG43" s="51">
        <f>'Managerial Consolidated'!AG25</f>
        <v>0</v>
      </c>
      <c r="AH43" s="51">
        <f>'Managerial Consolidated'!AH25</f>
        <v>0</v>
      </c>
      <c r="AI43" s="51">
        <f>'Managerial Consolidated'!AI25</f>
        <v>0</v>
      </c>
      <c r="AJ43" s="51">
        <f>'Managerial Consolidated'!AJ25</f>
        <v>0</v>
      </c>
      <c r="AK43" s="51">
        <f>'Managerial Consolidated'!AK25</f>
        <v>0</v>
      </c>
      <c r="AL43" s="51">
        <f>'Managerial Consolidated'!AL25</f>
        <v>0</v>
      </c>
      <c r="AM43" s="51">
        <f>'Managerial Consolidated'!AM25</f>
        <v>0</v>
      </c>
      <c r="AN43" s="51">
        <f>'Managerial Consolidated'!AN25</f>
        <v>0</v>
      </c>
    </row>
    <row r="44" spans="2:40" s="46" customFormat="1" ht="15" outlineLevel="1" x14ac:dyDescent="0.45">
      <c r="B44" s="53" t="s">
        <v>820</v>
      </c>
      <c r="C44" s="53"/>
      <c r="D44" s="53"/>
      <c r="E44" s="53"/>
      <c r="F44" s="53"/>
      <c r="G44" s="53"/>
      <c r="H44" s="53"/>
      <c r="I44" s="53"/>
      <c r="J44" s="53"/>
      <c r="K44" s="53"/>
      <c r="L44" s="53"/>
      <c r="M44" s="53"/>
      <c r="N44" s="53"/>
      <c r="O44" s="53"/>
      <c r="P44" s="53"/>
      <c r="Q44" s="51">
        <f>'Managerial Consolidated'!Q26</f>
        <v>0</v>
      </c>
      <c r="R44" s="51">
        <f>'Managerial Consolidated'!R26</f>
        <v>0</v>
      </c>
      <c r="S44" s="51">
        <f>'Managerial Consolidated'!S26</f>
        <v>0</v>
      </c>
      <c r="T44" s="51">
        <f>'Managerial Consolidated'!T26</f>
        <v>0</v>
      </c>
      <c r="U44" s="51">
        <f>'Managerial Consolidated'!U26</f>
        <v>0</v>
      </c>
      <c r="V44" s="51">
        <f>'Managerial Consolidated'!V26</f>
        <v>0</v>
      </c>
      <c r="W44" s="51">
        <f>'Managerial Consolidated'!W26</f>
        <v>0</v>
      </c>
      <c r="X44" s="51">
        <f>'Managerial Consolidated'!X26</f>
        <v>0</v>
      </c>
      <c r="Y44" s="51">
        <f>'Managerial Consolidated'!Y26</f>
        <v>0</v>
      </c>
      <c r="Z44" s="51">
        <f>'Managerial Consolidated'!Z26</f>
        <v>0</v>
      </c>
      <c r="AA44" s="51">
        <f>'Managerial Consolidated'!AA26</f>
        <v>0</v>
      </c>
      <c r="AB44" s="51">
        <f>'Managerial Consolidated'!AB26</f>
        <v>0</v>
      </c>
      <c r="AC44" s="51">
        <f>'Managerial Consolidated'!AC26</f>
        <v>0</v>
      </c>
      <c r="AD44" s="51">
        <f>'Managerial Consolidated'!AD26</f>
        <v>0</v>
      </c>
      <c r="AE44" s="51">
        <f>'Managerial Consolidated'!AE26</f>
        <v>0</v>
      </c>
      <c r="AF44" s="51">
        <f>'Managerial Consolidated'!AF26</f>
        <v>0</v>
      </c>
      <c r="AG44" s="51">
        <f>'Managerial Consolidated'!AG26</f>
        <v>0</v>
      </c>
      <c r="AH44" s="51">
        <f>'Managerial Consolidated'!AH26</f>
        <v>0</v>
      </c>
      <c r="AI44" s="51">
        <f>'Managerial Consolidated'!AI26</f>
        <v>0</v>
      </c>
      <c r="AJ44" s="51">
        <f>'Managerial Consolidated'!AJ26</f>
        <v>0</v>
      </c>
      <c r="AK44" s="51">
        <f>'Managerial Consolidated'!AK26</f>
        <v>0</v>
      </c>
      <c r="AL44" s="51">
        <f>'Managerial Consolidated'!AL26</f>
        <v>0</v>
      </c>
      <c r="AM44" s="51">
        <f>'Managerial Consolidated'!AM26</f>
        <v>0</v>
      </c>
      <c r="AN44" s="51">
        <f>'Managerial Consolidated'!AN26</f>
        <v>0</v>
      </c>
    </row>
    <row r="45" spans="2:40" s="46" customFormat="1" ht="15" outlineLevel="1" x14ac:dyDescent="0.45">
      <c r="B45" s="49" t="s">
        <v>815</v>
      </c>
      <c r="C45" s="49"/>
      <c r="D45" s="49"/>
      <c r="E45" s="49"/>
      <c r="F45" s="49"/>
      <c r="G45" s="49"/>
      <c r="H45" s="49"/>
      <c r="I45" s="49"/>
      <c r="J45" s="49"/>
      <c r="K45" s="49"/>
      <c r="L45" s="49"/>
      <c r="M45" s="49"/>
      <c r="N45" s="49"/>
      <c r="O45" s="49"/>
      <c r="P45" s="49"/>
      <c r="Q45" s="50">
        <f t="shared" ref="Q45:AB45" si="14">+Q42+Q43+Q44</f>
        <v>-6230425.5484411763</v>
      </c>
      <c r="R45" s="50">
        <f t="shared" si="14"/>
        <v>-8884107.4719278049</v>
      </c>
      <c r="S45" s="50">
        <f t="shared" si="14"/>
        <v>-8363671.5198464133</v>
      </c>
      <c r="T45" s="50">
        <f t="shared" ref="T45" si="15">+T42+T43+T44</f>
        <v>-7700966.1277021347</v>
      </c>
      <c r="U45" s="50">
        <f t="shared" si="14"/>
        <v>-5714961.7453496978</v>
      </c>
      <c r="V45" s="50">
        <f t="shared" si="14"/>
        <v>-8025958.0518466253</v>
      </c>
      <c r="W45" s="50">
        <f t="shared" si="14"/>
        <v>-9808919.5924919322</v>
      </c>
      <c r="X45" s="50">
        <f t="shared" si="14"/>
        <v>-7785785.727000054</v>
      </c>
      <c r="Y45" s="50">
        <f t="shared" si="14"/>
        <v>-4793206.054866625</v>
      </c>
      <c r="Z45" s="50">
        <f t="shared" si="14"/>
        <v>-10563664.445333458</v>
      </c>
      <c r="AA45" s="50">
        <f t="shared" si="14"/>
        <v>-11603766.383999873</v>
      </c>
      <c r="AB45" s="50">
        <f t="shared" si="14"/>
        <v>-6505541.2202855852</v>
      </c>
      <c r="AC45" s="50">
        <f t="shared" ref="AC45:AN45" si="16">+AC42+AC43+AC44</f>
        <v>-13530586.659999954</v>
      </c>
      <c r="AD45" s="50">
        <f t="shared" si="16"/>
        <v>-16596320.174885187</v>
      </c>
      <c r="AE45" s="50">
        <f t="shared" si="16"/>
        <v>-16079228.180770041</v>
      </c>
      <c r="AF45" s="50">
        <f t="shared" si="16"/>
        <v>-15182223.78903486</v>
      </c>
      <c r="AG45" s="50">
        <f t="shared" si="16"/>
        <v>0</v>
      </c>
      <c r="AH45" s="50">
        <f t="shared" si="16"/>
        <v>0</v>
      </c>
      <c r="AI45" s="50">
        <f t="shared" si="16"/>
        <v>0</v>
      </c>
      <c r="AJ45" s="50">
        <f t="shared" si="16"/>
        <v>0</v>
      </c>
      <c r="AK45" s="50">
        <f t="shared" si="16"/>
        <v>0</v>
      </c>
      <c r="AL45" s="50">
        <f t="shared" si="16"/>
        <v>0</v>
      </c>
      <c r="AM45" s="50">
        <f t="shared" si="16"/>
        <v>0</v>
      </c>
      <c r="AN45" s="50">
        <f t="shared" si="16"/>
        <v>0</v>
      </c>
    </row>
    <row r="46" spans="2:40" s="46" customFormat="1" ht="15" outlineLevel="1" x14ac:dyDescent="0.45"/>
    <row r="47" spans="2:40" s="46" customFormat="1" ht="15" outlineLevel="1" x14ac:dyDescent="0.45">
      <c r="B47" s="55" t="s">
        <v>914</v>
      </c>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row>
    <row r="48" spans="2:40" s="46" customFormat="1" ht="15" outlineLevel="1" x14ac:dyDescent="0.45"/>
    <row r="49" spans="1:40" s="46" customFormat="1" ht="15" outlineLevel="1" x14ac:dyDescent="0.45">
      <c r="B49" s="49" t="s">
        <v>815</v>
      </c>
      <c r="C49" s="49"/>
      <c r="D49" s="49"/>
      <c r="E49" s="49"/>
      <c r="F49" s="49"/>
      <c r="G49" s="49"/>
      <c r="H49" s="49"/>
      <c r="I49" s="49"/>
      <c r="J49" s="49"/>
      <c r="K49" s="49"/>
      <c r="L49" s="49"/>
      <c r="M49" s="49"/>
      <c r="N49" s="49"/>
      <c r="O49" s="49"/>
      <c r="P49" s="49"/>
      <c r="Q49" s="50">
        <f t="shared" ref="Q49:AB49" si="17">Q45</f>
        <v>-6230425.5484411763</v>
      </c>
      <c r="R49" s="50">
        <f t="shared" si="17"/>
        <v>-8884107.4719278049</v>
      </c>
      <c r="S49" s="50">
        <f t="shared" si="17"/>
        <v>-8363671.5198464133</v>
      </c>
      <c r="T49" s="50">
        <f t="shared" ref="T49" si="18">T45</f>
        <v>-7700966.1277021347</v>
      </c>
      <c r="U49" s="50">
        <f t="shared" si="17"/>
        <v>-5714961.7453496978</v>
      </c>
      <c r="V49" s="50">
        <f t="shared" si="17"/>
        <v>-8025958.0518466253</v>
      </c>
      <c r="W49" s="50">
        <f t="shared" si="17"/>
        <v>-9808919.5924919322</v>
      </c>
      <c r="X49" s="50">
        <f t="shared" si="17"/>
        <v>-7785785.727000054</v>
      </c>
      <c r="Y49" s="50">
        <f t="shared" si="17"/>
        <v>-4793206.054866625</v>
      </c>
      <c r="Z49" s="50">
        <f t="shared" si="17"/>
        <v>-10563664.445333458</v>
      </c>
      <c r="AA49" s="50">
        <f t="shared" si="17"/>
        <v>-11603766.383999873</v>
      </c>
      <c r="AB49" s="50">
        <f t="shared" si="17"/>
        <v>-6505541.2202855852</v>
      </c>
      <c r="AC49" s="50">
        <f t="shared" ref="AC49:AN49" si="19">AC45</f>
        <v>-13530586.659999954</v>
      </c>
      <c r="AD49" s="50">
        <f t="shared" si="19"/>
        <v>-16596320.174885187</v>
      </c>
      <c r="AE49" s="50">
        <f t="shared" si="19"/>
        <v>-16079228.180770041</v>
      </c>
      <c r="AF49" s="50">
        <f t="shared" si="19"/>
        <v>-15182223.78903486</v>
      </c>
      <c r="AG49" s="50">
        <f t="shared" si="19"/>
        <v>0</v>
      </c>
      <c r="AH49" s="50">
        <f t="shared" si="19"/>
        <v>0</v>
      </c>
      <c r="AI49" s="50">
        <f t="shared" si="19"/>
        <v>0</v>
      </c>
      <c r="AJ49" s="50">
        <f t="shared" si="19"/>
        <v>0</v>
      </c>
      <c r="AK49" s="50">
        <f t="shared" si="19"/>
        <v>0</v>
      </c>
      <c r="AL49" s="50">
        <f t="shared" si="19"/>
        <v>0</v>
      </c>
      <c r="AM49" s="50">
        <f t="shared" si="19"/>
        <v>0</v>
      </c>
      <c r="AN49" s="50">
        <f t="shared" si="19"/>
        <v>0</v>
      </c>
    </row>
    <row r="50" spans="1:40" s="46" customFormat="1" ht="15" outlineLevel="1" x14ac:dyDescent="0.45">
      <c r="B50" s="53" t="s">
        <v>844</v>
      </c>
      <c r="C50" s="53"/>
      <c r="D50" s="53"/>
      <c r="E50" s="53"/>
      <c r="F50" s="53"/>
      <c r="G50" s="53"/>
      <c r="H50" s="53"/>
      <c r="I50" s="53"/>
      <c r="J50" s="53"/>
      <c r="K50" s="53"/>
      <c r="L50" s="53"/>
      <c r="M50" s="53"/>
      <c r="N50" s="53"/>
      <c r="O50" s="53"/>
      <c r="P50" s="53"/>
      <c r="Q50" s="51">
        <f t="shared" ref="Q50:AB50" si="20">-Q35</f>
        <v>2295114.2255638796</v>
      </c>
      <c r="R50" s="51">
        <f t="shared" si="20"/>
        <v>3348972.7791002756</v>
      </c>
      <c r="S50" s="51">
        <f t="shared" si="20"/>
        <v>2750859.294752663</v>
      </c>
      <c r="T50" s="51">
        <f t="shared" ref="T50" si="21">-T35</f>
        <v>2614683.5189500493</v>
      </c>
      <c r="U50" s="51">
        <f t="shared" si="20"/>
        <v>2782247.5242513549</v>
      </c>
      <c r="V50" s="51">
        <f t="shared" si="20"/>
        <v>3466876.0734513546</v>
      </c>
      <c r="W50" s="51">
        <f t="shared" si="20"/>
        <v>2704069.5594000011</v>
      </c>
      <c r="X50" s="51">
        <f t="shared" si="20"/>
        <v>2259102.8400000017</v>
      </c>
      <c r="Y50" s="51">
        <f t="shared" si="20"/>
        <v>2141075.9721402875</v>
      </c>
      <c r="Z50" s="51">
        <f t="shared" si="20"/>
        <v>2675371.5227515739</v>
      </c>
      <c r="AA50" s="51">
        <f t="shared" si="20"/>
        <v>2042859.0048000002</v>
      </c>
      <c r="AB50" s="51">
        <f t="shared" si="20"/>
        <v>1547210.3494285273</v>
      </c>
      <c r="AC50" s="51">
        <f t="shared" ref="AC50:AN50" si="22">-AC35</f>
        <v>5126628.4422279419</v>
      </c>
      <c r="AD50" s="51">
        <f t="shared" si="22"/>
        <v>5958408.7662601285</v>
      </c>
      <c r="AE50" s="51">
        <f t="shared" si="22"/>
        <v>5871869.2497705584</v>
      </c>
      <c r="AF50" s="51">
        <f t="shared" si="22"/>
        <v>5528826.9531624718</v>
      </c>
      <c r="AG50" s="51">
        <f t="shared" si="22"/>
        <v>0</v>
      </c>
      <c r="AH50" s="51">
        <f t="shared" si="22"/>
        <v>0</v>
      </c>
      <c r="AI50" s="51">
        <f t="shared" si="22"/>
        <v>0</v>
      </c>
      <c r="AJ50" s="51">
        <f t="shared" si="22"/>
        <v>0</v>
      </c>
      <c r="AK50" s="51">
        <f t="shared" si="22"/>
        <v>0</v>
      </c>
      <c r="AL50" s="51">
        <f t="shared" si="22"/>
        <v>0</v>
      </c>
      <c r="AM50" s="51">
        <f t="shared" si="22"/>
        <v>0</v>
      </c>
      <c r="AN50" s="51">
        <f t="shared" si="22"/>
        <v>0</v>
      </c>
    </row>
    <row r="51" spans="1:40" s="46" customFormat="1" ht="15" outlineLevel="1" x14ac:dyDescent="0.45">
      <c r="B51" s="53" t="s">
        <v>482</v>
      </c>
      <c r="C51" s="53"/>
      <c r="D51" s="53"/>
      <c r="E51" s="53"/>
      <c r="F51" s="53"/>
      <c r="G51" s="53"/>
      <c r="H51" s="53"/>
      <c r="I51" s="53"/>
      <c r="J51" s="53"/>
      <c r="K51" s="53"/>
      <c r="L51" s="53"/>
      <c r="M51" s="53"/>
      <c r="N51" s="53"/>
      <c r="O51" s="53"/>
      <c r="P51" s="53"/>
      <c r="Q51" s="51">
        <f t="shared" ref="Q51:AB51" si="23">-Q36</f>
        <v>2217942.3828772958</v>
      </c>
      <c r="R51" s="51">
        <f t="shared" si="23"/>
        <v>2534189.4128275253</v>
      </c>
      <c r="S51" s="51">
        <f t="shared" si="23"/>
        <v>2388588.9831572794</v>
      </c>
      <c r="T51" s="51">
        <f t="shared" ref="T51" si="24">-T36</f>
        <v>2558141.5406886078</v>
      </c>
      <c r="U51" s="51">
        <f t="shared" si="23"/>
        <v>2678942.2510981555</v>
      </c>
      <c r="V51" s="51">
        <f t="shared" si="23"/>
        <v>2602025.9883954749</v>
      </c>
      <c r="W51" s="51">
        <f t="shared" si="23"/>
        <v>4047762.5930918683</v>
      </c>
      <c r="X51" s="51">
        <f t="shared" si="23"/>
        <v>3787830.1769999997</v>
      </c>
      <c r="Y51" s="51">
        <f t="shared" si="23"/>
        <v>4177771.7027263874</v>
      </c>
      <c r="Z51" s="51">
        <f t="shared" si="23"/>
        <v>3506642.0025817393</v>
      </c>
      <c r="AA51" s="51">
        <f t="shared" si="23"/>
        <v>4086622.6692000008</v>
      </c>
      <c r="AB51" s="51">
        <f t="shared" si="23"/>
        <v>6059104.0808571316</v>
      </c>
      <c r="AC51" s="51">
        <f t="shared" ref="AC51:AN51" si="25">-AC36</f>
        <v>2565849.0377720571</v>
      </c>
      <c r="AD51" s="51">
        <f t="shared" si="25"/>
        <v>2907640.8647698727</v>
      </c>
      <c r="AE51" s="51">
        <f t="shared" si="25"/>
        <v>2857381.599229441</v>
      </c>
      <c r="AF51" s="51">
        <f t="shared" si="25"/>
        <v>2924508.9314975273</v>
      </c>
      <c r="AG51" s="51">
        <f t="shared" si="25"/>
        <v>0</v>
      </c>
      <c r="AH51" s="51">
        <f t="shared" si="25"/>
        <v>0</v>
      </c>
      <c r="AI51" s="51">
        <f t="shared" si="25"/>
        <v>0</v>
      </c>
      <c r="AJ51" s="51">
        <f t="shared" si="25"/>
        <v>0</v>
      </c>
      <c r="AK51" s="51">
        <f t="shared" si="25"/>
        <v>0</v>
      </c>
      <c r="AL51" s="51">
        <f t="shared" si="25"/>
        <v>0</v>
      </c>
      <c r="AM51" s="51">
        <f t="shared" si="25"/>
        <v>0</v>
      </c>
      <c r="AN51" s="51">
        <f t="shared" si="25"/>
        <v>0</v>
      </c>
    </row>
    <row r="52" spans="1:40" s="46" customFormat="1" ht="15" outlineLevel="1" x14ac:dyDescent="0.45">
      <c r="B52" s="53" t="s">
        <v>482</v>
      </c>
      <c r="C52" s="52" t="s">
        <v>853</v>
      </c>
      <c r="D52" s="52"/>
      <c r="E52" s="52"/>
      <c r="F52" s="52"/>
      <c r="G52" s="52"/>
      <c r="H52" s="52"/>
      <c r="I52" s="52"/>
      <c r="J52" s="52"/>
      <c r="K52" s="52"/>
      <c r="L52" s="52"/>
      <c r="M52" s="52"/>
      <c r="N52" s="52"/>
      <c r="O52" s="52"/>
      <c r="P52" s="52"/>
      <c r="Q52" s="51">
        <f>-SUMIF('Data BASE'!$L$490:$L$847,Inputs!$B$52,'Data BASE'!R$490:R$847)</f>
        <v>-3288153</v>
      </c>
      <c r="R52" s="51">
        <f>-SUMIF('Data BASE'!$L$490:$L$847,Inputs!$B$52,'Data BASE'!S$490:S$847)</f>
        <v>-3519033</v>
      </c>
      <c r="S52" s="51">
        <f>-SUMIF('Data BASE'!$L$490:$L$847,Inputs!$B$52,'Data BASE'!T$490:T$847)</f>
        <v>-3519033</v>
      </c>
      <c r="T52" s="51">
        <f>-SUMIF('Data BASE'!$L$490:$L$871,Inputs!$B$52,'Data BASE'!U$490:U$871)</f>
        <v>-3519033</v>
      </c>
      <c r="U52" s="51">
        <f>-SUMIF('Data BASE'!$L$490:$L$847,Inputs!$B$52,'Data BASE'!V$490:V$847)</f>
        <v>-3519033</v>
      </c>
      <c r="V52" s="51">
        <f>-SUMIF('Data BASE'!$L$490:$L$847,Inputs!$B$52,'Data BASE'!W$490:W$847)</f>
        <v>-3519033</v>
      </c>
      <c r="W52" s="51">
        <f>-SUMIF('Data BASE'!$L$490:$L$847,Inputs!$B$52,'Data BASE'!X$490:X$847)</f>
        <v>-4755450</v>
      </c>
      <c r="X52" s="51">
        <f>-SUMIF('Data BASE'!$L$490:$L$847,Inputs!$B$52,'Data BASE'!Y$490:Y$847)</f>
        <v>-4755450</v>
      </c>
      <c r="Y52" s="51">
        <f>-SUMIF('Data BASE'!$L$490:$L$847,Inputs!$B$52,'Data BASE'!Z$490:Z$847)</f>
        <v>-4755450</v>
      </c>
      <c r="Z52" s="51">
        <f>-SUMIF('Data BASE'!$L$490:$L$847,Inputs!$B$52,'Data BASE'!AA$490:AA$847)</f>
        <v>-4755450</v>
      </c>
      <c r="AA52" s="51">
        <f>-SUMIF('Data BASE'!$L$490:$L$847,Inputs!$B$52,'Data BASE'!AB$490:AB$847)</f>
        <v>-4755450</v>
      </c>
      <c r="AB52" s="51">
        <f>-SUMIF('Data BASE'!$L$490:$L$847,Inputs!$B$52,'Data BASE'!AC$490:AC$847)</f>
        <v>-4755450</v>
      </c>
      <c r="AC52" s="51">
        <f>-SUMIF('Data BASE'!$L$490:$L$847,Inputs!$B$52,'Data BASE'!AD$490:AD$847)</f>
        <v>-5112322.2299999995</v>
      </c>
      <c r="AD52" s="51">
        <f>-SUMIF('Data BASE'!$L$490:$L$847,Inputs!$B$52,'Data BASE'!AE$490:AE$847)</f>
        <v>-5378699.9300000006</v>
      </c>
      <c r="AE52" s="51">
        <f>-SUMIF('Data BASE'!$L$490:$L$847,Inputs!$B$52,'Data BASE'!AF$490:AF$847)</f>
        <v>-5826770.1500000004</v>
      </c>
      <c r="AF52" s="51">
        <f>-SUMIF('Data BASE'!$L$490:$L$847,Inputs!$B$52,'Data BASE'!AG$490:AG$847)</f>
        <v>-5853311.8800000008</v>
      </c>
      <c r="AG52" s="51">
        <f>-SUMIF('Data BASE'!$L$490:$L$847,Inputs!$B$52,'Data BASE'!AH$490:AH$847)</f>
        <v>0</v>
      </c>
      <c r="AH52" s="51">
        <f>-SUMIF('Data BASE'!$L$490:$L$847,Inputs!$B$52,'Data BASE'!AI$490:AI$847)</f>
        <v>0</v>
      </c>
      <c r="AI52" s="51">
        <f>-SUMIF('Data BASE'!$L$490:$L$847,Inputs!$B$52,'Data BASE'!AJ$490:AJ$847)</f>
        <v>0</v>
      </c>
      <c r="AJ52" s="51">
        <f>-SUMIF('Data BASE'!$L$490:$L$847,Inputs!$B$52,'Data BASE'!AK$490:AK$847)</f>
        <v>0</v>
      </c>
      <c r="AK52" s="51">
        <f>-SUMIF('Data BASE'!$L$490:$L$847,Inputs!$B$52,'Data BASE'!AL$490:AL$847)</f>
        <v>0</v>
      </c>
      <c r="AL52" s="51">
        <f>-SUMIF('Data BASE'!$L$490:$L$847,Inputs!$B$52,'Data BASE'!AM$490:AM$847)</f>
        <v>0</v>
      </c>
      <c r="AM52" s="51">
        <f>-SUMIF('Data BASE'!$L$490:$L$847,Inputs!$B$52,'Data BASE'!AN$490:AN$847)</f>
        <v>0</v>
      </c>
      <c r="AN52" s="51">
        <f>-SUMIF('Data BASE'!$L$490:$L$847,Inputs!$B$52,'Data BASE'!AO$490:AO$847)</f>
        <v>0</v>
      </c>
    </row>
    <row r="53" spans="1:40" s="46" customFormat="1" ht="15" outlineLevel="1" x14ac:dyDescent="0.45">
      <c r="B53" s="53" t="s">
        <v>562</v>
      </c>
      <c r="C53" s="52"/>
      <c r="D53" s="52"/>
      <c r="E53" s="52"/>
      <c r="F53" s="52"/>
      <c r="G53" s="52"/>
      <c r="H53" s="52"/>
      <c r="I53" s="52"/>
      <c r="J53" s="52"/>
      <c r="K53" s="52"/>
      <c r="L53" s="52"/>
      <c r="M53" s="52"/>
      <c r="N53" s="52"/>
      <c r="O53" s="52"/>
      <c r="P53" s="52"/>
      <c r="Q53" s="51">
        <f>'Managerial Consolidated'!Q19</f>
        <v>-324.55</v>
      </c>
      <c r="R53" s="51">
        <f>'Managerial Consolidated'!R19</f>
        <v>-3714.69</v>
      </c>
      <c r="S53" s="51">
        <f>'Managerial Consolidated'!S19</f>
        <v>334893.49</v>
      </c>
      <c r="T53" s="51">
        <f>'Managerial Consolidated'!T19</f>
        <v>-278953.64</v>
      </c>
      <c r="U53" s="51">
        <f>'Managerial Consolidated'!U19</f>
        <v>-1025887.08</v>
      </c>
      <c r="V53" s="51">
        <f>'Managerial Consolidated'!V19</f>
        <v>-600742.23</v>
      </c>
      <c r="W53" s="51">
        <f>'Managerial Consolidated'!W19</f>
        <v>-93418.52999999997</v>
      </c>
      <c r="X53" s="51">
        <f>'Managerial Consolidated'!X19</f>
        <v>-57849.270000000201</v>
      </c>
      <c r="Y53" s="51">
        <f>'Managerial Consolidated'!Y19</f>
        <v>-240833.10999999981</v>
      </c>
      <c r="Z53" s="51">
        <f>'Managerial Consolidated'!Z19</f>
        <v>-41831.809999999932</v>
      </c>
      <c r="AA53" s="51">
        <f>'Managerial Consolidated'!AA19</f>
        <v>-27117.460000000046</v>
      </c>
      <c r="AB53" s="51">
        <f>'Managerial Consolidated'!AB19</f>
        <v>40269.139999999927</v>
      </c>
      <c r="AC53" s="523">
        <f>'Managerial Consolidated'!AC19</f>
        <v>-61032.41</v>
      </c>
      <c r="AD53" s="523">
        <f>'Managerial Consolidated'!AD19</f>
        <v>-35891.869999999995</v>
      </c>
      <c r="AE53" s="523">
        <f>'Managerial Consolidated'!AE19</f>
        <v>-97332.91</v>
      </c>
      <c r="AF53" s="523">
        <f>'Managerial Consolidated'!AF19</f>
        <v>4648.0500000000175</v>
      </c>
      <c r="AG53" s="523">
        <f>'Managerial Consolidated'!AG19</f>
        <v>0</v>
      </c>
      <c r="AH53" s="51">
        <f>'Managerial Consolidated'!AH19</f>
        <v>0</v>
      </c>
      <c r="AI53" s="51">
        <f>'Managerial Consolidated'!AI19</f>
        <v>0</v>
      </c>
      <c r="AJ53" s="51">
        <f>'Managerial Consolidated'!AJ19</f>
        <v>0</v>
      </c>
      <c r="AK53" s="51">
        <f>'Managerial Consolidated'!AK19</f>
        <v>0</v>
      </c>
      <c r="AL53" s="51">
        <f>'Managerial Consolidated'!AL19</f>
        <v>0</v>
      </c>
      <c r="AM53" s="51">
        <f>'Managerial Consolidated'!AM19</f>
        <v>0</v>
      </c>
      <c r="AN53" s="51">
        <f>'Managerial Consolidated'!AN19</f>
        <v>0</v>
      </c>
    </row>
    <row r="54" spans="1:40" s="46" customFormat="1" ht="15" outlineLevel="1" x14ac:dyDescent="0.45">
      <c r="B54" s="49" t="s">
        <v>855</v>
      </c>
      <c r="C54" s="49"/>
      <c r="D54" s="49"/>
      <c r="E54" s="49"/>
      <c r="F54" s="49"/>
      <c r="G54" s="49"/>
      <c r="H54" s="49"/>
      <c r="I54" s="49"/>
      <c r="J54" s="49"/>
      <c r="K54" s="49"/>
      <c r="L54" s="49"/>
      <c r="M54" s="49"/>
      <c r="N54" s="49"/>
      <c r="O54" s="49"/>
      <c r="P54" s="49"/>
      <c r="Q54" s="50">
        <f t="shared" ref="Q54:AB54" si="26">SUM(Q49:Q53)</f>
        <v>-5005846.4900000012</v>
      </c>
      <c r="R54" s="50">
        <f t="shared" si="26"/>
        <v>-6523692.9700000044</v>
      </c>
      <c r="S54" s="50">
        <f t="shared" si="26"/>
        <v>-6408362.7519364711</v>
      </c>
      <c r="T54" s="50">
        <f t="shared" ref="T54" si="27">SUM(T49:T53)</f>
        <v>-6326127.7080634767</v>
      </c>
      <c r="U54" s="50">
        <f t="shared" si="26"/>
        <v>-4798692.050000187</v>
      </c>
      <c r="V54" s="50">
        <f t="shared" si="26"/>
        <v>-6076831.2199997958</v>
      </c>
      <c r="W54" s="50">
        <f t="shared" si="26"/>
        <v>-7905955.9700000631</v>
      </c>
      <c r="X54" s="50">
        <f t="shared" si="26"/>
        <v>-6552151.9800000535</v>
      </c>
      <c r="Y54" s="50">
        <f t="shared" si="26"/>
        <v>-3470641.4899999499</v>
      </c>
      <c r="Z54" s="50">
        <f t="shared" si="26"/>
        <v>-9178932.7300001457</v>
      </c>
      <c r="AA54" s="50">
        <f t="shared" si="26"/>
        <v>-10256852.169999873</v>
      </c>
      <c r="AB54" s="50">
        <f t="shared" si="26"/>
        <v>-3614407.6499999263</v>
      </c>
      <c r="AC54" s="50">
        <f t="shared" ref="AC54:AN54" si="28">SUM(AC49:AC53)</f>
        <v>-11011463.819999952</v>
      </c>
      <c r="AD54" s="50">
        <f t="shared" si="28"/>
        <v>-13144862.343855185</v>
      </c>
      <c r="AE54" s="50">
        <f t="shared" si="28"/>
        <v>-13274080.391770042</v>
      </c>
      <c r="AF54" s="50">
        <f t="shared" si="28"/>
        <v>-12577551.734374862</v>
      </c>
      <c r="AG54" s="50">
        <f t="shared" si="28"/>
        <v>0</v>
      </c>
      <c r="AH54" s="50">
        <f t="shared" si="28"/>
        <v>0</v>
      </c>
      <c r="AI54" s="50">
        <f t="shared" si="28"/>
        <v>0</v>
      </c>
      <c r="AJ54" s="50">
        <f t="shared" si="28"/>
        <v>0</v>
      </c>
      <c r="AK54" s="50">
        <f t="shared" si="28"/>
        <v>0</v>
      </c>
      <c r="AL54" s="50">
        <f t="shared" si="28"/>
        <v>0</v>
      </c>
      <c r="AM54" s="50">
        <f t="shared" si="28"/>
        <v>0</v>
      </c>
      <c r="AN54" s="50">
        <f t="shared" si="28"/>
        <v>0</v>
      </c>
    </row>
    <row r="55" spans="1:40" s="46" customFormat="1" ht="15" outlineLevel="1" x14ac:dyDescent="0.45">
      <c r="A55" s="257">
        <f>SUM(Q55:AB55)</f>
        <v>0</v>
      </c>
      <c r="B55" s="49" t="s">
        <v>1</v>
      </c>
      <c r="C55" s="49"/>
      <c r="D55" s="49"/>
      <c r="E55" s="49"/>
      <c r="F55" s="49"/>
      <c r="G55" s="49"/>
      <c r="H55" s="49"/>
      <c r="I55" s="49"/>
      <c r="J55" s="49"/>
      <c r="K55" s="49"/>
      <c r="L55" s="49"/>
      <c r="M55" s="49"/>
      <c r="N55" s="49"/>
      <c r="O55" s="49"/>
      <c r="P55" s="49"/>
      <c r="Q55" s="48">
        <f>ROUND(Q54-'Managerial Consolidated'!Q27,4)</f>
        <v>0</v>
      </c>
      <c r="R55" s="48">
        <f>ROUND(R54-'Managerial Consolidated'!R27,4)</f>
        <v>0</v>
      </c>
      <c r="S55" s="48">
        <f>ROUND(S54-'Managerial Consolidated'!S27,4)</f>
        <v>0</v>
      </c>
      <c r="T55" s="48">
        <f>ROUND(T54-'Managerial Consolidated'!T27,4)</f>
        <v>0</v>
      </c>
      <c r="U55" s="48">
        <f>ROUND(U54-'Managerial Consolidated'!U27,4)</f>
        <v>0</v>
      </c>
      <c r="V55" s="48">
        <f>ROUND(V54-'Managerial Consolidated'!V27,4)</f>
        <v>0</v>
      </c>
      <c r="W55" s="48">
        <f>ROUND(W54-'Managerial Consolidated'!W27,4)</f>
        <v>0</v>
      </c>
      <c r="X55" s="48">
        <f>ROUND(X54-'Managerial Consolidated'!X27,4)</f>
        <v>0</v>
      </c>
      <c r="Y55" s="48">
        <f>ROUND(Y54-'Managerial Consolidated'!Y27,4)</f>
        <v>0</v>
      </c>
      <c r="Z55" s="48">
        <f>ROUND(Z54-'Managerial Consolidated'!Z27,4)</f>
        <v>0</v>
      </c>
      <c r="AA55" s="48">
        <f>ROUND(AA54-'Managerial Consolidated'!AA27,4)</f>
        <v>0</v>
      </c>
      <c r="AB55" s="48">
        <f>ROUND(AB54-'Managerial Consolidated'!AB27,4)</f>
        <v>0</v>
      </c>
      <c r="AC55" s="48">
        <f>ROUND(AC54-'Managerial Consolidated'!AC27,4)</f>
        <v>0</v>
      </c>
      <c r="AD55" s="48">
        <f>ROUND(AD54-'Managerial Consolidated'!AD27,4)</f>
        <v>0</v>
      </c>
      <c r="AE55" s="48">
        <f>ROUND(AE54-'Managerial Consolidated'!AE27,4)</f>
        <v>0</v>
      </c>
      <c r="AF55" s="48">
        <f>ROUND(AF54-'Managerial Consolidated'!AF27,4)</f>
        <v>0</v>
      </c>
      <c r="AG55" s="48">
        <f>ROUND(AG54-'Managerial Consolidated'!AG27,4)</f>
        <v>0</v>
      </c>
      <c r="AH55" s="48">
        <f>ROUND(AH54-'Managerial Consolidated'!AH27,4)</f>
        <v>0</v>
      </c>
      <c r="AI55" s="48">
        <f>ROUND(AI54-'Managerial Consolidated'!AI27,4)</f>
        <v>0</v>
      </c>
      <c r="AJ55" s="48">
        <f>ROUND(AJ54-'Managerial Consolidated'!AJ27,4)</f>
        <v>0</v>
      </c>
      <c r="AK55" s="48">
        <f>ROUND(AK54-'Managerial Consolidated'!AK27,4)</f>
        <v>0</v>
      </c>
      <c r="AL55" s="48">
        <f>ROUND(AL54-'Managerial Consolidated'!AL27,4)</f>
        <v>0</v>
      </c>
      <c r="AM55" s="48">
        <f>ROUND(AM54-'Managerial Consolidated'!AM27,4)</f>
        <v>0</v>
      </c>
      <c r="AN55" s="48">
        <f>ROUND(AN54-'Managerial Consolidated'!AN27,4)</f>
        <v>0</v>
      </c>
    </row>
    <row r="56" spans="1:40" s="46" customFormat="1" ht="15" outlineLevel="1" x14ac:dyDescent="0.45"/>
  </sheetData>
  <phoneticPr fontId="66" type="noConversion"/>
  <conditionalFormatting sqref="AO37:XFD37 A37 C37:P37">
    <cfRule type="duplicateValues" dxfId="0"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2EF6-E5E5-453F-BC48-13D34B917FEB}">
  <sheetPr>
    <tabColor rgb="FFFFC000"/>
  </sheetPr>
  <dimension ref="B2:O22"/>
  <sheetViews>
    <sheetView workbookViewId="0"/>
    <sheetView workbookViewId="1"/>
  </sheetViews>
  <sheetFormatPr baseColWidth="10" defaultRowHeight="14.5" x14ac:dyDescent="0.35"/>
  <cols>
    <col min="2" max="2" width="17.81640625" bestFit="1" customWidth="1"/>
    <col min="4" max="4" width="12.26953125" bestFit="1" customWidth="1"/>
    <col min="6" max="6" width="12.08984375" bestFit="1" customWidth="1"/>
    <col min="14" max="15" width="11.453125" bestFit="1" customWidth="1"/>
  </cols>
  <sheetData>
    <row r="2" spans="2:15" ht="15" thickBot="1" x14ac:dyDescent="0.4">
      <c r="D2" s="486">
        <v>46053</v>
      </c>
      <c r="E2" s="486">
        <v>46081</v>
      </c>
      <c r="F2" s="486">
        <v>46112</v>
      </c>
      <c r="G2" s="486">
        <v>46142</v>
      </c>
      <c r="H2" s="486">
        <v>46173</v>
      </c>
      <c r="I2" s="486">
        <v>46203</v>
      </c>
      <c r="J2" s="486">
        <v>46234</v>
      </c>
      <c r="K2" s="486">
        <v>46265</v>
      </c>
      <c r="L2" s="486">
        <v>46295</v>
      </c>
      <c r="M2" s="486">
        <v>46326</v>
      </c>
      <c r="N2" s="486">
        <v>46356</v>
      </c>
      <c r="O2" s="486">
        <v>46387</v>
      </c>
    </row>
    <row r="3" spans="2:15" ht="15.5" thickBot="1" x14ac:dyDescent="0.4">
      <c r="B3" s="488" t="s">
        <v>1131</v>
      </c>
      <c r="C3" s="379">
        <v>85969.279999999999</v>
      </c>
      <c r="D3" s="379">
        <v>85969.279999999999</v>
      </c>
      <c r="E3" s="489">
        <v>85969.279999999999</v>
      </c>
      <c r="F3" s="492">
        <v>85969.279999999999</v>
      </c>
      <c r="G3" s="71">
        <v>85969.279999999999</v>
      </c>
      <c r="H3" s="71">
        <v>85969.279999999999</v>
      </c>
      <c r="I3" s="71">
        <v>89141.546431999988</v>
      </c>
      <c r="J3" s="71">
        <v>89141.546431999988</v>
      </c>
      <c r="K3" s="71">
        <v>89141.546431999988</v>
      </c>
      <c r="L3" s="71">
        <v>89141.546431999988</v>
      </c>
      <c r="M3" s="71">
        <v>89141.546431999988</v>
      </c>
      <c r="N3" s="71">
        <v>89141.546431999988</v>
      </c>
      <c r="O3" s="71">
        <v>85969.279999999999</v>
      </c>
    </row>
    <row r="4" spans="2:15" ht="15.5" thickBot="1" x14ac:dyDescent="0.4">
      <c r="B4" s="488" t="s">
        <v>1132</v>
      </c>
      <c r="C4" s="379">
        <v>280000</v>
      </c>
      <c r="D4" s="379">
        <v>280000</v>
      </c>
      <c r="E4" s="489">
        <v>280000</v>
      </c>
      <c r="F4" s="492">
        <v>280000</v>
      </c>
      <c r="G4" s="71">
        <v>280000</v>
      </c>
      <c r="H4" s="71">
        <v>280000</v>
      </c>
      <c r="I4" s="71">
        <v>280000</v>
      </c>
      <c r="J4" s="71">
        <v>280000</v>
      </c>
      <c r="K4" s="71">
        <v>280000</v>
      </c>
      <c r="L4" s="71">
        <v>280000</v>
      </c>
      <c r="M4" s="71">
        <v>280000</v>
      </c>
      <c r="N4" s="71">
        <v>280000</v>
      </c>
      <c r="O4" s="71">
        <v>280000</v>
      </c>
    </row>
    <row r="5" spans="2:15" ht="15.5" thickBot="1" x14ac:dyDescent="0.4">
      <c r="B5" s="488" t="s">
        <v>710</v>
      </c>
      <c r="C5" s="379">
        <v>315000</v>
      </c>
      <c r="D5" s="379">
        <v>315000</v>
      </c>
      <c r="E5" s="489">
        <v>326623.5</v>
      </c>
      <c r="F5" s="492">
        <v>326623.5</v>
      </c>
      <c r="G5" s="71">
        <v>326623.5</v>
      </c>
      <c r="H5" s="71">
        <v>326623.5</v>
      </c>
      <c r="I5" s="71">
        <v>326623.5</v>
      </c>
      <c r="J5" s="71">
        <v>326623.5</v>
      </c>
      <c r="K5" s="71">
        <v>326623.5</v>
      </c>
      <c r="L5" s="71">
        <v>326623.5</v>
      </c>
      <c r="M5" s="71">
        <v>326623.5</v>
      </c>
      <c r="N5" s="71">
        <v>326623.5</v>
      </c>
      <c r="O5" s="71">
        <v>315000</v>
      </c>
    </row>
    <row r="6" spans="2:15" ht="15.5" thickBot="1" x14ac:dyDescent="0.4">
      <c r="B6" s="488" t="s">
        <v>1133</v>
      </c>
      <c r="C6" s="379">
        <v>159810.28</v>
      </c>
      <c r="D6" s="379">
        <v>159810.28</v>
      </c>
      <c r="E6" s="489">
        <v>165707.27933199998</v>
      </c>
      <c r="F6" s="492">
        <v>165707.27933199998</v>
      </c>
      <c r="G6" s="71">
        <v>165707.27933199998</v>
      </c>
      <c r="H6" s="71">
        <v>165707.27933199998</v>
      </c>
      <c r="I6" s="71">
        <v>165707.27933199998</v>
      </c>
      <c r="J6" s="71">
        <v>165707.27933199998</v>
      </c>
      <c r="K6" s="71">
        <v>165707.27933199998</v>
      </c>
      <c r="L6" s="71">
        <v>165707.27933199998</v>
      </c>
      <c r="M6" s="71">
        <v>165707.27933199998</v>
      </c>
      <c r="N6" s="71">
        <v>165707.27933199998</v>
      </c>
      <c r="O6" s="71">
        <v>159810.28</v>
      </c>
    </row>
    <row r="7" spans="2:15" ht="15.5" thickBot="1" x14ac:dyDescent="0.4">
      <c r="B7" s="488" t="s">
        <v>733</v>
      </c>
      <c r="C7" s="379">
        <v>293885.34000000003</v>
      </c>
      <c r="D7" s="379">
        <v>293885.34000000003</v>
      </c>
      <c r="E7" s="489">
        <v>293885.34000000003</v>
      </c>
      <c r="F7" s="492">
        <v>293885.34000000003</v>
      </c>
      <c r="G7" s="71">
        <v>293885.34000000003</v>
      </c>
      <c r="H7" s="71">
        <v>293885.34000000003</v>
      </c>
      <c r="I7" s="71">
        <v>304729.70904600003</v>
      </c>
      <c r="J7" s="71">
        <v>293885.34000000003</v>
      </c>
      <c r="K7" s="71">
        <v>293885.34000000003</v>
      </c>
      <c r="L7" s="71">
        <v>293885.34000000003</v>
      </c>
      <c r="M7" s="71">
        <v>293885.34000000003</v>
      </c>
      <c r="N7" s="71">
        <v>293885.34000000003</v>
      </c>
      <c r="O7" s="71">
        <v>293885.34000000003</v>
      </c>
    </row>
    <row r="8" spans="2:15" ht="15.5" thickBot="1" x14ac:dyDescent="0.4">
      <c r="B8" s="488" t="s">
        <v>1134</v>
      </c>
      <c r="C8" s="379">
        <v>207640</v>
      </c>
      <c r="D8" s="379">
        <v>207640</v>
      </c>
      <c r="E8" s="489">
        <v>207640</v>
      </c>
      <c r="F8" s="492">
        <v>207640</v>
      </c>
      <c r="G8" s="71">
        <v>207640</v>
      </c>
      <c r="H8" s="71">
        <v>207640</v>
      </c>
      <c r="I8" s="71">
        <v>207640</v>
      </c>
      <c r="J8" s="71">
        <v>207640</v>
      </c>
      <c r="K8" s="71">
        <v>215301.916</v>
      </c>
      <c r="L8" s="71">
        <v>207640</v>
      </c>
      <c r="M8" s="71">
        <v>207640</v>
      </c>
      <c r="N8" s="71">
        <v>207640</v>
      </c>
      <c r="O8" s="71">
        <v>207640</v>
      </c>
    </row>
    <row r="9" spans="2:15" ht="15.5" thickBot="1" x14ac:dyDescent="0.4">
      <c r="B9" s="488" t="s">
        <v>1135</v>
      </c>
      <c r="C9" s="379">
        <v>345000</v>
      </c>
      <c r="D9" s="379">
        <v>345000</v>
      </c>
      <c r="E9" s="489">
        <v>357730.5</v>
      </c>
      <c r="F9" s="492">
        <v>357730.5</v>
      </c>
      <c r="G9" s="71">
        <v>357730.5</v>
      </c>
      <c r="H9" s="71">
        <v>357730.5</v>
      </c>
      <c r="I9" s="71">
        <v>357730.5</v>
      </c>
      <c r="J9" s="71">
        <v>357730.5</v>
      </c>
      <c r="K9" s="71">
        <v>357730.5</v>
      </c>
      <c r="L9" s="71">
        <v>357730.5</v>
      </c>
      <c r="M9" s="71">
        <v>357730.5</v>
      </c>
      <c r="N9" s="71">
        <v>357730.5</v>
      </c>
      <c r="O9" s="71">
        <v>345000</v>
      </c>
    </row>
    <row r="10" spans="2:15" ht="15" x14ac:dyDescent="0.35">
      <c r="B10" s="490" t="s">
        <v>1136</v>
      </c>
      <c r="C10" s="379">
        <v>306809.54999999993</v>
      </c>
      <c r="D10" s="379">
        <v>306809.54999999993</v>
      </c>
      <c r="E10" s="489">
        <v>306809.54999999993</v>
      </c>
      <c r="F10" s="492">
        <v>306809.54999999993</v>
      </c>
      <c r="G10" s="71">
        <v>306809.54999999993</v>
      </c>
      <c r="H10" s="71">
        <v>306809.54999999993</v>
      </c>
      <c r="I10" s="71">
        <v>306809.54999999993</v>
      </c>
      <c r="J10" s="71">
        <v>306809.54999999993</v>
      </c>
      <c r="K10" s="71">
        <v>306809.54999999993</v>
      </c>
      <c r="L10" s="71">
        <v>306809.54999999993</v>
      </c>
      <c r="M10" s="71">
        <v>306809.54999999993</v>
      </c>
      <c r="N10" s="71">
        <v>306809.54999999993</v>
      </c>
      <c r="O10" s="71">
        <v>306809.54999999993</v>
      </c>
    </row>
    <row r="11" spans="2:15" ht="15" x14ac:dyDescent="0.35">
      <c r="B11" s="490" t="s">
        <v>1137</v>
      </c>
      <c r="C11" s="379">
        <v>514990</v>
      </c>
      <c r="D11" s="379">
        <v>514990</v>
      </c>
      <c r="E11" s="489">
        <v>514990</v>
      </c>
      <c r="F11" s="492">
        <v>514990</v>
      </c>
      <c r="G11" s="71">
        <v>514990</v>
      </c>
      <c r="H11" s="71">
        <v>514990</v>
      </c>
      <c r="I11" s="71">
        <v>514990</v>
      </c>
      <c r="J11" s="71">
        <v>514990</v>
      </c>
      <c r="K11" s="71">
        <v>514990</v>
      </c>
      <c r="L11" s="71">
        <v>514990</v>
      </c>
      <c r="M11" s="71">
        <v>514990</v>
      </c>
      <c r="N11" s="71">
        <v>514990</v>
      </c>
      <c r="O11" s="71">
        <v>514990</v>
      </c>
    </row>
    <row r="12" spans="2:15" ht="15" x14ac:dyDescent="0.35">
      <c r="B12" s="490" t="s">
        <v>1138</v>
      </c>
      <c r="C12" s="379">
        <v>0</v>
      </c>
      <c r="D12" s="379">
        <v>0</v>
      </c>
      <c r="E12" s="489">
        <v>0</v>
      </c>
      <c r="F12" s="492">
        <v>387436.98</v>
      </c>
      <c r="G12" s="71">
        <v>387436.98</v>
      </c>
      <c r="H12" s="71">
        <v>387436.98</v>
      </c>
      <c r="I12" s="71">
        <v>387436.98</v>
      </c>
      <c r="J12" s="71">
        <v>387436.98</v>
      </c>
      <c r="K12" s="71">
        <v>387436.98</v>
      </c>
      <c r="L12" s="71">
        <v>387436.98</v>
      </c>
      <c r="M12" s="71">
        <v>387436.98</v>
      </c>
      <c r="N12" s="71">
        <v>387436.98</v>
      </c>
      <c r="O12" s="71">
        <v>387436.98</v>
      </c>
    </row>
    <row r="13" spans="2:15" ht="15" x14ac:dyDescent="0.35">
      <c r="B13" s="490" t="s">
        <v>1139</v>
      </c>
      <c r="C13" s="379">
        <v>0</v>
      </c>
      <c r="D13" s="379">
        <v>0</v>
      </c>
      <c r="E13" s="489">
        <v>0</v>
      </c>
      <c r="F13" s="492">
        <v>159999.99999999994</v>
      </c>
      <c r="G13" s="71">
        <v>159999.99999999994</v>
      </c>
      <c r="H13" s="71">
        <v>159999.99999999994</v>
      </c>
      <c r="I13" s="71">
        <v>159999.99999999994</v>
      </c>
      <c r="J13" s="71">
        <v>159999.99999999994</v>
      </c>
      <c r="K13" s="71">
        <v>159999.99999999994</v>
      </c>
      <c r="L13" s="71">
        <v>159999.99999999994</v>
      </c>
      <c r="M13" s="71">
        <v>159999.99999999994</v>
      </c>
      <c r="N13" s="71">
        <v>159999.99999999994</v>
      </c>
      <c r="O13" s="71">
        <v>159999.99999999994</v>
      </c>
    </row>
    <row r="14" spans="2:15" ht="15" x14ac:dyDescent="0.35">
      <c r="B14" t="s">
        <v>1140</v>
      </c>
      <c r="C14" s="71">
        <v>0</v>
      </c>
      <c r="D14" s="71">
        <v>0</v>
      </c>
      <c r="E14" s="383">
        <v>0</v>
      </c>
      <c r="F14" s="487">
        <v>0</v>
      </c>
      <c r="G14" s="71">
        <v>60000</v>
      </c>
      <c r="H14" s="71">
        <v>60000</v>
      </c>
      <c r="I14" s="71">
        <v>60000</v>
      </c>
      <c r="J14" s="71">
        <v>60000</v>
      </c>
      <c r="K14" s="71">
        <v>60000</v>
      </c>
      <c r="L14" s="71">
        <v>60000</v>
      </c>
      <c r="M14" s="71">
        <v>60000</v>
      </c>
      <c r="N14" s="71">
        <v>60000</v>
      </c>
      <c r="O14" s="71">
        <v>60000</v>
      </c>
    </row>
    <row r="15" spans="2:15" ht="15" x14ac:dyDescent="0.35">
      <c r="B15" t="s">
        <v>1141</v>
      </c>
      <c r="C15" s="71">
        <v>0</v>
      </c>
      <c r="D15" s="71">
        <v>0</v>
      </c>
      <c r="E15" s="383">
        <v>0</v>
      </c>
      <c r="F15" s="487">
        <v>0</v>
      </c>
      <c r="G15" s="71">
        <v>0</v>
      </c>
      <c r="H15" s="71">
        <v>0</v>
      </c>
      <c r="I15" s="71">
        <v>514990</v>
      </c>
      <c r="J15" s="71">
        <v>514990</v>
      </c>
      <c r="K15" s="71">
        <v>514990</v>
      </c>
      <c r="L15" s="71">
        <v>514990</v>
      </c>
      <c r="M15" s="71">
        <v>514990</v>
      </c>
      <c r="N15" s="71">
        <v>514990</v>
      </c>
      <c r="O15" s="71">
        <v>514990</v>
      </c>
    </row>
    <row r="16" spans="2:15" ht="15" x14ac:dyDescent="0.35">
      <c r="B16" t="s">
        <v>1142</v>
      </c>
      <c r="C16" s="71">
        <v>0</v>
      </c>
      <c r="D16" s="71">
        <v>0</v>
      </c>
      <c r="E16" s="383">
        <v>0</v>
      </c>
      <c r="F16" s="487">
        <v>0</v>
      </c>
      <c r="G16" s="71">
        <v>0</v>
      </c>
      <c r="H16" s="71">
        <v>0</v>
      </c>
      <c r="I16" s="71">
        <v>0</v>
      </c>
      <c r="J16" s="71">
        <v>143792</v>
      </c>
      <c r="K16" s="71">
        <v>143792</v>
      </c>
      <c r="L16" s="71">
        <v>143792</v>
      </c>
      <c r="M16" s="71">
        <v>143792</v>
      </c>
      <c r="N16" s="71">
        <v>143792</v>
      </c>
      <c r="O16" s="71">
        <v>143792</v>
      </c>
    </row>
    <row r="17" spans="2:15" ht="15" x14ac:dyDescent="0.35">
      <c r="B17" t="s">
        <v>1143</v>
      </c>
      <c r="C17" s="71">
        <v>0</v>
      </c>
      <c r="D17" s="71">
        <v>0</v>
      </c>
      <c r="E17" s="383">
        <v>0</v>
      </c>
      <c r="F17" s="487">
        <v>0</v>
      </c>
      <c r="G17" s="71">
        <v>0</v>
      </c>
      <c r="H17" s="71">
        <v>0</v>
      </c>
      <c r="I17" s="71">
        <v>0</v>
      </c>
      <c r="J17" s="71">
        <v>0</v>
      </c>
      <c r="K17" s="71">
        <v>0</v>
      </c>
      <c r="L17" s="71">
        <v>288354</v>
      </c>
      <c r="M17" s="71">
        <v>288354</v>
      </c>
      <c r="N17" s="71">
        <v>288354</v>
      </c>
      <c r="O17" s="71">
        <v>288354</v>
      </c>
    </row>
    <row r="18" spans="2:15" ht="15" x14ac:dyDescent="0.35">
      <c r="B18" t="s">
        <v>1144</v>
      </c>
      <c r="C18" s="71">
        <v>0</v>
      </c>
      <c r="D18" s="71">
        <v>0</v>
      </c>
      <c r="E18" s="383">
        <v>0</v>
      </c>
      <c r="F18" s="487">
        <v>0</v>
      </c>
      <c r="G18" s="71">
        <v>0</v>
      </c>
      <c r="H18" s="71">
        <v>0</v>
      </c>
      <c r="I18" s="71">
        <v>0</v>
      </c>
      <c r="J18" s="71">
        <v>0</v>
      </c>
      <c r="K18" s="71">
        <v>0</v>
      </c>
      <c r="L18" s="71">
        <v>0</v>
      </c>
      <c r="M18" s="71">
        <v>240000</v>
      </c>
      <c r="N18" s="71">
        <v>240000</v>
      </c>
      <c r="O18" s="71">
        <v>240000</v>
      </c>
    </row>
    <row r="19" spans="2:15" ht="15" x14ac:dyDescent="0.35">
      <c r="B19" s="493" t="s">
        <v>1145</v>
      </c>
      <c r="C19" s="71"/>
      <c r="D19" s="71"/>
      <c r="E19" s="383"/>
      <c r="F19" s="487"/>
      <c r="G19" s="71"/>
      <c r="H19" s="71"/>
      <c r="I19" s="71"/>
      <c r="J19" s="71"/>
      <c r="K19" s="71"/>
      <c r="L19" s="71"/>
      <c r="M19" s="71"/>
      <c r="N19" s="71">
        <v>252000</v>
      </c>
      <c r="O19" s="71">
        <v>756000</v>
      </c>
    </row>
    <row r="20" spans="2:15" ht="15" x14ac:dyDescent="0.35">
      <c r="B20" s="484" t="s">
        <v>1073</v>
      </c>
      <c r="C20" s="485">
        <f t="shared" ref="C20:M20" si="0">SUM(C3:C18)</f>
        <v>2509104.4500000002</v>
      </c>
      <c r="D20" s="485">
        <f t="shared" si="0"/>
        <v>2509104.4500000002</v>
      </c>
      <c r="E20" s="485">
        <f t="shared" si="0"/>
        <v>2539355.4493319998</v>
      </c>
      <c r="F20" s="485">
        <f t="shared" si="0"/>
        <v>3086792.4293319997</v>
      </c>
      <c r="G20" s="485">
        <f t="shared" si="0"/>
        <v>3146792.4293319997</v>
      </c>
      <c r="H20" s="485">
        <f t="shared" si="0"/>
        <v>3146792.4293319997</v>
      </c>
      <c r="I20" s="485">
        <f t="shared" si="0"/>
        <v>3675799.0648099999</v>
      </c>
      <c r="J20" s="485">
        <f t="shared" si="0"/>
        <v>3808746.6957640001</v>
      </c>
      <c r="K20" s="485">
        <f t="shared" si="0"/>
        <v>3816408.6117639998</v>
      </c>
      <c r="L20" s="485">
        <f t="shared" si="0"/>
        <v>4097100.6957640001</v>
      </c>
      <c r="M20" s="485">
        <f t="shared" si="0"/>
        <v>4337100.6957639996</v>
      </c>
      <c r="N20" s="485">
        <f>SUM(N3:N19)</f>
        <v>4589100.6957639996</v>
      </c>
      <c r="O20" s="485">
        <f>SUM(O3:O19)</f>
        <v>5059677.43</v>
      </c>
    </row>
    <row r="21" spans="2:15" ht="15" x14ac:dyDescent="0.35">
      <c r="F21" s="485">
        <v>-3297698.6900000004</v>
      </c>
    </row>
    <row r="22" spans="2:15" x14ac:dyDescent="0.35">
      <c r="F22" s="261">
        <f>F21+F20</f>
        <v>-210906.26066800067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A824-372D-461F-9487-AA962C917F40}">
  <sheetPr>
    <tabColor rgb="FF92D050"/>
  </sheetPr>
  <dimension ref="B1:M45"/>
  <sheetViews>
    <sheetView workbookViewId="0"/>
    <sheetView workbookViewId="1"/>
  </sheetViews>
  <sheetFormatPr baseColWidth="10" defaultRowHeight="14.5" x14ac:dyDescent="0.35"/>
  <cols>
    <col min="1" max="1" width="2.453125" customWidth="1"/>
    <col min="2" max="2" width="52.453125" bestFit="1" customWidth="1"/>
  </cols>
  <sheetData>
    <row r="1" spans="2:13" ht="15" x14ac:dyDescent="0.35">
      <c r="B1" s="270" t="s">
        <v>1021</v>
      </c>
      <c r="C1" s="270"/>
      <c r="D1" s="270"/>
      <c r="E1" s="270"/>
      <c r="F1" s="270"/>
      <c r="G1" s="270"/>
      <c r="H1" s="270"/>
      <c r="I1" s="270"/>
      <c r="J1" s="270"/>
      <c r="K1" s="270"/>
      <c r="L1" s="270"/>
    </row>
    <row r="2" spans="2:13" ht="15" x14ac:dyDescent="0.35">
      <c r="B2" s="270"/>
      <c r="C2" s="270"/>
      <c r="D2" s="270"/>
      <c r="E2" s="270"/>
      <c r="F2" s="270"/>
      <c r="G2" s="270"/>
      <c r="H2" s="270"/>
      <c r="I2" s="270"/>
      <c r="J2" s="270"/>
      <c r="K2" s="270"/>
      <c r="L2" s="270"/>
    </row>
    <row r="3" spans="2:13" ht="15" x14ac:dyDescent="0.35">
      <c r="B3" s="273"/>
      <c r="C3" s="273"/>
      <c r="D3" s="273"/>
      <c r="E3" s="273"/>
      <c r="F3" s="273"/>
      <c r="G3" s="273"/>
      <c r="H3" s="273"/>
      <c r="I3" s="273"/>
      <c r="J3" s="273"/>
      <c r="K3" s="273"/>
      <c r="L3" s="273"/>
    </row>
    <row r="4" spans="2:13" ht="15" x14ac:dyDescent="0.35">
      <c r="B4" s="279"/>
      <c r="C4" s="279"/>
      <c r="D4" s="279"/>
      <c r="E4" s="279"/>
      <c r="F4" s="279"/>
      <c r="G4" s="279"/>
      <c r="H4" s="279"/>
      <c r="I4" s="279"/>
      <c r="J4" s="279"/>
      <c r="K4" s="279"/>
      <c r="L4" s="279"/>
    </row>
    <row r="5" spans="2:13" ht="17.5" x14ac:dyDescent="0.5">
      <c r="B5" s="281"/>
      <c r="C5" s="281"/>
      <c r="D5" s="281"/>
      <c r="E5" s="281"/>
      <c r="F5" s="281"/>
      <c r="G5" s="281"/>
      <c r="H5" s="281"/>
      <c r="I5" s="281"/>
      <c r="J5" s="506"/>
      <c r="K5" s="506"/>
      <c r="L5" s="506"/>
      <c r="M5" s="506"/>
    </row>
    <row r="6" spans="2:13" ht="17.5" x14ac:dyDescent="0.5">
      <c r="B6" s="282" t="s">
        <v>358</v>
      </c>
      <c r="C6" s="283">
        <v>46082</v>
      </c>
      <c r="D6" s="283">
        <v>46113</v>
      </c>
      <c r="E6" s="283">
        <v>46143</v>
      </c>
      <c r="F6" s="283">
        <v>46174</v>
      </c>
      <c r="G6" s="283">
        <v>46204</v>
      </c>
      <c r="H6" s="283">
        <v>46235</v>
      </c>
      <c r="I6" s="283">
        <v>46266</v>
      </c>
      <c r="J6" s="283">
        <v>46296</v>
      </c>
      <c r="K6" s="283">
        <v>46327</v>
      </c>
      <c r="L6" s="283">
        <v>46357</v>
      </c>
      <c r="M6" s="506"/>
    </row>
    <row r="7" spans="2:13" ht="17.5" x14ac:dyDescent="0.5">
      <c r="B7" s="282" t="s">
        <v>359</v>
      </c>
      <c r="C7" s="283">
        <v>46112</v>
      </c>
      <c r="D7" s="283">
        <v>46142</v>
      </c>
      <c r="E7" s="283">
        <v>46173</v>
      </c>
      <c r="F7" s="283">
        <v>46203</v>
      </c>
      <c r="G7" s="283">
        <v>46234</v>
      </c>
      <c r="H7" s="283">
        <v>46265</v>
      </c>
      <c r="I7" s="283">
        <v>46295</v>
      </c>
      <c r="J7" s="283">
        <v>46326</v>
      </c>
      <c r="K7" s="283">
        <v>46356</v>
      </c>
      <c r="L7" s="283">
        <v>46387</v>
      </c>
      <c r="M7" s="506"/>
    </row>
    <row r="8" spans="2:13" ht="17.5" x14ac:dyDescent="0.5">
      <c r="B8" s="284" t="s">
        <v>360</v>
      </c>
      <c r="C8" s="285">
        <v>2026</v>
      </c>
      <c r="D8" s="285">
        <v>2026</v>
      </c>
      <c r="E8" s="285">
        <v>2026</v>
      </c>
      <c r="F8" s="285">
        <v>2026</v>
      </c>
      <c r="G8" s="285">
        <v>2026</v>
      </c>
      <c r="H8" s="285">
        <v>2026</v>
      </c>
      <c r="I8" s="285">
        <v>2026</v>
      </c>
      <c r="J8" s="285">
        <v>2026</v>
      </c>
      <c r="K8" s="285">
        <v>2026</v>
      </c>
      <c r="L8" s="285">
        <v>2026</v>
      </c>
      <c r="M8" s="506"/>
    </row>
    <row r="9" spans="2:13" ht="17.5" x14ac:dyDescent="0.5">
      <c r="B9" s="506" t="s">
        <v>1146</v>
      </c>
      <c r="C9" s="305">
        <v>14954.215</v>
      </c>
      <c r="D9" s="506"/>
      <c r="E9" s="506"/>
      <c r="F9" s="506"/>
      <c r="G9" s="506"/>
      <c r="H9" s="506"/>
      <c r="I9" s="506"/>
      <c r="J9" s="506"/>
      <c r="K9" s="506"/>
      <c r="L9" s="506"/>
      <c r="M9" s="506"/>
    </row>
    <row r="10" spans="2:13" ht="17.5" x14ac:dyDescent="0.5">
      <c r="B10" s="506" t="s">
        <v>1147</v>
      </c>
      <c r="C10" s="305">
        <v>3645.2552000000001</v>
      </c>
      <c r="D10" s="506"/>
      <c r="E10" s="506"/>
      <c r="F10" s="506"/>
      <c r="G10" s="506"/>
      <c r="H10" s="506"/>
      <c r="I10" s="506"/>
      <c r="J10" s="506"/>
      <c r="K10" s="506"/>
      <c r="L10" s="506"/>
      <c r="M10" s="506"/>
    </row>
    <row r="11" spans="2:13" ht="17.5" x14ac:dyDescent="0.5">
      <c r="B11" s="506" t="s">
        <v>1148</v>
      </c>
      <c r="C11" s="305">
        <v>2968</v>
      </c>
      <c r="D11" s="506"/>
      <c r="E11" s="506"/>
      <c r="F11" s="506"/>
      <c r="G11" s="506"/>
      <c r="H11" s="506"/>
      <c r="I11" s="506"/>
      <c r="J11" s="506"/>
      <c r="K11" s="506"/>
      <c r="L11" s="506"/>
      <c r="M11" s="506"/>
    </row>
    <row r="12" spans="2:13" ht="17.5" x14ac:dyDescent="0.5">
      <c r="B12" s="506" t="s">
        <v>1149</v>
      </c>
      <c r="C12" s="305">
        <v>5830</v>
      </c>
      <c r="D12" s="506"/>
      <c r="E12" s="506"/>
      <c r="F12" s="506"/>
      <c r="G12" s="506"/>
      <c r="H12" s="506"/>
      <c r="I12" s="506"/>
      <c r="J12" s="506"/>
      <c r="K12" s="506"/>
      <c r="L12" s="506"/>
      <c r="M12" s="506"/>
    </row>
    <row r="13" spans="2:13" ht="17.5" x14ac:dyDescent="0.5">
      <c r="B13" s="506" t="s">
        <v>1150</v>
      </c>
      <c r="C13" s="305">
        <v>4240</v>
      </c>
      <c r="D13" s="506"/>
      <c r="E13" s="506"/>
      <c r="F13" s="506"/>
      <c r="G13" s="506"/>
      <c r="H13" s="506"/>
      <c r="I13" s="506"/>
      <c r="J13" s="506"/>
      <c r="K13" s="506"/>
      <c r="L13" s="506"/>
      <c r="M13" s="506"/>
    </row>
    <row r="14" spans="2:13" ht="17.5" x14ac:dyDescent="0.5">
      <c r="B14" s="506" t="s">
        <v>1151</v>
      </c>
      <c r="C14" s="305">
        <v>4240</v>
      </c>
      <c r="D14" s="506"/>
      <c r="E14" s="506"/>
      <c r="F14" s="506"/>
      <c r="G14" s="506"/>
      <c r="H14" s="506"/>
      <c r="I14" s="506"/>
      <c r="J14" s="506"/>
      <c r="K14" s="506"/>
      <c r="L14" s="506"/>
      <c r="M14" s="506"/>
    </row>
    <row r="15" spans="2:13" ht="17.5" x14ac:dyDescent="0.5">
      <c r="B15" s="506" t="s">
        <v>1152</v>
      </c>
      <c r="C15" s="305">
        <v>5406</v>
      </c>
      <c r="D15" s="506"/>
      <c r="E15" s="506"/>
      <c r="F15" s="506"/>
      <c r="G15" s="506"/>
      <c r="H15" s="506"/>
      <c r="I15" s="506"/>
      <c r="J15" s="506"/>
      <c r="K15" s="506"/>
      <c r="L15" s="506"/>
      <c r="M15" s="506"/>
    </row>
    <row r="16" spans="2:13" ht="17.5" x14ac:dyDescent="0.5">
      <c r="B16" s="506" t="s">
        <v>1153</v>
      </c>
      <c r="C16" s="305">
        <v>5830</v>
      </c>
      <c r="D16" s="506"/>
      <c r="E16" s="506"/>
      <c r="F16" s="506"/>
      <c r="G16" s="506"/>
      <c r="H16" s="506"/>
      <c r="I16" s="506"/>
      <c r="J16" s="506"/>
      <c r="K16" s="506"/>
      <c r="L16" s="506"/>
      <c r="M16" s="506"/>
    </row>
    <row r="17" spans="2:13" ht="17.5" x14ac:dyDescent="0.5">
      <c r="B17" s="506" t="s">
        <v>1154</v>
      </c>
      <c r="C17" s="305">
        <v>5830</v>
      </c>
      <c r="D17" s="506"/>
      <c r="E17" s="506"/>
      <c r="F17" s="506"/>
      <c r="G17" s="506"/>
      <c r="H17" s="506"/>
      <c r="I17" s="506"/>
      <c r="J17" s="506"/>
      <c r="K17" s="506"/>
      <c r="L17" s="506"/>
      <c r="M17" s="506"/>
    </row>
    <row r="18" spans="2:13" ht="17.5" x14ac:dyDescent="0.5">
      <c r="B18" s="506" t="s">
        <v>1155</v>
      </c>
      <c r="C18" s="305">
        <v>15370</v>
      </c>
      <c r="D18" s="506"/>
      <c r="E18" s="506"/>
      <c r="F18" s="506"/>
      <c r="G18" s="506"/>
      <c r="H18" s="506"/>
      <c r="I18" s="506"/>
      <c r="J18" s="506"/>
      <c r="K18" s="506"/>
      <c r="L18" s="506"/>
      <c r="M18" s="506"/>
    </row>
    <row r="19" spans="2:13" ht="17.5" x14ac:dyDescent="0.5">
      <c r="B19" s="506" t="s">
        <v>1156</v>
      </c>
      <c r="C19" s="305">
        <v>14055.6</v>
      </c>
      <c r="D19" s="506"/>
      <c r="E19" s="506"/>
      <c r="F19" s="506"/>
      <c r="G19" s="506"/>
      <c r="H19" s="506"/>
      <c r="I19" s="506"/>
      <c r="J19" s="506"/>
      <c r="K19" s="506"/>
      <c r="L19" s="506"/>
      <c r="M19" s="506"/>
    </row>
    <row r="20" spans="2:13" ht="17.5" x14ac:dyDescent="0.5">
      <c r="B20" s="506" t="s">
        <v>1157</v>
      </c>
      <c r="C20" s="305">
        <v>5300</v>
      </c>
      <c r="D20" s="506"/>
      <c r="E20" s="506"/>
      <c r="F20" s="506"/>
      <c r="G20" s="506"/>
      <c r="H20" s="506"/>
      <c r="I20" s="506"/>
      <c r="J20" s="506"/>
      <c r="K20" s="506"/>
      <c r="L20" s="506"/>
      <c r="M20" s="506"/>
    </row>
    <row r="21" spans="2:13" ht="17.5" x14ac:dyDescent="0.5">
      <c r="B21" s="506" t="s">
        <v>1158</v>
      </c>
      <c r="C21" s="305">
        <v>4240</v>
      </c>
      <c r="D21" s="506"/>
      <c r="E21" s="506"/>
      <c r="F21" s="506"/>
      <c r="G21" s="506"/>
      <c r="H21" s="506"/>
      <c r="I21" s="506"/>
      <c r="J21" s="506"/>
      <c r="K21" s="506"/>
      <c r="L21" s="506"/>
      <c r="M21" s="506"/>
    </row>
    <row r="22" spans="2:13" ht="17.5" x14ac:dyDescent="0.5">
      <c r="B22" s="506" t="s">
        <v>1159</v>
      </c>
      <c r="C22" s="305">
        <v>4240</v>
      </c>
      <c r="D22" s="506"/>
      <c r="E22" s="506"/>
      <c r="F22" s="506"/>
      <c r="G22" s="506"/>
      <c r="H22" s="506"/>
      <c r="I22" s="506"/>
      <c r="J22" s="506"/>
      <c r="K22" s="506"/>
      <c r="L22" s="506"/>
      <c r="M22" s="506"/>
    </row>
    <row r="23" spans="2:13" ht="17.5" x14ac:dyDescent="0.5">
      <c r="B23" s="506" t="s">
        <v>1160</v>
      </c>
      <c r="C23" s="305">
        <v>4240</v>
      </c>
      <c r="D23" s="506"/>
      <c r="E23" s="506"/>
      <c r="F23" s="506"/>
      <c r="G23" s="506"/>
      <c r="H23" s="506"/>
      <c r="I23" s="506"/>
      <c r="J23" s="506"/>
      <c r="K23" s="506"/>
      <c r="L23" s="506"/>
      <c r="M23" s="506"/>
    </row>
    <row r="24" spans="2:13" ht="17.5" x14ac:dyDescent="0.5">
      <c r="B24" s="506" t="s">
        <v>1161</v>
      </c>
      <c r="C24" s="305">
        <v>4240</v>
      </c>
      <c r="D24" s="506"/>
      <c r="E24" s="506"/>
      <c r="F24" s="506"/>
      <c r="G24" s="506"/>
      <c r="H24" s="506"/>
      <c r="I24" s="506"/>
      <c r="J24" s="506"/>
      <c r="K24" s="506"/>
      <c r="L24" s="506"/>
      <c r="M24" s="506"/>
    </row>
    <row r="25" spans="2:13" ht="17.5" x14ac:dyDescent="0.5">
      <c r="B25" s="506" t="s">
        <v>1162</v>
      </c>
      <c r="C25" s="305">
        <v>4240</v>
      </c>
      <c r="D25" s="506"/>
      <c r="E25" s="506"/>
      <c r="F25" s="506"/>
      <c r="G25" s="506"/>
      <c r="H25" s="506"/>
      <c r="I25" s="506"/>
      <c r="J25" s="506"/>
      <c r="K25" s="506"/>
      <c r="L25" s="506"/>
      <c r="M25" s="506"/>
    </row>
    <row r="26" spans="2:13" ht="17.5" x14ac:dyDescent="0.5">
      <c r="B26" s="506" t="s">
        <v>1163</v>
      </c>
      <c r="C26" s="305">
        <v>5300</v>
      </c>
      <c r="D26" s="506"/>
      <c r="E26" s="506"/>
      <c r="F26" s="506"/>
      <c r="G26" s="506"/>
      <c r="H26" s="506"/>
      <c r="I26" s="506"/>
      <c r="J26" s="506"/>
      <c r="K26" s="506"/>
      <c r="L26" s="506"/>
      <c r="M26" s="506"/>
    </row>
    <row r="27" spans="2:13" ht="17.5" x14ac:dyDescent="0.5">
      <c r="B27" s="506" t="s">
        <v>1164</v>
      </c>
      <c r="C27" s="305">
        <v>2968</v>
      </c>
      <c r="D27" s="506"/>
      <c r="E27" s="506"/>
      <c r="F27" s="506"/>
      <c r="G27" s="506"/>
      <c r="H27" s="506"/>
      <c r="I27" s="506"/>
      <c r="J27" s="506"/>
      <c r="K27" s="506"/>
      <c r="L27" s="506"/>
      <c r="M27" s="506"/>
    </row>
    <row r="28" spans="2:13" ht="17.5" x14ac:dyDescent="0.5">
      <c r="B28" s="506" t="s">
        <v>1165</v>
      </c>
      <c r="C28" s="305">
        <v>1908</v>
      </c>
      <c r="D28" s="506"/>
      <c r="E28" s="506"/>
      <c r="F28" s="506"/>
      <c r="G28" s="506"/>
      <c r="H28" s="506"/>
      <c r="I28" s="506"/>
      <c r="J28" s="506"/>
      <c r="K28" s="506"/>
      <c r="L28" s="506"/>
      <c r="M28" s="506"/>
    </row>
    <row r="29" spans="2:13" ht="17.5" x14ac:dyDescent="0.5">
      <c r="B29" s="506" t="s">
        <v>1166</v>
      </c>
      <c r="C29" s="305">
        <v>4028</v>
      </c>
      <c r="D29" s="506"/>
      <c r="E29" s="506"/>
      <c r="F29" s="506"/>
      <c r="G29" s="506"/>
      <c r="H29" s="506"/>
      <c r="I29" s="506"/>
      <c r="J29" s="506"/>
      <c r="K29" s="506"/>
      <c r="L29" s="506"/>
      <c r="M29" s="506"/>
    </row>
    <row r="30" spans="2:13" ht="17.5" x14ac:dyDescent="0.5">
      <c r="B30" s="506" t="s">
        <v>1167</v>
      </c>
      <c r="C30" s="305">
        <v>4028</v>
      </c>
      <c r="D30" s="506"/>
      <c r="E30" s="506"/>
      <c r="F30" s="506"/>
      <c r="G30" s="506"/>
      <c r="H30" s="506"/>
      <c r="I30" s="506"/>
      <c r="J30" s="506"/>
      <c r="K30" s="506"/>
      <c r="L30" s="506"/>
      <c r="M30" s="506"/>
    </row>
    <row r="31" spans="2:13" ht="17.5" x14ac:dyDescent="0.5">
      <c r="B31" s="506" t="s">
        <v>1168</v>
      </c>
      <c r="C31" s="305">
        <v>1908</v>
      </c>
      <c r="D31" s="506"/>
      <c r="E31" s="506"/>
      <c r="F31" s="506"/>
      <c r="G31" s="506"/>
      <c r="H31" s="506"/>
      <c r="I31" s="506"/>
      <c r="J31" s="506"/>
      <c r="K31" s="506"/>
      <c r="L31" s="506"/>
      <c r="M31" s="506"/>
    </row>
    <row r="32" spans="2:13" ht="17.5" x14ac:dyDescent="0.5">
      <c r="B32" s="506" t="s">
        <v>1169</v>
      </c>
      <c r="C32" s="305">
        <v>1908</v>
      </c>
      <c r="D32" s="506"/>
      <c r="E32" s="506"/>
      <c r="F32" s="506"/>
      <c r="G32" s="506"/>
      <c r="H32" s="506"/>
      <c r="I32" s="506"/>
      <c r="J32" s="506"/>
      <c r="K32" s="506"/>
      <c r="L32" s="506"/>
      <c r="M32" s="506"/>
    </row>
    <row r="33" spans="2:13" ht="17.5" x14ac:dyDescent="0.5">
      <c r="B33" s="506" t="s">
        <v>1170</v>
      </c>
      <c r="C33" s="305">
        <v>1908</v>
      </c>
      <c r="D33" s="506"/>
      <c r="E33" s="506"/>
      <c r="F33" s="506"/>
      <c r="G33" s="506"/>
      <c r="H33" s="506"/>
      <c r="I33" s="506"/>
      <c r="J33" s="506"/>
      <c r="K33" s="506"/>
      <c r="L33" s="506"/>
      <c r="M33" s="506"/>
    </row>
    <row r="34" spans="2:13" ht="17.5" x14ac:dyDescent="0.5">
      <c r="B34" s="506" t="s">
        <v>1171</v>
      </c>
      <c r="C34" s="305">
        <v>2968</v>
      </c>
      <c r="D34" s="506"/>
      <c r="E34" s="506"/>
      <c r="F34" s="506"/>
      <c r="G34" s="506"/>
      <c r="H34" s="506"/>
      <c r="I34" s="506"/>
      <c r="J34" s="506"/>
      <c r="K34" s="506"/>
      <c r="L34" s="506"/>
      <c r="M34" s="506"/>
    </row>
    <row r="35" spans="2:13" ht="17.5" x14ac:dyDescent="0.5">
      <c r="B35" s="506" t="s">
        <v>1172</v>
      </c>
      <c r="C35" s="305">
        <v>636</v>
      </c>
      <c r="D35" s="506"/>
      <c r="E35" s="506"/>
      <c r="F35" s="506"/>
      <c r="G35" s="506"/>
      <c r="H35" s="506"/>
      <c r="I35" s="506"/>
      <c r="J35" s="506"/>
      <c r="K35" s="506"/>
      <c r="L35" s="506"/>
      <c r="M35" s="506"/>
    </row>
    <row r="36" spans="2:13" ht="17.5" x14ac:dyDescent="0.5">
      <c r="B36" s="506" t="s">
        <v>1173</v>
      </c>
      <c r="C36" s="305">
        <v>2968</v>
      </c>
      <c r="D36" s="506"/>
      <c r="E36" s="506"/>
      <c r="F36" s="506"/>
      <c r="G36" s="506"/>
      <c r="H36" s="506"/>
      <c r="I36" s="506"/>
      <c r="J36" s="506"/>
      <c r="K36" s="506"/>
      <c r="L36" s="506"/>
      <c r="M36" s="506"/>
    </row>
    <row r="37" spans="2:13" ht="17.5" x14ac:dyDescent="0.5">
      <c r="B37" s="506" t="s">
        <v>1174</v>
      </c>
      <c r="C37" s="305">
        <v>424</v>
      </c>
      <c r="D37" s="506"/>
      <c r="E37" s="506"/>
      <c r="F37" s="506"/>
      <c r="G37" s="506"/>
      <c r="H37" s="506"/>
      <c r="I37" s="506"/>
      <c r="J37" s="506"/>
      <c r="K37" s="506"/>
      <c r="L37" s="506"/>
      <c r="M37" s="506"/>
    </row>
    <row r="38" spans="2:13" ht="17.5" x14ac:dyDescent="0.5">
      <c r="B38" s="506" t="s">
        <v>1175</v>
      </c>
      <c r="C38" s="305">
        <v>424</v>
      </c>
      <c r="D38" s="506"/>
      <c r="E38" s="506"/>
      <c r="F38" s="506"/>
      <c r="G38" s="506"/>
      <c r="H38" s="506"/>
      <c r="I38" s="506"/>
      <c r="J38" s="506"/>
      <c r="K38" s="506"/>
      <c r="L38" s="506"/>
      <c r="M38" s="506"/>
    </row>
    <row r="39" spans="2:13" ht="17.5" x14ac:dyDescent="0.5">
      <c r="B39" s="506" t="s">
        <v>1176</v>
      </c>
      <c r="C39" s="305">
        <v>106</v>
      </c>
      <c r="D39" s="506"/>
      <c r="E39" s="506"/>
      <c r="F39" s="506"/>
      <c r="G39" s="506"/>
      <c r="H39" s="506"/>
      <c r="I39" s="506"/>
      <c r="J39" s="506"/>
      <c r="K39" s="506"/>
      <c r="L39" s="506"/>
      <c r="M39" s="506"/>
    </row>
    <row r="40" spans="2:13" ht="17.5" x14ac:dyDescent="0.5">
      <c r="B40" s="506" t="s">
        <v>1177</v>
      </c>
      <c r="C40" s="305">
        <v>106</v>
      </c>
      <c r="D40" s="506"/>
      <c r="E40" s="506"/>
      <c r="F40" s="506"/>
      <c r="G40" s="506"/>
      <c r="H40" s="506"/>
      <c r="I40" s="506"/>
      <c r="J40" s="506"/>
      <c r="K40" s="506"/>
      <c r="L40" s="506"/>
      <c r="M40" s="506"/>
    </row>
    <row r="41" spans="2:13" ht="17.5" x14ac:dyDescent="0.5">
      <c r="B41" s="506" t="s">
        <v>1178</v>
      </c>
      <c r="C41" s="305">
        <v>106</v>
      </c>
      <c r="D41" s="506"/>
      <c r="E41" s="506"/>
      <c r="F41" s="506"/>
      <c r="G41" s="506"/>
      <c r="H41" s="506"/>
      <c r="I41" s="506"/>
      <c r="J41" s="506"/>
      <c r="K41" s="506"/>
      <c r="L41" s="506"/>
      <c r="M41" s="506"/>
    </row>
    <row r="42" spans="2:13" ht="17.5" x14ac:dyDescent="0.5">
      <c r="B42" s="506" t="s">
        <v>1179</v>
      </c>
      <c r="C42" s="305">
        <v>848</v>
      </c>
      <c r="D42" s="506"/>
      <c r="E42" s="506"/>
      <c r="F42" s="506"/>
      <c r="G42" s="506"/>
      <c r="H42" s="506"/>
      <c r="I42" s="506"/>
      <c r="J42" s="506"/>
      <c r="K42" s="506"/>
      <c r="L42" s="506"/>
      <c r="M42" s="506"/>
    </row>
    <row r="43" spans="2:13" ht="17.5" x14ac:dyDescent="0.5">
      <c r="B43" s="506" t="s">
        <v>1180</v>
      </c>
      <c r="C43" s="305">
        <v>5300</v>
      </c>
      <c r="D43" s="506"/>
      <c r="E43" s="506"/>
      <c r="F43" s="506"/>
      <c r="G43" s="506"/>
      <c r="H43" s="506"/>
      <c r="I43" s="506"/>
      <c r="J43" s="506"/>
      <c r="K43" s="506"/>
      <c r="L43" s="506"/>
      <c r="M43" s="506"/>
    </row>
    <row r="44" spans="2:13" ht="17.5" x14ac:dyDescent="0.5">
      <c r="B44" s="507" t="s">
        <v>1181</v>
      </c>
      <c r="C44" s="377">
        <v>7420</v>
      </c>
      <c r="D44" s="507"/>
      <c r="E44" s="507"/>
      <c r="F44" s="507"/>
      <c r="G44" s="507"/>
      <c r="H44" s="507"/>
      <c r="I44" s="507"/>
      <c r="J44" s="507"/>
      <c r="K44" s="507"/>
      <c r="L44" s="507"/>
      <c r="M44" s="507"/>
    </row>
    <row r="45" spans="2:13" ht="17.5" x14ac:dyDescent="0.5">
      <c r="B45" s="506"/>
      <c r="C45" s="508">
        <f>SUM(C9:C44)</f>
        <v>154131.07020000002</v>
      </c>
      <c r="D45" s="506"/>
      <c r="E45" s="506"/>
      <c r="F45" s="506"/>
      <c r="G45" s="506"/>
      <c r="H45" s="506"/>
      <c r="I45" s="506"/>
      <c r="J45" s="506"/>
      <c r="K45" s="506"/>
      <c r="L45" s="506"/>
      <c r="M45" s="50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58667-99AE-4654-9778-1C97EEBAE2D0}">
  <sheetPr codeName="Sheet11"/>
  <dimension ref="A2:E32"/>
  <sheetViews>
    <sheetView workbookViewId="0"/>
    <sheetView workbookViewId="1"/>
  </sheetViews>
  <sheetFormatPr baseColWidth="10" defaultColWidth="11.453125" defaultRowHeight="14.5" x14ac:dyDescent="0.35"/>
  <cols>
    <col min="2" max="2" width="36.54296875" bestFit="1" customWidth="1"/>
    <col min="3" max="3" width="3.54296875" bestFit="1" customWidth="1"/>
    <col min="4" max="4" width="8.453125" bestFit="1" customWidth="1"/>
    <col min="5" max="5" width="51.54296875" bestFit="1" customWidth="1"/>
  </cols>
  <sheetData>
    <row r="2" spans="1:5" x14ac:dyDescent="0.35">
      <c r="B2">
        <v>1</v>
      </c>
      <c r="C2">
        <f>+B2+1</f>
        <v>2</v>
      </c>
      <c r="D2">
        <f t="shared" ref="D2:E2" si="0">+C2+1</f>
        <v>3</v>
      </c>
      <c r="E2">
        <f t="shared" si="0"/>
        <v>4</v>
      </c>
    </row>
    <row r="3" spans="1:5" x14ac:dyDescent="0.35">
      <c r="A3" t="s">
        <v>54</v>
      </c>
      <c r="B3" s="173" t="s">
        <v>38</v>
      </c>
      <c r="C3" s="29" t="s">
        <v>40</v>
      </c>
      <c r="D3" s="29" t="s">
        <v>41</v>
      </c>
      <c r="E3" s="29" t="s">
        <v>42</v>
      </c>
    </row>
    <row r="4" spans="1:5" x14ac:dyDescent="0.35">
      <c r="B4" s="27" t="s">
        <v>369</v>
      </c>
      <c r="C4" s="27" t="s">
        <v>54</v>
      </c>
      <c r="D4" s="27" t="s">
        <v>55</v>
      </c>
      <c r="E4" s="27" t="s">
        <v>370</v>
      </c>
    </row>
    <row r="5" spans="1:5" x14ac:dyDescent="0.35">
      <c r="B5" s="27" t="s">
        <v>915</v>
      </c>
      <c r="C5" s="27" t="s">
        <v>54</v>
      </c>
      <c r="D5" s="27" t="s">
        <v>55</v>
      </c>
      <c r="E5" s="27" t="s">
        <v>821</v>
      </c>
    </row>
    <row r="6" spans="1:5" x14ac:dyDescent="0.35">
      <c r="B6" s="27" t="s">
        <v>52</v>
      </c>
      <c r="C6" s="27" t="s">
        <v>54</v>
      </c>
      <c r="D6" s="27" t="s">
        <v>55</v>
      </c>
      <c r="E6" s="27" t="s">
        <v>56</v>
      </c>
    </row>
    <row r="7" spans="1:5" x14ac:dyDescent="0.35">
      <c r="B7" s="27" t="s">
        <v>119</v>
      </c>
      <c r="C7" s="27" t="s">
        <v>54</v>
      </c>
      <c r="D7" s="27" t="s">
        <v>55</v>
      </c>
      <c r="E7" s="27" t="s">
        <v>56</v>
      </c>
    </row>
    <row r="8" spans="1:5" x14ac:dyDescent="0.35">
      <c r="B8" s="27" t="s">
        <v>579</v>
      </c>
      <c r="C8" s="27" t="s">
        <v>54</v>
      </c>
      <c r="D8" s="27" t="s">
        <v>55</v>
      </c>
      <c r="E8" s="27" t="s">
        <v>581</v>
      </c>
    </row>
    <row r="9" spans="1:5" x14ac:dyDescent="0.35">
      <c r="B9" s="27" t="s">
        <v>109</v>
      </c>
      <c r="C9" s="27" t="s">
        <v>54</v>
      </c>
      <c r="D9" s="27" t="s">
        <v>55</v>
      </c>
      <c r="E9" s="27" t="s">
        <v>101</v>
      </c>
    </row>
    <row r="10" spans="1:5" x14ac:dyDescent="0.35">
      <c r="B10" s="27" t="s">
        <v>85</v>
      </c>
      <c r="C10" s="27" t="s">
        <v>54</v>
      </c>
      <c r="D10" s="27" t="s">
        <v>55</v>
      </c>
      <c r="E10" s="27" t="s">
        <v>101</v>
      </c>
    </row>
    <row r="11" spans="1:5" x14ac:dyDescent="0.35">
      <c r="B11" s="27" t="s">
        <v>916</v>
      </c>
      <c r="C11" s="27" t="s">
        <v>54</v>
      </c>
      <c r="D11" s="27" t="s">
        <v>55</v>
      </c>
      <c r="E11" s="27" t="s">
        <v>379</v>
      </c>
    </row>
    <row r="12" spans="1:5" x14ac:dyDescent="0.35">
      <c r="B12" s="27" t="s">
        <v>917</v>
      </c>
      <c r="C12" s="27" t="s">
        <v>54</v>
      </c>
      <c r="D12" s="27" t="s">
        <v>55</v>
      </c>
      <c r="E12" s="27" t="s">
        <v>379</v>
      </c>
    </row>
    <row r="13" spans="1:5" x14ac:dyDescent="0.35">
      <c r="B13" s="27" t="s">
        <v>918</v>
      </c>
      <c r="C13" s="27" t="s">
        <v>54</v>
      </c>
      <c r="D13" s="27" t="s">
        <v>55</v>
      </c>
      <c r="E13" s="27" t="s">
        <v>56</v>
      </c>
    </row>
    <row r="14" spans="1:5" x14ac:dyDescent="0.35">
      <c r="B14" s="27" t="s">
        <v>385</v>
      </c>
      <c r="C14" s="27" t="s">
        <v>54</v>
      </c>
      <c r="D14" s="27" t="s">
        <v>55</v>
      </c>
      <c r="E14" s="27" t="s">
        <v>393</v>
      </c>
    </row>
    <row r="15" spans="1:5" x14ac:dyDescent="0.35">
      <c r="B15" s="27" t="s">
        <v>381</v>
      </c>
      <c r="C15" s="27" t="s">
        <v>54</v>
      </c>
      <c r="D15" s="27" t="s">
        <v>55</v>
      </c>
      <c r="E15" s="27" t="s">
        <v>393</v>
      </c>
    </row>
    <row r="16" spans="1:5" x14ac:dyDescent="0.35">
      <c r="B16" s="27" t="s">
        <v>90</v>
      </c>
      <c r="C16" s="27" t="s">
        <v>54</v>
      </c>
      <c r="D16" s="27" t="s">
        <v>55</v>
      </c>
      <c r="E16" s="27" t="s">
        <v>113</v>
      </c>
    </row>
    <row r="17" spans="1:5" x14ac:dyDescent="0.35">
      <c r="B17" s="27" t="s">
        <v>919</v>
      </c>
      <c r="C17" s="27" t="s">
        <v>54</v>
      </c>
      <c r="D17" s="27" t="s">
        <v>142</v>
      </c>
      <c r="E17" s="27" t="s">
        <v>781</v>
      </c>
    </row>
    <row r="18" spans="1:5" x14ac:dyDescent="0.35">
      <c r="B18" s="27" t="s">
        <v>63</v>
      </c>
      <c r="C18" s="27" t="s">
        <v>54</v>
      </c>
      <c r="D18" s="27" t="s">
        <v>55</v>
      </c>
      <c r="E18" s="27" t="s">
        <v>89</v>
      </c>
    </row>
    <row r="19" spans="1:5" x14ac:dyDescent="0.35">
      <c r="B19" s="27" t="s">
        <v>920</v>
      </c>
      <c r="C19" s="27" t="s">
        <v>54</v>
      </c>
      <c r="D19" s="27" t="s">
        <v>142</v>
      </c>
      <c r="E19" s="27" t="s">
        <v>781</v>
      </c>
    </row>
    <row r="20" spans="1:5" x14ac:dyDescent="0.35">
      <c r="B20" s="27" t="s">
        <v>195</v>
      </c>
      <c r="C20" s="27" t="s">
        <v>54</v>
      </c>
      <c r="D20" s="27" t="s">
        <v>142</v>
      </c>
      <c r="E20" s="27" t="s">
        <v>197</v>
      </c>
    </row>
    <row r="21" spans="1:5" x14ac:dyDescent="0.35">
      <c r="B21" s="27" t="s">
        <v>94</v>
      </c>
      <c r="C21" s="27" t="s">
        <v>54</v>
      </c>
      <c r="D21" s="27" t="s">
        <v>142</v>
      </c>
      <c r="E21" s="27" t="s">
        <v>143</v>
      </c>
    </row>
    <row r="22" spans="1:5" x14ac:dyDescent="0.35">
      <c r="B22" s="27" t="s">
        <v>437</v>
      </c>
      <c r="C22" s="27" t="s">
        <v>54</v>
      </c>
      <c r="D22" s="27" t="s">
        <v>142</v>
      </c>
      <c r="E22" s="27" t="s">
        <v>438</v>
      </c>
    </row>
    <row r="23" spans="1:5" x14ac:dyDescent="0.35">
      <c r="B23" s="27" t="s">
        <v>817</v>
      </c>
      <c r="C23" s="27" t="s">
        <v>54</v>
      </c>
      <c r="D23" s="27" t="s">
        <v>142</v>
      </c>
      <c r="E23" s="27" t="s">
        <v>436</v>
      </c>
    </row>
    <row r="24" spans="1:5" x14ac:dyDescent="0.35">
      <c r="B24" s="27" t="s">
        <v>921</v>
      </c>
      <c r="C24" s="27" t="s">
        <v>54</v>
      </c>
      <c r="D24" s="27" t="s">
        <v>142</v>
      </c>
      <c r="E24" s="27" t="s">
        <v>197</v>
      </c>
    </row>
    <row r="25" spans="1:5" x14ac:dyDescent="0.35">
      <c r="B25" s="27" t="s">
        <v>102</v>
      </c>
      <c r="C25" s="27" t="s">
        <v>54</v>
      </c>
      <c r="D25" s="27" t="s">
        <v>142</v>
      </c>
      <c r="E25" s="27" t="s">
        <v>156</v>
      </c>
    </row>
    <row r="26" spans="1:5" x14ac:dyDescent="0.35">
      <c r="B26" s="27" t="s">
        <v>106</v>
      </c>
      <c r="C26" s="27" t="s">
        <v>54</v>
      </c>
      <c r="D26" s="27" t="s">
        <v>142</v>
      </c>
      <c r="E26" s="27" t="s">
        <v>180</v>
      </c>
    </row>
    <row r="27" spans="1:5" x14ac:dyDescent="0.35">
      <c r="B27" s="27" t="s">
        <v>439</v>
      </c>
      <c r="C27" s="27" t="s">
        <v>54</v>
      </c>
      <c r="D27" s="27" t="s">
        <v>440</v>
      </c>
      <c r="E27" s="27" t="s">
        <v>441</v>
      </c>
    </row>
    <row r="28" spans="1:5" x14ac:dyDescent="0.35">
      <c r="B28" s="27" t="s">
        <v>442</v>
      </c>
      <c r="C28" s="27" t="s">
        <v>54</v>
      </c>
      <c r="D28" s="27" t="s">
        <v>440</v>
      </c>
      <c r="E28" s="27" t="s">
        <v>443</v>
      </c>
    </row>
    <row r="29" spans="1:5" x14ac:dyDescent="0.35">
      <c r="B29" s="27" t="s">
        <v>922</v>
      </c>
      <c r="C29" s="27" t="s">
        <v>54</v>
      </c>
      <c r="D29" s="27" t="s">
        <v>142</v>
      </c>
      <c r="E29" s="27" t="s">
        <v>197</v>
      </c>
    </row>
    <row r="32" spans="1:5" x14ac:dyDescent="0.35">
      <c r="A32" t="s">
        <v>447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0368B-CFA4-4295-A221-F1CD5FD9E2EA}">
  <sheetPr codeName="Sheet12">
    <tabColor rgb="FF92D3DC"/>
  </sheetPr>
  <dimension ref="C1:AV92"/>
  <sheetViews>
    <sheetView workbookViewId="0"/>
    <sheetView workbookViewId="1"/>
  </sheetViews>
  <sheetFormatPr baseColWidth="10" defaultColWidth="8.54296875" defaultRowHeight="15" outlineLevelCol="1" x14ac:dyDescent="0.45"/>
  <cols>
    <col min="1" max="2" width="3.453125" style="46" bestFit="1" customWidth="1"/>
    <col min="3" max="3" width="38.453125" style="46" bestFit="1" customWidth="1"/>
    <col min="4" max="4" width="26.54296875" style="46" customWidth="1"/>
    <col min="5" max="6" width="12.54296875" style="46" customWidth="1"/>
    <col min="7" max="7" width="2.54296875" style="46" customWidth="1"/>
    <col min="8" max="15" width="15.54296875" style="46" customWidth="1"/>
    <col min="16" max="16" width="19.54296875" style="46" customWidth="1"/>
    <col min="17" max="17" width="20.54296875" style="46" customWidth="1"/>
    <col min="18" max="18" width="15.54296875" style="46" customWidth="1"/>
    <col min="19" max="20" width="20.453125" style="46" customWidth="1"/>
    <col min="21" max="21" width="11.54296875" style="46" customWidth="1"/>
    <col min="22" max="24" width="15.54296875" style="46" customWidth="1"/>
    <col min="25" max="25" width="17.453125" style="46" customWidth="1"/>
    <col min="26" max="28" width="15.54296875" style="69" customWidth="1" outlineLevel="1"/>
    <col min="29" max="29" width="2.453125" style="46" customWidth="1"/>
    <col min="30" max="35" width="15.54296875" style="69" customWidth="1"/>
    <col min="36" max="36" width="19.54296875" style="69" bestFit="1" customWidth="1"/>
    <col min="37" max="37" width="2.453125" style="46" customWidth="1"/>
    <col min="38" max="38" width="15.54296875" style="69" customWidth="1"/>
    <col min="39" max="39" width="19.54296875" style="69" bestFit="1" customWidth="1"/>
    <col min="40" max="40" width="8.54296875" style="46"/>
    <col min="41" max="42" width="15.54296875" style="69" customWidth="1"/>
    <col min="43" max="43" width="9.453125" style="46" bestFit="1" customWidth="1"/>
    <col min="44" max="44" width="8.54296875" style="46"/>
    <col min="45" max="45" width="19.453125" style="46" bestFit="1" customWidth="1"/>
    <col min="46" max="16384" width="8.54296875" style="46"/>
  </cols>
  <sheetData>
    <row r="1" spans="3:47" x14ac:dyDescent="0.45">
      <c r="C1" s="25" t="s">
        <v>871</v>
      </c>
      <c r="D1" s="25"/>
      <c r="E1" s="25"/>
      <c r="F1" s="25"/>
      <c r="G1" s="25"/>
      <c r="H1" s="25"/>
      <c r="I1" s="25"/>
      <c r="J1" s="25"/>
      <c r="K1" s="25"/>
      <c r="L1" s="25"/>
      <c r="M1" s="25"/>
      <c r="N1" s="25"/>
      <c r="O1" s="25"/>
      <c r="P1" s="25"/>
      <c r="Q1" s="25"/>
      <c r="R1" s="25"/>
      <c r="S1" s="25"/>
      <c r="T1" s="25"/>
      <c r="U1" s="25"/>
      <c r="V1" s="25"/>
      <c r="W1" s="25"/>
      <c r="X1" s="25"/>
      <c r="Y1" s="25"/>
      <c r="Z1" s="170"/>
      <c r="AA1" s="170"/>
      <c r="AB1" s="170"/>
      <c r="AD1" s="170"/>
      <c r="AE1" s="26"/>
      <c r="AF1" s="26"/>
      <c r="AG1" s="26"/>
      <c r="AH1" s="26"/>
      <c r="AI1" s="26"/>
      <c r="AJ1" s="26"/>
      <c r="AL1" s="26"/>
      <c r="AM1" s="26"/>
      <c r="AO1" s="26"/>
      <c r="AP1" s="26"/>
    </row>
    <row r="2" spans="3:47" x14ac:dyDescent="0.45">
      <c r="C2" s="25" t="s">
        <v>872</v>
      </c>
      <c r="D2" s="25"/>
      <c r="E2" s="25"/>
      <c r="F2" s="25"/>
      <c r="G2" s="25"/>
      <c r="H2" s="25"/>
      <c r="I2" s="25"/>
      <c r="J2" s="25"/>
      <c r="K2" s="25"/>
      <c r="L2" s="25"/>
      <c r="M2" s="25"/>
      <c r="N2" s="25"/>
      <c r="O2" s="25"/>
      <c r="P2" s="25"/>
      <c r="Q2" s="25"/>
      <c r="R2" s="25"/>
      <c r="S2" s="25"/>
      <c r="T2" s="25"/>
      <c r="U2" s="25"/>
      <c r="V2" s="25"/>
      <c r="W2" s="25"/>
      <c r="X2" s="25"/>
      <c r="Y2" s="25"/>
      <c r="Z2" s="169"/>
      <c r="AA2" s="169"/>
      <c r="AB2" s="169"/>
      <c r="AD2" s="169"/>
      <c r="AE2" s="169"/>
      <c r="AF2" s="169"/>
      <c r="AG2" s="169"/>
      <c r="AH2" s="169"/>
      <c r="AI2" s="169"/>
      <c r="AJ2" s="169"/>
      <c r="AL2" s="169"/>
      <c r="AM2" s="169"/>
      <c r="AO2" s="169"/>
      <c r="AP2" s="169"/>
    </row>
    <row r="3" spans="3:47" x14ac:dyDescent="0.45">
      <c r="C3" s="93"/>
      <c r="D3" s="93"/>
      <c r="E3" s="93"/>
      <c r="F3" s="93"/>
      <c r="G3" s="93"/>
      <c r="H3" s="93"/>
      <c r="I3" s="93"/>
      <c r="J3" s="93"/>
      <c r="K3" s="93"/>
      <c r="L3" s="93"/>
      <c r="M3" s="93"/>
      <c r="N3" s="93"/>
      <c r="O3" s="93"/>
      <c r="P3" s="93"/>
      <c r="Q3" s="93"/>
      <c r="R3" s="93"/>
      <c r="S3" s="93"/>
      <c r="T3" s="93"/>
      <c r="U3" s="93"/>
      <c r="V3" s="93"/>
      <c r="W3" s="93"/>
      <c r="X3" s="93"/>
      <c r="Y3" s="93"/>
      <c r="Z3" s="168"/>
      <c r="AA3" s="168"/>
      <c r="AB3" s="168"/>
      <c r="AD3" s="168"/>
      <c r="AE3" s="168"/>
      <c r="AF3" s="168"/>
      <c r="AG3" s="168"/>
      <c r="AH3" s="168"/>
      <c r="AI3" s="168"/>
      <c r="AJ3" s="168"/>
      <c r="AL3" s="168"/>
      <c r="AM3" s="168"/>
      <c r="AO3" s="168"/>
      <c r="AP3" s="168"/>
    </row>
    <row r="4" spans="3:47" x14ac:dyDescent="0.45">
      <c r="C4" s="91"/>
      <c r="D4" s="114" t="s">
        <v>858</v>
      </c>
      <c r="E4" s="114" t="s">
        <v>873</v>
      </c>
      <c r="F4" s="114" t="s">
        <v>874</v>
      </c>
      <c r="G4" s="114"/>
      <c r="H4" s="92"/>
      <c r="I4" s="92"/>
      <c r="J4" s="92"/>
      <c r="K4" s="92"/>
      <c r="L4" s="92"/>
      <c r="M4" s="92"/>
      <c r="N4" s="92"/>
      <c r="O4" s="92"/>
      <c r="P4" s="92"/>
      <c r="Q4" s="92"/>
      <c r="R4" s="92"/>
      <c r="S4" s="92"/>
      <c r="T4" s="92"/>
      <c r="U4" s="92"/>
      <c r="V4" s="92"/>
      <c r="W4" s="92"/>
      <c r="X4" s="92"/>
      <c r="Y4" s="92"/>
      <c r="Z4" s="167"/>
      <c r="AA4" s="167"/>
      <c r="AB4" s="167"/>
      <c r="AD4" s="167" t="s">
        <v>825</v>
      </c>
      <c r="AE4" s="114"/>
      <c r="AF4" s="114"/>
      <c r="AG4" s="114"/>
      <c r="AH4" s="114"/>
      <c r="AI4" s="114"/>
      <c r="AJ4" s="114"/>
      <c r="AL4" s="114" t="s">
        <v>875</v>
      </c>
      <c r="AM4" s="114" t="s">
        <v>876</v>
      </c>
      <c r="AO4" s="114" t="s">
        <v>875</v>
      </c>
      <c r="AP4" s="114" t="s">
        <v>876</v>
      </c>
    </row>
    <row r="5" spans="3:47" x14ac:dyDescent="0.45">
      <c r="C5" s="90"/>
      <c r="D5" s="90"/>
      <c r="E5" s="90"/>
      <c r="F5" s="90"/>
      <c r="G5" s="90"/>
      <c r="H5" s="90"/>
      <c r="I5" s="90"/>
      <c r="J5" s="90"/>
      <c r="K5" s="90"/>
      <c r="L5" s="90"/>
      <c r="M5" s="90"/>
      <c r="N5" s="90"/>
      <c r="O5" s="90"/>
      <c r="P5" s="90"/>
      <c r="Q5" s="90"/>
      <c r="R5" s="90"/>
      <c r="S5" s="90"/>
      <c r="T5" s="90"/>
      <c r="U5" s="90"/>
      <c r="V5" s="90"/>
      <c r="W5" s="90"/>
      <c r="X5" s="90"/>
      <c r="Y5" s="90"/>
    </row>
    <row r="6" spans="3:47" x14ac:dyDescent="0.45">
      <c r="C6" s="89" t="s">
        <v>358</v>
      </c>
      <c r="D6" s="89"/>
      <c r="E6" s="89"/>
      <c r="F6" s="89"/>
      <c r="G6" s="89"/>
      <c r="H6" s="88">
        <v>44562</v>
      </c>
      <c r="I6" s="88">
        <v>44593</v>
      </c>
      <c r="J6" s="88">
        <v>44621</v>
      </c>
      <c r="K6" s="88">
        <v>44652</v>
      </c>
      <c r="L6" s="88">
        <v>44682</v>
      </c>
      <c r="M6" s="88">
        <v>44713</v>
      </c>
      <c r="N6" s="88">
        <v>44743</v>
      </c>
      <c r="O6" s="88">
        <v>44774</v>
      </c>
      <c r="P6" s="88">
        <v>44805</v>
      </c>
      <c r="Q6" s="88">
        <v>44835</v>
      </c>
      <c r="R6" s="88">
        <v>44866</v>
      </c>
      <c r="S6" s="88">
        <v>44896</v>
      </c>
      <c r="T6" s="88">
        <v>44927</v>
      </c>
      <c r="U6" s="88">
        <v>44958</v>
      </c>
      <c r="V6" s="88">
        <v>44986</v>
      </c>
      <c r="W6" s="88">
        <v>45017</v>
      </c>
      <c r="X6" s="88">
        <v>45047</v>
      </c>
      <c r="Y6" s="88">
        <v>45078</v>
      </c>
      <c r="Z6" s="88">
        <v>45108</v>
      </c>
      <c r="AA6" s="88">
        <v>45139</v>
      </c>
      <c r="AB6" s="88">
        <v>45170</v>
      </c>
      <c r="AD6" s="88">
        <v>44562</v>
      </c>
      <c r="AE6" s="88">
        <v>44652</v>
      </c>
      <c r="AF6" s="88">
        <v>44743</v>
      </c>
      <c r="AG6" s="88">
        <v>44835</v>
      </c>
      <c r="AH6" s="88">
        <v>44927</v>
      </c>
      <c r="AI6" s="88">
        <v>45017</v>
      </c>
      <c r="AJ6" s="88">
        <v>45108</v>
      </c>
      <c r="AL6" s="88">
        <v>44562</v>
      </c>
      <c r="AM6" s="88">
        <v>44927</v>
      </c>
      <c r="AO6" s="88">
        <v>44927</v>
      </c>
      <c r="AP6" s="88">
        <v>44927</v>
      </c>
    </row>
    <row r="7" spans="3:47" x14ac:dyDescent="0.45">
      <c r="C7" s="89" t="s">
        <v>359</v>
      </c>
      <c r="D7" s="89"/>
      <c r="E7" s="89"/>
      <c r="F7" s="89"/>
      <c r="G7" s="89"/>
      <c r="H7" s="88">
        <v>44592</v>
      </c>
      <c r="I7" s="88">
        <v>44620</v>
      </c>
      <c r="J7" s="88">
        <v>44651</v>
      </c>
      <c r="K7" s="88">
        <v>44681</v>
      </c>
      <c r="L7" s="88">
        <v>44712</v>
      </c>
      <c r="M7" s="88">
        <v>44742</v>
      </c>
      <c r="N7" s="88">
        <v>44773</v>
      </c>
      <c r="O7" s="88">
        <v>44804</v>
      </c>
      <c r="P7" s="88">
        <v>44834</v>
      </c>
      <c r="Q7" s="88">
        <v>44865</v>
      </c>
      <c r="R7" s="88">
        <v>44895</v>
      </c>
      <c r="S7" s="88">
        <v>44926</v>
      </c>
      <c r="T7" s="88">
        <v>44957</v>
      </c>
      <c r="U7" s="88">
        <v>44985</v>
      </c>
      <c r="V7" s="88">
        <v>45016</v>
      </c>
      <c r="W7" s="88">
        <v>45046</v>
      </c>
      <c r="X7" s="88">
        <v>45077</v>
      </c>
      <c r="Y7" s="88">
        <v>45107</v>
      </c>
      <c r="Z7" s="88">
        <v>45138</v>
      </c>
      <c r="AA7" s="88">
        <v>45169</v>
      </c>
      <c r="AB7" s="88">
        <v>45199</v>
      </c>
      <c r="AD7" s="88">
        <v>44651</v>
      </c>
      <c r="AE7" s="88">
        <v>44742</v>
      </c>
      <c r="AF7" s="88">
        <v>44834</v>
      </c>
      <c r="AG7" s="88">
        <v>44926</v>
      </c>
      <c r="AH7" s="88">
        <v>45016</v>
      </c>
      <c r="AI7" s="88">
        <v>45107</v>
      </c>
      <c r="AJ7" s="88">
        <v>45137</v>
      </c>
      <c r="AL7" s="88">
        <v>44926</v>
      </c>
      <c r="AM7" s="88">
        <v>45291</v>
      </c>
      <c r="AO7" s="88">
        <v>45291</v>
      </c>
      <c r="AP7" s="88">
        <v>45291</v>
      </c>
    </row>
    <row r="8" spans="3:47" x14ac:dyDescent="0.45">
      <c r="C8" s="84" t="s">
        <v>360</v>
      </c>
      <c r="D8" s="84"/>
      <c r="E8" s="84"/>
      <c r="F8" s="84"/>
      <c r="G8" s="84"/>
      <c r="H8" s="87">
        <v>2022</v>
      </c>
      <c r="I8" s="87">
        <v>2022</v>
      </c>
      <c r="J8" s="87">
        <v>2022</v>
      </c>
      <c r="K8" s="87">
        <v>2022</v>
      </c>
      <c r="L8" s="87">
        <v>2022</v>
      </c>
      <c r="M8" s="87">
        <v>2022</v>
      </c>
      <c r="N8" s="87">
        <v>2022</v>
      </c>
      <c r="O8" s="87">
        <v>2022</v>
      </c>
      <c r="P8" s="87">
        <v>2022</v>
      </c>
      <c r="Q8" s="87">
        <v>2022</v>
      </c>
      <c r="R8" s="87">
        <v>2022</v>
      </c>
      <c r="S8" s="87">
        <v>2022</v>
      </c>
      <c r="T8" s="87">
        <v>2023</v>
      </c>
      <c r="U8" s="87">
        <v>2023</v>
      </c>
      <c r="V8" s="87">
        <v>2023</v>
      </c>
      <c r="W8" s="87">
        <v>2023</v>
      </c>
      <c r="X8" s="87">
        <v>2023</v>
      </c>
      <c r="Y8" s="87">
        <v>2023</v>
      </c>
      <c r="Z8" s="86">
        <v>2023</v>
      </c>
      <c r="AA8" s="87">
        <v>2023</v>
      </c>
      <c r="AB8" s="87">
        <v>2023</v>
      </c>
      <c r="AD8" s="86">
        <v>2022</v>
      </c>
      <c r="AE8" s="86">
        <v>2022</v>
      </c>
      <c r="AF8" s="86">
        <v>2022</v>
      </c>
      <c r="AG8" s="86">
        <v>2022</v>
      </c>
      <c r="AH8" s="86">
        <v>2023</v>
      </c>
      <c r="AI8" s="86">
        <v>2023</v>
      </c>
      <c r="AJ8" s="86">
        <v>2023</v>
      </c>
      <c r="AL8" s="86">
        <v>2022</v>
      </c>
      <c r="AM8" s="86">
        <v>2023</v>
      </c>
      <c r="AO8" s="86">
        <v>2022</v>
      </c>
      <c r="AP8" s="86">
        <v>2023</v>
      </c>
    </row>
    <row r="9" spans="3:47" x14ac:dyDescent="0.45">
      <c r="C9" s="84" t="s">
        <v>361</v>
      </c>
      <c r="D9" s="84"/>
      <c r="E9" s="84"/>
      <c r="F9" s="84"/>
      <c r="G9" s="84"/>
      <c r="H9" s="83" t="s">
        <v>7</v>
      </c>
      <c r="I9" s="83" t="s">
        <v>7</v>
      </c>
      <c r="J9" s="83" t="s">
        <v>7</v>
      </c>
      <c r="K9" s="83" t="s">
        <v>13</v>
      </c>
      <c r="L9" s="83" t="s">
        <v>13</v>
      </c>
      <c r="M9" s="83" t="s">
        <v>13</v>
      </c>
      <c r="N9" s="83" t="s">
        <v>20</v>
      </c>
      <c r="O9" s="83" t="s">
        <v>20</v>
      </c>
      <c r="P9" s="83" t="s">
        <v>20</v>
      </c>
      <c r="Q9" s="83" t="s">
        <v>26</v>
      </c>
      <c r="R9" s="83" t="s">
        <v>26</v>
      </c>
      <c r="S9" s="83" t="s">
        <v>26</v>
      </c>
      <c r="T9" s="83" t="s">
        <v>7</v>
      </c>
      <c r="U9" s="83" t="s">
        <v>7</v>
      </c>
      <c r="V9" s="83" t="s">
        <v>7</v>
      </c>
      <c r="W9" s="83" t="s">
        <v>13</v>
      </c>
      <c r="X9" s="83" t="s">
        <v>13</v>
      </c>
      <c r="Y9" s="83" t="s">
        <v>13</v>
      </c>
      <c r="Z9" s="85" t="s">
        <v>20</v>
      </c>
      <c r="AA9" s="83" t="s">
        <v>20</v>
      </c>
      <c r="AB9" s="83" t="s">
        <v>20</v>
      </c>
      <c r="AD9" s="85" t="s">
        <v>7</v>
      </c>
      <c r="AE9" s="85" t="s">
        <v>13</v>
      </c>
      <c r="AF9" s="85" t="s">
        <v>20</v>
      </c>
      <c r="AG9" s="85" t="s">
        <v>26</v>
      </c>
      <c r="AH9" s="85" t="s">
        <v>7</v>
      </c>
      <c r="AI9" s="85" t="s">
        <v>13</v>
      </c>
      <c r="AJ9" s="85" t="s">
        <v>20</v>
      </c>
      <c r="AL9" s="85" t="s">
        <v>26</v>
      </c>
      <c r="AM9" s="85" t="s">
        <v>26</v>
      </c>
      <c r="AO9" s="85" t="s">
        <v>26</v>
      </c>
      <c r="AP9" s="85" t="s">
        <v>26</v>
      </c>
    </row>
    <row r="10" spans="3:47" x14ac:dyDescent="0.45">
      <c r="C10" s="84" t="s">
        <v>827</v>
      </c>
      <c r="D10" s="84"/>
      <c r="E10" s="84"/>
      <c r="F10" s="84"/>
      <c r="G10" s="84"/>
      <c r="H10" s="166" t="s">
        <v>827</v>
      </c>
      <c r="I10" s="166" t="s">
        <v>827</v>
      </c>
      <c r="J10" s="166" t="s">
        <v>827</v>
      </c>
      <c r="K10" s="166" t="s">
        <v>827</v>
      </c>
      <c r="L10" s="166" t="s">
        <v>827</v>
      </c>
      <c r="M10" s="166" t="s">
        <v>827</v>
      </c>
      <c r="N10" s="166" t="s">
        <v>827</v>
      </c>
      <c r="O10" s="166" t="s">
        <v>827</v>
      </c>
      <c r="P10" s="166" t="s">
        <v>827</v>
      </c>
      <c r="Q10" s="166" t="s">
        <v>827</v>
      </c>
      <c r="R10" s="166" t="s">
        <v>827</v>
      </c>
      <c r="S10" s="166" t="s">
        <v>827</v>
      </c>
      <c r="T10" s="83"/>
      <c r="U10" s="83"/>
      <c r="V10" s="83"/>
      <c r="W10" s="83"/>
      <c r="X10" s="83"/>
      <c r="Y10" s="83"/>
      <c r="Z10" s="83"/>
      <c r="AA10" s="83"/>
      <c r="AB10" s="83"/>
      <c r="AD10" s="85" t="s">
        <v>7</v>
      </c>
      <c r="AE10" s="85" t="s">
        <v>13</v>
      </c>
      <c r="AF10" s="85" t="s">
        <v>20</v>
      </c>
      <c r="AG10" s="85" t="s">
        <v>26</v>
      </c>
      <c r="AH10" s="85" t="s">
        <v>7</v>
      </c>
      <c r="AI10" s="85" t="s">
        <v>13</v>
      </c>
      <c r="AJ10" s="85" t="s">
        <v>20</v>
      </c>
      <c r="AL10" s="85" t="s">
        <v>26</v>
      </c>
      <c r="AM10" s="85" t="s">
        <v>26</v>
      </c>
      <c r="AO10" s="85" t="s">
        <v>26</v>
      </c>
      <c r="AP10" s="85" t="s">
        <v>26</v>
      </c>
    </row>
    <row r="11" spans="3:47" x14ac:dyDescent="0.45">
      <c r="AI11" s="163"/>
      <c r="AJ11" s="163"/>
      <c r="AL11" s="163"/>
      <c r="AM11" s="163"/>
      <c r="AO11" s="163"/>
      <c r="AP11" s="163"/>
    </row>
    <row r="12" spans="3:47" x14ac:dyDescent="0.45">
      <c r="C12" s="112" t="s">
        <v>491</v>
      </c>
      <c r="D12" s="112"/>
      <c r="E12" s="54"/>
      <c r="F12" s="54"/>
      <c r="G12" s="54"/>
      <c r="H12" s="54"/>
      <c r="I12" s="54"/>
      <c r="J12" s="54"/>
      <c r="K12" s="54"/>
      <c r="L12" s="54"/>
      <c r="M12" s="54"/>
      <c r="N12" s="54"/>
      <c r="O12" s="54"/>
      <c r="P12" s="54"/>
      <c r="Q12" s="54"/>
      <c r="R12" s="54"/>
      <c r="S12" s="54"/>
      <c r="T12" s="54"/>
      <c r="U12" s="54"/>
      <c r="V12" s="54"/>
      <c r="W12" s="54"/>
      <c r="X12" s="54"/>
      <c r="Y12" s="54"/>
      <c r="Z12" s="165"/>
      <c r="AA12" s="165"/>
      <c r="AB12" s="165"/>
      <c r="AD12" s="165"/>
      <c r="AE12" s="165"/>
      <c r="AF12" s="165"/>
      <c r="AG12" s="165"/>
      <c r="AH12" s="164"/>
      <c r="AI12" s="164"/>
      <c r="AJ12" s="164"/>
      <c r="AL12" s="164"/>
      <c r="AM12" s="164"/>
      <c r="AO12" s="164"/>
      <c r="AP12" s="164"/>
    </row>
    <row r="13" spans="3:47" x14ac:dyDescent="0.45">
      <c r="AI13" s="163"/>
      <c r="AJ13" s="163"/>
      <c r="AL13" s="163"/>
      <c r="AM13" s="163"/>
      <c r="AO13" s="163"/>
      <c r="AP13" s="163"/>
    </row>
    <row r="14" spans="3:47" x14ac:dyDescent="0.45">
      <c r="C14" s="68" t="s">
        <v>488</v>
      </c>
      <c r="AI14" s="163"/>
      <c r="AJ14" s="163"/>
      <c r="AL14" s="163"/>
      <c r="AM14" s="163"/>
      <c r="AO14" s="163"/>
      <c r="AP14" s="163"/>
    </row>
    <row r="15" spans="3:47" x14ac:dyDescent="0.45">
      <c r="C15" s="104" t="s">
        <v>502</v>
      </c>
      <c r="D15" s="103" t="s">
        <v>877</v>
      </c>
      <c r="E15" s="126" t="e">
        <f>AVERAGE(H15:AC15)</f>
        <v>#REF!</v>
      </c>
      <c r="F15" s="126" t="e">
        <f>SUM(H15:AC15)</f>
        <v>#REF!</v>
      </c>
      <c r="G15" s="126"/>
      <c r="H15" s="126" t="e">
        <f>SUMIFS(#REF!,#REF!,$C$12,#REF!,$C$14,#REF!,$C15)</f>
        <v>#REF!</v>
      </c>
      <c r="I15" s="126" t="e">
        <f>SUMIFS(#REF!,#REF!,$C$12,#REF!,$C$14,#REF!,$C15)</f>
        <v>#REF!</v>
      </c>
      <c r="J15" s="126" t="e">
        <f>SUMIFS(#REF!,#REF!,$C$12,#REF!,$C$14,#REF!,$C15)</f>
        <v>#REF!</v>
      </c>
      <c r="K15" s="126" t="e">
        <f>SUMIFS(#REF!,#REF!,$C$12,#REF!,$C$14,#REF!,$C15)</f>
        <v>#REF!</v>
      </c>
      <c r="L15" s="126" t="e">
        <f>SUMIFS(#REF!,#REF!,$C$12,#REF!,$C$14,#REF!,$C15)</f>
        <v>#REF!</v>
      </c>
      <c r="M15" s="126" t="e">
        <f>SUMIFS(#REF!,#REF!,$C$12,#REF!,$C$14,#REF!,$C15)</f>
        <v>#REF!</v>
      </c>
      <c r="N15" s="126" t="e">
        <f>SUMIFS(#REF!,#REF!,$C$12,#REF!,$C$14,#REF!,$C15)</f>
        <v>#REF!</v>
      </c>
      <c r="O15" s="126" t="e">
        <f>SUMIFS(#REF!,#REF!,$C$12,#REF!,$C$14,#REF!,$C15)</f>
        <v>#REF!</v>
      </c>
      <c r="P15" s="126" t="e">
        <f>SUMIFS(#REF!,#REF!,$C$12,#REF!,$C$14,#REF!,$C15)</f>
        <v>#REF!</v>
      </c>
      <c r="Q15" s="126" t="e">
        <f>SUMIFS(#REF!,#REF!,$C$12,#REF!,$C$14,#REF!,$C15)</f>
        <v>#REF!</v>
      </c>
      <c r="R15" s="126" t="e">
        <f>SUMIFS(#REF!,#REF!,$C$12,#REF!,$C$14,#REF!,$C15)</f>
        <v>#REF!</v>
      </c>
      <c r="S15" s="126" t="e">
        <f>SUMIFS(#REF!,#REF!,$C$12,#REF!,$C$14,#REF!,$C15)</f>
        <v>#REF!</v>
      </c>
      <c r="T15" s="126" t="e">
        <f>SUMIFS(#REF!,#REF!,$C$12,#REF!,$C$14,#REF!,$C15)</f>
        <v>#REF!</v>
      </c>
      <c r="U15" s="126" t="e">
        <f>SUMIFS(#REF!,#REF!,$C$12,#REF!,$C$14,#REF!,$C15)</f>
        <v>#REF!</v>
      </c>
      <c r="V15" s="126" t="e">
        <f>SUMIFS(#REF!,#REF!,$C$12,#REF!,$C$14,#REF!,$C15)</f>
        <v>#REF!</v>
      </c>
      <c r="W15" s="126" t="e">
        <f>SUMIFS(#REF!,#REF!,$C$12,#REF!,$C$14,#REF!,$C15)</f>
        <v>#REF!</v>
      </c>
      <c r="X15" s="126" t="e">
        <f>SUMIFS(#REF!,#REF!,$C$12,#REF!,$C$14,#REF!,$C15)</f>
        <v>#REF!</v>
      </c>
      <c r="Y15" s="126" t="e">
        <f>SUMIFS(#REF!,#REF!,$C$12,#REF!,$C$14,#REF!,$C15)</f>
        <v>#REF!</v>
      </c>
      <c r="Z15" s="126" t="e">
        <f>SUMIFS(#REF!,#REF!,$C$12,#REF!,$C$14,#REF!,$C15)</f>
        <v>#REF!</v>
      </c>
      <c r="AA15" s="126" t="e">
        <f>SUMIFS(#REF!,#REF!,$C$12,#REF!,$C$14,#REF!,$C15)</f>
        <v>#REF!</v>
      </c>
      <c r="AB15" s="126" t="e">
        <f>SUMIFS(#REF!,#REF!,$C$12,#REF!,$C$14,#REF!,$C15)</f>
        <v>#REF!</v>
      </c>
      <c r="AC15" s="118"/>
      <c r="AD15" s="70" t="e">
        <f t="shared" ref="AD15:AJ15" si="0">+SUMIFS($E15:$AC15,$E$9:$AC$9,AD$9,$E$8:$AC$8,AD$8)</f>
        <v>#REF!</v>
      </c>
      <c r="AE15" s="70" t="e">
        <f t="shared" si="0"/>
        <v>#REF!</v>
      </c>
      <c r="AF15" s="70" t="e">
        <f t="shared" si="0"/>
        <v>#REF!</v>
      </c>
      <c r="AG15" s="70" t="e">
        <f t="shared" si="0"/>
        <v>#REF!</v>
      </c>
      <c r="AH15" s="70" t="e">
        <f t="shared" si="0"/>
        <v>#REF!</v>
      </c>
      <c r="AI15" s="70" t="e">
        <f t="shared" si="0"/>
        <v>#REF!</v>
      </c>
      <c r="AJ15" s="70" t="e">
        <f t="shared" si="0"/>
        <v>#REF!</v>
      </c>
      <c r="AK15" s="118"/>
      <c r="AL15" s="128" t="e">
        <f>+SUMIF($E$8:$AC$8,AL$8,$E15:$AC15)</f>
        <v>#REF!</v>
      </c>
      <c r="AM15" s="128" t="e">
        <f>+SUMIF($E$8:$AC$8,AM$8,$E15:$AC15)</f>
        <v>#REF!</v>
      </c>
      <c r="AN15" s="118"/>
      <c r="AO15" s="128" t="e">
        <f>+SUMIF($E$8:$AC$8,AO$8,$E15:$AC15)</f>
        <v>#REF!</v>
      </c>
      <c r="AP15" s="128" t="e">
        <f>+SUMIF($E$8:$AC$8,AP$8,$E15:$AC15)</f>
        <v>#REF!</v>
      </c>
    </row>
    <row r="16" spans="3:47" s="107" customFormat="1" x14ac:dyDescent="0.45">
      <c r="C16" s="49" t="s">
        <v>878</v>
      </c>
      <c r="D16" s="124" t="s">
        <v>877</v>
      </c>
      <c r="E16" s="120" t="e">
        <f>AVERAGE(H16:AC16)</f>
        <v>#REF!</v>
      </c>
      <c r="F16" s="120" t="e">
        <f>SUM(H16:AC16)</f>
        <v>#REF!</v>
      </c>
      <c r="G16" s="120"/>
      <c r="H16" s="135" t="e">
        <f t="shared" ref="H16:AB16" si="1">SUM(H15:H15)</f>
        <v>#REF!</v>
      </c>
      <c r="I16" s="135" t="e">
        <f t="shared" si="1"/>
        <v>#REF!</v>
      </c>
      <c r="J16" s="135" t="e">
        <f t="shared" si="1"/>
        <v>#REF!</v>
      </c>
      <c r="K16" s="135" t="e">
        <f t="shared" si="1"/>
        <v>#REF!</v>
      </c>
      <c r="L16" s="135" t="e">
        <f t="shared" si="1"/>
        <v>#REF!</v>
      </c>
      <c r="M16" s="135" t="e">
        <f t="shared" si="1"/>
        <v>#REF!</v>
      </c>
      <c r="N16" s="135" t="e">
        <f t="shared" si="1"/>
        <v>#REF!</v>
      </c>
      <c r="O16" s="135" t="e">
        <f t="shared" si="1"/>
        <v>#REF!</v>
      </c>
      <c r="P16" s="135" t="e">
        <f t="shared" si="1"/>
        <v>#REF!</v>
      </c>
      <c r="Q16" s="135" t="e">
        <f t="shared" si="1"/>
        <v>#REF!</v>
      </c>
      <c r="R16" s="135" t="e">
        <f t="shared" si="1"/>
        <v>#REF!</v>
      </c>
      <c r="S16" s="135" t="e">
        <f t="shared" si="1"/>
        <v>#REF!</v>
      </c>
      <c r="T16" s="135" t="e">
        <f t="shared" si="1"/>
        <v>#REF!</v>
      </c>
      <c r="U16" s="135" t="e">
        <f t="shared" si="1"/>
        <v>#REF!</v>
      </c>
      <c r="V16" s="135" t="e">
        <f t="shared" si="1"/>
        <v>#REF!</v>
      </c>
      <c r="W16" s="135" t="e">
        <f t="shared" si="1"/>
        <v>#REF!</v>
      </c>
      <c r="X16" s="135" t="e">
        <f t="shared" si="1"/>
        <v>#REF!</v>
      </c>
      <c r="Y16" s="135" t="e">
        <f t="shared" si="1"/>
        <v>#REF!</v>
      </c>
      <c r="Z16" s="135" t="e">
        <f t="shared" si="1"/>
        <v>#REF!</v>
      </c>
      <c r="AA16" s="135" t="e">
        <f t="shared" si="1"/>
        <v>#REF!</v>
      </c>
      <c r="AB16" s="135" t="e">
        <f t="shared" si="1"/>
        <v>#REF!</v>
      </c>
      <c r="AC16" s="118"/>
      <c r="AD16" s="122" t="e">
        <f t="shared" ref="AD16:AJ16" si="2">SUM(AD15:AD15)</f>
        <v>#REF!</v>
      </c>
      <c r="AE16" s="122" t="e">
        <f t="shared" si="2"/>
        <v>#REF!</v>
      </c>
      <c r="AF16" s="122" t="e">
        <f t="shared" si="2"/>
        <v>#REF!</v>
      </c>
      <c r="AG16" s="122" t="e">
        <f t="shared" si="2"/>
        <v>#REF!</v>
      </c>
      <c r="AH16" s="122" t="e">
        <f t="shared" si="2"/>
        <v>#REF!</v>
      </c>
      <c r="AI16" s="122" t="e">
        <f t="shared" si="2"/>
        <v>#REF!</v>
      </c>
      <c r="AJ16" s="122" t="e">
        <f t="shared" si="2"/>
        <v>#REF!</v>
      </c>
      <c r="AK16" s="121"/>
      <c r="AL16" s="120" t="e">
        <f>SUM(AL15:AL15)</f>
        <v>#REF!</v>
      </c>
      <c r="AM16" s="120" t="e">
        <f>SUM(AM15:AM15)</f>
        <v>#REF!</v>
      </c>
      <c r="AN16" s="121"/>
      <c r="AO16" s="120" t="e">
        <f>SUM(AO15:AO15)</f>
        <v>#REF!</v>
      </c>
      <c r="AP16" s="120" t="e">
        <f>SUM(AP15:AP15)</f>
        <v>#REF!</v>
      </c>
      <c r="AR16" s="563" t="s">
        <v>499</v>
      </c>
      <c r="AS16" s="566">
        <f>SUM(AU16:AU21)</f>
        <v>0.66894457291184828</v>
      </c>
      <c r="AT16" s="139" t="s">
        <v>879</v>
      </c>
      <c r="AU16" s="138">
        <v>0.5010947662793076</v>
      </c>
    </row>
    <row r="17" spans="3:47" x14ac:dyDescent="0.45">
      <c r="E17" s="118"/>
      <c r="F17" s="118"/>
      <c r="AD17" s="99"/>
      <c r="AE17" s="99"/>
      <c r="AF17" s="99"/>
      <c r="AG17" s="99"/>
      <c r="AH17" s="99"/>
      <c r="AI17" s="99"/>
      <c r="AJ17" s="99"/>
      <c r="AR17" s="564"/>
      <c r="AS17" s="567"/>
      <c r="AT17" s="109" t="s">
        <v>498</v>
      </c>
      <c r="AU17" s="160">
        <v>2.3183939864472026E-2</v>
      </c>
    </row>
    <row r="18" spans="3:47" x14ac:dyDescent="0.45">
      <c r="C18" s="68" t="s">
        <v>479</v>
      </c>
      <c r="E18" s="118"/>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99"/>
      <c r="AE18" s="99"/>
      <c r="AF18" s="99"/>
      <c r="AG18" s="99"/>
      <c r="AH18" s="99"/>
      <c r="AI18" s="99"/>
      <c r="AJ18" s="99"/>
      <c r="AK18" s="118"/>
      <c r="AL18" s="125"/>
      <c r="AM18" s="125"/>
      <c r="AN18" s="118"/>
      <c r="AO18" s="125"/>
      <c r="AP18" s="125"/>
      <c r="AR18" s="564"/>
      <c r="AS18" s="567"/>
      <c r="AT18" s="142" t="s">
        <v>880</v>
      </c>
      <c r="AU18" s="141">
        <v>2.7611344264370008E-2</v>
      </c>
    </row>
    <row r="19" spans="3:47" x14ac:dyDescent="0.45">
      <c r="C19" s="81" t="s">
        <v>881</v>
      </c>
      <c r="D19" s="80" t="s">
        <v>877</v>
      </c>
      <c r="E19" s="134" t="e">
        <f>AVERAGE(H19:AC19)</f>
        <v>#REF!</v>
      </c>
      <c r="F19" s="134" t="e">
        <f>SUM(H19:AC19)</f>
        <v>#REF!</v>
      </c>
      <c r="G19" s="134"/>
      <c r="H19" s="134" t="e">
        <f>SUMIFS(#REF!,#REF!,$C$12,#REF!,$C$18,#REF!,$C19)</f>
        <v>#REF!</v>
      </c>
      <c r="I19" s="134" t="e">
        <f>SUMIFS(#REF!,#REF!,$C$12,#REF!,$C$18,#REF!,$C19)</f>
        <v>#REF!</v>
      </c>
      <c r="J19" s="134" t="e">
        <f>SUMIFS(#REF!,#REF!,$C$12,#REF!,$C$18,#REF!,$C19)</f>
        <v>#REF!</v>
      </c>
      <c r="K19" s="134" t="e">
        <f>SUMIFS(#REF!,#REF!,$C$12,#REF!,$C$18,#REF!,$C19)</f>
        <v>#REF!</v>
      </c>
      <c r="L19" s="134" t="e">
        <f>SUMIFS(#REF!,#REF!,$C$12,#REF!,$C$18,#REF!,$C19)</f>
        <v>#REF!</v>
      </c>
      <c r="M19" s="134" t="e">
        <f>SUMIFS(#REF!,#REF!,$C$12,#REF!,$C$18,#REF!,$C19)</f>
        <v>#REF!</v>
      </c>
      <c r="N19" s="134" t="e">
        <f>SUMIFS(#REF!,#REF!,$C$12,#REF!,$C$18,#REF!,$C19)</f>
        <v>#REF!</v>
      </c>
      <c r="O19" s="134" t="e">
        <f>SUMIFS(#REF!,#REF!,$C$12,#REF!,$C$18,#REF!,$C19)</f>
        <v>#REF!</v>
      </c>
      <c r="P19" s="134" t="e">
        <f>SUMIFS(#REF!,#REF!,$C$12,#REF!,$C$18,#REF!,$C19)</f>
        <v>#REF!</v>
      </c>
      <c r="Q19" s="134" t="e">
        <f>SUMIFS(#REF!,#REF!,$C$12,#REF!,$C$18,#REF!,$C19)</f>
        <v>#REF!</v>
      </c>
      <c r="R19" s="134" t="e">
        <f>SUMIFS(#REF!,#REF!,$C$12,#REF!,$C$18,#REF!,$C19)</f>
        <v>#REF!</v>
      </c>
      <c r="S19" s="134" t="e">
        <f>SUMIFS(#REF!,#REF!,$C$12,#REF!,$C$18,#REF!,$C19)</f>
        <v>#REF!</v>
      </c>
      <c r="T19" s="134" t="e">
        <f>SUMIFS(#REF!,#REF!,$C$12,#REF!,$C$18,#REF!,$C19)</f>
        <v>#REF!</v>
      </c>
      <c r="U19" s="134" t="e">
        <f>SUMIFS(#REF!,#REF!,$C$12,#REF!,$C$18,#REF!,$C19)</f>
        <v>#REF!</v>
      </c>
      <c r="V19" s="134" t="e">
        <f>SUMIFS(#REF!,#REF!,$C$12,#REF!,$C$18,#REF!,$C19)</f>
        <v>#REF!</v>
      </c>
      <c r="W19" s="134" t="e">
        <f>SUMIFS(#REF!,#REF!,$C$12,#REF!,$C$18,#REF!,$C19)</f>
        <v>#REF!</v>
      </c>
      <c r="X19" s="134" t="e">
        <f>SUMIFS(#REF!,#REF!,$C$12,#REF!,$C$18,#REF!,$C19)</f>
        <v>#REF!</v>
      </c>
      <c r="Y19" s="134" t="e">
        <f>SUMIFS(#REF!,#REF!,$C$12,#REF!,$C$18,#REF!,$C19)</f>
        <v>#REF!</v>
      </c>
      <c r="Z19" s="134" t="e">
        <f>SUMIFS(#REF!,#REF!,$C$12,#REF!,$C$18,#REF!,$C19)</f>
        <v>#REF!</v>
      </c>
      <c r="AA19" s="134" t="e">
        <f>SUMIFS(#REF!,#REF!,$C$12,#REF!,$C$18,#REF!,$C19)</f>
        <v>#REF!</v>
      </c>
      <c r="AB19" s="134" t="e">
        <f>SUMIFS(#REF!,#REF!,$C$12,#REF!,$C$18,#REF!,$C19)</f>
        <v>#REF!</v>
      </c>
      <c r="AC19" s="118"/>
      <c r="AD19" s="110" t="e">
        <f t="shared" ref="AD19:AJ19" si="3">+SUMIFS($E19:$AC19,$E$9:$AC$9,AD$9,$E$8:$AC$8,AD$8)</f>
        <v>#REF!</v>
      </c>
      <c r="AE19" s="110" t="e">
        <f t="shared" si="3"/>
        <v>#REF!</v>
      </c>
      <c r="AF19" s="110" t="e">
        <f t="shared" si="3"/>
        <v>#REF!</v>
      </c>
      <c r="AG19" s="110" t="e">
        <f t="shared" si="3"/>
        <v>#REF!</v>
      </c>
      <c r="AH19" s="110" t="e">
        <f t="shared" si="3"/>
        <v>#REF!</v>
      </c>
      <c r="AI19" s="110" t="e">
        <f t="shared" si="3"/>
        <v>#REF!</v>
      </c>
      <c r="AJ19" s="110" t="e">
        <f t="shared" si="3"/>
        <v>#REF!</v>
      </c>
      <c r="AK19" s="118"/>
      <c r="AL19" s="130" t="e">
        <f>+SUMIF($E$8:$AC$8,AL$8,$E19:$AC19)</f>
        <v>#REF!</v>
      </c>
      <c r="AM19" s="130" t="e">
        <f>+SUMIF($E$8:$AC$8,AM$8,$E19:$AC19)</f>
        <v>#REF!</v>
      </c>
      <c r="AN19" s="113" t="e">
        <f>AM19/$AM$41</f>
        <v>#REF!</v>
      </c>
      <c r="AO19" s="130"/>
      <c r="AP19" s="130"/>
      <c r="AR19" s="564"/>
      <c r="AS19" s="567"/>
      <c r="AT19" s="109" t="s">
        <v>535</v>
      </c>
      <c r="AU19" s="137">
        <v>1.9833549694804345E-2</v>
      </c>
    </row>
    <row r="20" spans="3:47" s="107" customFormat="1" x14ac:dyDescent="0.45">
      <c r="C20" s="49" t="s">
        <v>882</v>
      </c>
      <c r="D20" s="124" t="s">
        <v>877</v>
      </c>
      <c r="E20" s="120" t="e">
        <f>AVERAGE(H20:AC20)</f>
        <v>#REF!</v>
      </c>
      <c r="F20" s="120" t="e">
        <f>SUM(H20:AC20)</f>
        <v>#REF!</v>
      </c>
      <c r="G20" s="120"/>
      <c r="H20" s="135" t="e">
        <f t="shared" ref="H20:AB20" si="4">SUM(H19)</f>
        <v>#REF!</v>
      </c>
      <c r="I20" s="135" t="e">
        <f t="shared" si="4"/>
        <v>#REF!</v>
      </c>
      <c r="J20" s="135" t="e">
        <f t="shared" si="4"/>
        <v>#REF!</v>
      </c>
      <c r="K20" s="135" t="e">
        <f t="shared" si="4"/>
        <v>#REF!</v>
      </c>
      <c r="L20" s="135" t="e">
        <f t="shared" si="4"/>
        <v>#REF!</v>
      </c>
      <c r="M20" s="135" t="e">
        <f t="shared" si="4"/>
        <v>#REF!</v>
      </c>
      <c r="N20" s="135" t="e">
        <f t="shared" si="4"/>
        <v>#REF!</v>
      </c>
      <c r="O20" s="135" t="e">
        <f t="shared" si="4"/>
        <v>#REF!</v>
      </c>
      <c r="P20" s="135" t="e">
        <f t="shared" si="4"/>
        <v>#REF!</v>
      </c>
      <c r="Q20" s="135" t="e">
        <f t="shared" si="4"/>
        <v>#REF!</v>
      </c>
      <c r="R20" s="135" t="e">
        <f t="shared" si="4"/>
        <v>#REF!</v>
      </c>
      <c r="S20" s="135" t="e">
        <f t="shared" si="4"/>
        <v>#REF!</v>
      </c>
      <c r="T20" s="135" t="e">
        <f t="shared" si="4"/>
        <v>#REF!</v>
      </c>
      <c r="U20" s="135" t="e">
        <f t="shared" si="4"/>
        <v>#REF!</v>
      </c>
      <c r="V20" s="135" t="e">
        <f t="shared" si="4"/>
        <v>#REF!</v>
      </c>
      <c r="W20" s="135" t="e">
        <f t="shared" si="4"/>
        <v>#REF!</v>
      </c>
      <c r="X20" s="135" t="e">
        <f t="shared" si="4"/>
        <v>#REF!</v>
      </c>
      <c r="Y20" s="135" t="e">
        <f t="shared" si="4"/>
        <v>#REF!</v>
      </c>
      <c r="Z20" s="135" t="e">
        <f t="shared" si="4"/>
        <v>#REF!</v>
      </c>
      <c r="AA20" s="135" t="e">
        <f t="shared" si="4"/>
        <v>#REF!</v>
      </c>
      <c r="AB20" s="135" t="e">
        <f t="shared" si="4"/>
        <v>#REF!</v>
      </c>
      <c r="AC20" s="118"/>
      <c r="AD20" s="122" t="e">
        <f t="shared" ref="AD20:AJ20" si="5">SUM(AD19)</f>
        <v>#REF!</v>
      </c>
      <c r="AE20" s="122" t="e">
        <f t="shared" si="5"/>
        <v>#REF!</v>
      </c>
      <c r="AF20" s="122" t="e">
        <f t="shared" si="5"/>
        <v>#REF!</v>
      </c>
      <c r="AG20" s="122" t="e">
        <f t="shared" si="5"/>
        <v>#REF!</v>
      </c>
      <c r="AH20" s="122" t="e">
        <f t="shared" si="5"/>
        <v>#REF!</v>
      </c>
      <c r="AI20" s="122" t="e">
        <f t="shared" si="5"/>
        <v>#REF!</v>
      </c>
      <c r="AJ20" s="122" t="e">
        <f t="shared" si="5"/>
        <v>#REF!</v>
      </c>
      <c r="AK20" s="121"/>
      <c r="AL20" s="120" t="e">
        <f>SUM(AL19)</f>
        <v>#REF!</v>
      </c>
      <c r="AM20" s="120" t="e">
        <f>SUM(AM19)</f>
        <v>#REF!</v>
      </c>
      <c r="AN20" s="121"/>
      <c r="AO20" s="120">
        <f>SUM(AO19)</f>
        <v>0</v>
      </c>
      <c r="AP20" s="120">
        <f>SUM(AP19)</f>
        <v>0</v>
      </c>
      <c r="AR20" s="564"/>
      <c r="AS20" s="567"/>
      <c r="AT20" s="142" t="s">
        <v>492</v>
      </c>
      <c r="AU20" s="141">
        <v>9.5188478236819252E-2</v>
      </c>
    </row>
    <row r="21" spans="3:47" x14ac:dyDescent="0.45">
      <c r="C21" s="102"/>
      <c r="D21" s="108"/>
      <c r="E21" s="128"/>
      <c r="F21" s="128"/>
      <c r="G21" s="128"/>
      <c r="H21" s="162"/>
      <c r="I21" s="162"/>
      <c r="J21" s="162"/>
      <c r="K21" s="162"/>
      <c r="L21" s="162"/>
      <c r="M21" s="162"/>
      <c r="N21" s="162"/>
      <c r="O21" s="162"/>
      <c r="P21" s="162"/>
      <c r="Q21" s="162"/>
      <c r="R21" s="162"/>
      <c r="S21" s="161"/>
      <c r="T21" s="161"/>
      <c r="U21" s="161"/>
      <c r="V21" s="161"/>
      <c r="W21" s="161"/>
      <c r="X21" s="161"/>
      <c r="Y21" s="118"/>
      <c r="Z21" s="118"/>
      <c r="AA21" s="118"/>
      <c r="AB21" s="118"/>
      <c r="AC21" s="118"/>
      <c r="AD21" s="65"/>
      <c r="AE21" s="65"/>
      <c r="AF21" s="65"/>
      <c r="AG21" s="65"/>
      <c r="AH21" s="65"/>
      <c r="AI21" s="65"/>
      <c r="AJ21" s="65"/>
      <c r="AK21" s="118"/>
      <c r="AL21" s="118"/>
      <c r="AM21" s="118"/>
      <c r="AN21" s="118"/>
      <c r="AO21" s="118"/>
      <c r="AP21" s="118"/>
      <c r="AR21" s="565"/>
      <c r="AS21" s="568"/>
      <c r="AT21" s="109" t="s">
        <v>502</v>
      </c>
      <c r="AU21" s="137">
        <v>2.0324945720750203E-3</v>
      </c>
    </row>
    <row r="22" spans="3:47" x14ac:dyDescent="0.45">
      <c r="C22" s="68" t="s">
        <v>536</v>
      </c>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99"/>
      <c r="AE22" s="99"/>
      <c r="AF22" s="99"/>
      <c r="AG22" s="99"/>
      <c r="AH22" s="99"/>
      <c r="AI22" s="99"/>
      <c r="AJ22" s="99"/>
      <c r="AK22" s="118"/>
      <c r="AL22" s="125"/>
      <c r="AM22" s="125"/>
      <c r="AN22" s="118"/>
      <c r="AO22" s="125"/>
      <c r="AP22" s="125"/>
      <c r="AR22" s="563" t="s">
        <v>484</v>
      </c>
      <c r="AS22" s="566">
        <f>SUM(AU23:AU24)</f>
        <v>2.3244702206774107E-2</v>
      </c>
      <c r="AT22" s="139" t="s">
        <v>880</v>
      </c>
      <c r="AU22" s="138">
        <v>0.28068311296095666</v>
      </c>
    </row>
    <row r="23" spans="3:47" x14ac:dyDescent="0.45">
      <c r="C23" s="106" t="s">
        <v>487</v>
      </c>
      <c r="D23" s="105" t="s">
        <v>877</v>
      </c>
      <c r="E23" s="130" t="e">
        <f>AVERAGE(H23:AC23)</f>
        <v>#REF!</v>
      </c>
      <c r="F23" s="130" t="e">
        <f>SUM(H23:AC23)</f>
        <v>#REF!</v>
      </c>
      <c r="G23" s="130"/>
      <c r="H23" s="130" t="e">
        <f>SUMIFS(#REF!,#REF!,$C$12,#REF!,$C$22,#REF!,$C23)</f>
        <v>#REF!</v>
      </c>
      <c r="I23" s="130" t="e">
        <f>SUMIFS(#REF!,#REF!,$C$12,#REF!,$C$22,#REF!,$C23)</f>
        <v>#REF!</v>
      </c>
      <c r="J23" s="130" t="e">
        <f>SUMIFS(#REF!,#REF!,$C$12,#REF!,$C$22,#REF!,$C23)</f>
        <v>#REF!</v>
      </c>
      <c r="K23" s="130" t="e">
        <f>SUMIFS(#REF!,#REF!,$C$12,#REF!,$C$22,#REF!,$C23)</f>
        <v>#REF!</v>
      </c>
      <c r="L23" s="130" t="e">
        <f>SUMIFS(#REF!,#REF!,$C$12,#REF!,$C$22,#REF!,$C23)</f>
        <v>#REF!</v>
      </c>
      <c r="M23" s="130" t="e">
        <f>SUMIFS(#REF!,#REF!,$C$12,#REF!,$C$22,#REF!,$C23)</f>
        <v>#REF!</v>
      </c>
      <c r="N23" s="130" t="e">
        <f>SUMIFS(#REF!,#REF!,$C$12,#REF!,$C$22,#REF!,$C23)</f>
        <v>#REF!</v>
      </c>
      <c r="O23" s="130" t="e">
        <f>SUMIFS(#REF!,#REF!,$C$12,#REF!,$C$22,#REF!,$C23)</f>
        <v>#REF!</v>
      </c>
      <c r="P23" s="130" t="e">
        <f>SUMIFS(#REF!,#REF!,$C$12,#REF!,$C$22,#REF!,$C23)</f>
        <v>#REF!</v>
      </c>
      <c r="Q23" s="130" t="e">
        <f>SUMIFS(#REF!,#REF!,$C$12,#REF!,$C$22,#REF!,$C23)</f>
        <v>#REF!</v>
      </c>
      <c r="R23" s="130" t="e">
        <f>SUMIFS(#REF!,#REF!,$C$12,#REF!,$C$22,#REF!,$C23)</f>
        <v>#REF!</v>
      </c>
      <c r="S23" s="130" t="e">
        <f>SUMIFS(#REF!,#REF!,$C$12,#REF!,$C$22,#REF!,$C23)</f>
        <v>#REF!</v>
      </c>
      <c r="T23" s="130" t="e">
        <f>SUMIFS(#REF!,#REF!,$C$12,#REF!,$C$22,#REF!,$C23)</f>
        <v>#REF!</v>
      </c>
      <c r="U23" s="130" t="e">
        <f>SUMIFS(#REF!,#REF!,$C$12,#REF!,$C$22,#REF!,$C23)</f>
        <v>#REF!</v>
      </c>
      <c r="V23" s="130" t="e">
        <f>SUMIFS(#REF!,#REF!,$C$12,#REF!,$C$22,#REF!,$C23)</f>
        <v>#REF!</v>
      </c>
      <c r="W23" s="130" t="e">
        <f>SUMIFS(#REF!,#REF!,$C$12,#REF!,$C$22,#REF!,$C23)</f>
        <v>#REF!</v>
      </c>
      <c r="X23" s="130" t="e">
        <f>SUMIFS(#REF!,#REF!,$C$12,#REF!,$C$22,#REF!,$C23)</f>
        <v>#REF!</v>
      </c>
      <c r="Y23" s="130" t="e">
        <f>SUMIFS(#REF!,#REF!,$C$12,#REF!,$C$22,#REF!,$C23)</f>
        <v>#REF!</v>
      </c>
      <c r="Z23" s="130" t="e">
        <f>SUMIFS(#REF!,#REF!,$C$12,#REF!,$C$22,#REF!,$C23)</f>
        <v>#REF!</v>
      </c>
      <c r="AA23" s="130" t="e">
        <f>SUMIFS(#REF!,#REF!,$C$12,#REF!,$C$22,#REF!,$C23)</f>
        <v>#REF!</v>
      </c>
      <c r="AB23" s="130" t="e">
        <f>SUMIFS(#REF!,#REF!,$C$12,#REF!,$C$22,#REF!,$C23)</f>
        <v>#REF!</v>
      </c>
      <c r="AC23" s="118"/>
      <c r="AD23" s="110" t="e">
        <f t="shared" ref="AD23:AJ23" si="6">+SUMIFS($E23:$AC23,$E$9:$AC$9,AD$9,$E$8:$AC$8,AD$8)</f>
        <v>#REF!</v>
      </c>
      <c r="AE23" s="110" t="e">
        <f t="shared" si="6"/>
        <v>#REF!</v>
      </c>
      <c r="AF23" s="110" t="e">
        <f t="shared" si="6"/>
        <v>#REF!</v>
      </c>
      <c r="AG23" s="110" t="e">
        <f t="shared" si="6"/>
        <v>#REF!</v>
      </c>
      <c r="AH23" s="110" t="e">
        <f t="shared" si="6"/>
        <v>#REF!</v>
      </c>
      <c r="AI23" s="110" t="e">
        <f t="shared" si="6"/>
        <v>#REF!</v>
      </c>
      <c r="AJ23" s="110" t="e">
        <f t="shared" si="6"/>
        <v>#REF!</v>
      </c>
      <c r="AK23" s="118"/>
      <c r="AL23" s="130" t="e">
        <f>+SUMIF($E$8:$AC$8,AL$8,$E23:$AC23)</f>
        <v>#REF!</v>
      </c>
      <c r="AM23" s="130" t="e">
        <f>+SUMIF($E$8:$AC$8,AM$8,$E23:$AC23)</f>
        <v>#REF!</v>
      </c>
      <c r="AN23" s="113" t="e">
        <f>AM23/$AM$41</f>
        <v>#REF!</v>
      </c>
      <c r="AO23" s="130" t="e">
        <f>+SUMIF($E$8:$AC$8,AO$8,$E23:$AC23)</f>
        <v>#REF!</v>
      </c>
      <c r="AP23" s="130" t="e">
        <f>+SUMIF($E$8:$AC$8,AP$8,$E23:$AC23)</f>
        <v>#REF!</v>
      </c>
      <c r="AR23" s="564"/>
      <c r="AS23" s="567"/>
      <c r="AT23" s="109" t="s">
        <v>883</v>
      </c>
      <c r="AU23" s="160">
        <v>2.1864134993555606E-2</v>
      </c>
    </row>
    <row r="24" spans="3:47" s="107" customFormat="1" x14ac:dyDescent="0.45">
      <c r="C24" s="49" t="s">
        <v>884</v>
      </c>
      <c r="D24" s="124" t="s">
        <v>877</v>
      </c>
      <c r="E24" s="120" t="e">
        <f>AVERAGE(H24:AC24)</f>
        <v>#REF!</v>
      </c>
      <c r="F24" s="120" t="e">
        <f>SUM(H24:AC24)</f>
        <v>#REF!</v>
      </c>
      <c r="G24" s="123"/>
      <c r="H24" s="120" t="e">
        <f t="shared" ref="H24:AB24" si="7">SUM(H23)</f>
        <v>#REF!</v>
      </c>
      <c r="I24" s="120" t="e">
        <f t="shared" si="7"/>
        <v>#REF!</v>
      </c>
      <c r="J24" s="120" t="e">
        <f t="shared" si="7"/>
        <v>#REF!</v>
      </c>
      <c r="K24" s="120" t="e">
        <f t="shared" si="7"/>
        <v>#REF!</v>
      </c>
      <c r="L24" s="120" t="e">
        <f t="shared" si="7"/>
        <v>#REF!</v>
      </c>
      <c r="M24" s="120" t="e">
        <f t="shared" si="7"/>
        <v>#REF!</v>
      </c>
      <c r="N24" s="120" t="e">
        <f t="shared" si="7"/>
        <v>#REF!</v>
      </c>
      <c r="O24" s="120" t="e">
        <f t="shared" si="7"/>
        <v>#REF!</v>
      </c>
      <c r="P24" s="120" t="e">
        <f t="shared" si="7"/>
        <v>#REF!</v>
      </c>
      <c r="Q24" s="120" t="e">
        <f t="shared" si="7"/>
        <v>#REF!</v>
      </c>
      <c r="R24" s="120" t="e">
        <f t="shared" si="7"/>
        <v>#REF!</v>
      </c>
      <c r="S24" s="120" t="e">
        <f t="shared" si="7"/>
        <v>#REF!</v>
      </c>
      <c r="T24" s="120" t="e">
        <f t="shared" si="7"/>
        <v>#REF!</v>
      </c>
      <c r="U24" s="120" t="e">
        <f t="shared" si="7"/>
        <v>#REF!</v>
      </c>
      <c r="V24" s="120" t="e">
        <f t="shared" si="7"/>
        <v>#REF!</v>
      </c>
      <c r="W24" s="120" t="e">
        <f t="shared" si="7"/>
        <v>#REF!</v>
      </c>
      <c r="X24" s="120" t="e">
        <f t="shared" si="7"/>
        <v>#REF!</v>
      </c>
      <c r="Y24" s="120" t="e">
        <f t="shared" si="7"/>
        <v>#REF!</v>
      </c>
      <c r="Z24" s="120" t="e">
        <f t="shared" si="7"/>
        <v>#REF!</v>
      </c>
      <c r="AA24" s="120" t="e">
        <f t="shared" si="7"/>
        <v>#REF!</v>
      </c>
      <c r="AB24" s="120" t="e">
        <f t="shared" si="7"/>
        <v>#REF!</v>
      </c>
      <c r="AC24" s="118"/>
      <c r="AD24" s="122" t="e">
        <f t="shared" ref="AD24:AJ24" si="8">SUM(AD23)</f>
        <v>#REF!</v>
      </c>
      <c r="AE24" s="122" t="e">
        <f t="shared" si="8"/>
        <v>#REF!</v>
      </c>
      <c r="AF24" s="122" t="e">
        <f t="shared" si="8"/>
        <v>#REF!</v>
      </c>
      <c r="AG24" s="122" t="e">
        <f t="shared" si="8"/>
        <v>#REF!</v>
      </c>
      <c r="AH24" s="122" t="e">
        <f t="shared" si="8"/>
        <v>#REF!</v>
      </c>
      <c r="AI24" s="122" t="e">
        <f t="shared" si="8"/>
        <v>#REF!</v>
      </c>
      <c r="AJ24" s="122" t="e">
        <f t="shared" si="8"/>
        <v>#REF!</v>
      </c>
      <c r="AK24" s="121"/>
      <c r="AL24" s="120" t="e">
        <f>SUM(AL23)</f>
        <v>#REF!</v>
      </c>
      <c r="AM24" s="120" t="e">
        <f>SUM(AM23)</f>
        <v>#REF!</v>
      </c>
      <c r="AN24" s="121"/>
      <c r="AO24" s="120" t="e">
        <f>SUM(AO23)</f>
        <v>#REF!</v>
      </c>
      <c r="AP24" s="120" t="e">
        <f>SUM(AP23)</f>
        <v>#REF!</v>
      </c>
      <c r="AR24" s="565"/>
      <c r="AS24" s="568"/>
      <c r="AT24" s="142" t="s">
        <v>502</v>
      </c>
      <c r="AU24" s="145">
        <v>1.3805672132185004E-3</v>
      </c>
    </row>
    <row r="25" spans="3:47" x14ac:dyDescent="0.45">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65"/>
      <c r="AE25" s="65"/>
      <c r="AF25" s="65"/>
      <c r="AG25" s="65"/>
      <c r="AH25" s="65"/>
      <c r="AI25" s="65"/>
      <c r="AJ25" s="65"/>
      <c r="AK25" s="118"/>
      <c r="AL25" s="118"/>
      <c r="AM25" s="118"/>
      <c r="AN25" s="118"/>
      <c r="AO25" s="118"/>
      <c r="AP25" s="118"/>
      <c r="AR25" s="140" t="s">
        <v>488</v>
      </c>
      <c r="AS25" s="159">
        <f>AU25</f>
        <v>1.4691007387889664E-2</v>
      </c>
      <c r="AT25" s="144" t="s">
        <v>502</v>
      </c>
      <c r="AU25" s="143">
        <v>1.4691007387889664E-2</v>
      </c>
    </row>
    <row r="26" spans="3:47" x14ac:dyDescent="0.45">
      <c r="C26" s="68" t="s">
        <v>484</v>
      </c>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99"/>
      <c r="AE26" s="99"/>
      <c r="AF26" s="99"/>
      <c r="AG26" s="99"/>
      <c r="AH26" s="99"/>
      <c r="AI26" s="99"/>
      <c r="AJ26" s="99"/>
      <c r="AK26" s="118"/>
      <c r="AL26" s="125"/>
      <c r="AM26" s="125"/>
      <c r="AN26" s="118"/>
      <c r="AO26" s="125"/>
      <c r="AP26" s="125"/>
      <c r="AR26" s="140" t="s">
        <v>536</v>
      </c>
      <c r="AS26" s="159">
        <f>AU26</f>
        <v>1.2436604532531424E-2</v>
      </c>
      <c r="AT26" s="139" t="s">
        <v>487</v>
      </c>
      <c r="AU26" s="138">
        <v>1.2436604532531424E-2</v>
      </c>
    </row>
    <row r="27" spans="3:47" x14ac:dyDescent="0.45">
      <c r="C27" s="106" t="s">
        <v>883</v>
      </c>
      <c r="D27" s="105" t="s">
        <v>877</v>
      </c>
      <c r="E27" s="130" t="e">
        <f>AVERAGE(H27:AC27)</f>
        <v>#REF!</v>
      </c>
      <c r="F27" s="130" t="e">
        <f>SUM(H27:AC27)</f>
        <v>#REF!</v>
      </c>
      <c r="G27" s="130"/>
      <c r="H27" s="130" t="e">
        <f>SUMIFS(#REF!,#REF!,$C$12,#REF!,$C$26,#REF!,$C27)</f>
        <v>#REF!</v>
      </c>
      <c r="I27" s="130" t="e">
        <f>SUMIFS(#REF!,#REF!,$C$12,#REF!,$C$26,#REF!,$C27)</f>
        <v>#REF!</v>
      </c>
      <c r="J27" s="130" t="e">
        <f>SUMIFS(#REF!,#REF!,$C$12,#REF!,$C$26,#REF!,$C27)</f>
        <v>#REF!</v>
      </c>
      <c r="K27" s="130" t="e">
        <f>SUMIFS(#REF!,#REF!,$C$12,#REF!,$C$26,#REF!,$C27)</f>
        <v>#REF!</v>
      </c>
      <c r="L27" s="130" t="e">
        <f>SUMIFS(#REF!,#REF!,$C$12,#REF!,$C$26,#REF!,$C27)</f>
        <v>#REF!</v>
      </c>
      <c r="M27" s="130" t="e">
        <f>SUMIFS(#REF!,#REF!,$C$12,#REF!,$C$26,#REF!,$C27)</f>
        <v>#REF!</v>
      </c>
      <c r="N27" s="130" t="e">
        <f>SUMIFS(#REF!,#REF!,$C$12,#REF!,$C$26,#REF!,$C27)</f>
        <v>#REF!</v>
      </c>
      <c r="O27" s="130" t="e">
        <f>SUMIFS(#REF!,#REF!,$C$12,#REF!,$C$26,#REF!,$C27)</f>
        <v>#REF!</v>
      </c>
      <c r="P27" s="130" t="e">
        <f>SUMIFS(#REF!,#REF!,$C$12,#REF!,$C$26,#REF!,$C27)</f>
        <v>#REF!</v>
      </c>
      <c r="Q27" s="130" t="e">
        <f>SUMIFS(#REF!,#REF!,$C$12,#REF!,$C$26,#REF!,$C27)</f>
        <v>#REF!</v>
      </c>
      <c r="R27" s="130" t="e">
        <f>SUMIFS(#REF!,#REF!,$C$12,#REF!,$C$26,#REF!,$C27)</f>
        <v>#REF!</v>
      </c>
      <c r="S27" s="130" t="e">
        <f>SUMIFS(#REF!,#REF!,$C$12,#REF!,$C$26,#REF!,$C27)</f>
        <v>#REF!</v>
      </c>
      <c r="T27" s="130" t="e">
        <f>SUMIFS(#REF!,#REF!,$C$12,#REF!,$C$26,#REF!,$C27)</f>
        <v>#REF!</v>
      </c>
      <c r="U27" s="130" t="e">
        <f>SUMIFS(#REF!,#REF!,$C$12,#REF!,$C$26,#REF!,$C27)</f>
        <v>#REF!</v>
      </c>
      <c r="V27" s="130" t="e">
        <f>SUMIFS(#REF!,#REF!,$C$12,#REF!,$C$26,#REF!,$C27)</f>
        <v>#REF!</v>
      </c>
      <c r="W27" s="136" t="e">
        <f>SUMIFS(#REF!,#REF!,$C$12,#REF!,$C$26,#REF!,$C27)</f>
        <v>#REF!</v>
      </c>
      <c r="X27" s="130" t="e">
        <f>SUMIFS(#REF!,#REF!,$C$12,#REF!,$C$26,#REF!,$C27)</f>
        <v>#REF!</v>
      </c>
      <c r="Y27" s="136" t="e">
        <f>SUMIFS(#REF!,#REF!,$C$12,#REF!,$C$26,#REF!,$C27)</f>
        <v>#REF!</v>
      </c>
      <c r="Z27" s="130" t="e">
        <f>SUMIFS(#REF!,#REF!,$C$12,#REF!,$C$26,#REF!,$C27)</f>
        <v>#REF!</v>
      </c>
      <c r="AA27" s="130" t="e">
        <f>SUMIFS(#REF!,#REF!,$C$12,#REF!,$C$26,#REF!,$C27)</f>
        <v>#REF!</v>
      </c>
      <c r="AB27" s="130" t="e">
        <f>SUMIFS(#REF!,#REF!,$C$12,#REF!,$C$26,#REF!,$C27)</f>
        <v>#REF!</v>
      </c>
      <c r="AC27" s="118"/>
      <c r="AD27" s="110" t="e">
        <f t="shared" ref="AD27:AJ29" si="9">+SUMIFS($E27:$AC27,$E$9:$AC$9,AD$9,$E$8:$AC$8,AD$8)</f>
        <v>#REF!</v>
      </c>
      <c r="AE27" s="110" t="e">
        <f t="shared" si="9"/>
        <v>#REF!</v>
      </c>
      <c r="AF27" s="110" t="e">
        <f t="shared" si="9"/>
        <v>#REF!</v>
      </c>
      <c r="AG27" s="110" t="e">
        <f t="shared" si="9"/>
        <v>#REF!</v>
      </c>
      <c r="AH27" s="110" t="e">
        <f t="shared" si="9"/>
        <v>#REF!</v>
      </c>
      <c r="AI27" s="110" t="e">
        <f t="shared" si="9"/>
        <v>#REF!</v>
      </c>
      <c r="AJ27" s="110" t="e">
        <f t="shared" si="9"/>
        <v>#REF!</v>
      </c>
      <c r="AK27" s="118"/>
      <c r="AL27" s="130" t="e">
        <f t="shared" ref="AL27:AM29" si="10">+SUMIF($E$8:$AC$8,AL$8,$E27:$AC27)</f>
        <v>#REF!</v>
      </c>
      <c r="AM27" s="130" t="e">
        <f t="shared" si="10"/>
        <v>#REF!</v>
      </c>
      <c r="AN27" s="113" t="e">
        <f>AM27/$AM$41</f>
        <v>#REF!</v>
      </c>
      <c r="AO27" s="130" t="e">
        <f t="shared" ref="AO27:AP29" si="11">+SUMIF($E$8:$AC$8,AO$8,$E27:$AC27)</f>
        <v>#REF!</v>
      </c>
      <c r="AP27" s="130" t="e">
        <f t="shared" si="11"/>
        <v>#REF!</v>
      </c>
    </row>
    <row r="28" spans="3:47" x14ac:dyDescent="0.45">
      <c r="C28" s="102" t="s">
        <v>880</v>
      </c>
      <c r="D28" s="75" t="s">
        <v>877</v>
      </c>
      <c r="E28" s="128" t="e">
        <f>AVERAGE(H28:AC28)</f>
        <v>#REF!</v>
      </c>
      <c r="F28" s="128" t="e">
        <f>SUM(H28:AC28)</f>
        <v>#REF!</v>
      </c>
      <c r="G28" s="128"/>
      <c r="H28" s="128" t="e">
        <f>SUMIFS(#REF!,#REF!,$C$12,#REF!,$C$26,#REF!,$C28)</f>
        <v>#REF!</v>
      </c>
      <c r="I28" s="128" t="e">
        <f>SUMIFS(#REF!,#REF!,$C$12,#REF!,$C$26,#REF!,$C28)</f>
        <v>#REF!</v>
      </c>
      <c r="J28" s="128" t="e">
        <f>SUMIFS(#REF!,#REF!,$C$12,#REF!,$C$26,#REF!,$C28)</f>
        <v>#REF!</v>
      </c>
      <c r="K28" s="128" t="e">
        <f>SUMIFS(#REF!,#REF!,$C$12,#REF!,$C$26,#REF!,$C28)</f>
        <v>#REF!</v>
      </c>
      <c r="L28" s="128" t="e">
        <f>SUMIFS(#REF!,#REF!,$C$12,#REF!,$C$26,#REF!,$C28)</f>
        <v>#REF!</v>
      </c>
      <c r="M28" s="128" t="e">
        <f>SUMIFS(#REF!,#REF!,$C$12,#REF!,$C$26,#REF!,$C28)</f>
        <v>#REF!</v>
      </c>
      <c r="N28" s="128" t="e">
        <f>SUMIFS(#REF!,#REF!,$C$12,#REF!,$C$26,#REF!,$C28)</f>
        <v>#REF!</v>
      </c>
      <c r="O28" s="128" t="e">
        <f>SUMIFS(#REF!,#REF!,$C$12,#REF!,$C$26,#REF!,$C28)</f>
        <v>#REF!</v>
      </c>
      <c r="P28" s="128" t="e">
        <f>SUMIFS(#REF!,#REF!,$C$12,#REF!,$C$26,#REF!,$C28)</f>
        <v>#REF!</v>
      </c>
      <c r="Q28" s="128" t="e">
        <f>SUMIFS(#REF!,#REF!,$C$12,#REF!,$C$26,#REF!,$C28)</f>
        <v>#REF!</v>
      </c>
      <c r="R28" s="128" t="e">
        <f>SUMIFS(#REF!,#REF!,$C$12,#REF!,$C$26,#REF!,$C28)</f>
        <v>#REF!</v>
      </c>
      <c r="S28" s="128" t="e">
        <f>SUMIFS(#REF!,#REF!,$C$12,#REF!,$C$26,#REF!,$C28)</f>
        <v>#REF!</v>
      </c>
      <c r="T28" s="128" t="e">
        <f>SUMIFS(#REF!,#REF!,$C$12,#REF!,$C$26,#REF!,$C28)</f>
        <v>#REF!</v>
      </c>
      <c r="U28" s="128" t="e">
        <f>SUMIFS(#REF!,#REF!,$C$12,#REF!,$C$26,#REF!,$C28)</f>
        <v>#REF!</v>
      </c>
      <c r="V28" s="128" t="e">
        <f>SUMIFS(#REF!,#REF!,$C$12,#REF!,$C$26,#REF!,$C28)</f>
        <v>#REF!</v>
      </c>
      <c r="W28" s="128" t="e">
        <f>SUMIFS(#REF!,#REF!,$C$12,#REF!,$C$26,#REF!,$C28)</f>
        <v>#REF!</v>
      </c>
      <c r="X28" s="128" t="e">
        <f>SUMIFS(#REF!,#REF!,$C$12,#REF!,$C$26,#REF!,$C28)</f>
        <v>#REF!</v>
      </c>
      <c r="Y28" s="146" t="e">
        <f>SUMIFS(#REF!,#REF!,$C$12,#REF!,$C$26,#REF!,$C28)</f>
        <v>#REF!</v>
      </c>
      <c r="Z28" s="128" t="e">
        <f>SUMIFS(#REF!,#REF!,$C$12,#REF!,$C$26,#REF!,$C28)</f>
        <v>#REF!</v>
      </c>
      <c r="AA28" s="128" t="e">
        <f>SUMIFS(#REF!,#REF!,$C$12,#REF!,$C$26,#REF!,$C28)</f>
        <v>#REF!</v>
      </c>
      <c r="AB28" s="128" t="e">
        <f>SUMIFS(#REF!,#REF!,$C$12,#REF!,$C$26,#REF!,$C28)</f>
        <v>#REF!</v>
      </c>
      <c r="AC28" s="118"/>
      <c r="AD28" s="70" t="e">
        <f t="shared" si="9"/>
        <v>#REF!</v>
      </c>
      <c r="AE28" s="70" t="e">
        <f t="shared" si="9"/>
        <v>#REF!</v>
      </c>
      <c r="AF28" s="70" t="e">
        <f t="shared" si="9"/>
        <v>#REF!</v>
      </c>
      <c r="AG28" s="70" t="e">
        <f t="shared" si="9"/>
        <v>#REF!</v>
      </c>
      <c r="AH28" s="70" t="e">
        <f t="shared" si="9"/>
        <v>#REF!</v>
      </c>
      <c r="AI28" s="70" t="e">
        <f t="shared" si="9"/>
        <v>#REF!</v>
      </c>
      <c r="AJ28" s="70" t="e">
        <f t="shared" si="9"/>
        <v>#REF!</v>
      </c>
      <c r="AK28" s="118"/>
      <c r="AL28" s="128" t="e">
        <f t="shared" si="10"/>
        <v>#REF!</v>
      </c>
      <c r="AM28" s="128" t="e">
        <f t="shared" si="10"/>
        <v>#REF!</v>
      </c>
      <c r="AN28" s="113" t="e">
        <f>AM28/$AM$41</f>
        <v>#REF!</v>
      </c>
      <c r="AO28" s="128" t="e">
        <f t="shared" si="11"/>
        <v>#REF!</v>
      </c>
      <c r="AP28" s="128" t="e">
        <f t="shared" si="11"/>
        <v>#REF!</v>
      </c>
    </row>
    <row r="29" spans="3:47" x14ac:dyDescent="0.45">
      <c r="C29" s="102" t="s">
        <v>502</v>
      </c>
      <c r="D29" s="75" t="s">
        <v>877</v>
      </c>
      <c r="E29" s="128" t="e">
        <f>AVERAGE(H29:AC29)</f>
        <v>#REF!</v>
      </c>
      <c r="F29" s="128" t="e">
        <f>SUM(H29:AC29)</f>
        <v>#REF!</v>
      </c>
      <c r="G29" s="128"/>
      <c r="H29" s="128" t="e">
        <f>SUMIFS(#REF!,#REF!,$C$12,#REF!,$C$26,#REF!,$C29)</f>
        <v>#REF!</v>
      </c>
      <c r="I29" s="128" t="e">
        <f>SUMIFS(#REF!,#REF!,$C$12,#REF!,$C$26,#REF!,$C29)</f>
        <v>#REF!</v>
      </c>
      <c r="J29" s="128" t="e">
        <f>SUMIFS(#REF!,#REF!,$C$12,#REF!,$C$26,#REF!,$C29)</f>
        <v>#REF!</v>
      </c>
      <c r="K29" s="128" t="e">
        <f>SUMIFS(#REF!,#REF!,$C$12,#REF!,$C$26,#REF!,$C29)</f>
        <v>#REF!</v>
      </c>
      <c r="L29" s="128" t="e">
        <f>SUMIFS(#REF!,#REF!,$C$12,#REF!,$C$26,#REF!,$C29)</f>
        <v>#REF!</v>
      </c>
      <c r="M29" s="128" t="e">
        <f>SUMIFS(#REF!,#REF!,$C$12,#REF!,$C$26,#REF!,$C29)</f>
        <v>#REF!</v>
      </c>
      <c r="N29" s="128" t="e">
        <f>SUMIFS(#REF!,#REF!,$C$12,#REF!,$C$26,#REF!,$C29)</f>
        <v>#REF!</v>
      </c>
      <c r="O29" s="128" t="e">
        <f>SUMIFS(#REF!,#REF!,$C$12,#REF!,$C$26,#REF!,$C29)</f>
        <v>#REF!</v>
      </c>
      <c r="P29" s="128" t="e">
        <f>SUMIFS(#REF!,#REF!,$C$12,#REF!,$C$26,#REF!,$C29)</f>
        <v>#REF!</v>
      </c>
      <c r="Q29" s="128" t="e">
        <f>SUMIFS(#REF!,#REF!,$C$12,#REF!,$C$26,#REF!,$C29)</f>
        <v>#REF!</v>
      </c>
      <c r="R29" s="128" t="e">
        <f>SUMIFS(#REF!,#REF!,$C$12,#REF!,$C$26,#REF!,$C29)</f>
        <v>#REF!</v>
      </c>
      <c r="S29" s="128" t="e">
        <f>SUMIFS(#REF!,#REF!,$C$12,#REF!,$C$26,#REF!,$C29)</f>
        <v>#REF!</v>
      </c>
      <c r="T29" s="128" t="e">
        <f>SUMIFS(#REF!,#REF!,$C$12,#REF!,$C$26,#REF!,$C29)</f>
        <v>#REF!</v>
      </c>
      <c r="U29" s="128" t="e">
        <f>SUMIFS(#REF!,#REF!,$C$12,#REF!,$C$26,#REF!,$C29)</f>
        <v>#REF!</v>
      </c>
      <c r="V29" s="128" t="e">
        <f>SUMIFS(#REF!,#REF!,$C$12,#REF!,$C$26,#REF!,$C29)</f>
        <v>#REF!</v>
      </c>
      <c r="W29" s="128" t="e">
        <f>SUMIFS(#REF!,#REF!,$C$12,#REF!,$C$26,#REF!,$C29)</f>
        <v>#REF!</v>
      </c>
      <c r="X29" s="128" t="e">
        <f>SUMIFS(#REF!,#REF!,$C$12,#REF!,$C$26,#REF!,$C29)</f>
        <v>#REF!</v>
      </c>
      <c r="Y29" s="128" t="e">
        <f>SUMIFS(#REF!,#REF!,$C$12,#REF!,$C$26,#REF!,$C29)</f>
        <v>#REF!</v>
      </c>
      <c r="Z29" s="128" t="e">
        <f>SUMIFS(#REF!,#REF!,$C$12,#REF!,$C$26,#REF!,$C29)</f>
        <v>#REF!</v>
      </c>
      <c r="AA29" s="128" t="e">
        <f>SUMIFS(#REF!,#REF!,$C$12,#REF!,$C$26,#REF!,$C29)</f>
        <v>#REF!</v>
      </c>
      <c r="AB29" s="128" t="e">
        <f>SUMIFS(#REF!,#REF!,$C$12,#REF!,$C$26,#REF!,$C29)</f>
        <v>#REF!</v>
      </c>
      <c r="AC29" s="118"/>
      <c r="AD29" s="70" t="e">
        <f t="shared" si="9"/>
        <v>#REF!</v>
      </c>
      <c r="AE29" s="70" t="e">
        <f t="shared" si="9"/>
        <v>#REF!</v>
      </c>
      <c r="AF29" s="70" t="e">
        <f t="shared" si="9"/>
        <v>#REF!</v>
      </c>
      <c r="AG29" s="70" t="e">
        <f t="shared" si="9"/>
        <v>#REF!</v>
      </c>
      <c r="AH29" s="70" t="e">
        <f t="shared" si="9"/>
        <v>#REF!</v>
      </c>
      <c r="AI29" s="70" t="e">
        <f t="shared" si="9"/>
        <v>#REF!</v>
      </c>
      <c r="AJ29" s="70" t="e">
        <f t="shared" si="9"/>
        <v>#REF!</v>
      </c>
      <c r="AK29" s="118"/>
      <c r="AL29" s="128" t="e">
        <f t="shared" si="10"/>
        <v>#REF!</v>
      </c>
      <c r="AM29" s="128" t="e">
        <f t="shared" si="10"/>
        <v>#REF!</v>
      </c>
      <c r="AN29" s="113" t="e">
        <f>AM29/$AM$41</f>
        <v>#REF!</v>
      </c>
      <c r="AO29" s="128" t="e">
        <f t="shared" si="11"/>
        <v>#REF!</v>
      </c>
      <c r="AP29" s="128" t="e">
        <f t="shared" si="11"/>
        <v>#REF!</v>
      </c>
      <c r="AR29" s="107"/>
      <c r="AS29" s="107"/>
      <c r="AT29" s="107"/>
      <c r="AU29" s="107"/>
    </row>
    <row r="30" spans="3:47" s="107" customFormat="1" x14ac:dyDescent="0.45">
      <c r="C30" s="49" t="s">
        <v>885</v>
      </c>
      <c r="D30" s="124" t="s">
        <v>877</v>
      </c>
      <c r="E30" s="120" t="e">
        <f>AVERAGE(H30:AC30)</f>
        <v>#REF!</v>
      </c>
      <c r="F30" s="120" t="e">
        <f>SUM(H30:AC30)</f>
        <v>#REF!</v>
      </c>
      <c r="G30" s="123"/>
      <c r="H30" s="120" t="e">
        <f t="shared" ref="H30:AB30" si="12">SUM(H27:H29)</f>
        <v>#REF!</v>
      </c>
      <c r="I30" s="120" t="e">
        <f t="shared" si="12"/>
        <v>#REF!</v>
      </c>
      <c r="J30" s="120" t="e">
        <f t="shared" si="12"/>
        <v>#REF!</v>
      </c>
      <c r="K30" s="120" t="e">
        <f t="shared" si="12"/>
        <v>#REF!</v>
      </c>
      <c r="L30" s="120" t="e">
        <f t="shared" si="12"/>
        <v>#REF!</v>
      </c>
      <c r="M30" s="120" t="e">
        <f t="shared" si="12"/>
        <v>#REF!</v>
      </c>
      <c r="N30" s="120" t="e">
        <f t="shared" si="12"/>
        <v>#REF!</v>
      </c>
      <c r="O30" s="120" t="e">
        <f t="shared" si="12"/>
        <v>#REF!</v>
      </c>
      <c r="P30" s="120" t="e">
        <f t="shared" si="12"/>
        <v>#REF!</v>
      </c>
      <c r="Q30" s="120" t="e">
        <f t="shared" si="12"/>
        <v>#REF!</v>
      </c>
      <c r="R30" s="120" t="e">
        <f t="shared" si="12"/>
        <v>#REF!</v>
      </c>
      <c r="S30" s="120" t="e">
        <f t="shared" si="12"/>
        <v>#REF!</v>
      </c>
      <c r="T30" s="120" t="e">
        <f t="shared" si="12"/>
        <v>#REF!</v>
      </c>
      <c r="U30" s="120" t="e">
        <f t="shared" si="12"/>
        <v>#REF!</v>
      </c>
      <c r="V30" s="120" t="e">
        <f t="shared" si="12"/>
        <v>#REF!</v>
      </c>
      <c r="W30" s="120" t="e">
        <f t="shared" si="12"/>
        <v>#REF!</v>
      </c>
      <c r="X30" s="120" t="e">
        <f t="shared" si="12"/>
        <v>#REF!</v>
      </c>
      <c r="Y30" s="120" t="e">
        <f t="shared" si="12"/>
        <v>#REF!</v>
      </c>
      <c r="Z30" s="120" t="e">
        <f t="shared" si="12"/>
        <v>#REF!</v>
      </c>
      <c r="AA30" s="120" t="e">
        <f t="shared" si="12"/>
        <v>#REF!</v>
      </c>
      <c r="AB30" s="120" t="e">
        <f t="shared" si="12"/>
        <v>#REF!</v>
      </c>
      <c r="AC30" s="118"/>
      <c r="AD30" s="122" t="e">
        <f t="shared" ref="AD30:AJ30" si="13">SUM(AD27:AD29)</f>
        <v>#REF!</v>
      </c>
      <c r="AE30" s="122" t="e">
        <f t="shared" si="13"/>
        <v>#REF!</v>
      </c>
      <c r="AF30" s="122" t="e">
        <f t="shared" si="13"/>
        <v>#REF!</v>
      </c>
      <c r="AG30" s="122" t="e">
        <f t="shared" si="13"/>
        <v>#REF!</v>
      </c>
      <c r="AH30" s="122" t="e">
        <f t="shared" si="13"/>
        <v>#REF!</v>
      </c>
      <c r="AI30" s="122" t="e">
        <f t="shared" si="13"/>
        <v>#REF!</v>
      </c>
      <c r="AJ30" s="122" t="e">
        <f t="shared" si="13"/>
        <v>#REF!</v>
      </c>
      <c r="AK30" s="121"/>
      <c r="AL30" s="120" t="e">
        <f>SUM(AL27:AL29)</f>
        <v>#REF!</v>
      </c>
      <c r="AM30" s="120" t="e">
        <f>SUM(AM27:AM29)</f>
        <v>#REF!</v>
      </c>
      <c r="AN30" s="121"/>
      <c r="AO30" s="120" t="e">
        <f>SUM(AO27:AO29)</f>
        <v>#REF!</v>
      </c>
      <c r="AP30" s="120" t="e">
        <f>SUM(AP27:AP29)</f>
        <v>#REF!</v>
      </c>
    </row>
    <row r="31" spans="3:47" s="107" customFormat="1" x14ac:dyDescent="0.45">
      <c r="C31" s="158"/>
      <c r="D31" s="157" t="s">
        <v>877</v>
      </c>
      <c r="E31" s="154"/>
      <c r="F31" s="154"/>
      <c r="G31" s="154"/>
      <c r="H31" s="156"/>
      <c r="I31" s="156"/>
      <c r="J31" s="156"/>
      <c r="K31" s="156"/>
      <c r="L31" s="156"/>
      <c r="M31" s="156"/>
      <c r="N31" s="156"/>
      <c r="O31" s="156"/>
      <c r="P31" s="156"/>
      <c r="Q31" s="156"/>
      <c r="R31" s="156"/>
      <c r="S31" s="156"/>
      <c r="T31" s="156"/>
      <c r="U31" s="156"/>
      <c r="V31" s="156"/>
      <c r="W31" s="156"/>
      <c r="X31" s="156"/>
      <c r="Y31" s="156"/>
      <c r="Z31" s="156"/>
      <c r="AA31" s="156"/>
      <c r="AB31" s="156"/>
      <c r="AC31" s="121"/>
      <c r="AD31" s="155"/>
      <c r="AE31" s="155"/>
      <c r="AF31" s="155"/>
      <c r="AG31" s="155"/>
      <c r="AH31" s="155"/>
      <c r="AI31" s="155"/>
      <c r="AJ31" s="155"/>
      <c r="AK31" s="121"/>
      <c r="AL31" s="154"/>
      <c r="AM31" s="154"/>
      <c r="AN31" s="121"/>
      <c r="AO31" s="154"/>
      <c r="AP31" s="154"/>
      <c r="AR31" s="46"/>
      <c r="AS31" s="46"/>
      <c r="AT31" s="46"/>
      <c r="AU31" s="46"/>
    </row>
    <row r="32" spans="3:47" x14ac:dyDescent="0.45">
      <c r="C32" s="68" t="s">
        <v>499</v>
      </c>
      <c r="E32" s="118"/>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99"/>
      <c r="AE32" s="99"/>
      <c r="AF32" s="99"/>
      <c r="AG32" s="99"/>
      <c r="AH32" s="99"/>
      <c r="AI32" s="99"/>
      <c r="AJ32" s="99"/>
      <c r="AK32" s="118"/>
      <c r="AL32" s="125"/>
      <c r="AM32" s="125"/>
      <c r="AN32" s="118"/>
      <c r="AO32" s="125"/>
      <c r="AP32" s="125"/>
      <c r="AR32" s="152"/>
      <c r="AS32" s="152"/>
      <c r="AT32" s="152"/>
      <c r="AU32" s="152"/>
    </row>
    <row r="33" spans="3:48" s="152" customFormat="1" ht="13.5" customHeight="1" x14ac:dyDescent="0.45">
      <c r="C33" s="106" t="s">
        <v>498</v>
      </c>
      <c r="D33" s="105" t="s">
        <v>877</v>
      </c>
      <c r="E33" s="130" t="e">
        <f t="shared" ref="E33:E39" si="14">AVERAGE(H33:AC33)</f>
        <v>#REF!</v>
      </c>
      <c r="F33" s="130" t="e">
        <f t="shared" ref="F33:F39" si="15">SUM(H33:AC33)</f>
        <v>#REF!</v>
      </c>
      <c r="G33" s="130"/>
      <c r="H33" s="130" t="e">
        <f>SUMIFS(#REF!,#REF!,$C$12,#REF!,$C$32,#REF!,$C33)</f>
        <v>#REF!</v>
      </c>
      <c r="I33" s="130" t="e">
        <f>SUMIFS(#REF!,#REF!,$C$12,#REF!,$C$32,#REF!,$C33)</f>
        <v>#REF!</v>
      </c>
      <c r="J33" s="130" t="e">
        <f>SUMIFS(#REF!,#REF!,$C$12,#REF!,$C$32,#REF!,$C33)</f>
        <v>#REF!</v>
      </c>
      <c r="K33" s="130" t="e">
        <f>SUMIFS(#REF!,#REF!,$C$12,#REF!,$C$32,#REF!,$C33)</f>
        <v>#REF!</v>
      </c>
      <c r="L33" s="130" t="e">
        <f>SUMIFS(#REF!,#REF!,$C$12,#REF!,$C$32,#REF!,$C33)</f>
        <v>#REF!</v>
      </c>
      <c r="M33" s="130" t="e">
        <f>SUMIFS(#REF!,#REF!,$C$12,#REF!,$C$32,#REF!,$C33)</f>
        <v>#REF!</v>
      </c>
      <c r="N33" s="130" t="e">
        <f>SUMIFS(#REF!,#REF!,$C$12,#REF!,$C$32,#REF!,$C33)</f>
        <v>#REF!</v>
      </c>
      <c r="O33" s="130" t="e">
        <f>SUMIFS(#REF!,#REF!,$C$12,#REF!,$C$32,#REF!,$C33)</f>
        <v>#REF!</v>
      </c>
      <c r="P33" s="130" t="e">
        <f>SUMIFS(#REF!,#REF!,$C$12,#REF!,$C$32,#REF!,$C33)</f>
        <v>#REF!</v>
      </c>
      <c r="Q33" s="130" t="e">
        <f>SUMIFS(#REF!,#REF!,$C$12,#REF!,$C$32,#REF!,$C33)</f>
        <v>#REF!</v>
      </c>
      <c r="R33" s="130" t="e">
        <f>SUMIFS(#REF!,#REF!,$C$12,#REF!,$C$32,#REF!,$C33)</f>
        <v>#REF!</v>
      </c>
      <c r="S33" s="130" t="e">
        <f>SUMIFS(#REF!,#REF!,$C$12,#REF!,$C$32,#REF!,$C33)</f>
        <v>#REF!</v>
      </c>
      <c r="T33" s="130" t="e">
        <f>SUMIFS(#REF!,#REF!,$C$12,#REF!,$C$32,#REF!,$C33)</f>
        <v>#REF!</v>
      </c>
      <c r="U33" s="130" t="e">
        <f>SUMIFS(#REF!,#REF!,$C$12,#REF!,$C$32,#REF!,$C33)</f>
        <v>#REF!</v>
      </c>
      <c r="V33" s="130" t="e">
        <f>SUMIFS(#REF!,#REF!,$C$12,#REF!,$C$32,#REF!,$C33)</f>
        <v>#REF!</v>
      </c>
      <c r="W33" s="130" t="e">
        <f>SUMIFS(#REF!,#REF!,$C$12,#REF!,$C$32,#REF!,$C33)</f>
        <v>#REF!</v>
      </c>
      <c r="X33" s="130" t="e">
        <f>SUMIFS(#REF!,#REF!,$C$12,#REF!,$C$32,#REF!,$C33)</f>
        <v>#REF!</v>
      </c>
      <c r="Y33" s="130" t="e">
        <f>SUMIFS(#REF!,#REF!,$C$12,#REF!,$C$32,#REF!,$C33)</f>
        <v>#REF!</v>
      </c>
      <c r="Z33" s="130" t="e">
        <f>SUMIFS(#REF!,#REF!,$C$12,#REF!,$C$32,#REF!,$C33)</f>
        <v>#REF!</v>
      </c>
      <c r="AA33" s="130" t="e">
        <f>SUMIFS(#REF!,#REF!,$C$12,#REF!,$C$32,#REF!,$C33)</f>
        <v>#REF!</v>
      </c>
      <c r="AB33" s="130" t="e">
        <f>SUMIFS(#REF!,#REF!,$C$12,#REF!,$C$32,#REF!,$C33)</f>
        <v>#REF!</v>
      </c>
      <c r="AC33" s="153"/>
      <c r="AD33" s="110" t="e">
        <f t="shared" ref="AD33:AJ38" si="16">+SUMIFS($E33:$AC33,$E$9:$AC$9,AD$9,$E$8:$AC$8,AD$8)</f>
        <v>#REF!</v>
      </c>
      <c r="AE33" s="110" t="e">
        <f t="shared" si="16"/>
        <v>#REF!</v>
      </c>
      <c r="AF33" s="110" t="e">
        <f t="shared" si="16"/>
        <v>#REF!</v>
      </c>
      <c r="AG33" s="110" t="e">
        <f t="shared" si="16"/>
        <v>#REF!</v>
      </c>
      <c r="AH33" s="110" t="e">
        <f t="shared" si="16"/>
        <v>#REF!</v>
      </c>
      <c r="AI33" s="110" t="e">
        <f t="shared" si="16"/>
        <v>#REF!</v>
      </c>
      <c r="AJ33" s="110" t="e">
        <f t="shared" si="16"/>
        <v>#REF!</v>
      </c>
      <c r="AK33" s="153"/>
      <c r="AL33" s="130" t="e">
        <f t="shared" ref="AL33:AM38" si="17">+SUMIF($E$8:$AC$8,AL$8,$E33:$AC33)</f>
        <v>#REF!</v>
      </c>
      <c r="AM33" s="130" t="e">
        <f t="shared" si="17"/>
        <v>#REF!</v>
      </c>
      <c r="AN33" s="113" t="e">
        <f t="shared" ref="AN33:AN38" si="18">AM33/$AM$41</f>
        <v>#REF!</v>
      </c>
      <c r="AO33" s="130" t="e">
        <f t="shared" ref="AO33:AP38" si="19">+SUMIF($E$8:$AC$8,AO$8,$E33:$AC33)</f>
        <v>#REF!</v>
      </c>
      <c r="AP33" s="130" t="e">
        <f t="shared" si="19"/>
        <v>#REF!</v>
      </c>
      <c r="AR33" s="46"/>
      <c r="AS33" s="46"/>
      <c r="AT33" s="46"/>
      <c r="AU33" s="46"/>
    </row>
    <row r="34" spans="3:48" x14ac:dyDescent="0.45">
      <c r="C34" s="102" t="s">
        <v>879</v>
      </c>
      <c r="D34" s="75" t="s">
        <v>877</v>
      </c>
      <c r="E34" s="128" t="e">
        <f t="shared" si="14"/>
        <v>#REF!</v>
      </c>
      <c r="F34" s="128" t="e">
        <f t="shared" si="15"/>
        <v>#REF!</v>
      </c>
      <c r="G34" s="128"/>
      <c r="H34" s="128" t="e">
        <f>SUMIFS(#REF!,#REF!,$C$12,#REF!,$C$32,#REF!,$C34)</f>
        <v>#REF!</v>
      </c>
      <c r="I34" s="128" t="e">
        <f>SUMIFS(#REF!,#REF!,$C$12,#REF!,$C$32,#REF!,$C34)</f>
        <v>#REF!</v>
      </c>
      <c r="J34" s="128" t="e">
        <f>SUMIFS(#REF!,#REF!,$C$12,#REF!,$C$32,#REF!,$C34)</f>
        <v>#REF!</v>
      </c>
      <c r="K34" s="128" t="e">
        <f>SUMIFS(#REF!,#REF!,$C$12,#REF!,$C$32,#REF!,$C34)</f>
        <v>#REF!</v>
      </c>
      <c r="L34" s="128" t="e">
        <f>SUMIFS(#REF!,#REF!,$C$12,#REF!,$C$32,#REF!,$C34)</f>
        <v>#REF!</v>
      </c>
      <c r="M34" s="128" t="e">
        <f>SUMIFS(#REF!,#REF!,$C$12,#REF!,$C$32,#REF!,$C34)</f>
        <v>#REF!</v>
      </c>
      <c r="N34" s="146" t="e">
        <f>SUMIFS(#REF!,#REF!,$C$12,#REF!,$C$32,#REF!,$C34)</f>
        <v>#REF!</v>
      </c>
      <c r="O34" s="146" t="e">
        <f>SUMIFS(#REF!,#REF!,$C$12,#REF!,$C$32,#REF!,$C34)</f>
        <v>#REF!</v>
      </c>
      <c r="P34" s="128" t="e">
        <f>SUMIFS(#REF!,#REF!,$C$12,#REF!,$C$32,#REF!,$C34)</f>
        <v>#REF!</v>
      </c>
      <c r="Q34" s="128" t="e">
        <f>SUMIFS(#REF!,#REF!,$C$12,#REF!,$C$32,#REF!,$C34)</f>
        <v>#REF!</v>
      </c>
      <c r="R34" s="128" t="e">
        <f>SUMIFS(#REF!,#REF!,$C$12,#REF!,$C$32,#REF!,$C34)</f>
        <v>#REF!</v>
      </c>
      <c r="S34" s="128" t="e">
        <f>SUMIFS(#REF!,#REF!,$C$12,#REF!,$C$32,#REF!,$C34)</f>
        <v>#REF!</v>
      </c>
      <c r="T34" s="128" t="e">
        <f>SUMIFS(#REF!,#REF!,$C$12,#REF!,$C$32,#REF!,$C34)</f>
        <v>#REF!</v>
      </c>
      <c r="U34" s="128" t="e">
        <f>SUMIFS(#REF!,#REF!,$C$12,#REF!,$C$32,#REF!,$C34)</f>
        <v>#REF!</v>
      </c>
      <c r="V34" s="128" t="e">
        <f>SUMIFS(#REF!,#REF!,$C$12,#REF!,$C$32,#REF!,$C34)</f>
        <v>#REF!</v>
      </c>
      <c r="W34" s="128" t="e">
        <f>SUMIFS(#REF!,#REF!,$C$12,#REF!,$C$32,#REF!,$C34)</f>
        <v>#REF!</v>
      </c>
      <c r="X34" s="128" t="e">
        <f>SUMIFS(#REF!,#REF!,$C$12,#REF!,$C$32,#REF!,$C34)</f>
        <v>#REF!</v>
      </c>
      <c r="Y34" s="128" t="e">
        <f>SUMIFS(#REF!,#REF!,$C$12,#REF!,$C$32,#REF!,$C34)</f>
        <v>#REF!</v>
      </c>
      <c r="Z34" s="128" t="e">
        <f>SUMIFS(#REF!,#REF!,$C$12,#REF!,$C$32,#REF!,$C34)</f>
        <v>#REF!</v>
      </c>
      <c r="AA34" s="128" t="e">
        <f>SUMIFS(#REF!,#REF!,$C$12,#REF!,$C$32,#REF!,$C34)</f>
        <v>#REF!</v>
      </c>
      <c r="AB34" s="128" t="e">
        <f>SUMIFS(#REF!,#REF!,$C$12,#REF!,$C$32,#REF!,$C34)</f>
        <v>#REF!</v>
      </c>
      <c r="AC34" s="118"/>
      <c r="AD34" s="70" t="e">
        <f t="shared" si="16"/>
        <v>#REF!</v>
      </c>
      <c r="AE34" s="70" t="e">
        <f t="shared" si="16"/>
        <v>#REF!</v>
      </c>
      <c r="AF34" s="70" t="e">
        <f t="shared" si="16"/>
        <v>#REF!</v>
      </c>
      <c r="AG34" s="70" t="e">
        <f t="shared" si="16"/>
        <v>#REF!</v>
      </c>
      <c r="AH34" s="70" t="e">
        <f t="shared" si="16"/>
        <v>#REF!</v>
      </c>
      <c r="AI34" s="70" t="e">
        <f t="shared" si="16"/>
        <v>#REF!</v>
      </c>
      <c r="AJ34" s="70" t="e">
        <f t="shared" si="16"/>
        <v>#REF!</v>
      </c>
      <c r="AK34" s="118"/>
      <c r="AL34" s="128" t="e">
        <f t="shared" si="17"/>
        <v>#REF!</v>
      </c>
      <c r="AM34" s="128" t="e">
        <f t="shared" si="17"/>
        <v>#REF!</v>
      </c>
      <c r="AN34" s="113" t="e">
        <f t="shared" si="18"/>
        <v>#REF!</v>
      </c>
      <c r="AO34" s="128" t="e">
        <f t="shared" si="19"/>
        <v>#REF!</v>
      </c>
      <c r="AP34" s="128" t="e">
        <f t="shared" si="19"/>
        <v>#REF!</v>
      </c>
    </row>
    <row r="35" spans="3:48" x14ac:dyDescent="0.45">
      <c r="C35" s="102" t="s">
        <v>880</v>
      </c>
      <c r="D35" s="75" t="s">
        <v>877</v>
      </c>
      <c r="E35" s="128" t="e">
        <f t="shared" si="14"/>
        <v>#REF!</v>
      </c>
      <c r="F35" s="128" t="e">
        <f t="shared" si="15"/>
        <v>#REF!</v>
      </c>
      <c r="G35" s="151"/>
      <c r="H35" s="128" t="e">
        <f>SUMIFS(#REF!,#REF!,$C$12,#REF!,$C$32,#REF!,$C35)</f>
        <v>#REF!</v>
      </c>
      <c r="I35" s="128" t="e">
        <f>SUMIFS(#REF!,#REF!,$C$12,#REF!,$C$32,#REF!,$C35)</f>
        <v>#REF!</v>
      </c>
      <c r="J35" s="128" t="e">
        <f>SUMIFS(#REF!,#REF!,$C$12,#REF!,$C$32,#REF!,$C35)</f>
        <v>#REF!</v>
      </c>
      <c r="K35" s="128" t="e">
        <f>SUMIFS(#REF!,#REF!,$C$12,#REF!,$C$32,#REF!,$C35)</f>
        <v>#REF!</v>
      </c>
      <c r="L35" s="128" t="e">
        <f>SUMIFS(#REF!,#REF!,$C$12,#REF!,$C$32,#REF!,$C35)</f>
        <v>#REF!</v>
      </c>
      <c r="M35" s="128" t="e">
        <f>SUMIFS(#REF!,#REF!,$C$12,#REF!,$C$32,#REF!,$C35)</f>
        <v>#REF!</v>
      </c>
      <c r="N35" s="128" t="e">
        <f>SUMIFS(#REF!,#REF!,$C$12,#REF!,$C$32,#REF!,$C35)</f>
        <v>#REF!</v>
      </c>
      <c r="O35" s="128" t="e">
        <f>SUMIFS(#REF!,#REF!,$C$12,#REF!,$C$32,#REF!,$C35)</f>
        <v>#REF!</v>
      </c>
      <c r="P35" s="128" t="e">
        <f>SUMIFS(#REF!,#REF!,$C$12,#REF!,$C$32,#REF!,$C35)</f>
        <v>#REF!</v>
      </c>
      <c r="Q35" s="128" t="e">
        <f>SUMIFS(#REF!,#REF!,$C$12,#REF!,$C$32,#REF!,$C35)</f>
        <v>#REF!</v>
      </c>
      <c r="R35" s="128" t="e">
        <f>SUMIFS(#REF!,#REF!,$C$12,#REF!,$C$32,#REF!,$C35)</f>
        <v>#REF!</v>
      </c>
      <c r="S35" s="128" t="e">
        <f>SUMIFS(#REF!,#REF!,$C$12,#REF!,$C$32,#REF!,$C35)</f>
        <v>#REF!</v>
      </c>
      <c r="T35" s="128" t="e">
        <f>SUMIFS(#REF!,#REF!,$C$12,#REF!,$C$32,#REF!,$C35)</f>
        <v>#REF!</v>
      </c>
      <c r="U35" s="128" t="e">
        <f>SUMIFS(#REF!,#REF!,$C$12,#REF!,$C$32,#REF!,$C35)</f>
        <v>#REF!</v>
      </c>
      <c r="V35" s="128" t="e">
        <f>SUMIFS(#REF!,#REF!,$C$12,#REF!,$C$32,#REF!,$C35)</f>
        <v>#REF!</v>
      </c>
      <c r="W35" s="128" t="e">
        <f>SUMIFS(#REF!,#REF!,$C$12,#REF!,$C$32,#REF!,$C35)</f>
        <v>#REF!</v>
      </c>
      <c r="X35" s="128" t="e">
        <f>SUMIFS(#REF!,#REF!,$C$12,#REF!,$C$32,#REF!,$C35)</f>
        <v>#REF!</v>
      </c>
      <c r="Y35" s="128" t="e">
        <f>SUMIFS(#REF!,#REF!,$C$12,#REF!,$C$32,#REF!,$C35)</f>
        <v>#REF!</v>
      </c>
      <c r="Z35" s="128" t="e">
        <f>SUMIFS(#REF!,#REF!,$C$12,#REF!,$C$32,#REF!,$C35)</f>
        <v>#REF!</v>
      </c>
      <c r="AA35" s="128" t="e">
        <f>SUMIFS(#REF!,#REF!,$C$12,#REF!,$C$32,#REF!,$C35)</f>
        <v>#REF!</v>
      </c>
      <c r="AB35" s="128" t="e">
        <f>SUMIFS(#REF!,#REF!,$C$12,#REF!,$C$32,#REF!,$C35)</f>
        <v>#REF!</v>
      </c>
      <c r="AC35" s="118"/>
      <c r="AD35" s="70" t="e">
        <f t="shared" si="16"/>
        <v>#REF!</v>
      </c>
      <c r="AE35" s="70" t="e">
        <f t="shared" si="16"/>
        <v>#REF!</v>
      </c>
      <c r="AF35" s="70" t="e">
        <f t="shared" si="16"/>
        <v>#REF!</v>
      </c>
      <c r="AG35" s="70" t="e">
        <f t="shared" si="16"/>
        <v>#REF!</v>
      </c>
      <c r="AH35" s="70" t="e">
        <f t="shared" si="16"/>
        <v>#REF!</v>
      </c>
      <c r="AI35" s="70" t="e">
        <f t="shared" si="16"/>
        <v>#REF!</v>
      </c>
      <c r="AJ35" s="70" t="e">
        <f t="shared" si="16"/>
        <v>#REF!</v>
      </c>
      <c r="AK35" s="118"/>
      <c r="AL35" s="128" t="e">
        <f t="shared" si="17"/>
        <v>#REF!</v>
      </c>
      <c r="AM35" s="128" t="e">
        <f t="shared" si="17"/>
        <v>#REF!</v>
      </c>
      <c r="AN35" s="113" t="e">
        <f t="shared" si="18"/>
        <v>#REF!</v>
      </c>
      <c r="AO35" s="128" t="e">
        <f t="shared" si="19"/>
        <v>#REF!</v>
      </c>
      <c r="AP35" s="128" t="e">
        <f t="shared" si="19"/>
        <v>#REF!</v>
      </c>
    </row>
    <row r="36" spans="3:48" x14ac:dyDescent="0.45">
      <c r="C36" s="102" t="s">
        <v>535</v>
      </c>
      <c r="D36" s="75" t="s">
        <v>877</v>
      </c>
      <c r="E36" s="128" t="e">
        <f t="shared" si="14"/>
        <v>#REF!</v>
      </c>
      <c r="F36" s="128" t="e">
        <f t="shared" si="15"/>
        <v>#REF!</v>
      </c>
      <c r="G36" s="128"/>
      <c r="H36" s="128" t="e">
        <f>SUMIFS(#REF!,#REF!,$C$12,#REF!,$C$32,#REF!,$C36)</f>
        <v>#REF!</v>
      </c>
      <c r="I36" s="128" t="e">
        <f>SUMIFS(#REF!,#REF!,$C$12,#REF!,$C$32,#REF!,$C36)</f>
        <v>#REF!</v>
      </c>
      <c r="J36" s="128" t="e">
        <f>SUMIFS(#REF!,#REF!,$C$12,#REF!,$C$32,#REF!,$C36)</f>
        <v>#REF!</v>
      </c>
      <c r="K36" s="128" t="e">
        <f>SUMIFS(#REF!,#REF!,$C$12,#REF!,$C$32,#REF!,$C36)</f>
        <v>#REF!</v>
      </c>
      <c r="L36" s="128" t="e">
        <f>SUMIFS(#REF!,#REF!,$C$12,#REF!,$C$32,#REF!,$C36)</f>
        <v>#REF!</v>
      </c>
      <c r="M36" s="128" t="e">
        <f>SUMIFS(#REF!,#REF!,$C$12,#REF!,$C$32,#REF!,$C36)</f>
        <v>#REF!</v>
      </c>
      <c r="N36" s="128" t="e">
        <f>SUMIFS(#REF!,#REF!,$C$12,#REF!,$C$32,#REF!,$C36)</f>
        <v>#REF!</v>
      </c>
      <c r="O36" s="128" t="e">
        <f>SUMIFS(#REF!,#REF!,$C$12,#REF!,$C$32,#REF!,$C36)</f>
        <v>#REF!</v>
      </c>
      <c r="P36" s="128" t="e">
        <f>SUMIFS(#REF!,#REF!,$C$12,#REF!,$C$32,#REF!,$C36)</f>
        <v>#REF!</v>
      </c>
      <c r="Q36" s="128" t="e">
        <f>SUMIFS(#REF!,#REF!,$C$12,#REF!,$C$32,#REF!,$C36)</f>
        <v>#REF!</v>
      </c>
      <c r="R36" s="128" t="e">
        <f>SUMIFS(#REF!,#REF!,$C$12,#REF!,$C$32,#REF!,$C36)</f>
        <v>#REF!</v>
      </c>
      <c r="S36" s="128" t="e">
        <f>SUMIFS(#REF!,#REF!,$C$12,#REF!,$C$32,#REF!,$C36)</f>
        <v>#REF!</v>
      </c>
      <c r="T36" s="128" t="e">
        <f>SUMIFS(#REF!,#REF!,$C$12,#REF!,$C$32,#REF!,$C36)</f>
        <v>#REF!</v>
      </c>
      <c r="U36" s="128" t="e">
        <f>SUMIFS(#REF!,#REF!,$C$12,#REF!,$C$32,#REF!,$C36)</f>
        <v>#REF!</v>
      </c>
      <c r="V36" s="128" t="e">
        <f>SUMIFS(#REF!,#REF!,$C$12,#REF!,$C$32,#REF!,$C36)</f>
        <v>#REF!</v>
      </c>
      <c r="W36" s="128" t="e">
        <f>SUMIFS(#REF!,#REF!,$C$12,#REF!,$C$32,#REF!,$C36)</f>
        <v>#REF!</v>
      </c>
      <c r="X36" s="128" t="e">
        <f>SUMIFS(#REF!,#REF!,$C$12,#REF!,$C$32,#REF!,$C36)</f>
        <v>#REF!</v>
      </c>
      <c r="Y36" s="128" t="e">
        <f>SUMIFS(#REF!,#REF!,$C$12,#REF!,$C$32,#REF!,$C36)</f>
        <v>#REF!</v>
      </c>
      <c r="Z36" s="128" t="e">
        <f>SUMIFS(#REF!,#REF!,$C$12,#REF!,$C$32,#REF!,$C36)</f>
        <v>#REF!</v>
      </c>
      <c r="AA36" s="128" t="e">
        <f>SUMIFS(#REF!,#REF!,$C$12,#REF!,$C$32,#REF!,$C36)</f>
        <v>#REF!</v>
      </c>
      <c r="AB36" s="128" t="e">
        <f>SUMIFS(#REF!,#REF!,$C$12,#REF!,$C$32,#REF!,$C36)</f>
        <v>#REF!</v>
      </c>
      <c r="AC36" s="118"/>
      <c r="AD36" s="70" t="e">
        <f t="shared" si="16"/>
        <v>#REF!</v>
      </c>
      <c r="AE36" s="70" t="e">
        <f t="shared" si="16"/>
        <v>#REF!</v>
      </c>
      <c r="AF36" s="70" t="e">
        <f t="shared" si="16"/>
        <v>#REF!</v>
      </c>
      <c r="AG36" s="70" t="e">
        <f t="shared" si="16"/>
        <v>#REF!</v>
      </c>
      <c r="AH36" s="70" t="e">
        <f t="shared" si="16"/>
        <v>#REF!</v>
      </c>
      <c r="AI36" s="70" t="e">
        <f t="shared" si="16"/>
        <v>#REF!</v>
      </c>
      <c r="AJ36" s="70" t="e">
        <f t="shared" si="16"/>
        <v>#REF!</v>
      </c>
      <c r="AK36" s="118"/>
      <c r="AL36" s="128" t="e">
        <f t="shared" si="17"/>
        <v>#REF!</v>
      </c>
      <c r="AM36" s="128" t="e">
        <f t="shared" si="17"/>
        <v>#REF!</v>
      </c>
      <c r="AN36" s="113" t="e">
        <f t="shared" si="18"/>
        <v>#REF!</v>
      </c>
      <c r="AO36" s="128" t="e">
        <f t="shared" si="19"/>
        <v>#REF!</v>
      </c>
      <c r="AP36" s="128" t="e">
        <f t="shared" si="19"/>
        <v>#REF!</v>
      </c>
    </row>
    <row r="37" spans="3:48" x14ac:dyDescent="0.45">
      <c r="C37" s="102" t="s">
        <v>492</v>
      </c>
      <c r="D37" s="75" t="s">
        <v>877</v>
      </c>
      <c r="E37" s="128" t="e">
        <f t="shared" si="14"/>
        <v>#REF!</v>
      </c>
      <c r="F37" s="128" t="e">
        <f t="shared" si="15"/>
        <v>#REF!</v>
      </c>
      <c r="G37" s="151"/>
      <c r="H37" s="128" t="e">
        <f>SUMIFS(#REF!,#REF!,$C$12,#REF!,$C$32,#REF!,$C37)</f>
        <v>#REF!</v>
      </c>
      <c r="I37" s="128" t="e">
        <f>SUMIFS(#REF!,#REF!,$C$12,#REF!,$C$32,#REF!,$C37)</f>
        <v>#REF!</v>
      </c>
      <c r="J37" s="128" t="e">
        <f>SUMIFS(#REF!,#REF!,$C$12,#REF!,$C$32,#REF!,$C37)</f>
        <v>#REF!</v>
      </c>
      <c r="K37" s="128" t="e">
        <f>SUMIFS(#REF!,#REF!,$C$12,#REF!,$C$32,#REF!,$C37)</f>
        <v>#REF!</v>
      </c>
      <c r="L37" s="128" t="e">
        <f>SUMIFS(#REF!,#REF!,$C$12,#REF!,$C$32,#REF!,$C37)</f>
        <v>#REF!</v>
      </c>
      <c r="M37" s="128" t="e">
        <f>SUMIFS(#REF!,#REF!,$C$12,#REF!,$C$32,#REF!,$C37)</f>
        <v>#REF!</v>
      </c>
      <c r="N37" s="128" t="e">
        <f>SUMIFS(#REF!,#REF!,$C$12,#REF!,$C$32,#REF!,$C37)</f>
        <v>#REF!</v>
      </c>
      <c r="O37" s="146" t="e">
        <f>SUMIFS(#REF!,#REF!,$C$12,#REF!,$C$32,#REF!,$C37)</f>
        <v>#REF!</v>
      </c>
      <c r="P37" s="146" t="e">
        <f>SUMIFS(#REF!,#REF!,$C$12,#REF!,$C$32,#REF!,$C37)</f>
        <v>#REF!</v>
      </c>
      <c r="Q37" s="128" t="e">
        <f>SUMIFS(#REF!,#REF!,$C$12,#REF!,$C$32,#REF!,$C37)</f>
        <v>#REF!</v>
      </c>
      <c r="R37" s="128" t="e">
        <f>SUMIFS(#REF!,#REF!,$C$12,#REF!,$C$32,#REF!,$C37)</f>
        <v>#REF!</v>
      </c>
      <c r="S37" s="146" t="e">
        <f>SUMIFS(#REF!,#REF!,$C$12,#REF!,$C$32,#REF!,$C37)</f>
        <v>#REF!</v>
      </c>
      <c r="T37" s="128" t="e">
        <f>SUMIFS(#REF!,#REF!,$C$12,#REF!,$C$32,#REF!,$C37)</f>
        <v>#REF!</v>
      </c>
      <c r="U37" s="146" t="e">
        <f>SUMIFS(#REF!,#REF!,$C$12,#REF!,$C$32,#REF!,$C37)</f>
        <v>#REF!</v>
      </c>
      <c r="V37" s="146" t="e">
        <f>SUMIFS(#REF!,#REF!,$C$12,#REF!,$C$32,#REF!,$C37)</f>
        <v>#REF!</v>
      </c>
      <c r="W37" s="128" t="e">
        <f>SUMIFS(#REF!,#REF!,$C$12,#REF!,$C$32,#REF!,$C37)</f>
        <v>#REF!</v>
      </c>
      <c r="X37" s="128" t="e">
        <f>SUMIFS(#REF!,#REF!,$C$12,#REF!,$C$32,#REF!,$C37)</f>
        <v>#REF!</v>
      </c>
      <c r="Y37" s="146" t="e">
        <f>SUMIFS(#REF!,#REF!,$C$12,#REF!,$C$32,#REF!,$C37)</f>
        <v>#REF!</v>
      </c>
      <c r="Z37" s="128" t="e">
        <f>SUMIFS(#REF!,#REF!,$C$12,#REF!,$C$32,#REF!,$C37)</f>
        <v>#REF!</v>
      </c>
      <c r="AA37" s="128" t="e">
        <f>SUMIFS(#REF!,#REF!,$C$12,#REF!,$C$32,#REF!,$C37)</f>
        <v>#REF!</v>
      </c>
      <c r="AB37" s="128" t="e">
        <f>SUMIFS(#REF!,#REF!,$C$12,#REF!,$C$32,#REF!,$C37)</f>
        <v>#REF!</v>
      </c>
      <c r="AC37" s="118"/>
      <c r="AD37" s="70" t="e">
        <f t="shared" si="16"/>
        <v>#REF!</v>
      </c>
      <c r="AE37" s="70" t="e">
        <f t="shared" si="16"/>
        <v>#REF!</v>
      </c>
      <c r="AF37" s="70" t="e">
        <f t="shared" si="16"/>
        <v>#REF!</v>
      </c>
      <c r="AG37" s="70" t="e">
        <f t="shared" si="16"/>
        <v>#REF!</v>
      </c>
      <c r="AH37" s="70" t="e">
        <f t="shared" si="16"/>
        <v>#REF!</v>
      </c>
      <c r="AI37" s="70" t="e">
        <f t="shared" si="16"/>
        <v>#REF!</v>
      </c>
      <c r="AJ37" s="70" t="e">
        <f t="shared" si="16"/>
        <v>#REF!</v>
      </c>
      <c r="AK37" s="118"/>
      <c r="AL37" s="128" t="e">
        <f t="shared" si="17"/>
        <v>#REF!</v>
      </c>
      <c r="AM37" s="128" t="e">
        <f t="shared" si="17"/>
        <v>#REF!</v>
      </c>
      <c r="AN37" s="113" t="e">
        <f t="shared" si="18"/>
        <v>#REF!</v>
      </c>
      <c r="AO37" s="128" t="e">
        <f t="shared" si="19"/>
        <v>#REF!</v>
      </c>
      <c r="AP37" s="128" t="e">
        <f t="shared" si="19"/>
        <v>#REF!</v>
      </c>
    </row>
    <row r="38" spans="3:48" x14ac:dyDescent="0.45">
      <c r="C38" s="104" t="s">
        <v>502</v>
      </c>
      <c r="D38" s="103" t="s">
        <v>877</v>
      </c>
      <c r="E38" s="126" t="e">
        <f t="shared" si="14"/>
        <v>#REF!</v>
      </c>
      <c r="F38" s="126" t="e">
        <f t="shared" si="15"/>
        <v>#REF!</v>
      </c>
      <c r="G38" s="126"/>
      <c r="H38" s="126" t="e">
        <f>SUMIFS(#REF!,#REF!,$C$12,#REF!,$C$32,#REF!,$C38)</f>
        <v>#REF!</v>
      </c>
      <c r="I38" s="126" t="e">
        <f>SUMIFS(#REF!,#REF!,$C$12,#REF!,$C$32,#REF!,$C38)</f>
        <v>#REF!</v>
      </c>
      <c r="J38" s="126" t="e">
        <f>SUMIFS(#REF!,#REF!,$C$12,#REF!,$C$32,#REF!,$C38)</f>
        <v>#REF!</v>
      </c>
      <c r="K38" s="126" t="e">
        <f>SUMIFS(#REF!,#REF!,$C$12,#REF!,$C$32,#REF!,$C38)</f>
        <v>#REF!</v>
      </c>
      <c r="L38" s="126" t="e">
        <f>SUMIFS(#REF!,#REF!,$C$12,#REF!,$C$32,#REF!,$C38)</f>
        <v>#REF!</v>
      </c>
      <c r="M38" s="126" t="e">
        <f>SUMIFS(#REF!,#REF!,$C$12,#REF!,$C$32,#REF!,$C38)</f>
        <v>#REF!</v>
      </c>
      <c r="N38" s="126" t="e">
        <f>SUMIFS(#REF!,#REF!,$C$12,#REF!,$C$32,#REF!,$C38)</f>
        <v>#REF!</v>
      </c>
      <c r="O38" s="126" t="e">
        <f>SUMIFS(#REF!,#REF!,$C$12,#REF!,$C$32,#REF!,$C38)</f>
        <v>#REF!</v>
      </c>
      <c r="P38" s="126" t="e">
        <f>SUMIFS(#REF!,#REF!,$C$12,#REF!,$C$32,#REF!,$C38)</f>
        <v>#REF!</v>
      </c>
      <c r="Q38" s="126" t="e">
        <f>SUMIFS(#REF!,#REF!,$C$12,#REF!,$C$32,#REF!,$C38)</f>
        <v>#REF!</v>
      </c>
      <c r="R38" s="126" t="e">
        <f>SUMIFS(#REF!,#REF!,$C$12,#REF!,$C$32,#REF!,$C38)</f>
        <v>#REF!</v>
      </c>
      <c r="S38" s="126" t="e">
        <f>SUMIFS(#REF!,#REF!,$C$12,#REF!,$C$32,#REF!,$C38)</f>
        <v>#REF!</v>
      </c>
      <c r="T38" s="126" t="e">
        <f>SUMIFS(#REF!,#REF!,$C$12,#REF!,$C$32,#REF!,$C38)</f>
        <v>#REF!</v>
      </c>
      <c r="U38" s="126" t="e">
        <f>SUMIFS(#REF!,#REF!,$C$12,#REF!,$C$32,#REF!,$C38)</f>
        <v>#REF!</v>
      </c>
      <c r="V38" s="126" t="e">
        <f>SUMIFS(#REF!,#REF!,$C$12,#REF!,$C$32,#REF!,$C38)</f>
        <v>#REF!</v>
      </c>
      <c r="W38" s="126" t="e">
        <f>SUMIFS(#REF!,#REF!,$C$12,#REF!,$C$32,#REF!,$C38)</f>
        <v>#REF!</v>
      </c>
      <c r="X38" s="126" t="e">
        <f>SUMIFS(#REF!,#REF!,$C$12,#REF!,$C$32,#REF!,$C38)</f>
        <v>#REF!</v>
      </c>
      <c r="Y38" s="126" t="e">
        <f>SUMIFS(#REF!,#REF!,$C$12,#REF!,$C$32,#REF!,$C38)</f>
        <v>#REF!</v>
      </c>
      <c r="Z38" s="126" t="e">
        <f>SUMIFS(#REF!,#REF!,$C$12,#REF!,$C$32,#REF!,$C38)</f>
        <v>#REF!</v>
      </c>
      <c r="AA38" s="126" t="e">
        <f>SUMIFS(#REF!,#REF!,$C$12,#REF!,$C$32,#REF!,$C38)</f>
        <v>#REF!</v>
      </c>
      <c r="AB38" s="126" t="e">
        <f>SUMIFS(#REF!,#REF!,$C$12,#REF!,$C$32,#REF!,$C38)</f>
        <v>#REF!</v>
      </c>
      <c r="AC38" s="118"/>
      <c r="AD38" s="70" t="e">
        <f t="shared" si="16"/>
        <v>#REF!</v>
      </c>
      <c r="AE38" s="70" t="e">
        <f t="shared" si="16"/>
        <v>#REF!</v>
      </c>
      <c r="AF38" s="70" t="e">
        <f t="shared" si="16"/>
        <v>#REF!</v>
      </c>
      <c r="AG38" s="70" t="e">
        <f t="shared" si="16"/>
        <v>#REF!</v>
      </c>
      <c r="AH38" s="70" t="e">
        <f t="shared" si="16"/>
        <v>#REF!</v>
      </c>
      <c r="AI38" s="70" t="e">
        <f t="shared" si="16"/>
        <v>#REF!</v>
      </c>
      <c r="AJ38" s="70" t="e">
        <f t="shared" si="16"/>
        <v>#REF!</v>
      </c>
      <c r="AK38" s="118"/>
      <c r="AL38" s="128" t="e">
        <f t="shared" si="17"/>
        <v>#REF!</v>
      </c>
      <c r="AM38" s="128" t="e">
        <f t="shared" si="17"/>
        <v>#REF!</v>
      </c>
      <c r="AN38" s="113" t="e">
        <f t="shared" si="18"/>
        <v>#REF!</v>
      </c>
      <c r="AO38" s="128" t="e">
        <f t="shared" si="19"/>
        <v>#REF!</v>
      </c>
      <c r="AP38" s="128" t="e">
        <f t="shared" si="19"/>
        <v>#REF!</v>
      </c>
      <c r="AR38" s="107"/>
      <c r="AS38" s="107"/>
      <c r="AT38" s="107"/>
      <c r="AU38" s="107"/>
    </row>
    <row r="39" spans="3:48" s="107" customFormat="1" x14ac:dyDescent="0.45">
      <c r="C39" s="57" t="s">
        <v>886</v>
      </c>
      <c r="D39" s="150" t="s">
        <v>877</v>
      </c>
      <c r="E39" s="120" t="e">
        <f t="shared" si="14"/>
        <v>#REF!</v>
      </c>
      <c r="F39" s="120" t="e">
        <f t="shared" si="15"/>
        <v>#REF!</v>
      </c>
      <c r="G39" s="123"/>
      <c r="H39" s="120" t="e">
        <f>SUM(G33:H38)</f>
        <v>#REF!</v>
      </c>
      <c r="I39" s="120" t="e">
        <f t="shared" ref="I39:AB39" si="20">SUM(I33:I38)</f>
        <v>#REF!</v>
      </c>
      <c r="J39" s="120" t="e">
        <f t="shared" si="20"/>
        <v>#REF!</v>
      </c>
      <c r="K39" s="120" t="e">
        <f t="shared" si="20"/>
        <v>#REF!</v>
      </c>
      <c r="L39" s="120" t="e">
        <f t="shared" si="20"/>
        <v>#REF!</v>
      </c>
      <c r="M39" s="120" t="e">
        <f t="shared" si="20"/>
        <v>#REF!</v>
      </c>
      <c r="N39" s="120" t="e">
        <f t="shared" si="20"/>
        <v>#REF!</v>
      </c>
      <c r="O39" s="120" t="e">
        <f t="shared" si="20"/>
        <v>#REF!</v>
      </c>
      <c r="P39" s="120" t="e">
        <f t="shared" si="20"/>
        <v>#REF!</v>
      </c>
      <c r="Q39" s="120" t="e">
        <f t="shared" si="20"/>
        <v>#REF!</v>
      </c>
      <c r="R39" s="120" t="e">
        <f t="shared" si="20"/>
        <v>#REF!</v>
      </c>
      <c r="S39" s="120" t="e">
        <f t="shared" si="20"/>
        <v>#REF!</v>
      </c>
      <c r="T39" s="120" t="e">
        <f t="shared" si="20"/>
        <v>#REF!</v>
      </c>
      <c r="U39" s="120" t="e">
        <f t="shared" si="20"/>
        <v>#REF!</v>
      </c>
      <c r="V39" s="120" t="e">
        <f t="shared" si="20"/>
        <v>#REF!</v>
      </c>
      <c r="W39" s="120" t="e">
        <f t="shared" si="20"/>
        <v>#REF!</v>
      </c>
      <c r="X39" s="120" t="e">
        <f t="shared" si="20"/>
        <v>#REF!</v>
      </c>
      <c r="Y39" s="120" t="e">
        <f t="shared" si="20"/>
        <v>#REF!</v>
      </c>
      <c r="Z39" s="120" t="e">
        <f t="shared" si="20"/>
        <v>#REF!</v>
      </c>
      <c r="AA39" s="120" t="e">
        <f t="shared" si="20"/>
        <v>#REF!</v>
      </c>
      <c r="AB39" s="120" t="e">
        <f t="shared" si="20"/>
        <v>#REF!</v>
      </c>
      <c r="AC39" s="118"/>
      <c r="AD39" s="122" t="e">
        <f t="shared" ref="AD39:AJ39" si="21">SUM(AD33:AD38)</f>
        <v>#REF!</v>
      </c>
      <c r="AE39" s="122" t="e">
        <f t="shared" si="21"/>
        <v>#REF!</v>
      </c>
      <c r="AF39" s="122" t="e">
        <f t="shared" si="21"/>
        <v>#REF!</v>
      </c>
      <c r="AG39" s="122" t="e">
        <f t="shared" si="21"/>
        <v>#REF!</v>
      </c>
      <c r="AH39" s="122" t="e">
        <f t="shared" si="21"/>
        <v>#REF!</v>
      </c>
      <c r="AI39" s="122" t="e">
        <f t="shared" si="21"/>
        <v>#REF!</v>
      </c>
      <c r="AJ39" s="122" t="e">
        <f t="shared" si="21"/>
        <v>#REF!</v>
      </c>
      <c r="AK39" s="121"/>
      <c r="AL39" s="120" t="e">
        <f>SUM(AL33:AL38)</f>
        <v>#REF!</v>
      </c>
      <c r="AM39" s="120" t="e">
        <f>SUM(AM33:AM38)</f>
        <v>#REF!</v>
      </c>
      <c r="AN39" s="121"/>
      <c r="AO39" s="120" t="e">
        <f>SUM(AO33:AO38)</f>
        <v>#REF!</v>
      </c>
      <c r="AP39" s="120" t="e">
        <f>SUM(AP33:AP38)</f>
        <v>#REF!</v>
      </c>
      <c r="AR39" s="46"/>
      <c r="AS39" s="46"/>
      <c r="AT39" s="46"/>
      <c r="AU39" s="46"/>
    </row>
    <row r="40" spans="3:48" x14ac:dyDescent="0.45">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65"/>
      <c r="AE40" s="65"/>
      <c r="AF40" s="65"/>
      <c r="AG40" s="65"/>
      <c r="AH40" s="65"/>
      <c r="AI40" s="65"/>
      <c r="AJ40" s="65"/>
      <c r="AK40" s="118"/>
      <c r="AL40" s="118"/>
      <c r="AM40" s="118"/>
      <c r="AN40" s="118"/>
      <c r="AO40" s="118"/>
      <c r="AP40" s="118"/>
      <c r="AR40" s="107"/>
      <c r="AS40" s="107"/>
      <c r="AT40" s="107"/>
      <c r="AU40" s="107"/>
    </row>
    <row r="41" spans="3:48" s="107" customFormat="1" x14ac:dyDescent="0.45">
      <c r="C41" s="49" t="s">
        <v>887</v>
      </c>
      <c r="D41" s="124" t="s">
        <v>877</v>
      </c>
      <c r="E41" s="120" t="e">
        <f>AVERAGE(H41:AC41)</f>
        <v>#REF!</v>
      </c>
      <c r="F41" s="120" t="e">
        <f>SUM(H41:AC41)</f>
        <v>#REF!</v>
      </c>
      <c r="G41" s="123"/>
      <c r="H41" s="120" t="e">
        <f t="shared" ref="H41:AB41" si="22">SUM(H39,H30,H24,H16,H20)</f>
        <v>#REF!</v>
      </c>
      <c r="I41" s="120" t="e">
        <f t="shared" si="22"/>
        <v>#REF!</v>
      </c>
      <c r="J41" s="120" t="e">
        <f t="shared" si="22"/>
        <v>#REF!</v>
      </c>
      <c r="K41" s="120" t="e">
        <f t="shared" si="22"/>
        <v>#REF!</v>
      </c>
      <c r="L41" s="120" t="e">
        <f t="shared" si="22"/>
        <v>#REF!</v>
      </c>
      <c r="M41" s="120" t="e">
        <f t="shared" si="22"/>
        <v>#REF!</v>
      </c>
      <c r="N41" s="120" t="e">
        <f t="shared" si="22"/>
        <v>#REF!</v>
      </c>
      <c r="O41" s="120" t="e">
        <f t="shared" si="22"/>
        <v>#REF!</v>
      </c>
      <c r="P41" s="120" t="e">
        <f t="shared" si="22"/>
        <v>#REF!</v>
      </c>
      <c r="Q41" s="120" t="e">
        <f t="shared" si="22"/>
        <v>#REF!</v>
      </c>
      <c r="R41" s="120" t="e">
        <f t="shared" si="22"/>
        <v>#REF!</v>
      </c>
      <c r="S41" s="120" t="e">
        <f t="shared" si="22"/>
        <v>#REF!</v>
      </c>
      <c r="T41" s="120" t="e">
        <f t="shared" si="22"/>
        <v>#REF!</v>
      </c>
      <c r="U41" s="120" t="e">
        <f t="shared" si="22"/>
        <v>#REF!</v>
      </c>
      <c r="V41" s="120" t="e">
        <f t="shared" si="22"/>
        <v>#REF!</v>
      </c>
      <c r="W41" s="120" t="e">
        <f t="shared" si="22"/>
        <v>#REF!</v>
      </c>
      <c r="X41" s="120" t="e">
        <f t="shared" si="22"/>
        <v>#REF!</v>
      </c>
      <c r="Y41" s="120" t="e">
        <f t="shared" si="22"/>
        <v>#REF!</v>
      </c>
      <c r="Z41" s="120" t="e">
        <f t="shared" si="22"/>
        <v>#REF!</v>
      </c>
      <c r="AA41" s="120" t="e">
        <f t="shared" si="22"/>
        <v>#REF!</v>
      </c>
      <c r="AB41" s="120" t="e">
        <f t="shared" si="22"/>
        <v>#REF!</v>
      </c>
      <c r="AC41" s="118"/>
      <c r="AD41" s="122" t="e">
        <f t="shared" ref="AD41:AJ41" si="23">SUM(AD39,AD30,AD24,AD16,AD20)</f>
        <v>#REF!</v>
      </c>
      <c r="AE41" s="122" t="e">
        <f t="shared" si="23"/>
        <v>#REF!</v>
      </c>
      <c r="AF41" s="122" t="e">
        <f t="shared" si="23"/>
        <v>#REF!</v>
      </c>
      <c r="AG41" s="122" t="e">
        <f t="shared" si="23"/>
        <v>#REF!</v>
      </c>
      <c r="AH41" s="122" t="e">
        <f t="shared" si="23"/>
        <v>#REF!</v>
      </c>
      <c r="AI41" s="122" t="e">
        <f t="shared" si="23"/>
        <v>#REF!</v>
      </c>
      <c r="AJ41" s="122" t="e">
        <f t="shared" si="23"/>
        <v>#REF!</v>
      </c>
      <c r="AK41" s="121"/>
      <c r="AL41" s="120" t="e">
        <f>SUM(AL39,AL30,AL24,AL16,AL20)</f>
        <v>#REF!</v>
      </c>
      <c r="AM41" s="120" t="e">
        <f>SUM(AM39,AM30,AM24,AM16,AM20)</f>
        <v>#REF!</v>
      </c>
      <c r="AN41" s="121"/>
      <c r="AO41" s="120" t="e">
        <f>SUM(AO39,AO30,AO24,AO16)</f>
        <v>#REF!</v>
      </c>
      <c r="AP41" s="120" t="e">
        <f>SUM(AP39,AP30,AP24,AP16)</f>
        <v>#REF!</v>
      </c>
      <c r="AR41" s="46"/>
      <c r="AS41" s="46"/>
      <c r="AT41" s="46"/>
      <c r="AU41" s="46"/>
    </row>
    <row r="42" spans="3:48" x14ac:dyDescent="0.45">
      <c r="C42" s="100" t="s">
        <v>1</v>
      </c>
      <c r="D42" s="100"/>
      <c r="E42" s="119"/>
      <c r="F42" s="117" t="e">
        <f>SUM(H42:AC42)</f>
        <v>#REF!</v>
      </c>
      <c r="G42" s="119"/>
      <c r="H42" s="117" t="e">
        <f>'Managerial Consolidated'!#REF!+H41</f>
        <v>#REF!</v>
      </c>
      <c r="I42" s="117" t="e">
        <f>'Managerial Consolidated'!#REF!+I41</f>
        <v>#REF!</v>
      </c>
      <c r="J42" s="117" t="e">
        <f>'Managerial Consolidated'!#REF!+J41</f>
        <v>#REF!</v>
      </c>
      <c r="K42" s="117" t="e">
        <f>'Managerial Consolidated'!#REF!+K41</f>
        <v>#REF!</v>
      </c>
      <c r="L42" s="117" t="e">
        <f>'Managerial Consolidated'!#REF!+L41</f>
        <v>#REF!</v>
      </c>
      <c r="M42" s="117" t="e">
        <f>'Managerial Consolidated'!#REF!+M41</f>
        <v>#REF!</v>
      </c>
      <c r="N42" s="117" t="e">
        <f>'Managerial Consolidated'!#REF!+N41</f>
        <v>#REF!</v>
      </c>
      <c r="O42" s="117" t="e">
        <f>'Managerial Consolidated'!#REF!+O41</f>
        <v>#REF!</v>
      </c>
      <c r="P42" s="117" t="e">
        <f>'Managerial Consolidated'!#REF!+P41</f>
        <v>#REF!</v>
      </c>
      <c r="Q42" s="117" t="e">
        <f>'Managerial Consolidated'!#REF!+Q41</f>
        <v>#REF!</v>
      </c>
      <c r="R42" s="117" t="e">
        <f>'Managerial Consolidated'!#REF!+R41</f>
        <v>#REF!</v>
      </c>
      <c r="S42" s="117" t="e">
        <f>'Managerial Consolidated'!#REF!+S41</f>
        <v>#REF!</v>
      </c>
      <c r="T42" s="117" t="e">
        <f>'Managerial Consolidated'!#REF!+T41</f>
        <v>#REF!</v>
      </c>
      <c r="U42" s="117" t="e">
        <f>'Managerial Consolidated'!#REF!+U41</f>
        <v>#REF!</v>
      </c>
      <c r="V42" s="117" t="e">
        <f>'Managerial Consolidated'!#REF!+V41</f>
        <v>#REF!</v>
      </c>
      <c r="W42" s="117" t="e">
        <f>'Managerial Consolidated'!#REF!+W41</f>
        <v>#REF!</v>
      </c>
      <c r="X42" s="117" t="e">
        <f>'Managerial Consolidated'!#REF!+X41</f>
        <v>#REF!</v>
      </c>
      <c r="Y42" s="117" t="e">
        <f>'Managerial Consolidated'!#REF!+Y41</f>
        <v>#REF!</v>
      </c>
      <c r="Z42" s="117" t="e">
        <f>'Managerial Consolidated'!#REF!+Z41</f>
        <v>#REF!</v>
      </c>
      <c r="AA42" s="117" t="e">
        <f>'Managerial Consolidated'!#REF!+AA41</f>
        <v>#REF!</v>
      </c>
      <c r="AB42" s="117" t="e">
        <f>'Managerial Consolidated'!#REF!+AB41</f>
        <v>#REF!</v>
      </c>
      <c r="AC42" s="118"/>
      <c r="AD42" s="117" t="e">
        <f>'Managerial Consolidated'!#REF!+AD41</f>
        <v>#REF!</v>
      </c>
      <c r="AE42" s="117" t="e">
        <f>'Managerial Consolidated'!#REF!+AE41</f>
        <v>#REF!</v>
      </c>
      <c r="AF42" s="117" t="e">
        <f>'Managerial Consolidated'!#REF!+AF41</f>
        <v>#REF!</v>
      </c>
      <c r="AG42" s="117" t="e">
        <f>'Managerial Consolidated'!#REF!+AG41</f>
        <v>#REF!</v>
      </c>
      <c r="AH42" s="117" t="e">
        <f>'Managerial Consolidated'!#REF!+AH41</f>
        <v>#REF!</v>
      </c>
      <c r="AI42" s="117" t="e">
        <f>'Managerial Consolidated'!#REF!+AI41</f>
        <v>#REF!</v>
      </c>
      <c r="AJ42" s="117" t="e">
        <f>'Managerial Consolidated'!#REF!+AJ41</f>
        <v>#REF!</v>
      </c>
      <c r="AK42" s="118"/>
      <c r="AL42" s="117" t="e">
        <f>'Managerial Consolidated'!#REF!+AL41</f>
        <v>#REF!</v>
      </c>
      <c r="AM42" s="117" t="e">
        <f>'Managerial Consolidated'!BB16+AM41</f>
        <v>#REF!</v>
      </c>
      <c r="AN42" s="118"/>
      <c r="AO42" s="117"/>
      <c r="AP42" s="117"/>
    </row>
    <row r="43" spans="3:48" x14ac:dyDescent="0.45">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25"/>
      <c r="AE43" s="125"/>
      <c r="AF43" s="125"/>
      <c r="AG43" s="125"/>
      <c r="AH43" s="125"/>
      <c r="AI43" s="125"/>
      <c r="AJ43" s="125"/>
      <c r="AK43" s="118"/>
      <c r="AL43" s="125"/>
      <c r="AM43" s="125"/>
      <c r="AN43" s="118"/>
      <c r="AO43" s="125"/>
      <c r="AP43" s="125"/>
    </row>
    <row r="44" spans="3:48" x14ac:dyDescent="0.45">
      <c r="C44" s="112" t="s">
        <v>480</v>
      </c>
      <c r="D44" s="112"/>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18"/>
      <c r="AD44" s="148"/>
      <c r="AE44" s="148"/>
      <c r="AF44" s="148"/>
      <c r="AG44" s="148"/>
      <c r="AH44" s="148"/>
      <c r="AI44" s="148"/>
      <c r="AJ44" s="148"/>
      <c r="AK44" s="118"/>
      <c r="AL44" s="148"/>
      <c r="AM44" s="148"/>
      <c r="AN44" s="118"/>
      <c r="AO44" s="148"/>
      <c r="AP44" s="148"/>
    </row>
    <row r="45" spans="3:48" x14ac:dyDescent="0.45">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25"/>
      <c r="AE45" s="125"/>
      <c r="AF45" s="125"/>
      <c r="AG45" s="125"/>
      <c r="AH45" s="125"/>
      <c r="AI45" s="125"/>
      <c r="AJ45" s="125"/>
      <c r="AK45" s="118"/>
      <c r="AL45" s="125"/>
      <c r="AM45" s="125"/>
      <c r="AN45" s="118"/>
      <c r="AO45" s="125"/>
      <c r="AP45" s="125"/>
    </row>
    <row r="46" spans="3:48" x14ac:dyDescent="0.45">
      <c r="C46" s="68" t="s">
        <v>488</v>
      </c>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25"/>
      <c r="AE46" s="125"/>
      <c r="AF46" s="125"/>
      <c r="AG46" s="125"/>
      <c r="AH46" s="125"/>
      <c r="AI46" s="125"/>
      <c r="AJ46" s="125"/>
      <c r="AK46" s="118"/>
      <c r="AL46" s="125"/>
      <c r="AM46" s="125"/>
      <c r="AN46" s="118"/>
      <c r="AO46" s="125"/>
      <c r="AP46" s="125"/>
    </row>
    <row r="47" spans="3:48" ht="12.75" customHeight="1" x14ac:dyDescent="0.45">
      <c r="C47" s="106" t="s">
        <v>482</v>
      </c>
      <c r="D47" s="105" t="s">
        <v>877</v>
      </c>
      <c r="E47" s="130" t="e">
        <f t="shared" ref="E47:E57" si="24">AVERAGE(H47:AC47)</f>
        <v>#REF!</v>
      </c>
      <c r="F47" s="130" t="e">
        <f t="shared" ref="F47:F57" si="25">SUM(H47:AC47)</f>
        <v>#REF!</v>
      </c>
      <c r="G47" s="131"/>
      <c r="H47" s="130" t="e">
        <f>SUMIFS(#REF!,#REF!,$C$44,#REF!,$C$46,#REF!,$C47)</f>
        <v>#REF!</v>
      </c>
      <c r="I47" s="130" t="e">
        <f>SUMIFS(#REF!,#REF!,$C$44,#REF!,$C$46,#REF!,$C47)</f>
        <v>#REF!</v>
      </c>
      <c r="J47" s="130" t="e">
        <f>SUMIFS(#REF!,#REF!,$C$44,#REF!,$C$46,#REF!,$C47)</f>
        <v>#REF!</v>
      </c>
      <c r="K47" s="136" t="e">
        <f>SUMIFS(#REF!,#REF!,$C$44,#REF!,$C$46,#REF!,$C47)</f>
        <v>#REF!</v>
      </c>
      <c r="L47" s="130" t="e">
        <f>SUMIFS(#REF!,#REF!,$C$44,#REF!,$C$46,#REF!,$C47)</f>
        <v>#REF!</v>
      </c>
      <c r="M47" s="130" t="e">
        <f>SUMIFS(#REF!,#REF!,$C$44,#REF!,$C$46,#REF!,$C47)</f>
        <v>#REF!</v>
      </c>
      <c r="N47" s="130" t="e">
        <f>SUMIFS(#REF!,#REF!,$C$44,#REF!,$C$46,#REF!,$C47)</f>
        <v>#REF!</v>
      </c>
      <c r="O47" s="130" t="e">
        <f>SUMIFS(#REF!,#REF!,$C$44,#REF!,$C$46,#REF!,$C47)</f>
        <v>#REF!</v>
      </c>
      <c r="P47" s="130" t="e">
        <f>SUMIFS(#REF!,#REF!,$C$44,#REF!,$C$46,#REF!,$C47)</f>
        <v>#REF!</v>
      </c>
      <c r="Q47" s="130" t="e">
        <f>SUMIFS(#REF!,#REF!,$C$44,#REF!,$C$46,#REF!,$C47)</f>
        <v>#REF!</v>
      </c>
      <c r="R47" s="130" t="e">
        <f>SUMIFS(#REF!,#REF!,$C$44,#REF!,$C$46,#REF!,$C47)</f>
        <v>#REF!</v>
      </c>
      <c r="S47" s="130" t="e">
        <f>SUMIFS(#REF!,#REF!,$C$44,#REF!,$C$46,#REF!,$C47)</f>
        <v>#REF!</v>
      </c>
      <c r="T47" s="130" t="e">
        <f>SUMIFS(#REF!,#REF!,$C$44,#REF!,$C$46,#REF!,$C47)</f>
        <v>#REF!</v>
      </c>
      <c r="U47" s="130" t="e">
        <f>SUMIFS(#REF!,#REF!,$C$44,#REF!,$C$46,#REF!,$C47)</f>
        <v>#REF!</v>
      </c>
      <c r="V47" s="130" t="e">
        <f>SUMIFS(#REF!,#REF!,$C$44,#REF!,$C$46,#REF!,$C47)</f>
        <v>#REF!</v>
      </c>
      <c r="W47" s="130" t="e">
        <f>SUMIFS(#REF!,#REF!,$C$44,#REF!,$C$46,#REF!,$C47)</f>
        <v>#REF!</v>
      </c>
      <c r="X47" s="130" t="e">
        <f>SUMIFS(#REF!,#REF!,$C$44,#REF!,$C$46,#REF!,$C47)</f>
        <v>#REF!</v>
      </c>
      <c r="Y47" s="130" t="e">
        <f>SUMIFS(#REF!,#REF!,$C$44,#REF!,$C$46,#REF!,$C47)</f>
        <v>#REF!</v>
      </c>
      <c r="Z47" s="130" t="e">
        <f>SUMIFS(#REF!,#REF!,$C$44,#REF!,$C$46,#REF!,$C47)</f>
        <v>#REF!</v>
      </c>
      <c r="AA47" s="130" t="e">
        <f>SUMIFS(#REF!,#REF!,$C$44,#REF!,$C$46,#REF!,$C47)</f>
        <v>#REF!</v>
      </c>
      <c r="AB47" s="130" t="e">
        <f>SUMIFS(#REF!,#REF!,$C$44,#REF!,$C$46,#REF!,$C47)</f>
        <v>#REF!</v>
      </c>
      <c r="AC47" s="118"/>
      <c r="AD47" s="110" t="e">
        <f t="shared" ref="AD47:AJ56" si="26">+SUMIFS($E47:$AC47,$E$9:$AC$9,AD$9,$E$8:$AC$8,AD$8)</f>
        <v>#REF!</v>
      </c>
      <c r="AE47" s="110" t="e">
        <f t="shared" si="26"/>
        <v>#REF!</v>
      </c>
      <c r="AF47" s="110" t="e">
        <f t="shared" si="26"/>
        <v>#REF!</v>
      </c>
      <c r="AG47" s="110" t="e">
        <f t="shared" si="26"/>
        <v>#REF!</v>
      </c>
      <c r="AH47" s="110" t="e">
        <f t="shared" si="26"/>
        <v>#REF!</v>
      </c>
      <c r="AI47" s="110" t="e">
        <f t="shared" si="26"/>
        <v>#REF!</v>
      </c>
      <c r="AJ47" s="110" t="e">
        <f t="shared" si="26"/>
        <v>#REF!</v>
      </c>
      <c r="AK47" s="118"/>
      <c r="AL47" s="130" t="e">
        <f t="shared" ref="AL47:AM56" si="27">+SUMIF($E$8:$AC$8,AL$8,$E47:$AC47)</f>
        <v>#REF!</v>
      </c>
      <c r="AM47" s="130" t="e">
        <f t="shared" si="27"/>
        <v>#REF!</v>
      </c>
      <c r="AN47" s="113" t="e">
        <f t="shared" ref="AN47:AN56" si="28">AM47/$AM$91</f>
        <v>#REF!</v>
      </c>
      <c r="AO47" s="130" t="e">
        <f t="shared" ref="AO47:AP56" si="29">+SUMIF($E$8:$AC$8,AO$8,$E47:$AC47)</f>
        <v>#REF!</v>
      </c>
      <c r="AP47" s="130" t="e">
        <f t="shared" si="29"/>
        <v>#REF!</v>
      </c>
      <c r="AS47" s="563" t="s">
        <v>488</v>
      </c>
      <c r="AT47" s="569">
        <f>SUM(AV47:AV54)</f>
        <v>0.61988433523745579</v>
      </c>
      <c r="AU47" s="139" t="s">
        <v>482</v>
      </c>
      <c r="AV47" s="138">
        <v>0.3535800705682533</v>
      </c>
    </row>
    <row r="48" spans="3:48" x14ac:dyDescent="0.45">
      <c r="C48" s="102" t="s">
        <v>880</v>
      </c>
      <c r="D48" s="75" t="s">
        <v>877</v>
      </c>
      <c r="E48" s="128" t="e">
        <f t="shared" si="24"/>
        <v>#REF!</v>
      </c>
      <c r="F48" s="128" t="e">
        <f t="shared" si="25"/>
        <v>#REF!</v>
      </c>
      <c r="G48" s="129"/>
      <c r="H48" s="128" t="e">
        <f>SUMIFS(#REF!,#REF!,$C$44,#REF!,$C$46,#REF!,$C48)</f>
        <v>#REF!</v>
      </c>
      <c r="I48" s="128" t="e">
        <f>SUMIFS(#REF!,#REF!,$C$44,#REF!,$C$46,#REF!,$C48)</f>
        <v>#REF!</v>
      </c>
      <c r="J48" s="128" t="e">
        <f>SUMIFS(#REF!,#REF!,$C$44,#REF!,$C$46,#REF!,$C48)</f>
        <v>#REF!</v>
      </c>
      <c r="K48" s="128" t="e">
        <f>SUMIFS(#REF!,#REF!,$C$44,#REF!,$C$46,#REF!,$C48)</f>
        <v>#REF!</v>
      </c>
      <c r="L48" s="128" t="e">
        <f>SUMIFS(#REF!,#REF!,$C$44,#REF!,$C$46,#REF!,$C48)</f>
        <v>#REF!</v>
      </c>
      <c r="M48" s="128" t="e">
        <f>SUMIFS(#REF!,#REF!,$C$44,#REF!,$C$46,#REF!,$C48)</f>
        <v>#REF!</v>
      </c>
      <c r="N48" s="128" t="e">
        <f>SUMIFS(#REF!,#REF!,$C$44,#REF!,$C$46,#REF!,$C48)</f>
        <v>#REF!</v>
      </c>
      <c r="O48" s="128" t="e">
        <f>SUMIFS(#REF!,#REF!,$C$44,#REF!,$C$46,#REF!,$C48)</f>
        <v>#REF!</v>
      </c>
      <c r="P48" s="128" t="e">
        <f>SUMIFS(#REF!,#REF!,$C$44,#REF!,$C$46,#REF!,$C48)</f>
        <v>#REF!</v>
      </c>
      <c r="Q48" s="128" t="e">
        <f>SUMIFS(#REF!,#REF!,$C$44,#REF!,$C$46,#REF!,$C48)</f>
        <v>#REF!</v>
      </c>
      <c r="R48" s="128" t="e">
        <f>SUMIFS(#REF!,#REF!,$C$44,#REF!,$C$46,#REF!,$C48)</f>
        <v>#REF!</v>
      </c>
      <c r="S48" s="128" t="e">
        <f>SUMIFS(#REF!,#REF!,$C$44,#REF!,$C$46,#REF!,$C48)</f>
        <v>#REF!</v>
      </c>
      <c r="T48" s="128" t="e">
        <f>SUMIFS(#REF!,#REF!,$C$44,#REF!,$C$46,#REF!,$C48)</f>
        <v>#REF!</v>
      </c>
      <c r="U48" s="128" t="e">
        <f>SUMIFS(#REF!,#REF!,$C$44,#REF!,$C$46,#REF!,$C48)</f>
        <v>#REF!</v>
      </c>
      <c r="V48" s="128" t="e">
        <f>SUMIFS(#REF!,#REF!,$C$44,#REF!,$C$46,#REF!,$C48)</f>
        <v>#REF!</v>
      </c>
      <c r="W48" s="128" t="e">
        <f>SUMIFS(#REF!,#REF!,$C$44,#REF!,$C$46,#REF!,$C48)</f>
        <v>#REF!</v>
      </c>
      <c r="X48" s="128" t="e">
        <f>SUMIFS(#REF!,#REF!,$C$44,#REF!,$C$46,#REF!,$C48)</f>
        <v>#REF!</v>
      </c>
      <c r="Y48" s="128" t="e">
        <f>SUMIFS(#REF!,#REF!,$C$44,#REF!,$C$46,#REF!,$C48)</f>
        <v>#REF!</v>
      </c>
      <c r="Z48" s="128" t="e">
        <f>SUMIFS(#REF!,#REF!,$C$44,#REF!,$C$46,#REF!,$C48)</f>
        <v>#REF!</v>
      </c>
      <c r="AA48" s="128" t="e">
        <f>SUMIFS(#REF!,#REF!,$C$44,#REF!,$C$46,#REF!,$C48)</f>
        <v>#REF!</v>
      </c>
      <c r="AB48" s="128" t="e">
        <f>SUMIFS(#REF!,#REF!,$C$44,#REF!,$C$46,#REF!,$C48)</f>
        <v>#REF!</v>
      </c>
      <c r="AC48" s="118"/>
      <c r="AD48" s="70" t="e">
        <f t="shared" si="26"/>
        <v>#REF!</v>
      </c>
      <c r="AE48" s="70" t="e">
        <f t="shared" si="26"/>
        <v>#REF!</v>
      </c>
      <c r="AF48" s="70" t="e">
        <f t="shared" si="26"/>
        <v>#REF!</v>
      </c>
      <c r="AG48" s="70" t="e">
        <f t="shared" si="26"/>
        <v>#REF!</v>
      </c>
      <c r="AH48" s="70" t="e">
        <f t="shared" si="26"/>
        <v>#REF!</v>
      </c>
      <c r="AI48" s="70" t="e">
        <f t="shared" si="26"/>
        <v>#REF!</v>
      </c>
      <c r="AJ48" s="70" t="e">
        <f t="shared" si="26"/>
        <v>#REF!</v>
      </c>
      <c r="AK48" s="118"/>
      <c r="AL48" s="128" t="e">
        <f t="shared" si="27"/>
        <v>#REF!</v>
      </c>
      <c r="AM48" s="128" t="e">
        <f t="shared" si="27"/>
        <v>#REF!</v>
      </c>
      <c r="AN48" s="113" t="e">
        <f t="shared" si="28"/>
        <v>#REF!</v>
      </c>
      <c r="AO48" s="128" t="e">
        <f t="shared" si="29"/>
        <v>#REF!</v>
      </c>
      <c r="AP48" s="128" t="e">
        <f t="shared" si="29"/>
        <v>#REF!</v>
      </c>
      <c r="AS48" s="564"/>
      <c r="AT48" s="570"/>
      <c r="AU48" s="109" t="s">
        <v>492</v>
      </c>
      <c r="AV48" s="137">
        <v>0.19927413910484557</v>
      </c>
    </row>
    <row r="49" spans="3:48" x14ac:dyDescent="0.45">
      <c r="C49" s="102" t="s">
        <v>492</v>
      </c>
      <c r="D49" s="75" t="s">
        <v>877</v>
      </c>
      <c r="E49" s="128" t="e">
        <f t="shared" si="24"/>
        <v>#REF!</v>
      </c>
      <c r="F49" s="128" t="e">
        <f t="shared" si="25"/>
        <v>#REF!</v>
      </c>
      <c r="G49" s="129"/>
      <c r="H49" s="128" t="e">
        <f>SUMIFS(#REF!,#REF!,$C$44,#REF!,$C$46,#REF!,$C49)</f>
        <v>#REF!</v>
      </c>
      <c r="I49" s="128" t="e">
        <f>SUMIFS(#REF!,#REF!,$C$44,#REF!,$C$46,#REF!,$C49)</f>
        <v>#REF!</v>
      </c>
      <c r="J49" s="128" t="e">
        <f>SUMIFS(#REF!,#REF!,$C$44,#REF!,$C$46,#REF!,$C49)</f>
        <v>#REF!</v>
      </c>
      <c r="K49" s="128" t="e">
        <f>SUMIFS(#REF!,#REF!,$C$44,#REF!,$C$46,#REF!,$C49)</f>
        <v>#REF!</v>
      </c>
      <c r="L49" s="128" t="e">
        <f>SUMIFS(#REF!,#REF!,$C$44,#REF!,$C$46,#REF!,$C49)</f>
        <v>#REF!</v>
      </c>
      <c r="M49" s="128" t="e">
        <f>SUMIFS(#REF!,#REF!,$C$44,#REF!,$C$46,#REF!,$C49)</f>
        <v>#REF!</v>
      </c>
      <c r="N49" s="128" t="e">
        <f>SUMIFS(#REF!,#REF!,$C$44,#REF!,$C$46,#REF!,$C49)</f>
        <v>#REF!</v>
      </c>
      <c r="O49" s="128" t="e">
        <f>SUMIFS(#REF!,#REF!,$C$44,#REF!,$C$46,#REF!,$C49)</f>
        <v>#REF!</v>
      </c>
      <c r="P49" s="128" t="e">
        <f>SUMIFS(#REF!,#REF!,$C$44,#REF!,$C$46,#REF!,$C49)</f>
        <v>#REF!</v>
      </c>
      <c r="Q49" s="128" t="e">
        <f>SUMIFS(#REF!,#REF!,$C$44,#REF!,$C$46,#REF!,$C49)</f>
        <v>#REF!</v>
      </c>
      <c r="R49" s="128" t="e">
        <f>SUMIFS(#REF!,#REF!,$C$44,#REF!,$C$46,#REF!,$C49)</f>
        <v>#REF!</v>
      </c>
      <c r="S49" s="146" t="e">
        <f>SUMIFS(#REF!,#REF!,$C$44,#REF!,$C$46,#REF!,$C49)</f>
        <v>#REF!</v>
      </c>
      <c r="T49" s="128" t="e">
        <f>SUMIFS(#REF!,#REF!,$C$44,#REF!,$C$46,#REF!,$C49)</f>
        <v>#REF!</v>
      </c>
      <c r="U49" s="128" t="e">
        <f>SUMIFS(#REF!,#REF!,$C$44,#REF!,$C$46,#REF!,$C49)</f>
        <v>#REF!</v>
      </c>
      <c r="V49" s="128" t="e">
        <f>SUMIFS(#REF!,#REF!,$C$44,#REF!,$C$46,#REF!,$C49)</f>
        <v>#REF!</v>
      </c>
      <c r="W49" s="128" t="e">
        <f>SUMIFS(#REF!,#REF!,$C$44,#REF!,$C$46,#REF!,$C49)</f>
        <v>#REF!</v>
      </c>
      <c r="X49" s="128" t="e">
        <f>SUMIFS(#REF!,#REF!,$C$44,#REF!,$C$46,#REF!,$C49)</f>
        <v>#REF!</v>
      </c>
      <c r="Y49" s="146" t="e">
        <f>SUMIFS(#REF!,#REF!,$C$44,#REF!,$C$46,#REF!,$C49)</f>
        <v>#REF!</v>
      </c>
      <c r="Z49" s="128" t="e">
        <f>SUMIFS(#REF!,#REF!,$C$44,#REF!,$C$46,#REF!,$C49)</f>
        <v>#REF!</v>
      </c>
      <c r="AA49" s="128" t="e">
        <f>SUMIFS(#REF!,#REF!,$C$44,#REF!,$C$46,#REF!,$C49)</f>
        <v>#REF!</v>
      </c>
      <c r="AB49" s="128" t="e">
        <f>SUMIFS(#REF!,#REF!,$C$44,#REF!,$C$46,#REF!,$C49)</f>
        <v>#REF!</v>
      </c>
      <c r="AC49" s="118"/>
      <c r="AD49" s="70" t="e">
        <f t="shared" si="26"/>
        <v>#REF!</v>
      </c>
      <c r="AE49" s="70" t="e">
        <f t="shared" si="26"/>
        <v>#REF!</v>
      </c>
      <c r="AF49" s="70" t="e">
        <f t="shared" si="26"/>
        <v>#REF!</v>
      </c>
      <c r="AG49" s="70" t="e">
        <f t="shared" si="26"/>
        <v>#REF!</v>
      </c>
      <c r="AH49" s="70" t="e">
        <f t="shared" si="26"/>
        <v>#REF!</v>
      </c>
      <c r="AI49" s="70" t="e">
        <f t="shared" si="26"/>
        <v>#REF!</v>
      </c>
      <c r="AJ49" s="70" t="e">
        <f t="shared" si="26"/>
        <v>#REF!</v>
      </c>
      <c r="AK49" s="118"/>
      <c r="AL49" s="128" t="e">
        <f t="shared" si="27"/>
        <v>#REF!</v>
      </c>
      <c r="AM49" s="128" t="e">
        <f t="shared" si="27"/>
        <v>#REF!</v>
      </c>
      <c r="AN49" s="113" t="e">
        <f t="shared" si="28"/>
        <v>#REF!</v>
      </c>
      <c r="AO49" s="128" t="e">
        <f t="shared" si="29"/>
        <v>#REF!</v>
      </c>
      <c r="AP49" s="128" t="e">
        <f t="shared" si="29"/>
        <v>#REF!</v>
      </c>
      <c r="AS49" s="564"/>
      <c r="AT49" s="570"/>
      <c r="AU49" s="142" t="s">
        <v>888</v>
      </c>
      <c r="AV49" s="141">
        <v>3.9845493939319972E-2</v>
      </c>
    </row>
    <row r="50" spans="3:48" x14ac:dyDescent="0.45">
      <c r="C50" s="102" t="s">
        <v>889</v>
      </c>
      <c r="D50" s="75" t="s">
        <v>877</v>
      </c>
      <c r="E50" s="128" t="e">
        <f t="shared" si="24"/>
        <v>#REF!</v>
      </c>
      <c r="F50" s="128" t="e">
        <f t="shared" si="25"/>
        <v>#REF!</v>
      </c>
      <c r="G50" s="129"/>
      <c r="H50" s="128" t="e">
        <f>SUMIFS(#REF!,#REF!,$C$44,#REF!,$C$46,#REF!,$C50)</f>
        <v>#REF!</v>
      </c>
      <c r="I50" s="128" t="e">
        <f>SUMIFS(#REF!,#REF!,$C$44,#REF!,$C$46,#REF!,$C50)</f>
        <v>#REF!</v>
      </c>
      <c r="J50" s="128" t="e">
        <f>SUMIFS(#REF!,#REF!,$C$44,#REF!,$C$46,#REF!,$C50)</f>
        <v>#REF!</v>
      </c>
      <c r="K50" s="128" t="e">
        <f>SUMIFS(#REF!,#REF!,$C$44,#REF!,$C$46,#REF!,$C50)</f>
        <v>#REF!</v>
      </c>
      <c r="L50" s="128" t="e">
        <f>SUMIFS(#REF!,#REF!,$C$44,#REF!,$C$46,#REF!,$C50)</f>
        <v>#REF!</v>
      </c>
      <c r="M50" s="128" t="e">
        <f>SUMIFS(#REF!,#REF!,$C$44,#REF!,$C$46,#REF!,$C50)</f>
        <v>#REF!</v>
      </c>
      <c r="N50" s="128" t="e">
        <f>SUMIFS(#REF!,#REF!,$C$44,#REF!,$C$46,#REF!,$C50)</f>
        <v>#REF!</v>
      </c>
      <c r="O50" s="128" t="e">
        <f>SUMIFS(#REF!,#REF!,$C$44,#REF!,$C$46,#REF!,$C50)</f>
        <v>#REF!</v>
      </c>
      <c r="P50" s="128" t="e">
        <f>SUMIFS(#REF!,#REF!,$C$44,#REF!,$C$46,#REF!,$C50)</f>
        <v>#REF!</v>
      </c>
      <c r="Q50" s="128" t="e">
        <f>SUMIFS(#REF!,#REF!,$C$44,#REF!,$C$46,#REF!,$C50)</f>
        <v>#REF!</v>
      </c>
      <c r="R50" s="128" t="e">
        <f>SUMIFS(#REF!,#REF!,$C$44,#REF!,$C$46,#REF!,$C50)</f>
        <v>#REF!</v>
      </c>
      <c r="S50" s="146" t="e">
        <f>SUMIFS(#REF!,#REF!,$C$44,#REF!,$C$46,#REF!,$C50)</f>
        <v>#REF!</v>
      </c>
      <c r="T50" s="128" t="e">
        <f>SUMIFS(#REF!,#REF!,$C$44,#REF!,$C$46,#REF!,$C50)</f>
        <v>#REF!</v>
      </c>
      <c r="U50" s="128" t="e">
        <f>SUMIFS(#REF!,#REF!,$C$44,#REF!,$C$46,#REF!,$C50)</f>
        <v>#REF!</v>
      </c>
      <c r="V50" s="128" t="e">
        <f>SUMIFS(#REF!,#REF!,$C$44,#REF!,$C$46,#REF!,$C50)</f>
        <v>#REF!</v>
      </c>
      <c r="W50" s="128" t="e">
        <f>SUMIFS(#REF!,#REF!,$C$44,#REF!,$C$46,#REF!,$C50)</f>
        <v>#REF!</v>
      </c>
      <c r="X50" s="128" t="e">
        <f>SUMIFS(#REF!,#REF!,$C$44,#REF!,$C$46,#REF!,$C50)</f>
        <v>#REF!</v>
      </c>
      <c r="Y50" s="146" t="e">
        <f>SUMIFS(#REF!,#REF!,$C$44,#REF!,$C$46,#REF!,$C50)</f>
        <v>#REF!</v>
      </c>
      <c r="Z50" s="128" t="e">
        <f>SUMIFS(#REF!,#REF!,$C$44,#REF!,$C$46,#REF!,$C50)</f>
        <v>#REF!</v>
      </c>
      <c r="AA50" s="128" t="e">
        <f>SUMIFS(#REF!,#REF!,$C$44,#REF!,$C$46,#REF!,$C50)</f>
        <v>#REF!</v>
      </c>
      <c r="AB50" s="128" t="e">
        <f>SUMIFS(#REF!,#REF!,$C$44,#REF!,$C$46,#REF!,$C50)</f>
        <v>#REF!</v>
      </c>
      <c r="AC50" s="118"/>
      <c r="AD50" s="70" t="e">
        <f t="shared" si="26"/>
        <v>#REF!</v>
      </c>
      <c r="AE50" s="70" t="e">
        <f t="shared" si="26"/>
        <v>#REF!</v>
      </c>
      <c r="AF50" s="70" t="e">
        <f t="shared" si="26"/>
        <v>#REF!</v>
      </c>
      <c r="AG50" s="70" t="e">
        <f t="shared" si="26"/>
        <v>#REF!</v>
      </c>
      <c r="AH50" s="70" t="e">
        <f t="shared" si="26"/>
        <v>#REF!</v>
      </c>
      <c r="AI50" s="70" t="e">
        <f t="shared" si="26"/>
        <v>#REF!</v>
      </c>
      <c r="AJ50" s="70" t="e">
        <f t="shared" si="26"/>
        <v>#REF!</v>
      </c>
      <c r="AK50" s="118"/>
      <c r="AL50" s="128" t="e">
        <f t="shared" si="27"/>
        <v>#REF!</v>
      </c>
      <c r="AM50" s="128" t="e">
        <f t="shared" si="27"/>
        <v>#REF!</v>
      </c>
      <c r="AN50" s="113" t="e">
        <f t="shared" si="28"/>
        <v>#REF!</v>
      </c>
      <c r="AO50" s="128" t="e">
        <f t="shared" si="29"/>
        <v>#REF!</v>
      </c>
      <c r="AP50" s="128" t="e">
        <f t="shared" si="29"/>
        <v>#REF!</v>
      </c>
      <c r="AS50" s="564"/>
      <c r="AT50" s="570"/>
      <c r="AU50" s="109" t="s">
        <v>502</v>
      </c>
      <c r="AV50" s="137">
        <v>1.133352072808598E-2</v>
      </c>
    </row>
    <row r="51" spans="3:48" x14ac:dyDescent="0.45">
      <c r="C51" s="102" t="s">
        <v>541</v>
      </c>
      <c r="D51" s="75" t="s">
        <v>877</v>
      </c>
      <c r="E51" s="128" t="e">
        <f t="shared" si="24"/>
        <v>#REF!</v>
      </c>
      <c r="F51" s="128" t="e">
        <f t="shared" si="25"/>
        <v>#REF!</v>
      </c>
      <c r="G51" s="129"/>
      <c r="H51" s="128" t="e">
        <f>SUMIFS(#REF!,#REF!,$C$44,#REF!,$C$46,#REF!,$C51)</f>
        <v>#REF!</v>
      </c>
      <c r="I51" s="128" t="e">
        <f>SUMIFS(#REF!,#REF!,$C$44,#REF!,$C$46,#REF!,$C51)</f>
        <v>#REF!</v>
      </c>
      <c r="J51" s="128" t="e">
        <f>SUMIFS(#REF!,#REF!,$C$44,#REF!,$C$46,#REF!,$C51)</f>
        <v>#REF!</v>
      </c>
      <c r="K51" s="128" t="e">
        <f>SUMIFS(#REF!,#REF!,$C$44,#REF!,$C$46,#REF!,$C51)</f>
        <v>#REF!</v>
      </c>
      <c r="L51" s="128" t="e">
        <f>SUMIFS(#REF!,#REF!,$C$44,#REF!,$C$46,#REF!,$C51)</f>
        <v>#REF!</v>
      </c>
      <c r="M51" s="128" t="e">
        <f>SUMIFS(#REF!,#REF!,$C$44,#REF!,$C$46,#REF!,$C51)</f>
        <v>#REF!</v>
      </c>
      <c r="N51" s="128" t="e">
        <f>SUMIFS(#REF!,#REF!,$C$44,#REF!,$C$46,#REF!,$C51)</f>
        <v>#REF!</v>
      </c>
      <c r="O51" s="128" t="e">
        <f>SUMIFS(#REF!,#REF!,$C$44,#REF!,$C$46,#REF!,$C51)</f>
        <v>#REF!</v>
      </c>
      <c r="P51" s="128" t="e">
        <f>SUMIFS(#REF!,#REF!,$C$44,#REF!,$C$46,#REF!,$C51)</f>
        <v>#REF!</v>
      </c>
      <c r="Q51" s="128" t="e">
        <f>SUMIFS(#REF!,#REF!,$C$44,#REF!,$C$46,#REF!,$C51)</f>
        <v>#REF!</v>
      </c>
      <c r="R51" s="128" t="e">
        <f>SUMIFS(#REF!,#REF!,$C$44,#REF!,$C$46,#REF!,$C51)</f>
        <v>#REF!</v>
      </c>
      <c r="S51" s="128" t="e">
        <f>SUMIFS(#REF!,#REF!,$C$44,#REF!,$C$46,#REF!,$C51)</f>
        <v>#REF!</v>
      </c>
      <c r="T51" s="128" t="e">
        <f>SUMIFS(#REF!,#REF!,$C$44,#REF!,$C$46,#REF!,$C51)</f>
        <v>#REF!</v>
      </c>
      <c r="U51" s="128" t="e">
        <f>SUMIFS(#REF!,#REF!,$C$44,#REF!,$C$46,#REF!,$C51)</f>
        <v>#REF!</v>
      </c>
      <c r="V51" s="128" t="e">
        <f>SUMIFS(#REF!,#REF!,$C$44,#REF!,$C$46,#REF!,$C51)</f>
        <v>#REF!</v>
      </c>
      <c r="W51" s="128" t="e">
        <f>SUMIFS(#REF!,#REF!,$C$44,#REF!,$C$46,#REF!,$C51)</f>
        <v>#REF!</v>
      </c>
      <c r="X51" s="128" t="e">
        <f>SUMIFS(#REF!,#REF!,$C$44,#REF!,$C$46,#REF!,$C51)</f>
        <v>#REF!</v>
      </c>
      <c r="Y51" s="128" t="e">
        <f>SUMIFS(#REF!,#REF!,$C$44,#REF!,$C$46,#REF!,$C51)</f>
        <v>#REF!</v>
      </c>
      <c r="Z51" s="128" t="e">
        <f>SUMIFS(#REF!,#REF!,$C$44,#REF!,$C$46,#REF!,$C51)</f>
        <v>#REF!</v>
      </c>
      <c r="AA51" s="128" t="e">
        <f>SUMIFS(#REF!,#REF!,$C$44,#REF!,$C$46,#REF!,$C51)</f>
        <v>#REF!</v>
      </c>
      <c r="AB51" s="128" t="e">
        <f>SUMIFS(#REF!,#REF!,$C$44,#REF!,$C$46,#REF!,$C51)</f>
        <v>#REF!</v>
      </c>
      <c r="AC51" s="118"/>
      <c r="AD51" s="70" t="e">
        <f t="shared" si="26"/>
        <v>#REF!</v>
      </c>
      <c r="AE51" s="70" t="e">
        <f t="shared" si="26"/>
        <v>#REF!</v>
      </c>
      <c r="AF51" s="70" t="e">
        <f t="shared" si="26"/>
        <v>#REF!</v>
      </c>
      <c r="AG51" s="70" t="e">
        <f t="shared" si="26"/>
        <v>#REF!</v>
      </c>
      <c r="AH51" s="70" t="e">
        <f t="shared" si="26"/>
        <v>#REF!</v>
      </c>
      <c r="AI51" s="70" t="e">
        <f t="shared" si="26"/>
        <v>#REF!</v>
      </c>
      <c r="AJ51" s="70" t="e">
        <f t="shared" si="26"/>
        <v>#REF!</v>
      </c>
      <c r="AK51" s="118"/>
      <c r="AL51" s="128" t="e">
        <f t="shared" si="27"/>
        <v>#REF!</v>
      </c>
      <c r="AM51" s="128" t="e">
        <f t="shared" si="27"/>
        <v>#REF!</v>
      </c>
      <c r="AN51" s="113" t="e">
        <f t="shared" si="28"/>
        <v>#REF!</v>
      </c>
      <c r="AO51" s="128" t="e">
        <f t="shared" si="29"/>
        <v>#REF!</v>
      </c>
      <c r="AP51" s="128" t="e">
        <f t="shared" si="29"/>
        <v>#REF!</v>
      </c>
      <c r="AS51" s="564"/>
      <c r="AT51" s="570"/>
      <c r="AU51" s="142" t="s">
        <v>890</v>
      </c>
      <c r="AV51" s="141">
        <v>8.2204961563059377E-3</v>
      </c>
    </row>
    <row r="52" spans="3:48" x14ac:dyDescent="0.45">
      <c r="C52" s="102" t="s">
        <v>890</v>
      </c>
      <c r="D52" s="75" t="s">
        <v>877</v>
      </c>
      <c r="E52" s="128" t="e">
        <f t="shared" si="24"/>
        <v>#REF!</v>
      </c>
      <c r="F52" s="128" t="e">
        <f t="shared" si="25"/>
        <v>#REF!</v>
      </c>
      <c r="G52" s="129"/>
      <c r="H52" s="128" t="e">
        <f>SUMIFS(#REF!,#REF!,$C$44,#REF!,$C$46,#REF!,$C52)</f>
        <v>#REF!</v>
      </c>
      <c r="I52" s="128" t="e">
        <f>SUMIFS(#REF!,#REF!,$C$44,#REF!,$C$46,#REF!,$C52)</f>
        <v>#REF!</v>
      </c>
      <c r="J52" s="128" t="e">
        <f>SUMIFS(#REF!,#REF!,$C$44,#REF!,$C$46,#REF!,$C52)</f>
        <v>#REF!</v>
      </c>
      <c r="K52" s="128" t="e">
        <f>SUMIFS(#REF!,#REF!,$C$44,#REF!,$C$46,#REF!,$C52)</f>
        <v>#REF!</v>
      </c>
      <c r="L52" s="128" t="e">
        <f>SUMIFS(#REF!,#REF!,$C$44,#REF!,$C$46,#REF!,$C52)</f>
        <v>#REF!</v>
      </c>
      <c r="M52" s="128" t="e">
        <f>SUMIFS(#REF!,#REF!,$C$44,#REF!,$C$46,#REF!,$C52)</f>
        <v>#REF!</v>
      </c>
      <c r="N52" s="128" t="e">
        <f>SUMIFS(#REF!,#REF!,$C$44,#REF!,$C$46,#REF!,$C52)</f>
        <v>#REF!</v>
      </c>
      <c r="O52" s="128" t="e">
        <f>SUMIFS(#REF!,#REF!,$C$44,#REF!,$C$46,#REF!,$C52)</f>
        <v>#REF!</v>
      </c>
      <c r="P52" s="128" t="e">
        <f>SUMIFS(#REF!,#REF!,$C$44,#REF!,$C$46,#REF!,$C52)</f>
        <v>#REF!</v>
      </c>
      <c r="Q52" s="128" t="e">
        <f>SUMIFS(#REF!,#REF!,$C$44,#REF!,$C$46,#REF!,$C52)</f>
        <v>#REF!</v>
      </c>
      <c r="R52" s="128" t="e">
        <f>SUMIFS(#REF!,#REF!,$C$44,#REF!,$C$46,#REF!,$C52)</f>
        <v>#REF!</v>
      </c>
      <c r="S52" s="128" t="e">
        <f>SUMIFS(#REF!,#REF!,$C$44,#REF!,$C$46,#REF!,$C52)</f>
        <v>#REF!</v>
      </c>
      <c r="T52" s="128" t="e">
        <f>SUMIFS(#REF!,#REF!,$C$44,#REF!,$C$46,#REF!,$C52)</f>
        <v>#REF!</v>
      </c>
      <c r="U52" s="128" t="e">
        <f>SUMIFS(#REF!,#REF!,$C$44,#REF!,$C$46,#REF!,$C52)</f>
        <v>#REF!</v>
      </c>
      <c r="V52" s="128" t="e">
        <f>SUMIFS(#REF!,#REF!,$C$44,#REF!,$C$46,#REF!,$C52)</f>
        <v>#REF!</v>
      </c>
      <c r="W52" s="128" t="e">
        <f>SUMIFS(#REF!,#REF!,$C$44,#REF!,$C$46,#REF!,$C52)</f>
        <v>#REF!</v>
      </c>
      <c r="X52" s="128" t="e">
        <f>SUMIFS(#REF!,#REF!,$C$44,#REF!,$C$46,#REF!,$C52)</f>
        <v>#REF!</v>
      </c>
      <c r="Y52" s="128" t="e">
        <f>SUMIFS(#REF!,#REF!,$C$44,#REF!,$C$46,#REF!,$C52)</f>
        <v>#REF!</v>
      </c>
      <c r="Z52" s="128" t="e">
        <f>SUMIFS(#REF!,#REF!,$C$44,#REF!,$C$46,#REF!,$C52)</f>
        <v>#REF!</v>
      </c>
      <c r="AA52" s="128" t="e">
        <f>SUMIFS(#REF!,#REF!,$C$44,#REF!,$C$46,#REF!,$C52)</f>
        <v>#REF!</v>
      </c>
      <c r="AB52" s="128" t="e">
        <f>SUMIFS(#REF!,#REF!,$C$44,#REF!,$C$46,#REF!,$C52)</f>
        <v>#REF!</v>
      </c>
      <c r="AC52" s="118"/>
      <c r="AD52" s="70" t="e">
        <f t="shared" si="26"/>
        <v>#REF!</v>
      </c>
      <c r="AE52" s="70" t="e">
        <f t="shared" si="26"/>
        <v>#REF!</v>
      </c>
      <c r="AF52" s="70" t="e">
        <f t="shared" si="26"/>
        <v>#REF!</v>
      </c>
      <c r="AG52" s="70" t="e">
        <f t="shared" si="26"/>
        <v>#REF!</v>
      </c>
      <c r="AH52" s="70" t="e">
        <f t="shared" si="26"/>
        <v>#REF!</v>
      </c>
      <c r="AI52" s="70" t="e">
        <f t="shared" si="26"/>
        <v>#REF!</v>
      </c>
      <c r="AJ52" s="70" t="e">
        <f t="shared" si="26"/>
        <v>#REF!</v>
      </c>
      <c r="AK52" s="118"/>
      <c r="AL52" s="128" t="e">
        <f t="shared" si="27"/>
        <v>#REF!</v>
      </c>
      <c r="AM52" s="128" t="e">
        <f t="shared" si="27"/>
        <v>#REF!</v>
      </c>
      <c r="AN52" s="113" t="e">
        <f t="shared" si="28"/>
        <v>#REF!</v>
      </c>
      <c r="AO52" s="128" t="e">
        <f t="shared" si="29"/>
        <v>#REF!</v>
      </c>
      <c r="AP52" s="128" t="e">
        <f t="shared" si="29"/>
        <v>#REF!</v>
      </c>
      <c r="AS52" s="564"/>
      <c r="AT52" s="570"/>
      <c r="AU52" s="109" t="s">
        <v>891</v>
      </c>
      <c r="AV52" s="137">
        <v>4.4875605819946398E-3</v>
      </c>
    </row>
    <row r="53" spans="3:48" x14ac:dyDescent="0.45">
      <c r="C53" s="102" t="s">
        <v>888</v>
      </c>
      <c r="D53" s="75" t="s">
        <v>877</v>
      </c>
      <c r="E53" s="128" t="e">
        <f t="shared" si="24"/>
        <v>#REF!</v>
      </c>
      <c r="F53" s="128" t="e">
        <f t="shared" si="25"/>
        <v>#REF!</v>
      </c>
      <c r="G53" s="129"/>
      <c r="H53" s="128" t="e">
        <f>SUMIFS(#REF!,#REF!,$C$44,#REF!,$C$46,#REF!,$C53)</f>
        <v>#REF!</v>
      </c>
      <c r="I53" s="128" t="e">
        <f>SUMIFS(#REF!,#REF!,$C$44,#REF!,$C$46,#REF!,$C53)</f>
        <v>#REF!</v>
      </c>
      <c r="J53" s="128" t="e">
        <f>SUMIFS(#REF!,#REF!,$C$44,#REF!,$C$46,#REF!,$C53)</f>
        <v>#REF!</v>
      </c>
      <c r="K53" s="128" t="e">
        <f>SUMIFS(#REF!,#REF!,$C$44,#REF!,$C$46,#REF!,$C53)</f>
        <v>#REF!</v>
      </c>
      <c r="L53" s="128" t="e">
        <f>SUMIFS(#REF!,#REF!,$C$44,#REF!,$C$46,#REF!,$C53)</f>
        <v>#REF!</v>
      </c>
      <c r="M53" s="128" t="e">
        <f>SUMIFS(#REF!,#REF!,$C$44,#REF!,$C$46,#REF!,$C53)</f>
        <v>#REF!</v>
      </c>
      <c r="N53" s="146" t="e">
        <f>SUMIFS(#REF!,#REF!,$C$44,#REF!,$C$46,#REF!,$C53)</f>
        <v>#REF!</v>
      </c>
      <c r="O53" s="128" t="e">
        <f>SUMIFS(#REF!,#REF!,$C$44,#REF!,$C$46,#REF!,$C53)</f>
        <v>#REF!</v>
      </c>
      <c r="P53" s="128" t="e">
        <f>SUMIFS(#REF!,#REF!,$C$44,#REF!,$C$46,#REF!,$C53)</f>
        <v>#REF!</v>
      </c>
      <c r="Q53" s="128" t="e">
        <f>SUMIFS(#REF!,#REF!,$C$44,#REF!,$C$46,#REF!,$C53)</f>
        <v>#REF!</v>
      </c>
      <c r="R53" s="128" t="e">
        <f>SUMIFS(#REF!,#REF!,$C$44,#REF!,$C$46,#REF!,$C53)</f>
        <v>#REF!</v>
      </c>
      <c r="S53" s="146" t="e">
        <f>SUMIFS(#REF!,#REF!,$C$44,#REF!,$C$46,#REF!,$C53)</f>
        <v>#REF!</v>
      </c>
      <c r="T53" s="128" t="e">
        <f>SUMIFS(#REF!,#REF!,$C$44,#REF!,$C$46,#REF!,$C53)</f>
        <v>#REF!</v>
      </c>
      <c r="U53" s="128" t="e">
        <f>SUMIFS(#REF!,#REF!,$C$44,#REF!,$C$46,#REF!,$C53)</f>
        <v>#REF!</v>
      </c>
      <c r="V53" s="128" t="e">
        <f>SUMIFS(#REF!,#REF!,$C$44,#REF!,$C$46,#REF!,$C53)</f>
        <v>#REF!</v>
      </c>
      <c r="W53" s="128" t="e">
        <f>SUMIFS(#REF!,#REF!,$C$44,#REF!,$C$46,#REF!,$C53)</f>
        <v>#REF!</v>
      </c>
      <c r="X53" s="128" t="e">
        <f>SUMIFS(#REF!,#REF!,$C$44,#REF!,$C$46,#REF!,$C53)</f>
        <v>#REF!</v>
      </c>
      <c r="Y53" s="128" t="e">
        <f>SUMIFS(#REF!,#REF!,$C$44,#REF!,$C$46,#REF!,$C53)</f>
        <v>#REF!</v>
      </c>
      <c r="Z53" s="128" t="e">
        <f>SUMIFS(#REF!,#REF!,$C$44,#REF!,$C$46,#REF!,$C53)</f>
        <v>#REF!</v>
      </c>
      <c r="AA53" s="128" t="e">
        <f>SUMIFS(#REF!,#REF!,$C$44,#REF!,$C$46,#REF!,$C53)</f>
        <v>#REF!</v>
      </c>
      <c r="AB53" s="128" t="e">
        <f>SUMIFS(#REF!,#REF!,$C$44,#REF!,$C$46,#REF!,$C53)</f>
        <v>#REF!</v>
      </c>
      <c r="AC53" s="118"/>
      <c r="AD53" s="70" t="e">
        <f t="shared" si="26"/>
        <v>#REF!</v>
      </c>
      <c r="AE53" s="70" t="e">
        <f t="shared" si="26"/>
        <v>#REF!</v>
      </c>
      <c r="AF53" s="70" t="e">
        <f t="shared" si="26"/>
        <v>#REF!</v>
      </c>
      <c r="AG53" s="70" t="e">
        <f t="shared" si="26"/>
        <v>#REF!</v>
      </c>
      <c r="AH53" s="70" t="e">
        <f t="shared" si="26"/>
        <v>#REF!</v>
      </c>
      <c r="AI53" s="70" t="e">
        <f t="shared" si="26"/>
        <v>#REF!</v>
      </c>
      <c r="AJ53" s="70" t="e">
        <f t="shared" si="26"/>
        <v>#REF!</v>
      </c>
      <c r="AK53" s="118"/>
      <c r="AL53" s="128" t="e">
        <f t="shared" si="27"/>
        <v>#REF!</v>
      </c>
      <c r="AM53" s="128" t="e">
        <f t="shared" si="27"/>
        <v>#REF!</v>
      </c>
      <c r="AN53" s="113" t="e">
        <f t="shared" si="28"/>
        <v>#REF!</v>
      </c>
      <c r="AO53" s="128" t="e">
        <f t="shared" si="29"/>
        <v>#REF!</v>
      </c>
      <c r="AP53" s="128" t="e">
        <f t="shared" si="29"/>
        <v>#REF!</v>
      </c>
      <c r="AS53" s="564"/>
      <c r="AT53" s="570"/>
      <c r="AU53" s="142" t="s">
        <v>880</v>
      </c>
      <c r="AV53" s="141">
        <v>2.4015714246848085E-3</v>
      </c>
    </row>
    <row r="54" spans="3:48" x14ac:dyDescent="0.45">
      <c r="C54" s="102" t="s">
        <v>535</v>
      </c>
      <c r="D54" s="75" t="s">
        <v>877</v>
      </c>
      <c r="E54" s="128" t="e">
        <f t="shared" si="24"/>
        <v>#REF!</v>
      </c>
      <c r="F54" s="128" t="e">
        <f t="shared" si="25"/>
        <v>#REF!</v>
      </c>
      <c r="G54" s="129"/>
      <c r="H54" s="128" t="e">
        <f>SUMIFS(#REF!,#REF!,$C$44,#REF!,$C$46,#REF!,$C54)</f>
        <v>#REF!</v>
      </c>
      <c r="I54" s="128" t="e">
        <f>SUMIFS(#REF!,#REF!,$C$44,#REF!,$C$46,#REF!,$C54)</f>
        <v>#REF!</v>
      </c>
      <c r="J54" s="128" t="e">
        <f>SUMIFS(#REF!,#REF!,$C$44,#REF!,$C$46,#REF!,$C54)</f>
        <v>#REF!</v>
      </c>
      <c r="K54" s="128" t="e">
        <f>SUMIFS(#REF!,#REF!,$C$44,#REF!,$C$46,#REF!,$C54)</f>
        <v>#REF!</v>
      </c>
      <c r="L54" s="128" t="e">
        <f>SUMIFS(#REF!,#REF!,$C$44,#REF!,$C$46,#REF!,$C54)</f>
        <v>#REF!</v>
      </c>
      <c r="M54" s="128" t="e">
        <f>SUMIFS(#REF!,#REF!,$C$44,#REF!,$C$46,#REF!,$C54)</f>
        <v>#REF!</v>
      </c>
      <c r="N54" s="128" t="e">
        <f>SUMIFS(#REF!,#REF!,$C$44,#REF!,$C$46,#REF!,$C54)</f>
        <v>#REF!</v>
      </c>
      <c r="O54" s="128" t="e">
        <f>SUMIFS(#REF!,#REF!,$C$44,#REF!,$C$46,#REF!,$C54)</f>
        <v>#REF!</v>
      </c>
      <c r="P54" s="128" t="e">
        <f>SUMIFS(#REF!,#REF!,$C$44,#REF!,$C$46,#REF!,$C54)</f>
        <v>#REF!</v>
      </c>
      <c r="Q54" s="128" t="e">
        <f>SUMIFS(#REF!,#REF!,$C$44,#REF!,$C$46,#REF!,$C54)</f>
        <v>#REF!</v>
      </c>
      <c r="R54" s="128" t="e">
        <f>SUMIFS(#REF!,#REF!,$C$44,#REF!,$C$46,#REF!,$C54)</f>
        <v>#REF!</v>
      </c>
      <c r="S54" s="128" t="e">
        <f>SUMIFS(#REF!,#REF!,$C$44,#REF!,$C$46,#REF!,$C54)</f>
        <v>#REF!</v>
      </c>
      <c r="T54" s="128" t="e">
        <f>SUMIFS(#REF!,#REF!,$C$44,#REF!,$C$46,#REF!,$C54)</f>
        <v>#REF!</v>
      </c>
      <c r="U54" s="128" t="e">
        <f>SUMIFS(#REF!,#REF!,$C$44,#REF!,$C$46,#REF!,$C54)</f>
        <v>#REF!</v>
      </c>
      <c r="V54" s="128" t="e">
        <f>SUMIFS(#REF!,#REF!,$C$44,#REF!,$C$46,#REF!,$C54)</f>
        <v>#REF!</v>
      </c>
      <c r="W54" s="128" t="e">
        <f>SUMIFS(#REF!,#REF!,$C$44,#REF!,$C$46,#REF!,$C54)</f>
        <v>#REF!</v>
      </c>
      <c r="X54" s="128" t="e">
        <f>SUMIFS(#REF!,#REF!,$C$44,#REF!,$C$46,#REF!,$C54)</f>
        <v>#REF!</v>
      </c>
      <c r="Y54" s="128" t="e">
        <f>SUMIFS(#REF!,#REF!,$C$44,#REF!,$C$46,#REF!,$C54)</f>
        <v>#REF!</v>
      </c>
      <c r="Z54" s="128" t="e">
        <f>SUMIFS(#REF!,#REF!,$C$44,#REF!,$C$46,#REF!,$C54)</f>
        <v>#REF!</v>
      </c>
      <c r="AA54" s="128" t="e">
        <f>SUMIFS(#REF!,#REF!,$C$44,#REF!,$C$46,#REF!,$C54)</f>
        <v>#REF!</v>
      </c>
      <c r="AB54" s="128" t="e">
        <f>SUMIFS(#REF!,#REF!,$C$44,#REF!,$C$46,#REF!,$C54)</f>
        <v>#REF!</v>
      </c>
      <c r="AC54" s="118"/>
      <c r="AD54" s="70" t="e">
        <f t="shared" si="26"/>
        <v>#REF!</v>
      </c>
      <c r="AE54" s="70" t="e">
        <f t="shared" si="26"/>
        <v>#REF!</v>
      </c>
      <c r="AF54" s="70" t="e">
        <f t="shared" si="26"/>
        <v>#REF!</v>
      </c>
      <c r="AG54" s="70" t="e">
        <f t="shared" si="26"/>
        <v>#REF!</v>
      </c>
      <c r="AH54" s="70" t="e">
        <f t="shared" si="26"/>
        <v>#REF!</v>
      </c>
      <c r="AI54" s="70" t="e">
        <f t="shared" si="26"/>
        <v>#REF!</v>
      </c>
      <c r="AJ54" s="70" t="e">
        <f t="shared" si="26"/>
        <v>#REF!</v>
      </c>
      <c r="AK54" s="118"/>
      <c r="AL54" s="128" t="e">
        <f t="shared" si="27"/>
        <v>#REF!</v>
      </c>
      <c r="AM54" s="128" t="e">
        <f t="shared" si="27"/>
        <v>#REF!</v>
      </c>
      <c r="AN54" s="113" t="e">
        <f t="shared" si="28"/>
        <v>#REF!</v>
      </c>
      <c r="AO54" s="128" t="e">
        <f t="shared" si="29"/>
        <v>#REF!</v>
      </c>
      <c r="AP54" s="128" t="e">
        <f t="shared" si="29"/>
        <v>#REF!</v>
      </c>
      <c r="AS54" s="565"/>
      <c r="AT54" s="571"/>
      <c r="AU54" s="109" t="s">
        <v>535</v>
      </c>
      <c r="AV54" s="137">
        <v>7.4148273396556965E-4</v>
      </c>
    </row>
    <row r="55" spans="3:48" ht="12.75" customHeight="1" x14ac:dyDescent="0.45">
      <c r="C55" s="102" t="s">
        <v>891</v>
      </c>
      <c r="D55" s="75" t="s">
        <v>877</v>
      </c>
      <c r="E55" s="128" t="e">
        <f t="shared" si="24"/>
        <v>#REF!</v>
      </c>
      <c r="F55" s="128" t="e">
        <f t="shared" si="25"/>
        <v>#REF!</v>
      </c>
      <c r="G55" s="129"/>
      <c r="H55" s="128" t="e">
        <f>SUMIFS(#REF!,#REF!,$C$44,#REF!,$C$46,#REF!,$C55)</f>
        <v>#REF!</v>
      </c>
      <c r="I55" s="128" t="e">
        <f>SUMIFS(#REF!,#REF!,$C$44,#REF!,$C$46,#REF!,$C55)</f>
        <v>#REF!</v>
      </c>
      <c r="J55" s="128" t="e">
        <f>SUMIFS(#REF!,#REF!,$C$44,#REF!,$C$46,#REF!,$C55)</f>
        <v>#REF!</v>
      </c>
      <c r="K55" s="128" t="e">
        <f>SUMIFS(#REF!,#REF!,$C$44,#REF!,$C$46,#REF!,$C55)</f>
        <v>#REF!</v>
      </c>
      <c r="L55" s="128" t="e">
        <f>SUMIFS(#REF!,#REF!,$C$44,#REF!,$C$46,#REF!,$C55)</f>
        <v>#REF!</v>
      </c>
      <c r="M55" s="128" t="e">
        <f>SUMIFS(#REF!,#REF!,$C$44,#REF!,$C$46,#REF!,$C55)</f>
        <v>#REF!</v>
      </c>
      <c r="N55" s="128" t="e">
        <f>SUMIFS(#REF!,#REF!,$C$44,#REF!,$C$46,#REF!,$C55)</f>
        <v>#REF!</v>
      </c>
      <c r="O55" s="128" t="e">
        <f>SUMIFS(#REF!,#REF!,$C$44,#REF!,$C$46,#REF!,$C55)</f>
        <v>#REF!</v>
      </c>
      <c r="P55" s="128" t="e">
        <f>SUMIFS(#REF!,#REF!,$C$44,#REF!,$C$46,#REF!,$C55)</f>
        <v>#REF!</v>
      </c>
      <c r="Q55" s="128" t="e">
        <f>SUMIFS(#REF!,#REF!,$C$44,#REF!,$C$46,#REF!,$C55)</f>
        <v>#REF!</v>
      </c>
      <c r="R55" s="128" t="e">
        <f>SUMIFS(#REF!,#REF!,$C$44,#REF!,$C$46,#REF!,$C55)</f>
        <v>#REF!</v>
      </c>
      <c r="S55" s="128" t="e">
        <f>SUMIFS(#REF!,#REF!,$C$44,#REF!,$C$46,#REF!,$C55)</f>
        <v>#REF!</v>
      </c>
      <c r="T55" s="128" t="e">
        <f>SUMIFS(#REF!,#REF!,$C$44,#REF!,$C$46,#REF!,$C55)</f>
        <v>#REF!</v>
      </c>
      <c r="U55" s="128" t="e">
        <f>SUMIFS(#REF!,#REF!,$C$44,#REF!,$C$46,#REF!,$C55)</f>
        <v>#REF!</v>
      </c>
      <c r="V55" s="128" t="e">
        <f>SUMIFS(#REF!,#REF!,$C$44,#REF!,$C$46,#REF!,$C55)</f>
        <v>#REF!</v>
      </c>
      <c r="W55" s="128" t="e">
        <f>SUMIFS(#REF!,#REF!,$C$44,#REF!,$C$46,#REF!,$C55)</f>
        <v>#REF!</v>
      </c>
      <c r="X55" s="128" t="e">
        <f>SUMIFS(#REF!,#REF!,$C$44,#REF!,$C$46,#REF!,$C55)</f>
        <v>#REF!</v>
      </c>
      <c r="Y55" s="128" t="e">
        <f>SUMIFS(#REF!,#REF!,$C$44,#REF!,$C$46,#REF!,$C55)</f>
        <v>#REF!</v>
      </c>
      <c r="Z55" s="128" t="e">
        <f>SUMIFS(#REF!,#REF!,$C$44,#REF!,$C$46,#REF!,$C55)</f>
        <v>#REF!</v>
      </c>
      <c r="AA55" s="128" t="e">
        <f>SUMIFS(#REF!,#REF!,$C$44,#REF!,$C$46,#REF!,$C55)</f>
        <v>#REF!</v>
      </c>
      <c r="AB55" s="128" t="e">
        <f>SUMIFS(#REF!,#REF!,$C$44,#REF!,$C$46,#REF!,$C55)</f>
        <v>#REF!</v>
      </c>
      <c r="AC55" s="118"/>
      <c r="AD55" s="70" t="e">
        <f t="shared" si="26"/>
        <v>#REF!</v>
      </c>
      <c r="AE55" s="70" t="e">
        <f t="shared" si="26"/>
        <v>#REF!</v>
      </c>
      <c r="AF55" s="70" t="e">
        <f t="shared" si="26"/>
        <v>#REF!</v>
      </c>
      <c r="AG55" s="70" t="e">
        <f t="shared" si="26"/>
        <v>#REF!</v>
      </c>
      <c r="AH55" s="70" t="e">
        <f t="shared" si="26"/>
        <v>#REF!</v>
      </c>
      <c r="AI55" s="70" t="e">
        <f t="shared" si="26"/>
        <v>#REF!</v>
      </c>
      <c r="AJ55" s="70" t="e">
        <f t="shared" si="26"/>
        <v>#REF!</v>
      </c>
      <c r="AK55" s="118"/>
      <c r="AL55" s="128" t="e">
        <f t="shared" si="27"/>
        <v>#REF!</v>
      </c>
      <c r="AM55" s="128" t="e">
        <f t="shared" si="27"/>
        <v>#REF!</v>
      </c>
      <c r="AN55" s="113" t="e">
        <f t="shared" si="28"/>
        <v>#REF!</v>
      </c>
      <c r="AO55" s="128" t="e">
        <f t="shared" si="29"/>
        <v>#REF!</v>
      </c>
      <c r="AP55" s="128" t="e">
        <f t="shared" si="29"/>
        <v>#REF!</v>
      </c>
      <c r="AS55" s="563" t="s">
        <v>479</v>
      </c>
      <c r="AT55" s="569">
        <f>SUM(AV55:AV57)</f>
        <v>0.30715932864445794</v>
      </c>
      <c r="AU55" s="139" t="s">
        <v>541</v>
      </c>
      <c r="AV55" s="138">
        <v>0.24947270863003801</v>
      </c>
    </row>
    <row r="56" spans="3:48" x14ac:dyDescent="0.45">
      <c r="C56" s="102" t="s">
        <v>502</v>
      </c>
      <c r="D56" s="103" t="s">
        <v>877</v>
      </c>
      <c r="E56" s="128" t="e">
        <f t="shared" si="24"/>
        <v>#REF!</v>
      </c>
      <c r="F56" s="128" t="e">
        <f t="shared" si="25"/>
        <v>#REF!</v>
      </c>
      <c r="G56" s="147"/>
      <c r="H56" s="128" t="e">
        <f>SUMIFS(#REF!,#REF!,$C$44,#REF!,$C$46,#REF!,$C56)</f>
        <v>#REF!</v>
      </c>
      <c r="I56" s="128" t="e">
        <f>SUMIFS(#REF!,#REF!,$C$44,#REF!,$C$46,#REF!,$C56)</f>
        <v>#REF!</v>
      </c>
      <c r="J56" s="128" t="e">
        <f>SUMIFS(#REF!,#REF!,$C$44,#REF!,$C$46,#REF!,$C56)</f>
        <v>#REF!</v>
      </c>
      <c r="K56" s="128" t="e">
        <f>SUMIFS(#REF!,#REF!,$C$44,#REF!,$C$46,#REF!,$C56)</f>
        <v>#REF!</v>
      </c>
      <c r="L56" s="128" t="e">
        <f>SUMIFS(#REF!,#REF!,$C$44,#REF!,$C$46,#REF!,$C56)</f>
        <v>#REF!</v>
      </c>
      <c r="M56" s="128" t="e">
        <f>SUMIFS(#REF!,#REF!,$C$44,#REF!,$C$46,#REF!,$C56)</f>
        <v>#REF!</v>
      </c>
      <c r="N56" s="128" t="e">
        <f>SUMIFS(#REF!,#REF!,$C$44,#REF!,$C$46,#REF!,$C56)</f>
        <v>#REF!</v>
      </c>
      <c r="O56" s="128" t="e">
        <f>SUMIFS(#REF!,#REF!,$C$44,#REF!,$C$46,#REF!,$C56)</f>
        <v>#REF!</v>
      </c>
      <c r="P56" s="128" t="e">
        <f>SUMIFS(#REF!,#REF!,$C$44,#REF!,$C$46,#REF!,$C56)</f>
        <v>#REF!</v>
      </c>
      <c r="Q56" s="128" t="e">
        <f>SUMIFS(#REF!,#REF!,$C$44,#REF!,$C$46,#REF!,$C56)</f>
        <v>#REF!</v>
      </c>
      <c r="R56" s="128" t="e">
        <f>SUMIFS(#REF!,#REF!,$C$44,#REF!,$C$46,#REF!,$C56)</f>
        <v>#REF!</v>
      </c>
      <c r="S56" s="146" t="e">
        <f>SUMIFS(#REF!,#REF!,$C$44,#REF!,$C$46,#REF!,$C56)</f>
        <v>#REF!</v>
      </c>
      <c r="T56" s="128" t="e">
        <f>SUMIFS(#REF!,#REF!,$C$44,#REF!,$C$46,#REF!,$C56)</f>
        <v>#REF!</v>
      </c>
      <c r="U56" s="128" t="e">
        <f>SUMIFS(#REF!,#REF!,$C$44,#REF!,$C$46,#REF!,$C56)</f>
        <v>#REF!</v>
      </c>
      <c r="V56" s="128" t="e">
        <f>SUMIFS(#REF!,#REF!,$C$44,#REF!,$C$46,#REF!,$C56)</f>
        <v>#REF!</v>
      </c>
      <c r="W56" s="128" t="e">
        <f>SUMIFS(#REF!,#REF!,$C$44,#REF!,$C$46,#REF!,$C56)</f>
        <v>#REF!</v>
      </c>
      <c r="X56" s="128" t="e">
        <f>SUMIFS(#REF!,#REF!,$C$44,#REF!,$C$46,#REF!,$C56)</f>
        <v>#REF!</v>
      </c>
      <c r="Y56" s="128" t="e">
        <f>SUMIFS(#REF!,#REF!,$C$44,#REF!,$C$46,#REF!,$C56)</f>
        <v>#REF!</v>
      </c>
      <c r="Z56" s="128" t="e">
        <f>SUMIFS(#REF!,#REF!,$C$44,#REF!,$C$46,#REF!,$C56)</f>
        <v>#REF!</v>
      </c>
      <c r="AA56" s="128" t="e">
        <f>SUMIFS(#REF!,#REF!,$C$44,#REF!,$C$46,#REF!,$C56)</f>
        <v>#REF!</v>
      </c>
      <c r="AB56" s="128" t="e">
        <f>SUMIFS(#REF!,#REF!,$C$44,#REF!,$C$46,#REF!,$C56)</f>
        <v>#REF!</v>
      </c>
      <c r="AC56" s="118"/>
      <c r="AD56" s="70" t="e">
        <f t="shared" si="26"/>
        <v>#REF!</v>
      </c>
      <c r="AE56" s="70" t="e">
        <f t="shared" si="26"/>
        <v>#REF!</v>
      </c>
      <c r="AF56" s="70" t="e">
        <f t="shared" si="26"/>
        <v>#REF!</v>
      </c>
      <c r="AG56" s="70" t="e">
        <f t="shared" si="26"/>
        <v>#REF!</v>
      </c>
      <c r="AH56" s="70" t="e">
        <f t="shared" si="26"/>
        <v>#REF!</v>
      </c>
      <c r="AI56" s="70" t="e">
        <f t="shared" si="26"/>
        <v>#REF!</v>
      </c>
      <c r="AJ56" s="70" t="e">
        <f t="shared" si="26"/>
        <v>#REF!</v>
      </c>
      <c r="AK56" s="118"/>
      <c r="AL56" s="128" t="e">
        <f t="shared" si="27"/>
        <v>#REF!</v>
      </c>
      <c r="AM56" s="128" t="e">
        <f t="shared" si="27"/>
        <v>#REF!</v>
      </c>
      <c r="AN56" s="113" t="e">
        <f t="shared" si="28"/>
        <v>#REF!</v>
      </c>
      <c r="AO56" s="128" t="e">
        <f t="shared" si="29"/>
        <v>#REF!</v>
      </c>
      <c r="AP56" s="128" t="e">
        <f t="shared" si="29"/>
        <v>#REF!</v>
      </c>
      <c r="AR56" s="107"/>
      <c r="AS56" s="564"/>
      <c r="AT56" s="570"/>
      <c r="AU56" s="109" t="s">
        <v>892</v>
      </c>
      <c r="AV56" s="137">
        <v>5.578362263823982E-2</v>
      </c>
    </row>
    <row r="57" spans="3:48" s="107" customFormat="1" x14ac:dyDescent="0.45">
      <c r="C57" s="49" t="s">
        <v>893</v>
      </c>
      <c r="D57" s="124" t="s">
        <v>877</v>
      </c>
      <c r="E57" s="120" t="e">
        <f t="shared" si="24"/>
        <v>#REF!</v>
      </c>
      <c r="F57" s="120" t="e">
        <f t="shared" si="25"/>
        <v>#REF!</v>
      </c>
      <c r="G57" s="120"/>
      <c r="H57" s="120" t="e">
        <f t="shared" ref="H57:AB57" si="30">SUM(H47:H56)</f>
        <v>#REF!</v>
      </c>
      <c r="I57" s="120" t="e">
        <f t="shared" si="30"/>
        <v>#REF!</v>
      </c>
      <c r="J57" s="120" t="e">
        <f t="shared" si="30"/>
        <v>#REF!</v>
      </c>
      <c r="K57" s="120" t="e">
        <f t="shared" si="30"/>
        <v>#REF!</v>
      </c>
      <c r="L57" s="120" t="e">
        <f t="shared" si="30"/>
        <v>#REF!</v>
      </c>
      <c r="M57" s="120" t="e">
        <f t="shared" si="30"/>
        <v>#REF!</v>
      </c>
      <c r="N57" s="120" t="e">
        <f t="shared" si="30"/>
        <v>#REF!</v>
      </c>
      <c r="O57" s="120" t="e">
        <f t="shared" si="30"/>
        <v>#REF!</v>
      </c>
      <c r="P57" s="120" t="e">
        <f t="shared" si="30"/>
        <v>#REF!</v>
      </c>
      <c r="Q57" s="120" t="e">
        <f t="shared" si="30"/>
        <v>#REF!</v>
      </c>
      <c r="R57" s="120" t="e">
        <f t="shared" si="30"/>
        <v>#REF!</v>
      </c>
      <c r="S57" s="120" t="e">
        <f t="shared" si="30"/>
        <v>#REF!</v>
      </c>
      <c r="T57" s="120" t="e">
        <f t="shared" si="30"/>
        <v>#REF!</v>
      </c>
      <c r="U57" s="120" t="e">
        <f t="shared" si="30"/>
        <v>#REF!</v>
      </c>
      <c r="V57" s="120" t="e">
        <f t="shared" si="30"/>
        <v>#REF!</v>
      </c>
      <c r="W57" s="120" t="e">
        <f t="shared" si="30"/>
        <v>#REF!</v>
      </c>
      <c r="X57" s="120" t="e">
        <f t="shared" si="30"/>
        <v>#REF!</v>
      </c>
      <c r="Y57" s="120" t="e">
        <f t="shared" si="30"/>
        <v>#REF!</v>
      </c>
      <c r="Z57" s="120" t="e">
        <f t="shared" si="30"/>
        <v>#REF!</v>
      </c>
      <c r="AA57" s="120" t="e">
        <f t="shared" si="30"/>
        <v>#REF!</v>
      </c>
      <c r="AB57" s="120" t="e">
        <f t="shared" si="30"/>
        <v>#REF!</v>
      </c>
      <c r="AC57" s="118"/>
      <c r="AD57" s="122" t="e">
        <f t="shared" ref="AD57:AJ57" si="31">SUM(AD47:AD56)</f>
        <v>#REF!</v>
      </c>
      <c r="AE57" s="122" t="e">
        <f t="shared" si="31"/>
        <v>#REF!</v>
      </c>
      <c r="AF57" s="122" t="e">
        <f t="shared" si="31"/>
        <v>#REF!</v>
      </c>
      <c r="AG57" s="122" t="e">
        <f t="shared" si="31"/>
        <v>#REF!</v>
      </c>
      <c r="AH57" s="122" t="e">
        <f t="shared" si="31"/>
        <v>#REF!</v>
      </c>
      <c r="AI57" s="122" t="e">
        <f t="shared" si="31"/>
        <v>#REF!</v>
      </c>
      <c r="AJ57" s="122" t="e">
        <f t="shared" si="31"/>
        <v>#REF!</v>
      </c>
      <c r="AK57" s="121"/>
      <c r="AL57" s="120" t="e">
        <f>SUM(AL47:AL56)</f>
        <v>#REF!</v>
      </c>
      <c r="AM57" s="120" t="e">
        <f>SUM(AM47:AM56)</f>
        <v>#REF!</v>
      </c>
      <c r="AN57" s="133"/>
      <c r="AO57" s="120" t="e">
        <f>SUM(AO47:AO56)</f>
        <v>#REF!</v>
      </c>
      <c r="AP57" s="120" t="e">
        <f>SUM(AP47:AP56)</f>
        <v>#REF!</v>
      </c>
      <c r="AR57" s="46"/>
      <c r="AS57" s="565"/>
      <c r="AT57" s="571"/>
      <c r="AU57" s="142" t="s">
        <v>894</v>
      </c>
      <c r="AV57" s="141">
        <v>1.9029973761800828E-3</v>
      </c>
    </row>
    <row r="58" spans="3:48" ht="11.9" customHeight="1" x14ac:dyDescent="0.45">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99"/>
      <c r="AE58" s="99"/>
      <c r="AF58" s="99"/>
      <c r="AG58" s="99"/>
      <c r="AH58" s="99"/>
      <c r="AI58" s="99"/>
      <c r="AJ58" s="99"/>
      <c r="AK58" s="118"/>
      <c r="AL58" s="125"/>
      <c r="AM58" s="125"/>
      <c r="AN58" s="132"/>
      <c r="AO58" s="125"/>
      <c r="AP58" s="125"/>
      <c r="AS58" s="563" t="s">
        <v>505</v>
      </c>
      <c r="AT58" s="569">
        <f>SUM(AV58:AV58)</f>
        <v>4.978591195120867E-2</v>
      </c>
      <c r="AU58" s="144" t="s">
        <v>895</v>
      </c>
      <c r="AV58" s="143">
        <v>4.978591195120867E-2</v>
      </c>
    </row>
    <row r="59" spans="3:48" x14ac:dyDescent="0.45">
      <c r="C59" s="68" t="s">
        <v>479</v>
      </c>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99"/>
      <c r="AE59" s="99"/>
      <c r="AF59" s="99"/>
      <c r="AG59" s="99"/>
      <c r="AH59" s="99"/>
      <c r="AI59" s="99"/>
      <c r="AJ59" s="99"/>
      <c r="AK59" s="118"/>
      <c r="AL59" s="125"/>
      <c r="AM59" s="125"/>
      <c r="AN59" s="132"/>
      <c r="AO59" s="125"/>
      <c r="AP59" s="125"/>
      <c r="AS59" s="565"/>
      <c r="AT59" s="571"/>
      <c r="AU59" s="142" t="s">
        <v>541</v>
      </c>
      <c r="AV59" s="145">
        <v>1.6177890797161828E-3</v>
      </c>
    </row>
    <row r="60" spans="3:48" ht="12.75" customHeight="1" x14ac:dyDescent="0.45">
      <c r="C60" s="106" t="s">
        <v>541</v>
      </c>
      <c r="D60" s="105" t="s">
        <v>877</v>
      </c>
      <c r="E60" s="130" t="e">
        <f>AVERAGE(H60:AC60)</f>
        <v>#REF!</v>
      </c>
      <c r="F60" s="130" t="e">
        <f>SUM(H60:AC60)</f>
        <v>#REF!</v>
      </c>
      <c r="G60" s="131"/>
      <c r="H60" s="130" t="e">
        <f>SUMIFS(#REF!,#REF!,$C$44,#REF!,$C$59,#REF!,$C60)</f>
        <v>#REF!</v>
      </c>
      <c r="I60" s="130" t="e">
        <f>SUMIFS(#REF!,#REF!,$C$44,#REF!,$C$59,#REF!,$C60)</f>
        <v>#REF!</v>
      </c>
      <c r="J60" s="130" t="e">
        <f>SUMIFS(#REF!,#REF!,$C$44,#REF!,$C$59,#REF!,$C60)</f>
        <v>#REF!</v>
      </c>
      <c r="K60" s="130" t="e">
        <f>SUMIFS(#REF!,#REF!,$C$44,#REF!,$C$59,#REF!,$C60)</f>
        <v>#REF!</v>
      </c>
      <c r="L60" s="130" t="e">
        <f>SUMIFS(#REF!,#REF!,$C$44,#REF!,$C$59,#REF!,$C60)</f>
        <v>#REF!</v>
      </c>
      <c r="M60" s="130" t="e">
        <f>SUMIFS(#REF!,#REF!,$C$44,#REF!,$C$59,#REF!,$C60)</f>
        <v>#REF!</v>
      </c>
      <c r="N60" s="130" t="e">
        <f>SUMIFS(#REF!,#REF!,$C$44,#REF!,$C$59,#REF!,$C60)</f>
        <v>#REF!</v>
      </c>
      <c r="O60" s="130" t="e">
        <f>SUMIFS(#REF!,#REF!,$C$44,#REF!,$C$59,#REF!,$C60)</f>
        <v>#REF!</v>
      </c>
      <c r="P60" s="130" t="e">
        <f>SUMIFS(#REF!,#REF!,$C$44,#REF!,$C$59,#REF!,$C60)</f>
        <v>#REF!</v>
      </c>
      <c r="Q60" s="130" t="e">
        <f>SUMIFS(#REF!,#REF!,$C$44,#REF!,$C$59,#REF!,$C60)</f>
        <v>#REF!</v>
      </c>
      <c r="R60" s="130" t="e">
        <f>SUMIFS(#REF!,#REF!,$C$44,#REF!,$C$59,#REF!,$C60)</f>
        <v>#REF!</v>
      </c>
      <c r="S60" s="130" t="e">
        <f>SUMIFS(#REF!,#REF!,$C$44,#REF!,$C$59,#REF!,$C60)</f>
        <v>#REF!</v>
      </c>
      <c r="T60" s="130" t="e">
        <f>SUMIFS(#REF!,#REF!,$C$44,#REF!,$C$59,#REF!,$C60)</f>
        <v>#REF!</v>
      </c>
      <c r="U60" s="130" t="e">
        <f>SUMIFS(#REF!,#REF!,$C$44,#REF!,$C$59,#REF!,$C60)</f>
        <v>#REF!</v>
      </c>
      <c r="V60" s="130" t="e">
        <f>SUMIFS(#REF!,#REF!,$C$44,#REF!,$C$59,#REF!,$C60)</f>
        <v>#REF!</v>
      </c>
      <c r="W60" s="130" t="e">
        <f>SUMIFS(#REF!,#REF!,$C$44,#REF!,$C$59,#REF!,$C60)</f>
        <v>#REF!</v>
      </c>
      <c r="X60" s="130" t="e">
        <f>SUMIFS(#REF!,#REF!,$C$44,#REF!,$C$59,#REF!,$C60)</f>
        <v>#REF!</v>
      </c>
      <c r="Y60" s="130" t="e">
        <f>SUMIFS(#REF!,#REF!,$C$44,#REF!,$C$59,#REF!,$C60)</f>
        <v>#REF!</v>
      </c>
      <c r="Z60" s="130" t="e">
        <f>SUMIFS(#REF!,#REF!,$C$44,#REF!,$C$59,#REF!,$C60)</f>
        <v>#REF!</v>
      </c>
      <c r="AA60" s="130" t="e">
        <f>SUMIFS(#REF!,#REF!,$C$44,#REF!,$C$59,#REF!,$C60)</f>
        <v>#REF!</v>
      </c>
      <c r="AB60" s="130" t="e">
        <f>SUMIFS(#REF!,#REF!,$C$44,#REF!,$C$59,#REF!,$C60)</f>
        <v>#REF!</v>
      </c>
      <c r="AC60" s="118"/>
      <c r="AD60" s="110" t="e">
        <f t="shared" ref="AD60:AJ63" si="32">+SUMIFS($E60:$AC60,$E$9:$AC$9,AD$9,$E$8:$AC$8,AD$8)</f>
        <v>#REF!</v>
      </c>
      <c r="AE60" s="110" t="e">
        <f t="shared" si="32"/>
        <v>#REF!</v>
      </c>
      <c r="AF60" s="110" t="e">
        <f t="shared" si="32"/>
        <v>#REF!</v>
      </c>
      <c r="AG60" s="110" t="e">
        <f t="shared" si="32"/>
        <v>#REF!</v>
      </c>
      <c r="AH60" s="110" t="e">
        <f t="shared" si="32"/>
        <v>#REF!</v>
      </c>
      <c r="AI60" s="110" t="e">
        <f t="shared" si="32"/>
        <v>#REF!</v>
      </c>
      <c r="AJ60" s="110" t="e">
        <f t="shared" si="32"/>
        <v>#REF!</v>
      </c>
      <c r="AK60" s="118"/>
      <c r="AL60" s="130" t="e">
        <f t="shared" ref="AL60:AM63" si="33">+SUMIF($E$8:$AC$8,AL$8,$E60:$AC60)</f>
        <v>#REF!</v>
      </c>
      <c r="AM60" s="130" t="e">
        <f t="shared" si="33"/>
        <v>#REF!</v>
      </c>
      <c r="AN60" s="113" t="e">
        <f>AM60/$AM$91</f>
        <v>#REF!</v>
      </c>
      <c r="AO60" s="130" t="e">
        <f t="shared" ref="AO60:AP63" si="34">+SUMIF($E$8:$AC$8,AO$8,$E60:$AC60)</f>
        <v>#REF!</v>
      </c>
      <c r="AP60" s="130" t="e">
        <f t="shared" si="34"/>
        <v>#REF!</v>
      </c>
      <c r="AS60" s="563" t="s">
        <v>499</v>
      </c>
      <c r="AT60" s="569">
        <f>SUM(AV60:AV61)</f>
        <v>1.3426431325053622E-2</v>
      </c>
      <c r="AU60" s="144" t="s">
        <v>896</v>
      </c>
      <c r="AV60" s="143">
        <v>9.5007029444937868E-3</v>
      </c>
    </row>
    <row r="61" spans="3:48" x14ac:dyDescent="0.45">
      <c r="C61" s="102" t="s">
        <v>892</v>
      </c>
      <c r="D61" s="75" t="s">
        <v>877</v>
      </c>
      <c r="E61" s="128" t="e">
        <f>AVERAGE(H61:AC61)</f>
        <v>#REF!</v>
      </c>
      <c r="F61" s="128" t="e">
        <f>SUM(H61:AC61)</f>
        <v>#REF!</v>
      </c>
      <c r="G61" s="129"/>
      <c r="H61" s="128" t="e">
        <f>SUMIFS(#REF!,#REF!,$C$44,#REF!,$C$59,#REF!,$C61)</f>
        <v>#REF!</v>
      </c>
      <c r="I61" s="128" t="e">
        <f>SUMIFS(#REF!,#REF!,$C$44,#REF!,$C$59,#REF!,$C61)</f>
        <v>#REF!</v>
      </c>
      <c r="J61" s="128" t="e">
        <f>SUMIFS(#REF!,#REF!,$C$44,#REF!,$C$59,#REF!,$C61)</f>
        <v>#REF!</v>
      </c>
      <c r="K61" s="128" t="e">
        <f>SUMIFS(#REF!,#REF!,$C$44,#REF!,$C$59,#REF!,$C61)</f>
        <v>#REF!</v>
      </c>
      <c r="L61" s="128" t="e">
        <f>SUMIFS(#REF!,#REF!,$C$44,#REF!,$C$59,#REF!,$C61)</f>
        <v>#REF!</v>
      </c>
      <c r="M61" s="128" t="e">
        <f>SUMIFS(#REF!,#REF!,$C$44,#REF!,$C$59,#REF!,$C61)</f>
        <v>#REF!</v>
      </c>
      <c r="N61" s="128" t="e">
        <f>SUMIFS(#REF!,#REF!,$C$44,#REF!,$C$59,#REF!,$C61)</f>
        <v>#REF!</v>
      </c>
      <c r="O61" s="128" t="e">
        <f>SUMIFS(#REF!,#REF!,$C$44,#REF!,$C$59,#REF!,$C61)</f>
        <v>#REF!</v>
      </c>
      <c r="P61" s="128" t="e">
        <f>SUMIFS(#REF!,#REF!,$C$44,#REF!,$C$59,#REF!,$C61)</f>
        <v>#REF!</v>
      </c>
      <c r="Q61" s="128" t="e">
        <f>SUMIFS(#REF!,#REF!,$C$44,#REF!,$C$59,#REF!,$C61)</f>
        <v>#REF!</v>
      </c>
      <c r="R61" s="128" t="e">
        <f>SUMIFS(#REF!,#REF!,$C$44,#REF!,$C$59,#REF!,$C61)</f>
        <v>#REF!</v>
      </c>
      <c r="S61" s="128" t="e">
        <f>SUMIFS(#REF!,#REF!,$C$44,#REF!,$C$59,#REF!,$C61)</f>
        <v>#REF!</v>
      </c>
      <c r="T61" s="128" t="e">
        <f>SUMIFS(#REF!,#REF!,$C$44,#REF!,$C$59,#REF!,$C61)</f>
        <v>#REF!</v>
      </c>
      <c r="U61" s="128" t="e">
        <f>SUMIFS(#REF!,#REF!,$C$44,#REF!,$C$59,#REF!,$C61)</f>
        <v>#REF!</v>
      </c>
      <c r="V61" s="128" t="e">
        <f>SUMIFS(#REF!,#REF!,$C$44,#REF!,$C$59,#REF!,$C61)</f>
        <v>#REF!</v>
      </c>
      <c r="W61" s="128" t="e">
        <f>SUMIFS(#REF!,#REF!,$C$44,#REF!,$C$59,#REF!,$C61)</f>
        <v>#REF!</v>
      </c>
      <c r="X61" s="128" t="e">
        <f>SUMIFS(#REF!,#REF!,$C$44,#REF!,$C$59,#REF!,$C61)</f>
        <v>#REF!</v>
      </c>
      <c r="Y61" s="128" t="e">
        <f>SUMIFS(#REF!,#REF!,$C$44,#REF!,$C$59,#REF!,$C61)</f>
        <v>#REF!</v>
      </c>
      <c r="Z61" s="128" t="e">
        <f>SUMIFS(#REF!,#REF!,$C$44,#REF!,$C$59,#REF!,$C61)</f>
        <v>#REF!</v>
      </c>
      <c r="AA61" s="128" t="e">
        <f>SUMIFS(#REF!,#REF!,$C$44,#REF!,$C$59,#REF!,$C61)</f>
        <v>#REF!</v>
      </c>
      <c r="AB61" s="128" t="e">
        <f>SUMIFS(#REF!,#REF!,$C$44,#REF!,$C$59,#REF!,$C61)</f>
        <v>#REF!</v>
      </c>
      <c r="AC61" s="118"/>
      <c r="AD61" s="70" t="e">
        <f t="shared" si="32"/>
        <v>#REF!</v>
      </c>
      <c r="AE61" s="70" t="e">
        <f t="shared" si="32"/>
        <v>#REF!</v>
      </c>
      <c r="AF61" s="70" t="e">
        <f t="shared" si="32"/>
        <v>#REF!</v>
      </c>
      <c r="AG61" s="70" t="e">
        <f t="shared" si="32"/>
        <v>#REF!</v>
      </c>
      <c r="AH61" s="70" t="e">
        <f t="shared" si="32"/>
        <v>#REF!</v>
      </c>
      <c r="AI61" s="70" t="e">
        <f t="shared" si="32"/>
        <v>#REF!</v>
      </c>
      <c r="AJ61" s="70" t="e">
        <f t="shared" si="32"/>
        <v>#REF!</v>
      </c>
      <c r="AK61" s="118"/>
      <c r="AL61" s="128" t="e">
        <f t="shared" si="33"/>
        <v>#REF!</v>
      </c>
      <c r="AM61" s="128" t="e">
        <f t="shared" si="33"/>
        <v>#REF!</v>
      </c>
      <c r="AN61" s="113" t="e">
        <f>AM61/$AM$91</f>
        <v>#REF!</v>
      </c>
      <c r="AO61" s="128" t="e">
        <f t="shared" si="34"/>
        <v>#REF!</v>
      </c>
      <c r="AP61" s="128" t="e">
        <f t="shared" si="34"/>
        <v>#REF!</v>
      </c>
      <c r="AS61" s="564"/>
      <c r="AT61" s="570"/>
      <c r="AU61" s="142" t="s">
        <v>498</v>
      </c>
      <c r="AV61" s="141">
        <v>3.9257283805598352E-3</v>
      </c>
    </row>
    <row r="62" spans="3:48" x14ac:dyDescent="0.45">
      <c r="C62" s="102" t="s">
        <v>498</v>
      </c>
      <c r="D62" s="75" t="s">
        <v>877</v>
      </c>
      <c r="E62" s="128" t="e">
        <f>AVERAGE(H62:AC62)</f>
        <v>#REF!</v>
      </c>
      <c r="F62" s="128" t="e">
        <f>SUM(H62:AC62)</f>
        <v>#REF!</v>
      </c>
      <c r="G62" s="129"/>
      <c r="H62" s="128" t="e">
        <f>SUMIFS(#REF!,#REF!,$C$44,#REF!,$C$59,#REF!,$C62)</f>
        <v>#REF!</v>
      </c>
      <c r="I62" s="128" t="e">
        <f>SUMIFS(#REF!,#REF!,$C$44,#REF!,$C$59,#REF!,$C62)</f>
        <v>#REF!</v>
      </c>
      <c r="J62" s="128" t="e">
        <f>SUMIFS(#REF!,#REF!,$C$44,#REF!,$C$59,#REF!,$C62)</f>
        <v>#REF!</v>
      </c>
      <c r="K62" s="128" t="e">
        <f>SUMIFS(#REF!,#REF!,$C$44,#REF!,$C$59,#REF!,$C62)</f>
        <v>#REF!</v>
      </c>
      <c r="L62" s="128" t="e">
        <f>SUMIFS(#REF!,#REF!,$C$44,#REF!,$C$59,#REF!,$C62)</f>
        <v>#REF!</v>
      </c>
      <c r="M62" s="128" t="e">
        <f>SUMIFS(#REF!,#REF!,$C$44,#REF!,$C$59,#REF!,$C62)</f>
        <v>#REF!</v>
      </c>
      <c r="N62" s="128" t="e">
        <f>SUMIFS(#REF!,#REF!,$C$44,#REF!,$C$59,#REF!,$C62)</f>
        <v>#REF!</v>
      </c>
      <c r="O62" s="128" t="e">
        <f>SUMIFS(#REF!,#REF!,$C$44,#REF!,$C$59,#REF!,$C62)</f>
        <v>#REF!</v>
      </c>
      <c r="P62" s="128" t="e">
        <f>SUMIFS(#REF!,#REF!,$C$44,#REF!,$C$59,#REF!,$C62)</f>
        <v>#REF!</v>
      </c>
      <c r="Q62" s="128" t="e">
        <f>SUMIFS(#REF!,#REF!,$C$44,#REF!,$C$59,#REF!,$C62)</f>
        <v>#REF!</v>
      </c>
      <c r="R62" s="128" t="e">
        <f>SUMIFS(#REF!,#REF!,$C$44,#REF!,$C$59,#REF!,$C62)</f>
        <v>#REF!</v>
      </c>
      <c r="S62" s="128" t="e">
        <f>SUMIFS(#REF!,#REF!,$C$44,#REF!,$C$59,#REF!,$C62)</f>
        <v>#REF!</v>
      </c>
      <c r="T62" s="128" t="e">
        <f>SUMIFS(#REF!,#REF!,$C$44,#REF!,$C$59,#REF!,$C62)</f>
        <v>#REF!</v>
      </c>
      <c r="U62" s="128" t="e">
        <f>SUMIFS(#REF!,#REF!,$C$44,#REF!,$C$59,#REF!,$C62)</f>
        <v>#REF!</v>
      </c>
      <c r="V62" s="128" t="e">
        <f>SUMIFS(#REF!,#REF!,$C$44,#REF!,$C$59,#REF!,$C62)</f>
        <v>#REF!</v>
      </c>
      <c r="W62" s="128" t="e">
        <f>SUMIFS(#REF!,#REF!,$C$44,#REF!,$C$59,#REF!,$C62)</f>
        <v>#REF!</v>
      </c>
      <c r="X62" s="128" t="e">
        <f>SUMIFS(#REF!,#REF!,$C$44,#REF!,$C$59,#REF!,$C62)</f>
        <v>#REF!</v>
      </c>
      <c r="Y62" s="128" t="e">
        <f>SUMIFS(#REF!,#REF!,$C$44,#REF!,$C$59,#REF!,$C62)</f>
        <v>#REF!</v>
      </c>
      <c r="Z62" s="128" t="e">
        <f>SUMIFS(#REF!,#REF!,$C$44,#REF!,$C$59,#REF!,$C62)</f>
        <v>#REF!</v>
      </c>
      <c r="AA62" s="128" t="e">
        <f>SUMIFS(#REF!,#REF!,$C$44,#REF!,$C$59,#REF!,$C62)</f>
        <v>#REF!</v>
      </c>
      <c r="AB62" s="128" t="e">
        <f>SUMIFS(#REF!,#REF!,$C$44,#REF!,$C$59,#REF!,$C62)</f>
        <v>#REF!</v>
      </c>
      <c r="AC62" s="118"/>
      <c r="AD62" s="70" t="e">
        <f t="shared" si="32"/>
        <v>#REF!</v>
      </c>
      <c r="AE62" s="70" t="e">
        <f t="shared" si="32"/>
        <v>#REF!</v>
      </c>
      <c r="AF62" s="70" t="e">
        <f t="shared" si="32"/>
        <v>#REF!</v>
      </c>
      <c r="AG62" s="70" t="e">
        <f t="shared" si="32"/>
        <v>#REF!</v>
      </c>
      <c r="AH62" s="70" t="e">
        <f t="shared" si="32"/>
        <v>#REF!</v>
      </c>
      <c r="AI62" s="70" t="e">
        <f t="shared" si="32"/>
        <v>#REF!</v>
      </c>
      <c r="AJ62" s="70" t="e">
        <f t="shared" si="32"/>
        <v>#REF!</v>
      </c>
      <c r="AK62" s="118"/>
      <c r="AL62" s="128" t="e">
        <f t="shared" si="33"/>
        <v>#REF!</v>
      </c>
      <c r="AM62" s="128" t="e">
        <f t="shared" si="33"/>
        <v>#REF!</v>
      </c>
      <c r="AN62" s="113" t="e">
        <f>AM62/$AM$91</f>
        <v>#REF!</v>
      </c>
      <c r="AO62" s="128" t="e">
        <f t="shared" si="34"/>
        <v>#REF!</v>
      </c>
      <c r="AP62" s="128" t="e">
        <f t="shared" si="34"/>
        <v>#REF!</v>
      </c>
      <c r="AS62" s="565"/>
      <c r="AT62" s="571"/>
      <c r="AU62" s="109" t="s">
        <v>502</v>
      </c>
      <c r="AV62" s="137">
        <v>1.3228402609948848E-3</v>
      </c>
    </row>
    <row r="63" spans="3:48" ht="12.75" customHeight="1" x14ac:dyDescent="0.45">
      <c r="C63" s="102" t="s">
        <v>894</v>
      </c>
      <c r="D63" s="75" t="s">
        <v>877</v>
      </c>
      <c r="E63" s="128" t="e">
        <f>AVERAGE(H63:AC63)</f>
        <v>#REF!</v>
      </c>
      <c r="F63" s="128" t="e">
        <f>SUM(H63:AC63)</f>
        <v>#REF!</v>
      </c>
      <c r="G63" s="129"/>
      <c r="H63" s="128" t="e">
        <f>SUMIFS(#REF!,#REF!,$C$44,#REF!,$C$59,#REF!,$C63)</f>
        <v>#REF!</v>
      </c>
      <c r="I63" s="128" t="e">
        <f>SUMIFS(#REF!,#REF!,$C$44,#REF!,$C$59,#REF!,$C63)</f>
        <v>#REF!</v>
      </c>
      <c r="J63" s="128" t="e">
        <f>SUMIFS(#REF!,#REF!,$C$44,#REF!,$C$59,#REF!,$C63)</f>
        <v>#REF!</v>
      </c>
      <c r="K63" s="128" t="e">
        <f>SUMIFS(#REF!,#REF!,$C$44,#REF!,$C$59,#REF!,$C63)</f>
        <v>#REF!</v>
      </c>
      <c r="L63" s="128" t="e">
        <f>SUMIFS(#REF!,#REF!,$C$44,#REF!,$C$59,#REF!,$C63)</f>
        <v>#REF!</v>
      </c>
      <c r="M63" s="128" t="e">
        <f>SUMIFS(#REF!,#REF!,$C$44,#REF!,$C$59,#REF!,$C63)</f>
        <v>#REF!</v>
      </c>
      <c r="N63" s="128" t="e">
        <f>SUMIFS(#REF!,#REF!,$C$44,#REF!,$C$59,#REF!,$C63)</f>
        <v>#REF!</v>
      </c>
      <c r="O63" s="128" t="e">
        <f>SUMIFS(#REF!,#REF!,$C$44,#REF!,$C$59,#REF!,$C63)</f>
        <v>#REF!</v>
      </c>
      <c r="P63" s="128" t="e">
        <f>SUMIFS(#REF!,#REF!,$C$44,#REF!,$C$59,#REF!,$C63)</f>
        <v>#REF!</v>
      </c>
      <c r="Q63" s="128" t="e">
        <f>SUMIFS(#REF!,#REF!,$C$44,#REF!,$C$59,#REF!,$C63)</f>
        <v>#REF!</v>
      </c>
      <c r="R63" s="128" t="e">
        <f>SUMIFS(#REF!,#REF!,$C$44,#REF!,$C$59,#REF!,$C63)</f>
        <v>#REF!</v>
      </c>
      <c r="S63" s="128" t="e">
        <f>SUMIFS(#REF!,#REF!,$C$44,#REF!,$C$59,#REF!,$C63)</f>
        <v>#REF!</v>
      </c>
      <c r="T63" s="128" t="e">
        <f>SUMIFS(#REF!,#REF!,$C$44,#REF!,$C$59,#REF!,$C63)</f>
        <v>#REF!</v>
      </c>
      <c r="U63" s="128" t="e">
        <f>SUMIFS(#REF!,#REF!,$C$44,#REF!,$C$59,#REF!,$C63)</f>
        <v>#REF!</v>
      </c>
      <c r="V63" s="128" t="e">
        <f>SUMIFS(#REF!,#REF!,$C$44,#REF!,$C$59,#REF!,$C63)</f>
        <v>#REF!</v>
      </c>
      <c r="W63" s="128" t="e">
        <f>SUMIFS(#REF!,#REF!,$C$44,#REF!,$C$59,#REF!,$C63)</f>
        <v>#REF!</v>
      </c>
      <c r="X63" s="128" t="e">
        <f>SUMIFS(#REF!,#REF!,$C$44,#REF!,$C$59,#REF!,$C63)</f>
        <v>#REF!</v>
      </c>
      <c r="Y63" s="128" t="e">
        <f>SUMIFS(#REF!,#REF!,$C$44,#REF!,$C$59,#REF!,$C63)</f>
        <v>#REF!</v>
      </c>
      <c r="Z63" s="128" t="e">
        <f>SUMIFS(#REF!,#REF!,$C$44,#REF!,$C$59,#REF!,$C63)</f>
        <v>#REF!</v>
      </c>
      <c r="AA63" s="128" t="e">
        <f>SUMIFS(#REF!,#REF!,$C$44,#REF!,$C$59,#REF!,$C63)</f>
        <v>#REF!</v>
      </c>
      <c r="AB63" s="128" t="e">
        <f>SUMIFS(#REF!,#REF!,$C$44,#REF!,$C$59,#REF!,$C63)</f>
        <v>#REF!</v>
      </c>
      <c r="AC63" s="118"/>
      <c r="AD63" s="127" t="e">
        <f t="shared" si="32"/>
        <v>#REF!</v>
      </c>
      <c r="AE63" s="127" t="e">
        <f t="shared" si="32"/>
        <v>#REF!</v>
      </c>
      <c r="AF63" s="127" t="e">
        <f t="shared" si="32"/>
        <v>#REF!</v>
      </c>
      <c r="AG63" s="127" t="e">
        <f t="shared" si="32"/>
        <v>#REF!</v>
      </c>
      <c r="AH63" s="127" t="e">
        <f t="shared" si="32"/>
        <v>#REF!</v>
      </c>
      <c r="AI63" s="127" t="e">
        <f t="shared" si="32"/>
        <v>#REF!</v>
      </c>
      <c r="AJ63" s="127" t="e">
        <f t="shared" si="32"/>
        <v>#REF!</v>
      </c>
      <c r="AK63" s="118"/>
      <c r="AL63" s="126" t="e">
        <f t="shared" si="33"/>
        <v>#REF!</v>
      </c>
      <c r="AM63" s="126" t="e">
        <f t="shared" si="33"/>
        <v>#REF!</v>
      </c>
      <c r="AN63" s="113" t="e">
        <f>AM63/$AM$91</f>
        <v>#REF!</v>
      </c>
      <c r="AO63" s="126" t="e">
        <f t="shared" si="34"/>
        <v>#REF!</v>
      </c>
      <c r="AP63" s="126" t="e">
        <f t="shared" si="34"/>
        <v>#REF!</v>
      </c>
      <c r="AR63" s="107"/>
      <c r="AS63" s="563" t="s">
        <v>897</v>
      </c>
      <c r="AT63" s="569">
        <f>SUM(AV63:AV64)</f>
        <v>6.3009771147008288E-3</v>
      </c>
      <c r="AU63" s="139" t="s">
        <v>898</v>
      </c>
      <c r="AV63" s="138">
        <v>6.2364530051601252E-3</v>
      </c>
    </row>
    <row r="64" spans="3:48" s="107" customFormat="1" x14ac:dyDescent="0.45">
      <c r="C64" s="49" t="s">
        <v>899</v>
      </c>
      <c r="D64" s="124" t="s">
        <v>877</v>
      </c>
      <c r="E64" s="120" t="e">
        <f>AVERAGE(H64:AC64)</f>
        <v>#REF!</v>
      </c>
      <c r="F64" s="120" t="e">
        <f>SUM(H64:AC64)</f>
        <v>#REF!</v>
      </c>
      <c r="G64" s="120"/>
      <c r="H64" s="120" t="e">
        <f t="shared" ref="H64:AB64" si="35">SUM(H60:H63)</f>
        <v>#REF!</v>
      </c>
      <c r="I64" s="120" t="e">
        <f t="shared" si="35"/>
        <v>#REF!</v>
      </c>
      <c r="J64" s="120" t="e">
        <f t="shared" si="35"/>
        <v>#REF!</v>
      </c>
      <c r="K64" s="120" t="e">
        <f t="shared" si="35"/>
        <v>#REF!</v>
      </c>
      <c r="L64" s="120" t="e">
        <f t="shared" si="35"/>
        <v>#REF!</v>
      </c>
      <c r="M64" s="120" t="e">
        <f t="shared" si="35"/>
        <v>#REF!</v>
      </c>
      <c r="N64" s="120" t="e">
        <f t="shared" si="35"/>
        <v>#REF!</v>
      </c>
      <c r="O64" s="120" t="e">
        <f t="shared" si="35"/>
        <v>#REF!</v>
      </c>
      <c r="P64" s="120" t="e">
        <f t="shared" si="35"/>
        <v>#REF!</v>
      </c>
      <c r="Q64" s="120" t="e">
        <f t="shared" si="35"/>
        <v>#REF!</v>
      </c>
      <c r="R64" s="120" t="e">
        <f t="shared" si="35"/>
        <v>#REF!</v>
      </c>
      <c r="S64" s="120" t="e">
        <f t="shared" si="35"/>
        <v>#REF!</v>
      </c>
      <c r="T64" s="120" t="e">
        <f t="shared" si="35"/>
        <v>#REF!</v>
      </c>
      <c r="U64" s="120" t="e">
        <f t="shared" si="35"/>
        <v>#REF!</v>
      </c>
      <c r="V64" s="120" t="e">
        <f t="shared" si="35"/>
        <v>#REF!</v>
      </c>
      <c r="W64" s="120" t="e">
        <f t="shared" si="35"/>
        <v>#REF!</v>
      </c>
      <c r="X64" s="120" t="e">
        <f t="shared" si="35"/>
        <v>#REF!</v>
      </c>
      <c r="Y64" s="120" t="e">
        <f t="shared" si="35"/>
        <v>#REF!</v>
      </c>
      <c r="Z64" s="120" t="e">
        <f t="shared" si="35"/>
        <v>#REF!</v>
      </c>
      <c r="AA64" s="120" t="e">
        <f t="shared" si="35"/>
        <v>#REF!</v>
      </c>
      <c r="AB64" s="120" t="e">
        <f t="shared" si="35"/>
        <v>#REF!</v>
      </c>
      <c r="AC64" s="118"/>
      <c r="AD64" s="122" t="e">
        <f t="shared" ref="AD64:AJ64" si="36">SUM(AD60:AD63)</f>
        <v>#REF!</v>
      </c>
      <c r="AE64" s="122" t="e">
        <f t="shared" si="36"/>
        <v>#REF!</v>
      </c>
      <c r="AF64" s="122" t="e">
        <f t="shared" si="36"/>
        <v>#REF!</v>
      </c>
      <c r="AG64" s="122" t="e">
        <f t="shared" si="36"/>
        <v>#REF!</v>
      </c>
      <c r="AH64" s="122" t="e">
        <f t="shared" si="36"/>
        <v>#REF!</v>
      </c>
      <c r="AI64" s="122" t="e">
        <f t="shared" si="36"/>
        <v>#REF!</v>
      </c>
      <c r="AJ64" s="122" t="e">
        <f t="shared" si="36"/>
        <v>#REF!</v>
      </c>
      <c r="AK64" s="121"/>
      <c r="AL64" s="120" t="e">
        <f>SUM(AL60:AL63)</f>
        <v>#REF!</v>
      </c>
      <c r="AM64" s="120" t="e">
        <f>SUM(AM60:AM63)</f>
        <v>#REF!</v>
      </c>
      <c r="AN64" s="133"/>
      <c r="AO64" s="120" t="e">
        <f>SUM(AO60:AO63)</f>
        <v>#REF!</v>
      </c>
      <c r="AP64" s="120" t="e">
        <f>SUM(AP60:AP63)</f>
        <v>#REF!</v>
      </c>
      <c r="AR64" s="46"/>
      <c r="AS64" s="565"/>
      <c r="AT64" s="571"/>
      <c r="AU64" s="109" t="s">
        <v>502</v>
      </c>
      <c r="AV64" s="137">
        <v>6.4524109540703257E-5</v>
      </c>
    </row>
    <row r="66" spans="3:42" x14ac:dyDescent="0.45">
      <c r="C66" s="68" t="s">
        <v>505</v>
      </c>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99"/>
      <c r="AE66" s="99"/>
      <c r="AF66" s="99"/>
      <c r="AG66" s="99"/>
      <c r="AH66" s="99"/>
      <c r="AI66" s="99"/>
      <c r="AJ66" s="99"/>
      <c r="AK66" s="118"/>
      <c r="AL66" s="125"/>
      <c r="AM66" s="125"/>
      <c r="AN66" s="132"/>
      <c r="AO66" s="125"/>
      <c r="AP66" s="125"/>
    </row>
    <row r="67" spans="3:42" x14ac:dyDescent="0.45">
      <c r="C67" s="106" t="s">
        <v>541</v>
      </c>
      <c r="D67" s="105" t="s">
        <v>877</v>
      </c>
      <c r="E67" s="130" t="e">
        <f>AVERAGE(H67:AC67)</f>
        <v>#REF!</v>
      </c>
      <c r="F67" s="130" t="e">
        <f>SUM(H67:AC67)</f>
        <v>#REF!</v>
      </c>
      <c r="G67" s="131"/>
      <c r="H67" s="130" t="e">
        <f>SUMIFS(#REF!,#REF!,$C$44,#REF!,$C$66,#REF!,$C67)</f>
        <v>#REF!</v>
      </c>
      <c r="I67" s="130" t="e">
        <f>SUMIFS(#REF!,#REF!,$C$44,#REF!,$C$66,#REF!,$C67)</f>
        <v>#REF!</v>
      </c>
      <c r="J67" s="130" t="e">
        <f>SUMIFS(#REF!,#REF!,$C$44,#REF!,$C$66,#REF!,$C67)</f>
        <v>#REF!</v>
      </c>
      <c r="K67" s="130" t="e">
        <f>SUMIFS(#REF!,#REF!,$C$44,#REF!,$C$66,#REF!,$C67)</f>
        <v>#REF!</v>
      </c>
      <c r="L67" s="130" t="e">
        <f>SUMIFS(#REF!,#REF!,$C$44,#REF!,$C$66,#REF!,$C67)</f>
        <v>#REF!</v>
      </c>
      <c r="M67" s="130" t="e">
        <f>SUMIFS(#REF!,#REF!,$C$44,#REF!,$C$66,#REF!,$C67)</f>
        <v>#REF!</v>
      </c>
      <c r="N67" s="130" t="e">
        <f>SUMIFS(#REF!,#REF!,$C$44,#REF!,$C$66,#REF!,$C67)</f>
        <v>#REF!</v>
      </c>
      <c r="O67" s="130" t="e">
        <f>SUMIFS(#REF!,#REF!,$C$44,#REF!,$C$66,#REF!,$C67)</f>
        <v>#REF!</v>
      </c>
      <c r="P67" s="130" t="e">
        <f>SUMIFS(#REF!,#REF!,$C$44,#REF!,$C$66,#REF!,$C67)</f>
        <v>#REF!</v>
      </c>
      <c r="Q67" s="130" t="e">
        <f>SUMIFS(#REF!,#REF!,$C$44,#REF!,$C$66,#REF!,$C67)</f>
        <v>#REF!</v>
      </c>
      <c r="R67" s="130" t="e">
        <f>SUMIFS(#REF!,#REF!,$C$44,#REF!,$C$66,#REF!,$C67)</f>
        <v>#REF!</v>
      </c>
      <c r="S67" s="136" t="e">
        <f>SUMIFS(#REF!,#REF!,$C$44,#REF!,$C$66,#REF!,$C67)</f>
        <v>#REF!</v>
      </c>
      <c r="T67" s="136" t="e">
        <f>SUMIFS(#REF!,#REF!,$C$44,#REF!,$C$66,#REF!,$C67)</f>
        <v>#REF!</v>
      </c>
      <c r="U67" s="130" t="e">
        <f>SUMIFS(#REF!,#REF!,$C$44,#REF!,$C$66,#REF!,$C67)</f>
        <v>#REF!</v>
      </c>
      <c r="V67" s="130" t="e">
        <f>SUMIFS(#REF!,#REF!,$C$44,#REF!,$C$66,#REF!,$C67)</f>
        <v>#REF!</v>
      </c>
      <c r="W67" s="130" t="e">
        <f>SUMIFS(#REF!,#REF!,$C$44,#REF!,$C$66,#REF!,$C67)</f>
        <v>#REF!</v>
      </c>
      <c r="X67" s="130" t="e">
        <f>SUMIFS(#REF!,#REF!,$C$44,#REF!,$C$66,#REF!,$C67)</f>
        <v>#REF!</v>
      </c>
      <c r="Y67" s="130" t="e">
        <f>SUMIFS(#REF!,#REF!,$C$44,#REF!,$C$66,#REF!,$C67)</f>
        <v>#REF!</v>
      </c>
      <c r="Z67" s="130" t="e">
        <f>SUMIFS(#REF!,#REF!,$C$44,#REF!,$C$66,#REF!,$C67)</f>
        <v>#REF!</v>
      </c>
      <c r="AA67" s="130" t="e">
        <f>SUMIFS(#REF!,#REF!,$C$44,#REF!,$C$66,#REF!,$C67)</f>
        <v>#REF!</v>
      </c>
      <c r="AB67" s="130" t="e">
        <f>SUMIFS(#REF!,#REF!,$C$44,#REF!,$C$66,#REF!,$C67)</f>
        <v>#REF!</v>
      </c>
      <c r="AC67" s="118"/>
      <c r="AD67" s="110" t="e">
        <f t="shared" ref="AD67:AJ68" si="37">+SUMIFS($E67:$AC67,$E$9:$AC$9,AD$9,$E$8:$AC$8,AD$8)</f>
        <v>#REF!</v>
      </c>
      <c r="AE67" s="110" t="e">
        <f t="shared" si="37"/>
        <v>#REF!</v>
      </c>
      <c r="AF67" s="110" t="e">
        <f t="shared" si="37"/>
        <v>#REF!</v>
      </c>
      <c r="AG67" s="110" t="e">
        <f t="shared" si="37"/>
        <v>#REF!</v>
      </c>
      <c r="AH67" s="110" t="e">
        <f t="shared" si="37"/>
        <v>#REF!</v>
      </c>
      <c r="AI67" s="110" t="e">
        <f t="shared" si="37"/>
        <v>#REF!</v>
      </c>
      <c r="AJ67" s="110" t="e">
        <f t="shared" si="37"/>
        <v>#REF!</v>
      </c>
      <c r="AK67" s="118"/>
      <c r="AL67" s="130" t="e">
        <f>+SUMIF($E$8:$AC$8,AL$8,$E67:$AC67)</f>
        <v>#REF!</v>
      </c>
      <c r="AM67" s="130" t="e">
        <f>+SUMIF($E$8:$AC$8,AM$8,$E67:$AC67)</f>
        <v>#REF!</v>
      </c>
      <c r="AN67" s="113" t="e">
        <f>AM67/$AM$91</f>
        <v>#REF!</v>
      </c>
      <c r="AO67" s="130" t="e">
        <f>+SUMIF($E$8:$AC$8,AO$8,$E67:$AC67)</f>
        <v>#REF!</v>
      </c>
      <c r="AP67" s="130" t="e">
        <f>+SUMIF($E$8:$AC$8,AP$8,$E67:$AC67)</f>
        <v>#REF!</v>
      </c>
    </row>
    <row r="68" spans="3:42" x14ac:dyDescent="0.45">
      <c r="C68" s="104" t="s">
        <v>895</v>
      </c>
      <c r="D68" s="103" t="s">
        <v>877</v>
      </c>
      <c r="E68" s="128" t="e">
        <f>AVERAGE(H68:AC68)</f>
        <v>#REF!</v>
      </c>
      <c r="F68" s="128" t="e">
        <f>SUM(H68:AC68)</f>
        <v>#REF!</v>
      </c>
      <c r="G68" s="129"/>
      <c r="H68" s="128" t="e">
        <f>SUMIFS(#REF!,#REF!,$C$44,#REF!,$C$66,#REF!,$C68)</f>
        <v>#REF!</v>
      </c>
      <c r="I68" s="128" t="e">
        <f>SUMIFS(#REF!,#REF!,$C$44,#REF!,$C$66,#REF!,$C68)</f>
        <v>#REF!</v>
      </c>
      <c r="J68" s="128" t="e">
        <f>SUMIFS(#REF!,#REF!,$C$44,#REF!,$C$66,#REF!,$C68)</f>
        <v>#REF!</v>
      </c>
      <c r="K68" s="128" t="e">
        <f>SUMIFS(#REF!,#REF!,$C$44,#REF!,$C$66,#REF!,$C68)</f>
        <v>#REF!</v>
      </c>
      <c r="L68" s="128" t="e">
        <f>SUMIFS(#REF!,#REF!,$C$44,#REF!,$C$66,#REF!,$C68)</f>
        <v>#REF!</v>
      </c>
      <c r="M68" s="128" t="e">
        <f>SUMIFS(#REF!,#REF!,$C$44,#REF!,$C$66,#REF!,$C68)</f>
        <v>#REF!</v>
      </c>
      <c r="N68" s="128" t="e">
        <f>SUMIFS(#REF!,#REF!,$C$44,#REF!,$C$66,#REF!,$C68)</f>
        <v>#REF!</v>
      </c>
      <c r="O68" s="128" t="e">
        <f>SUMIFS(#REF!,#REF!,$C$44,#REF!,$C$66,#REF!,$C68)</f>
        <v>#REF!</v>
      </c>
      <c r="P68" s="128" t="e">
        <f>SUMIFS(#REF!,#REF!,$C$44,#REF!,$C$66,#REF!,$C68)</f>
        <v>#REF!</v>
      </c>
      <c r="Q68" s="128" t="e">
        <f>SUMIFS(#REF!,#REF!,$C$44,#REF!,$C$66,#REF!,$C68)</f>
        <v>#REF!</v>
      </c>
      <c r="R68" s="128" t="e">
        <f>SUMIFS(#REF!,#REF!,$C$44,#REF!,$C$66,#REF!,$C68)</f>
        <v>#REF!</v>
      </c>
      <c r="S68" s="128" t="e">
        <f>SUMIFS(#REF!,#REF!,$C$44,#REF!,$C$66,#REF!,$C68)</f>
        <v>#REF!</v>
      </c>
      <c r="T68" s="128" t="e">
        <f>SUMIFS(#REF!,#REF!,$C$44,#REF!,$C$66,#REF!,$C68)</f>
        <v>#REF!</v>
      </c>
      <c r="U68" s="128" t="e">
        <f>SUMIFS(#REF!,#REF!,$C$44,#REF!,$C$66,#REF!,$C68)</f>
        <v>#REF!</v>
      </c>
      <c r="V68" s="128" t="e">
        <f>SUMIFS(#REF!,#REF!,$C$44,#REF!,$C$66,#REF!,$C68)</f>
        <v>#REF!</v>
      </c>
      <c r="W68" s="128" t="e">
        <f>SUMIFS(#REF!,#REF!,$C$44,#REF!,$C$66,#REF!,$C68)</f>
        <v>#REF!</v>
      </c>
      <c r="X68" s="128" t="e">
        <f>SUMIFS(#REF!,#REF!,$C$44,#REF!,$C$66,#REF!,$C68)</f>
        <v>#REF!</v>
      </c>
      <c r="Y68" s="128" t="e">
        <f>SUMIFS(#REF!,#REF!,$C$44,#REF!,$C$66,#REF!,$C68)</f>
        <v>#REF!</v>
      </c>
      <c r="Z68" s="128" t="e">
        <f>SUMIFS(#REF!,#REF!,$C$44,#REF!,$C$66,#REF!,$C68)</f>
        <v>#REF!</v>
      </c>
      <c r="AA68" s="128" t="e">
        <f>SUMIFS(#REF!,#REF!,$C$44,#REF!,$C$66,#REF!,$C68)</f>
        <v>#REF!</v>
      </c>
      <c r="AB68" s="128" t="e">
        <f>SUMIFS(#REF!,#REF!,$C$44,#REF!,$C$66,#REF!,$C68)</f>
        <v>#REF!</v>
      </c>
      <c r="AC68" s="118"/>
      <c r="AD68" s="127" t="e">
        <f t="shared" si="37"/>
        <v>#REF!</v>
      </c>
      <c r="AE68" s="127" t="e">
        <f t="shared" si="37"/>
        <v>#REF!</v>
      </c>
      <c r="AF68" s="127" t="e">
        <f t="shared" si="37"/>
        <v>#REF!</v>
      </c>
      <c r="AG68" s="127" t="e">
        <f t="shared" si="37"/>
        <v>#REF!</v>
      </c>
      <c r="AH68" s="127" t="e">
        <f t="shared" si="37"/>
        <v>#REF!</v>
      </c>
      <c r="AI68" s="127" t="e">
        <f t="shared" si="37"/>
        <v>#REF!</v>
      </c>
      <c r="AJ68" s="127" t="e">
        <f t="shared" si="37"/>
        <v>#REF!</v>
      </c>
      <c r="AK68" s="118"/>
      <c r="AL68" s="126" t="e">
        <f>+SUMIF($E$8:$AC$8,AL$8,$E68:$AC68)</f>
        <v>#REF!</v>
      </c>
      <c r="AM68" s="126" t="e">
        <f>+SUMIF($E$8:$AC$8,AM$8,$E68:$AC68)</f>
        <v>#REF!</v>
      </c>
      <c r="AN68" s="113" t="e">
        <f>AM68/$AM$91</f>
        <v>#REF!</v>
      </c>
      <c r="AO68" s="126" t="e">
        <f>+SUMIF($E$8:$AC$8,AO$8,$E68:$AC68)</f>
        <v>#REF!</v>
      </c>
      <c r="AP68" s="126" t="e">
        <f>+SUMIF($E$8:$AC$8,AP$8,$E68:$AC68)</f>
        <v>#REF!</v>
      </c>
    </row>
    <row r="69" spans="3:42" s="107" customFormat="1" x14ac:dyDescent="0.45">
      <c r="C69" s="49" t="s">
        <v>900</v>
      </c>
      <c r="D69" s="124" t="s">
        <v>877</v>
      </c>
      <c r="E69" s="120" t="e">
        <f>AVERAGE(H69:AC69)</f>
        <v>#REF!</v>
      </c>
      <c r="F69" s="120" t="e">
        <f>SUM(H69:AC69)</f>
        <v>#REF!</v>
      </c>
      <c r="G69" s="120"/>
      <c r="H69" s="120" t="e">
        <f t="shared" ref="H69:AB69" si="38">SUM(H67:H68)</f>
        <v>#REF!</v>
      </c>
      <c r="I69" s="120" t="e">
        <f t="shared" si="38"/>
        <v>#REF!</v>
      </c>
      <c r="J69" s="120" t="e">
        <f t="shared" si="38"/>
        <v>#REF!</v>
      </c>
      <c r="K69" s="120" t="e">
        <f t="shared" si="38"/>
        <v>#REF!</v>
      </c>
      <c r="L69" s="120" t="e">
        <f t="shared" si="38"/>
        <v>#REF!</v>
      </c>
      <c r="M69" s="120" t="e">
        <f t="shared" si="38"/>
        <v>#REF!</v>
      </c>
      <c r="N69" s="120" t="e">
        <f t="shared" si="38"/>
        <v>#REF!</v>
      </c>
      <c r="O69" s="120" t="e">
        <f t="shared" si="38"/>
        <v>#REF!</v>
      </c>
      <c r="P69" s="120" t="e">
        <f t="shared" si="38"/>
        <v>#REF!</v>
      </c>
      <c r="Q69" s="120" t="e">
        <f t="shared" si="38"/>
        <v>#REF!</v>
      </c>
      <c r="R69" s="120" t="e">
        <f t="shared" si="38"/>
        <v>#REF!</v>
      </c>
      <c r="S69" s="120" t="e">
        <f t="shared" si="38"/>
        <v>#REF!</v>
      </c>
      <c r="T69" s="120" t="e">
        <f t="shared" si="38"/>
        <v>#REF!</v>
      </c>
      <c r="U69" s="120" t="e">
        <f t="shared" si="38"/>
        <v>#REF!</v>
      </c>
      <c r="V69" s="120" t="e">
        <f t="shared" si="38"/>
        <v>#REF!</v>
      </c>
      <c r="W69" s="120" t="e">
        <f t="shared" si="38"/>
        <v>#REF!</v>
      </c>
      <c r="X69" s="120" t="e">
        <f t="shared" si="38"/>
        <v>#REF!</v>
      </c>
      <c r="Y69" s="120" t="e">
        <f t="shared" si="38"/>
        <v>#REF!</v>
      </c>
      <c r="Z69" s="120" t="e">
        <f t="shared" si="38"/>
        <v>#REF!</v>
      </c>
      <c r="AA69" s="120" t="e">
        <f t="shared" si="38"/>
        <v>#REF!</v>
      </c>
      <c r="AB69" s="120" t="e">
        <f t="shared" si="38"/>
        <v>#REF!</v>
      </c>
      <c r="AC69" s="118"/>
      <c r="AD69" s="122" t="e">
        <f t="shared" ref="AD69:AJ69" si="39">SUM(AD67:AD68)</f>
        <v>#REF!</v>
      </c>
      <c r="AE69" s="122" t="e">
        <f t="shared" si="39"/>
        <v>#REF!</v>
      </c>
      <c r="AF69" s="122" t="e">
        <f t="shared" si="39"/>
        <v>#REF!</v>
      </c>
      <c r="AG69" s="122" t="e">
        <f t="shared" si="39"/>
        <v>#REF!</v>
      </c>
      <c r="AH69" s="122" t="e">
        <f t="shared" si="39"/>
        <v>#REF!</v>
      </c>
      <c r="AI69" s="122" t="e">
        <f t="shared" si="39"/>
        <v>#REF!</v>
      </c>
      <c r="AJ69" s="122" t="e">
        <f t="shared" si="39"/>
        <v>#REF!</v>
      </c>
      <c r="AK69" s="121"/>
      <c r="AL69" s="120" t="e">
        <f>SUM(AL67:AL68)</f>
        <v>#REF!</v>
      </c>
      <c r="AM69" s="120" t="e">
        <f>SUM(AM67:AM68)</f>
        <v>#REF!</v>
      </c>
      <c r="AN69" s="133"/>
      <c r="AO69" s="120" t="e">
        <f>SUM(AO67:AO68)</f>
        <v>#REF!</v>
      </c>
      <c r="AP69" s="120" t="e">
        <f>SUM(AP67:AP68)</f>
        <v>#REF!</v>
      </c>
    </row>
    <row r="70" spans="3:42" ht="11.9" customHeight="1" x14ac:dyDescent="0.45">
      <c r="E70" s="118"/>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99"/>
      <c r="AE70" s="99"/>
      <c r="AF70" s="99"/>
      <c r="AG70" s="99"/>
      <c r="AH70" s="99"/>
      <c r="AI70" s="99"/>
      <c r="AJ70" s="99"/>
      <c r="AK70" s="118"/>
      <c r="AL70" s="125"/>
      <c r="AM70" s="125"/>
      <c r="AN70" s="132"/>
      <c r="AO70" s="125"/>
      <c r="AP70" s="125"/>
    </row>
    <row r="71" spans="3:42" x14ac:dyDescent="0.45">
      <c r="C71" s="68" t="s">
        <v>484</v>
      </c>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99"/>
      <c r="AE71" s="99"/>
      <c r="AF71" s="99"/>
      <c r="AG71" s="99"/>
      <c r="AH71" s="99"/>
      <c r="AI71" s="99"/>
      <c r="AJ71" s="99"/>
      <c r="AK71" s="118"/>
      <c r="AL71" s="125"/>
      <c r="AM71" s="125"/>
      <c r="AN71" s="132"/>
      <c r="AO71" s="125"/>
      <c r="AP71" s="125"/>
    </row>
    <row r="72" spans="3:42" x14ac:dyDescent="0.45">
      <c r="C72" s="106" t="s">
        <v>880</v>
      </c>
      <c r="D72" s="105" t="s">
        <v>877</v>
      </c>
      <c r="E72" s="130" t="e">
        <f>AVERAGE(H72:AC72)</f>
        <v>#REF!</v>
      </c>
      <c r="F72" s="130" t="e">
        <f>SUM(H72:AC72)</f>
        <v>#REF!</v>
      </c>
      <c r="G72" s="131"/>
      <c r="H72" s="130" t="e">
        <f>SUMIFS(#REF!,#REF!,$C$44,#REF!,$C$71,#REF!,$C72)</f>
        <v>#REF!</v>
      </c>
      <c r="I72" s="130" t="e">
        <f>SUMIFS(#REF!,#REF!,$C$44,#REF!,$C$71,#REF!,$C72)</f>
        <v>#REF!</v>
      </c>
      <c r="J72" s="130" t="e">
        <f>SUMIFS(#REF!,#REF!,$C$44,#REF!,$C$71,#REF!,$C72)</f>
        <v>#REF!</v>
      </c>
      <c r="K72" s="130" t="e">
        <f>SUMIFS(#REF!,#REF!,$C$44,#REF!,$C$71,#REF!,$C72)</f>
        <v>#REF!</v>
      </c>
      <c r="L72" s="130" t="e">
        <f>SUMIFS(#REF!,#REF!,$C$44,#REF!,$C$71,#REF!,$C72)</f>
        <v>#REF!</v>
      </c>
      <c r="M72" s="130" t="e">
        <f>SUMIFS(#REF!,#REF!,$C$44,#REF!,$C$71,#REF!,$C72)</f>
        <v>#REF!</v>
      </c>
      <c r="N72" s="130" t="e">
        <f>SUMIFS(#REF!,#REF!,$C$44,#REF!,$C$71,#REF!,$C72)</f>
        <v>#REF!</v>
      </c>
      <c r="O72" s="130" t="e">
        <f>SUMIFS(#REF!,#REF!,$C$44,#REF!,$C$71,#REF!,$C72)</f>
        <v>#REF!</v>
      </c>
      <c r="P72" s="130" t="e">
        <f>SUMIFS(#REF!,#REF!,$C$44,#REF!,$C$71,#REF!,$C72)</f>
        <v>#REF!</v>
      </c>
      <c r="Q72" s="130" t="e">
        <f>SUMIFS(#REF!,#REF!,$C$44,#REF!,$C$71,#REF!,$C72)</f>
        <v>#REF!</v>
      </c>
      <c r="R72" s="130" t="e">
        <f>SUMIFS(#REF!,#REF!,$C$44,#REF!,$C$71,#REF!,$C72)</f>
        <v>#REF!</v>
      </c>
      <c r="S72" s="130" t="e">
        <f>SUMIFS(#REF!,#REF!,$C$44,#REF!,$C$71,#REF!,$C72)</f>
        <v>#REF!</v>
      </c>
      <c r="T72" s="130" t="e">
        <f>SUMIFS(#REF!,#REF!,$C$44,#REF!,$C$71,#REF!,$C72)</f>
        <v>#REF!</v>
      </c>
      <c r="U72" s="130" t="e">
        <f>SUMIFS(#REF!,#REF!,$C$44,#REF!,$C$71,#REF!,$C72)</f>
        <v>#REF!</v>
      </c>
      <c r="V72" s="130" t="e">
        <f>SUMIFS(#REF!,#REF!,$C$44,#REF!,$C$71,#REF!,$C72)</f>
        <v>#REF!</v>
      </c>
      <c r="W72" s="130" t="e">
        <f>SUMIFS(#REF!,#REF!,$C$44,#REF!,$C$71,#REF!,$C72)</f>
        <v>#REF!</v>
      </c>
      <c r="X72" s="130" t="e">
        <f>SUMIFS(#REF!,#REF!,$C$44,#REF!,$C$71,#REF!,$C72)</f>
        <v>#REF!</v>
      </c>
      <c r="Y72" s="130" t="e">
        <f>SUMIFS(#REF!,#REF!,$C$44,#REF!,$C$71,#REF!,$C72)</f>
        <v>#REF!</v>
      </c>
      <c r="Z72" s="130" t="e">
        <f>SUMIFS(#REF!,#REF!,$C$44,#REF!,$C$71,#REF!,$C72)</f>
        <v>#REF!</v>
      </c>
      <c r="AA72" s="130" t="e">
        <f>SUMIFS(#REF!,#REF!,$C$44,#REF!,$C$71,#REF!,$C72)</f>
        <v>#REF!</v>
      </c>
      <c r="AB72" s="130" t="e">
        <f>SUMIFS(#REF!,#REF!,$C$44,#REF!,$C$71,#REF!,$C72)</f>
        <v>#REF!</v>
      </c>
      <c r="AC72" s="118"/>
      <c r="AD72" s="110" t="e">
        <f t="shared" ref="AD72:AJ73" si="40">+SUMIFS($E72:$AC72,$E$9:$AC$9,AD$9,$E$8:$AC$8,AD$8)</f>
        <v>#REF!</v>
      </c>
      <c r="AE72" s="110" t="e">
        <f t="shared" si="40"/>
        <v>#REF!</v>
      </c>
      <c r="AF72" s="110" t="e">
        <f t="shared" si="40"/>
        <v>#REF!</v>
      </c>
      <c r="AG72" s="110" t="e">
        <f t="shared" si="40"/>
        <v>#REF!</v>
      </c>
      <c r="AH72" s="110" t="e">
        <f t="shared" si="40"/>
        <v>#REF!</v>
      </c>
      <c r="AI72" s="110" t="e">
        <f t="shared" si="40"/>
        <v>#REF!</v>
      </c>
      <c r="AJ72" s="110" t="e">
        <f t="shared" si="40"/>
        <v>#REF!</v>
      </c>
      <c r="AK72" s="118"/>
      <c r="AL72" s="130" t="e">
        <f>+SUMIF($E$8:$AC$8,AL$8,$E72:$AC72)</f>
        <v>#REF!</v>
      </c>
      <c r="AM72" s="130" t="e">
        <f>+SUMIF($E$8:$AC$8,AM$8,$E72:$AC72)</f>
        <v>#REF!</v>
      </c>
      <c r="AN72" s="113" t="e">
        <f>AM72/$AM$91</f>
        <v>#REF!</v>
      </c>
      <c r="AO72" s="130" t="e">
        <f>+SUMIF($E$8:$AC$8,AO$8,$E72:$AC72)</f>
        <v>#REF!</v>
      </c>
      <c r="AP72" s="130" t="e">
        <f>+SUMIF($E$8:$AC$8,AP$8,$E72:$AC72)</f>
        <v>#REF!</v>
      </c>
    </row>
    <row r="73" spans="3:42" x14ac:dyDescent="0.45">
      <c r="C73" s="102" t="s">
        <v>502</v>
      </c>
      <c r="D73" s="75" t="s">
        <v>877</v>
      </c>
      <c r="E73" s="128" t="e">
        <f>AVERAGE(H73:AC73)</f>
        <v>#REF!</v>
      </c>
      <c r="F73" s="128" t="e">
        <f>SUM(H73:AC73)</f>
        <v>#REF!</v>
      </c>
      <c r="G73" s="129"/>
      <c r="H73" s="128" t="e">
        <f>SUMIFS(#REF!,#REF!,$C$44,#REF!,$C$71,#REF!,$C73)</f>
        <v>#REF!</v>
      </c>
      <c r="I73" s="128" t="e">
        <f>SUMIFS(#REF!,#REF!,$C$44,#REF!,$C$71,#REF!,$C73)</f>
        <v>#REF!</v>
      </c>
      <c r="J73" s="128" t="e">
        <f>SUMIFS(#REF!,#REF!,$C$44,#REF!,$C$71,#REF!,$C73)</f>
        <v>#REF!</v>
      </c>
      <c r="K73" s="128" t="e">
        <f>SUMIFS(#REF!,#REF!,$C$44,#REF!,$C$71,#REF!,$C73)</f>
        <v>#REF!</v>
      </c>
      <c r="L73" s="128" t="e">
        <f>SUMIFS(#REF!,#REF!,$C$44,#REF!,$C$71,#REF!,$C73)</f>
        <v>#REF!</v>
      </c>
      <c r="M73" s="128" t="e">
        <f>SUMIFS(#REF!,#REF!,$C$44,#REF!,$C$71,#REF!,$C73)</f>
        <v>#REF!</v>
      </c>
      <c r="N73" s="128" t="e">
        <f>SUMIFS(#REF!,#REF!,$C$44,#REF!,$C$71,#REF!,$C73)</f>
        <v>#REF!</v>
      </c>
      <c r="O73" s="128" t="e">
        <f>SUMIFS(#REF!,#REF!,$C$44,#REF!,$C$71,#REF!,$C73)</f>
        <v>#REF!</v>
      </c>
      <c r="P73" s="128" t="e">
        <f>SUMIFS(#REF!,#REF!,$C$44,#REF!,$C$71,#REF!,$C73)</f>
        <v>#REF!</v>
      </c>
      <c r="Q73" s="128" t="e">
        <f>SUMIFS(#REF!,#REF!,$C$44,#REF!,$C$71,#REF!,$C73)</f>
        <v>#REF!</v>
      </c>
      <c r="R73" s="128" t="e">
        <f>SUMIFS(#REF!,#REF!,$C$44,#REF!,$C$71,#REF!,$C73)</f>
        <v>#REF!</v>
      </c>
      <c r="S73" s="128" t="e">
        <f>SUMIFS(#REF!,#REF!,$C$44,#REF!,$C$71,#REF!,$C73)</f>
        <v>#REF!</v>
      </c>
      <c r="T73" s="128" t="e">
        <f>SUMIFS(#REF!,#REF!,$C$44,#REF!,$C$71,#REF!,$C73)</f>
        <v>#REF!</v>
      </c>
      <c r="U73" s="128" t="e">
        <f>SUMIFS(#REF!,#REF!,$C$44,#REF!,$C$71,#REF!,$C73)</f>
        <v>#REF!</v>
      </c>
      <c r="V73" s="128" t="e">
        <f>SUMIFS(#REF!,#REF!,$C$44,#REF!,$C$71,#REF!,$C73)</f>
        <v>#REF!</v>
      </c>
      <c r="W73" s="128" t="e">
        <f>SUMIFS(#REF!,#REF!,$C$44,#REF!,$C$71,#REF!,$C73)</f>
        <v>#REF!</v>
      </c>
      <c r="X73" s="128" t="e">
        <f>SUMIFS(#REF!,#REF!,$C$44,#REF!,$C$71,#REF!,$C73)</f>
        <v>#REF!</v>
      </c>
      <c r="Y73" s="128" t="e">
        <f>SUMIFS(#REF!,#REF!,$C$44,#REF!,$C$71,#REF!,$C73)</f>
        <v>#REF!</v>
      </c>
      <c r="Z73" s="128" t="e">
        <f>SUMIFS(#REF!,#REF!,$C$44,#REF!,$C$71,#REF!,$C73)</f>
        <v>#REF!</v>
      </c>
      <c r="AA73" s="128" t="e">
        <f>SUMIFS(#REF!,#REF!,$C$44,#REF!,$C$71,#REF!,$C73)</f>
        <v>#REF!</v>
      </c>
      <c r="AB73" s="128" t="e">
        <f>SUMIFS(#REF!,#REF!,$C$44,#REF!,$C$71,#REF!,$C73)</f>
        <v>#REF!</v>
      </c>
      <c r="AC73" s="118"/>
      <c r="AD73" s="127" t="e">
        <f t="shared" si="40"/>
        <v>#REF!</v>
      </c>
      <c r="AE73" s="127" t="e">
        <f t="shared" si="40"/>
        <v>#REF!</v>
      </c>
      <c r="AF73" s="127" t="e">
        <f t="shared" si="40"/>
        <v>#REF!</v>
      </c>
      <c r="AG73" s="127" t="e">
        <f t="shared" si="40"/>
        <v>#REF!</v>
      </c>
      <c r="AH73" s="127" t="e">
        <f t="shared" si="40"/>
        <v>#REF!</v>
      </c>
      <c r="AI73" s="127" t="e">
        <f t="shared" si="40"/>
        <v>#REF!</v>
      </c>
      <c r="AJ73" s="127" t="e">
        <f t="shared" si="40"/>
        <v>#REF!</v>
      </c>
      <c r="AK73" s="118"/>
      <c r="AL73" s="126" t="e">
        <f>+SUMIF($E$8:$AC$8,AL$8,$E73:$AC73)</f>
        <v>#REF!</v>
      </c>
      <c r="AM73" s="126" t="e">
        <f>+SUMIF($E$8:$AC$8,AM$8,$E73:$AC73)</f>
        <v>#REF!</v>
      </c>
      <c r="AN73" s="113" t="e">
        <f>AM73/$AM$91</f>
        <v>#REF!</v>
      </c>
      <c r="AO73" s="126" t="e">
        <f>+SUMIF($E$8:$AC$8,AO$8,$E73:$AC73)</f>
        <v>#REF!</v>
      </c>
      <c r="AP73" s="126" t="e">
        <f>+SUMIF($E$8:$AC$8,AP$8,$E73:$AC73)</f>
        <v>#REF!</v>
      </c>
    </row>
    <row r="74" spans="3:42" s="107" customFormat="1" x14ac:dyDescent="0.45">
      <c r="C74" s="49" t="s">
        <v>901</v>
      </c>
      <c r="D74" s="124" t="s">
        <v>877</v>
      </c>
      <c r="E74" s="120" t="e">
        <f>AVERAGE(H74:AC74)</f>
        <v>#REF!</v>
      </c>
      <c r="F74" s="120" t="e">
        <f>SUM(H74:AC74)</f>
        <v>#REF!</v>
      </c>
      <c r="G74" s="120"/>
      <c r="H74" s="120" t="e">
        <f t="shared" ref="H74:AB74" si="41">SUM(H72:H73)</f>
        <v>#REF!</v>
      </c>
      <c r="I74" s="120" t="e">
        <f t="shared" si="41"/>
        <v>#REF!</v>
      </c>
      <c r="J74" s="120" t="e">
        <f t="shared" si="41"/>
        <v>#REF!</v>
      </c>
      <c r="K74" s="120" t="e">
        <f t="shared" si="41"/>
        <v>#REF!</v>
      </c>
      <c r="L74" s="120" t="e">
        <f t="shared" si="41"/>
        <v>#REF!</v>
      </c>
      <c r="M74" s="120" t="e">
        <f t="shared" si="41"/>
        <v>#REF!</v>
      </c>
      <c r="N74" s="120" t="e">
        <f t="shared" si="41"/>
        <v>#REF!</v>
      </c>
      <c r="O74" s="120" t="e">
        <f t="shared" si="41"/>
        <v>#REF!</v>
      </c>
      <c r="P74" s="120" t="e">
        <f t="shared" si="41"/>
        <v>#REF!</v>
      </c>
      <c r="Q74" s="120" t="e">
        <f t="shared" si="41"/>
        <v>#REF!</v>
      </c>
      <c r="R74" s="120" t="e">
        <f t="shared" si="41"/>
        <v>#REF!</v>
      </c>
      <c r="S74" s="120" t="e">
        <f t="shared" si="41"/>
        <v>#REF!</v>
      </c>
      <c r="T74" s="120" t="e">
        <f t="shared" si="41"/>
        <v>#REF!</v>
      </c>
      <c r="U74" s="120" t="e">
        <f t="shared" si="41"/>
        <v>#REF!</v>
      </c>
      <c r="V74" s="120" t="e">
        <f t="shared" si="41"/>
        <v>#REF!</v>
      </c>
      <c r="W74" s="120" t="e">
        <f t="shared" si="41"/>
        <v>#REF!</v>
      </c>
      <c r="X74" s="120" t="e">
        <f t="shared" si="41"/>
        <v>#REF!</v>
      </c>
      <c r="Y74" s="120" t="e">
        <f t="shared" si="41"/>
        <v>#REF!</v>
      </c>
      <c r="Z74" s="120" t="e">
        <f t="shared" si="41"/>
        <v>#REF!</v>
      </c>
      <c r="AA74" s="120" t="e">
        <f t="shared" si="41"/>
        <v>#REF!</v>
      </c>
      <c r="AB74" s="120" t="e">
        <f t="shared" si="41"/>
        <v>#REF!</v>
      </c>
      <c r="AC74" s="118"/>
      <c r="AD74" s="122" t="e">
        <f t="shared" ref="AD74:AJ74" si="42">SUM(AD72:AD73)</f>
        <v>#REF!</v>
      </c>
      <c r="AE74" s="122" t="e">
        <f t="shared" si="42"/>
        <v>#REF!</v>
      </c>
      <c r="AF74" s="122" t="e">
        <f t="shared" si="42"/>
        <v>#REF!</v>
      </c>
      <c r="AG74" s="122" t="e">
        <f t="shared" si="42"/>
        <v>#REF!</v>
      </c>
      <c r="AH74" s="122" t="e">
        <f t="shared" si="42"/>
        <v>#REF!</v>
      </c>
      <c r="AI74" s="122" t="e">
        <f t="shared" si="42"/>
        <v>#REF!</v>
      </c>
      <c r="AJ74" s="122" t="e">
        <f t="shared" si="42"/>
        <v>#REF!</v>
      </c>
      <c r="AK74" s="121"/>
      <c r="AL74" s="120" t="e">
        <f>SUM(AL72:AL73)</f>
        <v>#REF!</v>
      </c>
      <c r="AM74" s="120" t="e">
        <f>SUM(AM72:AM73)</f>
        <v>#REF!</v>
      </c>
      <c r="AN74" s="133"/>
      <c r="AO74" s="120" t="e">
        <f>SUM(AO72:AO73)</f>
        <v>#REF!</v>
      </c>
      <c r="AP74" s="120" t="e">
        <f>SUM(AP72:AP73)</f>
        <v>#REF!</v>
      </c>
    </row>
    <row r="75" spans="3:42" x14ac:dyDescent="0.45">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99"/>
      <c r="AE75" s="99"/>
      <c r="AF75" s="99"/>
      <c r="AG75" s="99"/>
      <c r="AH75" s="99"/>
      <c r="AI75" s="99"/>
      <c r="AJ75" s="99"/>
      <c r="AK75" s="118"/>
      <c r="AL75" s="125"/>
      <c r="AM75" s="125"/>
      <c r="AN75" s="132"/>
      <c r="AO75" s="125"/>
      <c r="AP75" s="125"/>
    </row>
    <row r="76" spans="3:42" x14ac:dyDescent="0.45">
      <c r="C76" s="68" t="s">
        <v>499</v>
      </c>
      <c r="E76" s="118"/>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99"/>
      <c r="AE76" s="99"/>
      <c r="AF76" s="99"/>
      <c r="AG76" s="99"/>
      <c r="AH76" s="99"/>
      <c r="AI76" s="99"/>
      <c r="AJ76" s="99"/>
      <c r="AK76" s="118"/>
      <c r="AL76" s="125"/>
      <c r="AM76" s="125"/>
      <c r="AN76" s="132"/>
      <c r="AO76" s="125"/>
      <c r="AP76" s="125"/>
    </row>
    <row r="77" spans="3:42" x14ac:dyDescent="0.45">
      <c r="C77" s="106" t="s">
        <v>896</v>
      </c>
      <c r="D77" s="105" t="s">
        <v>877</v>
      </c>
      <c r="E77" s="130" t="e">
        <f>AVERAGE(H77:AC77)</f>
        <v>#REF!</v>
      </c>
      <c r="F77" s="130" t="e">
        <f>SUM(H77:AC77)</f>
        <v>#REF!</v>
      </c>
      <c r="G77" s="131"/>
      <c r="H77" s="130" t="e">
        <f>SUMIFS(#REF!,#REF!,$C$44,#REF!,$C$76,#REF!,$C77)</f>
        <v>#REF!</v>
      </c>
      <c r="I77" s="130" t="e">
        <f>SUMIFS(#REF!,#REF!,$C$44,#REF!,$C$76,#REF!,$C77)</f>
        <v>#REF!</v>
      </c>
      <c r="J77" s="130" t="e">
        <f>SUMIFS(#REF!,#REF!,$C$44,#REF!,$C$76,#REF!,$C77)</f>
        <v>#REF!</v>
      </c>
      <c r="K77" s="130" t="e">
        <f>SUMIFS(#REF!,#REF!,$C$44,#REF!,$C$76,#REF!,$C77)</f>
        <v>#REF!</v>
      </c>
      <c r="L77" s="130" t="e">
        <f>SUMIFS(#REF!,#REF!,$C$44,#REF!,$C$76,#REF!,$C77)</f>
        <v>#REF!</v>
      </c>
      <c r="M77" s="130" t="e">
        <f>SUMIFS(#REF!,#REF!,$C$44,#REF!,$C$76,#REF!,$C77)</f>
        <v>#REF!</v>
      </c>
      <c r="N77" s="130" t="e">
        <f>SUMIFS(#REF!,#REF!,$C$44,#REF!,$C$76,#REF!,$C77)</f>
        <v>#REF!</v>
      </c>
      <c r="O77" s="130" t="e">
        <f>SUMIFS(#REF!,#REF!,$C$44,#REF!,$C$76,#REF!,$C77)</f>
        <v>#REF!</v>
      </c>
      <c r="P77" s="130" t="e">
        <f>SUMIFS(#REF!,#REF!,$C$44,#REF!,$C$76,#REF!,$C77)</f>
        <v>#REF!</v>
      </c>
      <c r="Q77" s="130" t="e">
        <f>SUMIFS(#REF!,#REF!,$C$44,#REF!,$C$76,#REF!,$C77)</f>
        <v>#REF!</v>
      </c>
      <c r="R77" s="130" t="e">
        <f>SUMIFS(#REF!,#REF!,$C$44,#REF!,$C$76,#REF!,$C77)</f>
        <v>#REF!</v>
      </c>
      <c r="S77" s="130" t="e">
        <f>SUMIFS(#REF!,#REF!,$C$44,#REF!,$C$76,#REF!,$C77)</f>
        <v>#REF!</v>
      </c>
      <c r="T77" s="130" t="e">
        <f>SUMIFS(#REF!,#REF!,$C$44,#REF!,$C$76,#REF!,$C77)</f>
        <v>#REF!</v>
      </c>
      <c r="U77" s="130" t="e">
        <f>SUMIFS(#REF!,#REF!,$C$44,#REF!,$C$76,#REF!,$C77)</f>
        <v>#REF!</v>
      </c>
      <c r="V77" s="130" t="e">
        <f>SUMIFS(#REF!,#REF!,$C$44,#REF!,$C$76,#REF!,$C77)</f>
        <v>#REF!</v>
      </c>
      <c r="W77" s="130" t="e">
        <f>SUMIFS(#REF!,#REF!,$C$44,#REF!,$C$76,#REF!,$C77)</f>
        <v>#REF!</v>
      </c>
      <c r="X77" s="130" t="e">
        <f>SUMIFS(#REF!,#REF!,$C$44,#REF!,$C$76,#REF!,$C77)</f>
        <v>#REF!</v>
      </c>
      <c r="Y77" s="130" t="e">
        <f>SUMIFS(#REF!,#REF!,$C$44,#REF!,$C$76,#REF!,$C77)</f>
        <v>#REF!</v>
      </c>
      <c r="Z77" s="130" t="e">
        <f>SUMIFS(#REF!,#REF!,$C$44,#REF!,$C$76,#REF!,$C77)</f>
        <v>#REF!</v>
      </c>
      <c r="AA77" s="130" t="e">
        <f>SUMIFS(#REF!,#REF!,$C$44,#REF!,$C$76,#REF!,$C77)</f>
        <v>#REF!</v>
      </c>
      <c r="AB77" s="130" t="e">
        <f>SUMIFS(#REF!,#REF!,$C$44,#REF!,$C$76,#REF!,$C77)</f>
        <v>#REF!</v>
      </c>
      <c r="AC77" s="118"/>
      <c r="AD77" s="110" t="e">
        <f t="shared" ref="AD77:AJ79" si="43">+SUMIFS($E77:$AC77,$E$9:$AC$9,AD$9,$E$8:$AC$8,AD$8)</f>
        <v>#REF!</v>
      </c>
      <c r="AE77" s="110" t="e">
        <f t="shared" si="43"/>
        <v>#REF!</v>
      </c>
      <c r="AF77" s="110" t="e">
        <f t="shared" si="43"/>
        <v>#REF!</v>
      </c>
      <c r="AG77" s="110" t="e">
        <f t="shared" si="43"/>
        <v>#REF!</v>
      </c>
      <c r="AH77" s="110" t="e">
        <f t="shared" si="43"/>
        <v>#REF!</v>
      </c>
      <c r="AI77" s="110" t="e">
        <f t="shared" si="43"/>
        <v>#REF!</v>
      </c>
      <c r="AJ77" s="110" t="e">
        <f t="shared" si="43"/>
        <v>#REF!</v>
      </c>
      <c r="AK77" s="118"/>
      <c r="AL77" s="130" t="e">
        <f t="shared" ref="AL77:AM79" si="44">+SUMIF($E$8:$AC$8,AL$8,$E77:$AC77)</f>
        <v>#REF!</v>
      </c>
      <c r="AM77" s="130" t="e">
        <f t="shared" si="44"/>
        <v>#REF!</v>
      </c>
      <c r="AN77" s="113" t="e">
        <f>AM77/$AM$91</f>
        <v>#REF!</v>
      </c>
      <c r="AO77" s="130" t="e">
        <f t="shared" ref="AO77:AP79" si="45">+SUMIF($E$8:$AC$8,AO$8,$E77:$AC77)</f>
        <v>#REF!</v>
      </c>
      <c r="AP77" s="130" t="e">
        <f t="shared" si="45"/>
        <v>#REF!</v>
      </c>
    </row>
    <row r="78" spans="3:42" x14ac:dyDescent="0.45">
      <c r="C78" s="102" t="s">
        <v>502</v>
      </c>
      <c r="D78" s="75" t="s">
        <v>877</v>
      </c>
      <c r="E78" s="128" t="e">
        <f>AVERAGE(H78:AC78)</f>
        <v>#REF!</v>
      </c>
      <c r="F78" s="128" t="e">
        <f>SUM(H78:AC78)</f>
        <v>#REF!</v>
      </c>
      <c r="G78" s="129"/>
      <c r="H78" s="128" t="e">
        <f>SUMIFS(#REF!,#REF!,$C$44,#REF!,$C$76,#REF!,$C78)</f>
        <v>#REF!</v>
      </c>
      <c r="I78" s="128" t="e">
        <f>SUMIFS(#REF!,#REF!,$C$44,#REF!,$C$76,#REF!,$C78)</f>
        <v>#REF!</v>
      </c>
      <c r="J78" s="128" t="e">
        <f>SUMIFS(#REF!,#REF!,$C$44,#REF!,$C$76,#REF!,$C78)</f>
        <v>#REF!</v>
      </c>
      <c r="K78" s="128" t="e">
        <f>SUMIFS(#REF!,#REF!,$C$44,#REF!,$C$76,#REF!,$C78)</f>
        <v>#REF!</v>
      </c>
      <c r="L78" s="128" t="e">
        <f>SUMIFS(#REF!,#REF!,$C$44,#REF!,$C$76,#REF!,$C78)</f>
        <v>#REF!</v>
      </c>
      <c r="M78" s="128" t="e">
        <f>SUMIFS(#REF!,#REF!,$C$44,#REF!,$C$76,#REF!,$C78)</f>
        <v>#REF!</v>
      </c>
      <c r="N78" s="128" t="e">
        <f>SUMIFS(#REF!,#REF!,$C$44,#REF!,$C$76,#REF!,$C78)</f>
        <v>#REF!</v>
      </c>
      <c r="O78" s="128" t="e">
        <f>SUMIFS(#REF!,#REF!,$C$44,#REF!,$C$76,#REF!,$C78)</f>
        <v>#REF!</v>
      </c>
      <c r="P78" s="128" t="e">
        <f>SUMIFS(#REF!,#REF!,$C$44,#REF!,$C$76,#REF!,$C78)</f>
        <v>#REF!</v>
      </c>
      <c r="Q78" s="128" t="e">
        <f>SUMIFS(#REF!,#REF!,$C$44,#REF!,$C$76,#REF!,$C78)</f>
        <v>#REF!</v>
      </c>
      <c r="R78" s="128" t="e">
        <f>SUMIFS(#REF!,#REF!,$C$44,#REF!,$C$76,#REF!,$C78)</f>
        <v>#REF!</v>
      </c>
      <c r="S78" s="128" t="e">
        <f>SUMIFS(#REF!,#REF!,$C$44,#REF!,$C$76,#REF!,$C78)</f>
        <v>#REF!</v>
      </c>
      <c r="T78" s="128" t="e">
        <f>SUMIFS(#REF!,#REF!,$C$44,#REF!,$C$76,#REF!,$C78)</f>
        <v>#REF!</v>
      </c>
      <c r="U78" s="128" t="e">
        <f>SUMIFS(#REF!,#REF!,$C$44,#REF!,$C$76,#REF!,$C78)</f>
        <v>#REF!</v>
      </c>
      <c r="V78" s="128" t="e">
        <f>SUMIFS(#REF!,#REF!,$C$44,#REF!,$C$76,#REF!,$C78)</f>
        <v>#REF!</v>
      </c>
      <c r="W78" s="128" t="e">
        <f>SUMIFS(#REF!,#REF!,$C$44,#REF!,$C$76,#REF!,$C78)</f>
        <v>#REF!</v>
      </c>
      <c r="X78" s="128" t="e">
        <f>SUMIFS(#REF!,#REF!,$C$44,#REF!,$C$76,#REF!,$C78)</f>
        <v>#REF!</v>
      </c>
      <c r="Y78" s="128" t="e">
        <f>SUMIFS(#REF!,#REF!,$C$44,#REF!,$C$76,#REF!,$C78)</f>
        <v>#REF!</v>
      </c>
      <c r="Z78" s="128" t="e">
        <f>SUMIFS(#REF!,#REF!,$C$44,#REF!,$C$76,#REF!,$C78)</f>
        <v>#REF!</v>
      </c>
      <c r="AA78" s="128" t="e">
        <f>SUMIFS(#REF!,#REF!,$C$44,#REF!,$C$76,#REF!,$C78)</f>
        <v>#REF!</v>
      </c>
      <c r="AB78" s="128" t="e">
        <f>SUMIFS(#REF!,#REF!,$C$44,#REF!,$C$76,#REF!,$C78)</f>
        <v>#REF!</v>
      </c>
      <c r="AC78" s="118"/>
      <c r="AD78" s="70" t="e">
        <f t="shared" si="43"/>
        <v>#REF!</v>
      </c>
      <c r="AE78" s="70" t="e">
        <f t="shared" si="43"/>
        <v>#REF!</v>
      </c>
      <c r="AF78" s="70" t="e">
        <f t="shared" si="43"/>
        <v>#REF!</v>
      </c>
      <c r="AG78" s="70" t="e">
        <f t="shared" si="43"/>
        <v>#REF!</v>
      </c>
      <c r="AH78" s="70" t="e">
        <f t="shared" si="43"/>
        <v>#REF!</v>
      </c>
      <c r="AI78" s="70" t="e">
        <f t="shared" si="43"/>
        <v>#REF!</v>
      </c>
      <c r="AJ78" s="70" t="e">
        <f t="shared" si="43"/>
        <v>#REF!</v>
      </c>
      <c r="AK78" s="118"/>
      <c r="AL78" s="128" t="e">
        <f t="shared" si="44"/>
        <v>#REF!</v>
      </c>
      <c r="AM78" s="128" t="e">
        <f t="shared" si="44"/>
        <v>#REF!</v>
      </c>
      <c r="AN78" s="113" t="e">
        <f>AM78/$AM$91</f>
        <v>#REF!</v>
      </c>
      <c r="AO78" s="128" t="e">
        <f t="shared" si="45"/>
        <v>#REF!</v>
      </c>
      <c r="AP78" s="128" t="e">
        <f t="shared" si="45"/>
        <v>#REF!</v>
      </c>
    </row>
    <row r="79" spans="3:42" x14ac:dyDescent="0.45">
      <c r="C79" s="102" t="s">
        <v>498</v>
      </c>
      <c r="D79" s="75" t="s">
        <v>877</v>
      </c>
      <c r="E79" s="128" t="e">
        <f>AVERAGE(H79:AC79)</f>
        <v>#REF!</v>
      </c>
      <c r="F79" s="128" t="e">
        <f>SUM(H79:AC79)</f>
        <v>#REF!</v>
      </c>
      <c r="G79" s="129"/>
      <c r="H79" s="126" t="e">
        <f>SUMIFS(#REF!,#REF!,$C$44,#REF!,$C$76,#REF!,$C79)</f>
        <v>#REF!</v>
      </c>
      <c r="I79" s="128" t="e">
        <f>SUMIFS(#REF!,#REF!,$C$44,#REF!,$C$76,#REF!,$C79)</f>
        <v>#REF!</v>
      </c>
      <c r="J79" s="128" t="e">
        <f>SUMIFS(#REF!,#REF!,$C$44,#REF!,$C$76,#REF!,$C79)</f>
        <v>#REF!</v>
      </c>
      <c r="K79" s="128" t="e">
        <f>SUMIFS(#REF!,#REF!,$C$44,#REF!,$C$76,#REF!,$C79)</f>
        <v>#REF!</v>
      </c>
      <c r="L79" s="128" t="e">
        <f>SUMIFS(#REF!,#REF!,$C$44,#REF!,$C$76,#REF!,$C79)</f>
        <v>#REF!</v>
      </c>
      <c r="M79" s="128" t="e">
        <f>SUMIFS(#REF!,#REF!,$C$44,#REF!,$C$76,#REF!,$C79)</f>
        <v>#REF!</v>
      </c>
      <c r="N79" s="128" t="e">
        <f>SUMIFS(#REF!,#REF!,$C$44,#REF!,$C$76,#REF!,$C79)</f>
        <v>#REF!</v>
      </c>
      <c r="O79" s="128" t="e">
        <f>SUMIFS(#REF!,#REF!,$C$44,#REF!,$C$76,#REF!,$C79)</f>
        <v>#REF!</v>
      </c>
      <c r="P79" s="128" t="e">
        <f>SUMIFS(#REF!,#REF!,$C$44,#REF!,$C$76,#REF!,$C79)</f>
        <v>#REF!</v>
      </c>
      <c r="Q79" s="128" t="e">
        <f>SUMIFS(#REF!,#REF!,$C$44,#REF!,$C$76,#REF!,$C79)</f>
        <v>#REF!</v>
      </c>
      <c r="R79" s="128" t="e">
        <f>SUMIFS(#REF!,#REF!,$C$44,#REF!,$C$76,#REF!,$C79)</f>
        <v>#REF!</v>
      </c>
      <c r="S79" s="128" t="e">
        <f>SUMIFS(#REF!,#REF!,$C$44,#REF!,$C$76,#REF!,$C79)</f>
        <v>#REF!</v>
      </c>
      <c r="T79" s="128" t="e">
        <f>SUMIFS(#REF!,#REF!,$C$44,#REF!,$C$76,#REF!,$C79)</f>
        <v>#REF!</v>
      </c>
      <c r="U79" s="128" t="e">
        <f>SUMIFS(#REF!,#REF!,$C$44,#REF!,$C$76,#REF!,$C79)</f>
        <v>#REF!</v>
      </c>
      <c r="V79" s="128" t="e">
        <f>SUMIFS(#REF!,#REF!,$C$44,#REF!,$C$76,#REF!,$C79)</f>
        <v>#REF!</v>
      </c>
      <c r="W79" s="128" t="e">
        <f>SUMIFS(#REF!,#REF!,$C$44,#REF!,$C$76,#REF!,$C79)</f>
        <v>#REF!</v>
      </c>
      <c r="X79" s="128" t="e">
        <f>SUMIFS(#REF!,#REF!,$C$44,#REF!,$C$76,#REF!,$C79)</f>
        <v>#REF!</v>
      </c>
      <c r="Y79" s="128" t="e">
        <f>SUMIFS(#REF!,#REF!,$C$44,#REF!,$C$76,#REF!,$C79)</f>
        <v>#REF!</v>
      </c>
      <c r="Z79" s="128" t="e">
        <f>SUMIFS(#REF!,#REF!,$C$44,#REF!,$C$76,#REF!,$C79)</f>
        <v>#REF!</v>
      </c>
      <c r="AA79" s="128" t="e">
        <f>SUMIFS(#REF!,#REF!,$C$44,#REF!,$C$76,#REF!,$C79)</f>
        <v>#REF!</v>
      </c>
      <c r="AB79" s="128" t="e">
        <f>SUMIFS(#REF!,#REF!,$C$44,#REF!,$C$76,#REF!,$C79)</f>
        <v>#REF!</v>
      </c>
      <c r="AC79" s="118"/>
      <c r="AD79" s="127" t="e">
        <f t="shared" si="43"/>
        <v>#REF!</v>
      </c>
      <c r="AE79" s="127" t="e">
        <f t="shared" si="43"/>
        <v>#REF!</v>
      </c>
      <c r="AF79" s="127" t="e">
        <f t="shared" si="43"/>
        <v>#REF!</v>
      </c>
      <c r="AG79" s="127" t="e">
        <f t="shared" si="43"/>
        <v>#REF!</v>
      </c>
      <c r="AH79" s="127" t="e">
        <f t="shared" si="43"/>
        <v>#REF!</v>
      </c>
      <c r="AI79" s="127" t="e">
        <f t="shared" si="43"/>
        <v>#REF!</v>
      </c>
      <c r="AJ79" s="127" t="e">
        <f t="shared" si="43"/>
        <v>#REF!</v>
      </c>
      <c r="AK79" s="118"/>
      <c r="AL79" s="126" t="e">
        <f t="shared" si="44"/>
        <v>#REF!</v>
      </c>
      <c r="AM79" s="126" t="e">
        <f t="shared" si="44"/>
        <v>#REF!</v>
      </c>
      <c r="AN79" s="113" t="e">
        <f>AM79/$AM$91</f>
        <v>#REF!</v>
      </c>
      <c r="AO79" s="126" t="e">
        <f t="shared" si="45"/>
        <v>#REF!</v>
      </c>
      <c r="AP79" s="126" t="e">
        <f t="shared" si="45"/>
        <v>#REF!</v>
      </c>
    </row>
    <row r="80" spans="3:42" s="107" customFormat="1" x14ac:dyDescent="0.45">
      <c r="C80" s="49" t="s">
        <v>902</v>
      </c>
      <c r="D80" s="124" t="s">
        <v>877</v>
      </c>
      <c r="E80" s="120" t="e">
        <f>AVERAGE(H80:AC80)</f>
        <v>#REF!</v>
      </c>
      <c r="F80" s="120" t="e">
        <f>SUM(H80:AC80)</f>
        <v>#REF!</v>
      </c>
      <c r="G80" s="120"/>
      <c r="H80" s="135" t="e">
        <f t="shared" ref="H80:AB80" si="46">SUM(H77:H79)</f>
        <v>#REF!</v>
      </c>
      <c r="I80" s="120" t="e">
        <f t="shared" si="46"/>
        <v>#REF!</v>
      </c>
      <c r="J80" s="120" t="e">
        <f t="shared" si="46"/>
        <v>#REF!</v>
      </c>
      <c r="K80" s="120" t="e">
        <f t="shared" si="46"/>
        <v>#REF!</v>
      </c>
      <c r="L80" s="120" t="e">
        <f t="shared" si="46"/>
        <v>#REF!</v>
      </c>
      <c r="M80" s="120" t="e">
        <f t="shared" si="46"/>
        <v>#REF!</v>
      </c>
      <c r="N80" s="120" t="e">
        <f t="shared" si="46"/>
        <v>#REF!</v>
      </c>
      <c r="O80" s="120" t="e">
        <f t="shared" si="46"/>
        <v>#REF!</v>
      </c>
      <c r="P80" s="120" t="e">
        <f t="shared" si="46"/>
        <v>#REF!</v>
      </c>
      <c r="Q80" s="120" t="e">
        <f t="shared" si="46"/>
        <v>#REF!</v>
      </c>
      <c r="R80" s="120" t="e">
        <f t="shared" si="46"/>
        <v>#REF!</v>
      </c>
      <c r="S80" s="120" t="e">
        <f t="shared" si="46"/>
        <v>#REF!</v>
      </c>
      <c r="T80" s="120" t="e">
        <f t="shared" si="46"/>
        <v>#REF!</v>
      </c>
      <c r="U80" s="120" t="e">
        <f t="shared" si="46"/>
        <v>#REF!</v>
      </c>
      <c r="V80" s="120" t="e">
        <f t="shared" si="46"/>
        <v>#REF!</v>
      </c>
      <c r="W80" s="120" t="e">
        <f t="shared" si="46"/>
        <v>#REF!</v>
      </c>
      <c r="X80" s="120" t="e">
        <f t="shared" si="46"/>
        <v>#REF!</v>
      </c>
      <c r="Y80" s="120" t="e">
        <f t="shared" si="46"/>
        <v>#REF!</v>
      </c>
      <c r="Z80" s="120" t="e">
        <f t="shared" si="46"/>
        <v>#REF!</v>
      </c>
      <c r="AA80" s="120" t="e">
        <f t="shared" si="46"/>
        <v>#REF!</v>
      </c>
      <c r="AB80" s="120" t="e">
        <f t="shared" si="46"/>
        <v>#REF!</v>
      </c>
      <c r="AC80" s="118"/>
      <c r="AD80" s="122" t="e">
        <f t="shared" ref="AD80:AJ80" si="47">SUM(AD77:AD79)</f>
        <v>#REF!</v>
      </c>
      <c r="AE80" s="122" t="e">
        <f t="shared" si="47"/>
        <v>#REF!</v>
      </c>
      <c r="AF80" s="122" t="e">
        <f t="shared" si="47"/>
        <v>#REF!</v>
      </c>
      <c r="AG80" s="122" t="e">
        <f t="shared" si="47"/>
        <v>#REF!</v>
      </c>
      <c r="AH80" s="122" t="e">
        <f t="shared" si="47"/>
        <v>#REF!</v>
      </c>
      <c r="AI80" s="122" t="e">
        <f t="shared" si="47"/>
        <v>#REF!</v>
      </c>
      <c r="AJ80" s="122" t="e">
        <f t="shared" si="47"/>
        <v>#REF!</v>
      </c>
      <c r="AK80" s="121"/>
      <c r="AL80" s="120" t="e">
        <f>SUM(AL77:AL79)</f>
        <v>#REF!</v>
      </c>
      <c r="AM80" s="120" t="e">
        <f>SUM(AM77:AM79)</f>
        <v>#REF!</v>
      </c>
      <c r="AN80" s="133"/>
      <c r="AO80" s="120" t="e">
        <f>SUM(AO77:AO79)</f>
        <v>#REF!</v>
      </c>
      <c r="AP80" s="120" t="e">
        <f>SUM(AP77:AP79)</f>
        <v>#REF!</v>
      </c>
    </row>
    <row r="82" spans="3:42" x14ac:dyDescent="0.45">
      <c r="C82" s="68" t="s">
        <v>903</v>
      </c>
      <c r="E82" s="118"/>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99"/>
      <c r="AE82" s="99"/>
      <c r="AF82" s="99"/>
      <c r="AG82" s="99"/>
      <c r="AH82" s="99"/>
      <c r="AI82" s="99"/>
      <c r="AJ82" s="99"/>
      <c r="AK82" s="118"/>
      <c r="AL82" s="125"/>
      <c r="AM82" s="125"/>
      <c r="AN82" s="132"/>
      <c r="AO82" s="125"/>
      <c r="AP82" s="125"/>
    </row>
    <row r="83" spans="3:42" x14ac:dyDescent="0.45">
      <c r="C83" s="106" t="s">
        <v>904</v>
      </c>
      <c r="D83" s="105" t="s">
        <v>877</v>
      </c>
      <c r="E83" s="130" t="e">
        <f>AVERAGE(H83:AC83)</f>
        <v>#REF!</v>
      </c>
      <c r="F83" s="130" t="e">
        <f>SUM(H83:AC83)</f>
        <v>#REF!</v>
      </c>
      <c r="G83" s="131"/>
      <c r="H83" s="130" t="e">
        <f>SUMIFS(#REF!,#REF!,$C$44,#REF!,$C$82,#REF!,$C83)</f>
        <v>#REF!</v>
      </c>
      <c r="I83" s="130" t="e">
        <f>SUMIFS(#REF!,#REF!,$C$44,#REF!,$C$82,#REF!,$C83)</f>
        <v>#REF!</v>
      </c>
      <c r="J83" s="130" t="e">
        <f>SUMIFS(#REF!,#REF!,$C$44,#REF!,$C$82,#REF!,$C83)</f>
        <v>#REF!</v>
      </c>
      <c r="K83" s="130" t="e">
        <f>SUMIFS(#REF!,#REF!,$C$44,#REF!,$C$82,#REF!,$C83)</f>
        <v>#REF!</v>
      </c>
      <c r="L83" s="130" t="e">
        <f>SUMIFS(#REF!,#REF!,$C$44,#REF!,$C$82,#REF!,$C83)</f>
        <v>#REF!</v>
      </c>
      <c r="M83" s="130" t="e">
        <f>SUMIFS(#REF!,#REF!,$C$44,#REF!,$C$82,#REF!,$C83)</f>
        <v>#REF!</v>
      </c>
      <c r="N83" s="130" t="e">
        <f>SUMIFS(#REF!,#REF!,$C$44,#REF!,$C$82,#REF!,$C83)</f>
        <v>#REF!</v>
      </c>
      <c r="O83" s="130" t="e">
        <f>SUMIFS(#REF!,#REF!,$C$44,#REF!,$C$82,#REF!,$C83)</f>
        <v>#REF!</v>
      </c>
      <c r="P83" s="130" t="e">
        <f>SUMIFS(#REF!,#REF!,$C$44,#REF!,$C$82,#REF!,$C83)</f>
        <v>#REF!</v>
      </c>
      <c r="Q83" s="130" t="e">
        <f>SUMIFS(#REF!,#REF!,$C$44,#REF!,$C$82,#REF!,$C83)</f>
        <v>#REF!</v>
      </c>
      <c r="R83" s="130" t="e">
        <f>SUMIFS(#REF!,#REF!,$C$44,#REF!,$C$82,#REF!,$C83)</f>
        <v>#REF!</v>
      </c>
      <c r="S83" s="130" t="e">
        <f>SUMIFS(#REF!,#REF!,$C$44,#REF!,$C$82,#REF!,$C83)</f>
        <v>#REF!</v>
      </c>
      <c r="T83" s="130" t="e">
        <f>SUMIFS(#REF!,#REF!,$C$44,#REF!,$C$82,#REF!,$C83)</f>
        <v>#REF!</v>
      </c>
      <c r="U83" s="130" t="e">
        <f>SUMIFS(#REF!,#REF!,$C$44,#REF!,$C$82,#REF!,$C83)</f>
        <v>#REF!</v>
      </c>
      <c r="V83" s="130" t="e">
        <f>SUMIFS(#REF!,#REF!,$C$44,#REF!,$C$82,#REF!,$C83)</f>
        <v>#REF!</v>
      </c>
      <c r="W83" s="130" t="e">
        <f>SUMIFS(#REF!,#REF!,$C$44,#REF!,$C$82,#REF!,$C83)</f>
        <v>#REF!</v>
      </c>
      <c r="X83" s="130" t="e">
        <f>SUMIFS(#REF!,#REF!,$C$44,#REF!,$C$82,#REF!,$C83)</f>
        <v>#REF!</v>
      </c>
      <c r="Y83" s="130" t="e">
        <f>SUMIFS(#REF!,#REF!,$C$44,#REF!,$C$82,#REF!,$C83)</f>
        <v>#REF!</v>
      </c>
      <c r="Z83" s="130" t="e">
        <f>SUMIFS(#REF!,#REF!,$C$44,#REF!,$C$82,#REF!,$C83)</f>
        <v>#REF!</v>
      </c>
      <c r="AA83" s="130" t="e">
        <f>SUMIFS(#REF!,#REF!,$C$44,#REF!,$C$82,#REF!,$C83)</f>
        <v>#REF!</v>
      </c>
      <c r="AB83" s="130" t="e">
        <f>SUMIFS(#REF!,#REF!,$C$44,#REF!,$C$82,#REF!,$C83)</f>
        <v>#REF!</v>
      </c>
      <c r="AC83" s="118"/>
      <c r="AD83" s="79" t="e">
        <f t="shared" ref="AD83:AJ83" si="48">+SUMIFS($E83:$AC83,$E$9:$AC$9,AD$9,$E$8:$AC$8,AD$8)</f>
        <v>#REF!</v>
      </c>
      <c r="AE83" s="79" t="e">
        <f t="shared" si="48"/>
        <v>#REF!</v>
      </c>
      <c r="AF83" s="79" t="e">
        <f t="shared" si="48"/>
        <v>#REF!</v>
      </c>
      <c r="AG83" s="79" t="e">
        <f t="shared" si="48"/>
        <v>#REF!</v>
      </c>
      <c r="AH83" s="79" t="e">
        <f t="shared" si="48"/>
        <v>#REF!</v>
      </c>
      <c r="AI83" s="79" t="e">
        <f t="shared" si="48"/>
        <v>#REF!</v>
      </c>
      <c r="AJ83" s="79" t="e">
        <f t="shared" si="48"/>
        <v>#REF!</v>
      </c>
      <c r="AK83" s="118"/>
      <c r="AL83" s="134" t="e">
        <f>+SUMIF($E$8:$AC$8,AL$8,$E83:$AC83)</f>
        <v>#REF!</v>
      </c>
      <c r="AM83" s="134" t="e">
        <f>+SUMIF($E$8:$AC$8,AM$8,$E83:$AC83)</f>
        <v>#REF!</v>
      </c>
      <c r="AN83" s="113" t="e">
        <f>AM83/$AM$91</f>
        <v>#REF!</v>
      </c>
      <c r="AO83" s="134" t="e">
        <f>+SUMIF($E$8:$AC$8,AO$8,$E83:$AC83)</f>
        <v>#REF!</v>
      </c>
      <c r="AP83" s="134" t="e">
        <f>+SUMIF($E$8:$AC$8,AP$8,$E83:$AC83)</f>
        <v>#REF!</v>
      </c>
    </row>
    <row r="84" spans="3:42" s="107" customFormat="1" x14ac:dyDescent="0.45">
      <c r="C84" s="49" t="s">
        <v>905</v>
      </c>
      <c r="D84" s="124" t="s">
        <v>877</v>
      </c>
      <c r="E84" s="120" t="e">
        <f>AVERAGE(H84:AC84)</f>
        <v>#REF!</v>
      </c>
      <c r="F84" s="120" t="e">
        <f>SUM(H84:AC84)</f>
        <v>#REF!</v>
      </c>
      <c r="G84" s="120"/>
      <c r="H84" s="120" t="e">
        <f t="shared" ref="H84:AB84" si="49">SUM(H83:H83)</f>
        <v>#REF!</v>
      </c>
      <c r="I84" s="120" t="e">
        <f t="shared" si="49"/>
        <v>#REF!</v>
      </c>
      <c r="J84" s="120" t="e">
        <f t="shared" si="49"/>
        <v>#REF!</v>
      </c>
      <c r="K84" s="120" t="e">
        <f t="shared" si="49"/>
        <v>#REF!</v>
      </c>
      <c r="L84" s="120" t="e">
        <f t="shared" si="49"/>
        <v>#REF!</v>
      </c>
      <c r="M84" s="120" t="e">
        <f t="shared" si="49"/>
        <v>#REF!</v>
      </c>
      <c r="N84" s="120" t="e">
        <f t="shared" si="49"/>
        <v>#REF!</v>
      </c>
      <c r="O84" s="120" t="e">
        <f t="shared" si="49"/>
        <v>#REF!</v>
      </c>
      <c r="P84" s="120" t="e">
        <f t="shared" si="49"/>
        <v>#REF!</v>
      </c>
      <c r="Q84" s="120" t="e">
        <f t="shared" si="49"/>
        <v>#REF!</v>
      </c>
      <c r="R84" s="120" t="e">
        <f t="shared" si="49"/>
        <v>#REF!</v>
      </c>
      <c r="S84" s="120" t="e">
        <f t="shared" si="49"/>
        <v>#REF!</v>
      </c>
      <c r="T84" s="120" t="e">
        <f t="shared" si="49"/>
        <v>#REF!</v>
      </c>
      <c r="U84" s="120" t="e">
        <f t="shared" si="49"/>
        <v>#REF!</v>
      </c>
      <c r="V84" s="120" t="e">
        <f t="shared" si="49"/>
        <v>#REF!</v>
      </c>
      <c r="W84" s="120" t="e">
        <f t="shared" si="49"/>
        <v>#REF!</v>
      </c>
      <c r="X84" s="120" t="e">
        <f t="shared" si="49"/>
        <v>#REF!</v>
      </c>
      <c r="Y84" s="120" t="e">
        <f t="shared" si="49"/>
        <v>#REF!</v>
      </c>
      <c r="Z84" s="120" t="e">
        <f t="shared" si="49"/>
        <v>#REF!</v>
      </c>
      <c r="AA84" s="120" t="e">
        <f t="shared" si="49"/>
        <v>#REF!</v>
      </c>
      <c r="AB84" s="120" t="e">
        <f t="shared" si="49"/>
        <v>#REF!</v>
      </c>
      <c r="AC84" s="118"/>
      <c r="AD84" s="122" t="e">
        <f t="shared" ref="AD84:AJ84" si="50">SUM(AD83)</f>
        <v>#REF!</v>
      </c>
      <c r="AE84" s="122" t="e">
        <f t="shared" si="50"/>
        <v>#REF!</v>
      </c>
      <c r="AF84" s="122" t="e">
        <f t="shared" si="50"/>
        <v>#REF!</v>
      </c>
      <c r="AG84" s="122" t="e">
        <f t="shared" si="50"/>
        <v>#REF!</v>
      </c>
      <c r="AH84" s="122" t="e">
        <f t="shared" si="50"/>
        <v>#REF!</v>
      </c>
      <c r="AI84" s="122" t="e">
        <f t="shared" si="50"/>
        <v>#REF!</v>
      </c>
      <c r="AJ84" s="122" t="e">
        <f t="shared" si="50"/>
        <v>#REF!</v>
      </c>
      <c r="AK84" s="121"/>
      <c r="AL84" s="120" t="e">
        <f>SUM(AL83)</f>
        <v>#REF!</v>
      </c>
      <c r="AM84" s="120" t="e">
        <f>SUM(AM83)</f>
        <v>#REF!</v>
      </c>
      <c r="AN84" s="133"/>
      <c r="AO84" s="120" t="e">
        <f>SUM(AO83)</f>
        <v>#REF!</v>
      </c>
      <c r="AP84" s="120" t="e">
        <f>SUM(AP83)</f>
        <v>#REF!</v>
      </c>
    </row>
    <row r="85" spans="3:42" x14ac:dyDescent="0.45">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99"/>
      <c r="AE85" s="99"/>
      <c r="AF85" s="99"/>
      <c r="AG85" s="99"/>
      <c r="AH85" s="99"/>
      <c r="AI85" s="99"/>
      <c r="AJ85" s="99"/>
      <c r="AK85" s="118"/>
      <c r="AL85" s="125"/>
      <c r="AM85" s="125"/>
      <c r="AN85" s="132"/>
      <c r="AO85" s="125"/>
      <c r="AP85" s="125"/>
    </row>
    <row r="86" spans="3:42" x14ac:dyDescent="0.45">
      <c r="C86" s="68" t="s">
        <v>897</v>
      </c>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99"/>
      <c r="AE86" s="99"/>
      <c r="AF86" s="99"/>
      <c r="AG86" s="99"/>
      <c r="AH86" s="99"/>
      <c r="AI86" s="99"/>
      <c r="AJ86" s="99"/>
      <c r="AK86" s="118"/>
      <c r="AL86" s="125"/>
      <c r="AM86" s="125"/>
      <c r="AN86" s="132"/>
      <c r="AO86" s="125"/>
      <c r="AP86" s="125"/>
    </row>
    <row r="87" spans="3:42" x14ac:dyDescent="0.45">
      <c r="C87" s="106" t="s">
        <v>898</v>
      </c>
      <c r="D87" s="105" t="s">
        <v>877</v>
      </c>
      <c r="E87" s="130" t="e">
        <f>AVERAGE(H87:AC87)</f>
        <v>#REF!</v>
      </c>
      <c r="F87" s="130" t="e">
        <f>SUM(H87:AC87)</f>
        <v>#REF!</v>
      </c>
      <c r="G87" s="131"/>
      <c r="H87" s="130" t="e">
        <f>SUMIFS(#REF!,#REF!,$C$44,#REF!,$C$86,#REF!,$C87)</f>
        <v>#REF!</v>
      </c>
      <c r="I87" s="130" t="e">
        <f>SUMIFS(#REF!,#REF!,$C$44,#REF!,$C$86,#REF!,$C87)</f>
        <v>#REF!</v>
      </c>
      <c r="J87" s="130" t="e">
        <f>SUMIFS(#REF!,#REF!,$C$44,#REF!,$C$86,#REF!,$C87)</f>
        <v>#REF!</v>
      </c>
      <c r="K87" s="130" t="e">
        <f>SUMIFS(#REF!,#REF!,$C$44,#REF!,$C$86,#REF!,$C87)</f>
        <v>#REF!</v>
      </c>
      <c r="L87" s="130" t="e">
        <f>SUMIFS(#REF!,#REF!,$C$44,#REF!,$C$86,#REF!,$C87)</f>
        <v>#REF!</v>
      </c>
      <c r="M87" s="130" t="e">
        <f>SUMIFS(#REF!,#REF!,$C$44,#REF!,$C$86,#REF!,$C87)</f>
        <v>#REF!</v>
      </c>
      <c r="N87" s="130" t="e">
        <f>SUMIFS(#REF!,#REF!,$C$44,#REF!,$C$86,#REF!,$C87)</f>
        <v>#REF!</v>
      </c>
      <c r="O87" s="130" t="e">
        <f>SUMIFS(#REF!,#REF!,$C$44,#REF!,$C$86,#REF!,$C87)</f>
        <v>#REF!</v>
      </c>
      <c r="P87" s="130" t="e">
        <f>SUMIFS(#REF!,#REF!,$C$44,#REF!,$C$86,#REF!,$C87)</f>
        <v>#REF!</v>
      </c>
      <c r="Q87" s="130" t="e">
        <f>SUMIFS(#REF!,#REF!,$C$44,#REF!,$C$86,#REF!,$C87)</f>
        <v>#REF!</v>
      </c>
      <c r="R87" s="130" t="e">
        <f>SUMIFS(#REF!,#REF!,$C$44,#REF!,$C$86,#REF!,$C87)</f>
        <v>#REF!</v>
      </c>
      <c r="S87" s="130" t="e">
        <f>SUMIFS(#REF!,#REF!,$C$44,#REF!,$C$86,#REF!,$C87)</f>
        <v>#REF!</v>
      </c>
      <c r="T87" s="130" t="e">
        <f>SUMIFS(#REF!,#REF!,$C$44,#REF!,$C$86,#REF!,$C87)</f>
        <v>#REF!</v>
      </c>
      <c r="U87" s="130" t="e">
        <f>SUMIFS(#REF!,#REF!,$C$44,#REF!,$C$86,#REF!,$C87)</f>
        <v>#REF!</v>
      </c>
      <c r="V87" s="130" t="e">
        <f>SUMIFS(#REF!,#REF!,$C$44,#REF!,$C$86,#REF!,$C87)</f>
        <v>#REF!</v>
      </c>
      <c r="W87" s="130" t="e">
        <f>SUMIFS(#REF!,#REF!,$C$44,#REF!,$C$86,#REF!,$C87)</f>
        <v>#REF!</v>
      </c>
      <c r="X87" s="130" t="e">
        <f>SUMIFS(#REF!,#REF!,$C$44,#REF!,$C$86,#REF!,$C87)</f>
        <v>#REF!</v>
      </c>
      <c r="Y87" s="130" t="e">
        <f>SUMIFS(#REF!,#REF!,$C$44,#REF!,$C$86,#REF!,$C87)</f>
        <v>#REF!</v>
      </c>
      <c r="Z87" s="130" t="e">
        <f>SUMIFS(#REF!,#REF!,$C$44,#REF!,$C$86,#REF!,$C87)</f>
        <v>#REF!</v>
      </c>
      <c r="AA87" s="130" t="e">
        <f>SUMIFS(#REF!,#REF!,$C$44,#REF!,$C$86,#REF!,$C87)</f>
        <v>#REF!</v>
      </c>
      <c r="AB87" s="130" t="e">
        <f>SUMIFS(#REF!,#REF!,$C$44,#REF!,$C$86,#REF!,$C87)</f>
        <v>#REF!</v>
      </c>
      <c r="AC87" s="118"/>
      <c r="AD87" s="110" t="e">
        <f t="shared" ref="AD87:AJ88" si="51">+SUMIFS($E87:$AC87,$E$9:$AC$9,AD$9,$E$8:$AC$8,AD$8)</f>
        <v>#REF!</v>
      </c>
      <c r="AE87" s="110" t="e">
        <f t="shared" si="51"/>
        <v>#REF!</v>
      </c>
      <c r="AF87" s="110" t="e">
        <f t="shared" si="51"/>
        <v>#REF!</v>
      </c>
      <c r="AG87" s="110" t="e">
        <f t="shared" si="51"/>
        <v>#REF!</v>
      </c>
      <c r="AH87" s="110" t="e">
        <f t="shared" si="51"/>
        <v>#REF!</v>
      </c>
      <c r="AI87" s="110" t="e">
        <f t="shared" si="51"/>
        <v>#REF!</v>
      </c>
      <c r="AJ87" s="110" t="e">
        <f t="shared" si="51"/>
        <v>#REF!</v>
      </c>
      <c r="AK87" s="118"/>
      <c r="AL87" s="130" t="e">
        <f>+SUMIF($E$8:$AC$8,AL$8,$E87:$AC87)</f>
        <v>#REF!</v>
      </c>
      <c r="AM87" s="130" t="e">
        <f>+SUMIF($E$8:$AC$8,AM$8,$E87:$AC87)</f>
        <v>#REF!</v>
      </c>
      <c r="AN87" s="113" t="e">
        <f>AM87/$AM$91</f>
        <v>#REF!</v>
      </c>
      <c r="AO87" s="130" t="e">
        <f>+SUMIF($E$8:$AC$8,AO$8,$E87:$AC87)</f>
        <v>#REF!</v>
      </c>
      <c r="AP87" s="130" t="e">
        <f>+SUMIF($E$8:$AC$8,AP$8,$E87:$AC87)</f>
        <v>#REF!</v>
      </c>
    </row>
    <row r="88" spans="3:42" x14ac:dyDescent="0.45">
      <c r="C88" s="102" t="s">
        <v>502</v>
      </c>
      <c r="D88" s="75" t="s">
        <v>877</v>
      </c>
      <c r="E88" s="128" t="e">
        <f>AVERAGE(H88:AC88)</f>
        <v>#REF!</v>
      </c>
      <c r="F88" s="128" t="e">
        <f>SUM(H88:AC88)</f>
        <v>#REF!</v>
      </c>
      <c r="G88" s="129"/>
      <c r="H88" s="128" t="e">
        <f>SUMIFS(#REF!,#REF!,$C$44,#REF!,$C$86,#REF!,$C88)</f>
        <v>#REF!</v>
      </c>
      <c r="I88" s="128" t="e">
        <f>SUMIFS(#REF!,#REF!,$C$44,#REF!,$C$86,#REF!,$C88)</f>
        <v>#REF!</v>
      </c>
      <c r="J88" s="128" t="e">
        <f>SUMIFS(#REF!,#REF!,$C$44,#REF!,$C$86,#REF!,$C88)</f>
        <v>#REF!</v>
      </c>
      <c r="K88" s="128" t="e">
        <f>SUMIFS(#REF!,#REF!,$C$44,#REF!,$C$86,#REF!,$C88)</f>
        <v>#REF!</v>
      </c>
      <c r="L88" s="128" t="e">
        <f>SUMIFS(#REF!,#REF!,$C$44,#REF!,$C$86,#REF!,$C88)</f>
        <v>#REF!</v>
      </c>
      <c r="M88" s="128" t="e">
        <f>SUMIFS(#REF!,#REF!,$C$44,#REF!,$C$86,#REF!,$C88)</f>
        <v>#REF!</v>
      </c>
      <c r="N88" s="128" t="e">
        <f>SUMIFS(#REF!,#REF!,$C$44,#REF!,$C$86,#REF!,$C88)</f>
        <v>#REF!</v>
      </c>
      <c r="O88" s="128" t="e">
        <f>SUMIFS(#REF!,#REF!,$C$44,#REF!,$C$86,#REF!,$C88)</f>
        <v>#REF!</v>
      </c>
      <c r="P88" s="128" t="e">
        <f>SUMIFS(#REF!,#REF!,$C$44,#REF!,$C$86,#REF!,$C88)</f>
        <v>#REF!</v>
      </c>
      <c r="Q88" s="128" t="e">
        <f>SUMIFS(#REF!,#REF!,$C$44,#REF!,$C$86,#REF!,$C88)</f>
        <v>#REF!</v>
      </c>
      <c r="R88" s="128" t="e">
        <f>SUMIFS(#REF!,#REF!,$C$44,#REF!,$C$86,#REF!,$C88)</f>
        <v>#REF!</v>
      </c>
      <c r="S88" s="128" t="e">
        <f>SUMIFS(#REF!,#REF!,$C$44,#REF!,$C$86,#REF!,$C88)</f>
        <v>#REF!</v>
      </c>
      <c r="T88" s="128" t="e">
        <f>SUMIFS(#REF!,#REF!,$C$44,#REF!,$C$86,#REF!,$C88)</f>
        <v>#REF!</v>
      </c>
      <c r="U88" s="128" t="e">
        <f>SUMIFS(#REF!,#REF!,$C$44,#REF!,$C$86,#REF!,$C88)</f>
        <v>#REF!</v>
      </c>
      <c r="V88" s="128" t="e">
        <f>SUMIFS(#REF!,#REF!,$C$44,#REF!,$C$86,#REF!,$C88)</f>
        <v>#REF!</v>
      </c>
      <c r="W88" s="128" t="e">
        <f>SUMIFS(#REF!,#REF!,$C$44,#REF!,$C$86,#REF!,$C88)</f>
        <v>#REF!</v>
      </c>
      <c r="X88" s="128" t="e">
        <f>SUMIFS(#REF!,#REF!,$C$44,#REF!,$C$86,#REF!,$C88)</f>
        <v>#REF!</v>
      </c>
      <c r="Y88" s="128" t="e">
        <f>SUMIFS(#REF!,#REF!,$C$44,#REF!,$C$86,#REF!,$C88)</f>
        <v>#REF!</v>
      </c>
      <c r="Z88" s="128" t="e">
        <f>SUMIFS(#REF!,#REF!,$C$44,#REF!,$C$86,#REF!,$C88)</f>
        <v>#REF!</v>
      </c>
      <c r="AA88" s="128" t="e">
        <f>SUMIFS(#REF!,#REF!,$C$44,#REF!,$C$86,#REF!,$C88)</f>
        <v>#REF!</v>
      </c>
      <c r="AB88" s="128" t="e">
        <f>SUMIFS(#REF!,#REF!,$C$44,#REF!,$C$86,#REF!,$C88)</f>
        <v>#REF!</v>
      </c>
      <c r="AC88" s="118"/>
      <c r="AD88" s="127" t="e">
        <f t="shared" si="51"/>
        <v>#REF!</v>
      </c>
      <c r="AE88" s="127" t="e">
        <f t="shared" si="51"/>
        <v>#REF!</v>
      </c>
      <c r="AF88" s="127" t="e">
        <f t="shared" si="51"/>
        <v>#REF!</v>
      </c>
      <c r="AG88" s="127" t="e">
        <f t="shared" si="51"/>
        <v>#REF!</v>
      </c>
      <c r="AH88" s="127" t="e">
        <f t="shared" si="51"/>
        <v>#REF!</v>
      </c>
      <c r="AI88" s="127" t="e">
        <f t="shared" si="51"/>
        <v>#REF!</v>
      </c>
      <c r="AJ88" s="127" t="e">
        <f t="shared" si="51"/>
        <v>#REF!</v>
      </c>
      <c r="AK88" s="118"/>
      <c r="AL88" s="126" t="e">
        <f>+SUMIF($E$8:$AC$8,AL$8,$E88:$AC88)</f>
        <v>#REF!</v>
      </c>
      <c r="AM88" s="126" t="e">
        <f>+SUMIF($E$8:$AC$8,AM$8,$E88:$AC88)</f>
        <v>#REF!</v>
      </c>
      <c r="AN88" s="113" t="e">
        <f>AM88/$AM$91</f>
        <v>#REF!</v>
      </c>
      <c r="AO88" s="126" t="e">
        <f>+SUMIF($E$8:$AC$8,AO$8,$E88:$AC88)</f>
        <v>#REF!</v>
      </c>
      <c r="AP88" s="126" t="e">
        <f>+SUMIF($E$8:$AC$8,AP$8,$E88:$AC88)</f>
        <v>#REF!</v>
      </c>
    </row>
    <row r="89" spans="3:42" s="107" customFormat="1" x14ac:dyDescent="0.45">
      <c r="C89" s="49" t="s">
        <v>906</v>
      </c>
      <c r="D89" s="124" t="s">
        <v>877</v>
      </c>
      <c r="E89" s="120" t="e">
        <f>AVERAGE(H89:AC89)</f>
        <v>#REF!</v>
      </c>
      <c r="F89" s="120" t="e">
        <f>SUM(H89:AC89)</f>
        <v>#REF!</v>
      </c>
      <c r="G89" s="120"/>
      <c r="H89" s="120" t="e">
        <f t="shared" ref="H89:AB89" si="52">SUM(H87:H88)</f>
        <v>#REF!</v>
      </c>
      <c r="I89" s="120" t="e">
        <f t="shared" si="52"/>
        <v>#REF!</v>
      </c>
      <c r="J89" s="120" t="e">
        <f t="shared" si="52"/>
        <v>#REF!</v>
      </c>
      <c r="K89" s="120" t="e">
        <f t="shared" si="52"/>
        <v>#REF!</v>
      </c>
      <c r="L89" s="120" t="e">
        <f t="shared" si="52"/>
        <v>#REF!</v>
      </c>
      <c r="M89" s="120" t="e">
        <f t="shared" si="52"/>
        <v>#REF!</v>
      </c>
      <c r="N89" s="120" t="e">
        <f t="shared" si="52"/>
        <v>#REF!</v>
      </c>
      <c r="O89" s="120" t="e">
        <f t="shared" si="52"/>
        <v>#REF!</v>
      </c>
      <c r="P89" s="120" t="e">
        <f t="shared" si="52"/>
        <v>#REF!</v>
      </c>
      <c r="Q89" s="120" t="e">
        <f t="shared" si="52"/>
        <v>#REF!</v>
      </c>
      <c r="R89" s="120" t="e">
        <f t="shared" si="52"/>
        <v>#REF!</v>
      </c>
      <c r="S89" s="120" t="e">
        <f t="shared" si="52"/>
        <v>#REF!</v>
      </c>
      <c r="T89" s="120" t="e">
        <f t="shared" si="52"/>
        <v>#REF!</v>
      </c>
      <c r="U89" s="120" t="e">
        <f t="shared" si="52"/>
        <v>#REF!</v>
      </c>
      <c r="V89" s="120" t="e">
        <f t="shared" si="52"/>
        <v>#REF!</v>
      </c>
      <c r="W89" s="120" t="e">
        <f t="shared" si="52"/>
        <v>#REF!</v>
      </c>
      <c r="X89" s="120" t="e">
        <f t="shared" si="52"/>
        <v>#REF!</v>
      </c>
      <c r="Y89" s="120" t="e">
        <f t="shared" si="52"/>
        <v>#REF!</v>
      </c>
      <c r="Z89" s="120" t="e">
        <f t="shared" si="52"/>
        <v>#REF!</v>
      </c>
      <c r="AA89" s="120" t="e">
        <f t="shared" si="52"/>
        <v>#REF!</v>
      </c>
      <c r="AB89" s="120" t="e">
        <f t="shared" si="52"/>
        <v>#REF!</v>
      </c>
      <c r="AC89" s="118"/>
      <c r="AD89" s="122" t="e">
        <f t="shared" ref="AD89:AJ89" si="53">SUM(AD87:AD88)</f>
        <v>#REF!</v>
      </c>
      <c r="AE89" s="122" t="e">
        <f t="shared" si="53"/>
        <v>#REF!</v>
      </c>
      <c r="AF89" s="122" t="e">
        <f t="shared" si="53"/>
        <v>#REF!</v>
      </c>
      <c r="AG89" s="122" t="e">
        <f t="shared" si="53"/>
        <v>#REF!</v>
      </c>
      <c r="AH89" s="122" t="e">
        <f t="shared" si="53"/>
        <v>#REF!</v>
      </c>
      <c r="AI89" s="122" t="e">
        <f t="shared" si="53"/>
        <v>#REF!</v>
      </c>
      <c r="AJ89" s="122" t="e">
        <f t="shared" si="53"/>
        <v>#REF!</v>
      </c>
      <c r="AK89" s="121"/>
      <c r="AL89" s="120" t="e">
        <f>SUM(AL87:AL88)</f>
        <v>#REF!</v>
      </c>
      <c r="AM89" s="120" t="e">
        <f>SUM(AM87:AM88)</f>
        <v>#REF!</v>
      </c>
      <c r="AN89" s="121"/>
      <c r="AO89" s="120" t="e">
        <f>SUM(AO87:AO88)</f>
        <v>#REF!</v>
      </c>
      <c r="AP89" s="120" t="e">
        <f>SUM(AP87:AP88)</f>
        <v>#REF!</v>
      </c>
    </row>
    <row r="90" spans="3:42" x14ac:dyDescent="0.45">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99"/>
      <c r="AE90" s="99"/>
      <c r="AF90" s="99"/>
      <c r="AG90" s="99"/>
      <c r="AH90" s="99"/>
      <c r="AI90" s="99"/>
      <c r="AJ90" s="99"/>
      <c r="AK90" s="118"/>
      <c r="AL90" s="125"/>
      <c r="AM90" s="125"/>
      <c r="AN90" s="118"/>
      <c r="AO90" s="125"/>
      <c r="AP90" s="125"/>
    </row>
    <row r="91" spans="3:42" s="107" customFormat="1" x14ac:dyDescent="0.45">
      <c r="C91" s="49" t="s">
        <v>845</v>
      </c>
      <c r="D91" s="124" t="s">
        <v>877</v>
      </c>
      <c r="E91" s="120"/>
      <c r="F91" s="120" t="e">
        <f>SUM(H91:AC91)</f>
        <v>#REF!</v>
      </c>
      <c r="G91" s="123"/>
      <c r="H91" s="120" t="e">
        <f t="shared" ref="H91:AB91" si="54">SUM(H89,H84,H80,H74,H69,H64,H57)</f>
        <v>#REF!</v>
      </c>
      <c r="I91" s="120" t="e">
        <f t="shared" si="54"/>
        <v>#REF!</v>
      </c>
      <c r="J91" s="120" t="e">
        <f t="shared" si="54"/>
        <v>#REF!</v>
      </c>
      <c r="K91" s="120" t="e">
        <f t="shared" si="54"/>
        <v>#REF!</v>
      </c>
      <c r="L91" s="120" t="e">
        <f t="shared" si="54"/>
        <v>#REF!</v>
      </c>
      <c r="M91" s="120" t="e">
        <f t="shared" si="54"/>
        <v>#REF!</v>
      </c>
      <c r="N91" s="120" t="e">
        <f t="shared" si="54"/>
        <v>#REF!</v>
      </c>
      <c r="O91" s="120" t="e">
        <f t="shared" si="54"/>
        <v>#REF!</v>
      </c>
      <c r="P91" s="120" t="e">
        <f t="shared" si="54"/>
        <v>#REF!</v>
      </c>
      <c r="Q91" s="120" t="e">
        <f t="shared" si="54"/>
        <v>#REF!</v>
      </c>
      <c r="R91" s="120" t="e">
        <f t="shared" si="54"/>
        <v>#REF!</v>
      </c>
      <c r="S91" s="120" t="e">
        <f t="shared" si="54"/>
        <v>#REF!</v>
      </c>
      <c r="T91" s="120" t="e">
        <f t="shared" si="54"/>
        <v>#REF!</v>
      </c>
      <c r="U91" s="120" t="e">
        <f t="shared" si="54"/>
        <v>#REF!</v>
      </c>
      <c r="V91" s="120" t="e">
        <f t="shared" si="54"/>
        <v>#REF!</v>
      </c>
      <c r="W91" s="120" t="e">
        <f t="shared" si="54"/>
        <v>#REF!</v>
      </c>
      <c r="X91" s="120" t="e">
        <f t="shared" si="54"/>
        <v>#REF!</v>
      </c>
      <c r="Y91" s="120" t="e">
        <f t="shared" si="54"/>
        <v>#REF!</v>
      </c>
      <c r="Z91" s="120" t="e">
        <f t="shared" si="54"/>
        <v>#REF!</v>
      </c>
      <c r="AA91" s="120" t="e">
        <f t="shared" si="54"/>
        <v>#REF!</v>
      </c>
      <c r="AB91" s="120" t="e">
        <f t="shared" si="54"/>
        <v>#REF!</v>
      </c>
      <c r="AC91" s="118"/>
      <c r="AD91" s="122" t="e">
        <f t="shared" ref="AD91:AJ91" si="55">SUM(AD89,AD84,AD80,AD74,AD69,AD64,AD57)</f>
        <v>#REF!</v>
      </c>
      <c r="AE91" s="122" t="e">
        <f t="shared" si="55"/>
        <v>#REF!</v>
      </c>
      <c r="AF91" s="122" t="e">
        <f t="shared" si="55"/>
        <v>#REF!</v>
      </c>
      <c r="AG91" s="122" t="e">
        <f t="shared" si="55"/>
        <v>#REF!</v>
      </c>
      <c r="AH91" s="122" t="e">
        <f t="shared" si="55"/>
        <v>#REF!</v>
      </c>
      <c r="AI91" s="122" t="e">
        <f t="shared" si="55"/>
        <v>#REF!</v>
      </c>
      <c r="AJ91" s="122" t="e">
        <f t="shared" si="55"/>
        <v>#REF!</v>
      </c>
      <c r="AK91" s="121"/>
      <c r="AL91" s="120" t="e">
        <f>SUM(AL89,AL84,AL80,AL74,AL69,AL64,AL57)</f>
        <v>#REF!</v>
      </c>
      <c r="AM91" s="120" t="e">
        <f>SUM(AM89,AM84,AM80,AM74,AM69,AM64,AM57)</f>
        <v>#REF!</v>
      </c>
      <c r="AN91" s="121"/>
      <c r="AO91" s="120" t="e">
        <f>SUM(AO89,AO84,AO80,AO74,AO69,AO64,AO57)</f>
        <v>#REF!</v>
      </c>
      <c r="AP91" s="120" t="e">
        <f>SUM(AP89,AP84,AP80,AP74,AP69,AP64,AP57)</f>
        <v>#REF!</v>
      </c>
    </row>
    <row r="92" spans="3:42" x14ac:dyDescent="0.45">
      <c r="C92" s="100" t="s">
        <v>1</v>
      </c>
      <c r="D92" s="100"/>
      <c r="E92" s="119"/>
      <c r="F92" s="117" t="e">
        <f>SUM(H92:AC92)</f>
        <v>#REF!</v>
      </c>
      <c r="G92" s="119"/>
      <c r="H92" s="117" t="e">
        <f>'Managerial Consolidated'!#REF!+H91</f>
        <v>#REF!</v>
      </c>
      <c r="I92" s="117" t="e">
        <f>'Managerial Consolidated'!#REF!+I91</f>
        <v>#REF!</v>
      </c>
      <c r="J92" s="117" t="e">
        <f>'Managerial Consolidated'!#REF!+J91</f>
        <v>#REF!</v>
      </c>
      <c r="K92" s="117" t="e">
        <f>'Managerial Consolidated'!#REF!+K91</f>
        <v>#REF!</v>
      </c>
      <c r="L92" s="117" t="e">
        <f>'Managerial Consolidated'!#REF!+L91</f>
        <v>#REF!</v>
      </c>
      <c r="M92" s="117" t="e">
        <f>'Managerial Consolidated'!#REF!+M91</f>
        <v>#REF!</v>
      </c>
      <c r="N92" s="117" t="e">
        <f>'Managerial Consolidated'!#REF!+N91</f>
        <v>#REF!</v>
      </c>
      <c r="O92" s="117" t="e">
        <f>'Managerial Consolidated'!#REF!+O91</f>
        <v>#REF!</v>
      </c>
      <c r="P92" s="117" t="e">
        <f>'Managerial Consolidated'!#REF!+P91</f>
        <v>#REF!</v>
      </c>
      <c r="Q92" s="117" t="e">
        <f>'Managerial Consolidated'!#REF!+Q91</f>
        <v>#REF!</v>
      </c>
      <c r="R92" s="117" t="e">
        <f>'Managerial Consolidated'!#REF!+R91</f>
        <v>#REF!</v>
      </c>
      <c r="S92" s="117" t="e">
        <f>'Managerial Consolidated'!#REF!+S91</f>
        <v>#REF!</v>
      </c>
      <c r="T92" s="117" t="e">
        <f>'Managerial Consolidated'!#REF!+T91</f>
        <v>#REF!</v>
      </c>
      <c r="U92" s="117" t="e">
        <f>'Managerial Consolidated'!#REF!+U91</f>
        <v>#REF!</v>
      </c>
      <c r="V92" s="117" t="e">
        <f>'Managerial Consolidated'!#REF!+V91</f>
        <v>#REF!</v>
      </c>
      <c r="W92" s="117" t="e">
        <f>'Managerial Consolidated'!#REF!+W91</f>
        <v>#REF!</v>
      </c>
      <c r="X92" s="117" t="e">
        <f>'Managerial Consolidated'!#REF!+X91</f>
        <v>#REF!</v>
      </c>
      <c r="Y92" s="117" t="e">
        <f>'Managerial Consolidated'!#REF!+Y91</f>
        <v>#REF!</v>
      </c>
      <c r="Z92" s="117" t="e">
        <f>'Managerial Consolidated'!#REF!+Z91</f>
        <v>#REF!</v>
      </c>
      <c r="AA92" s="117" t="e">
        <f>'Managerial Consolidated'!#REF!+AA91</f>
        <v>#REF!</v>
      </c>
      <c r="AB92" s="117" t="e">
        <f>'Managerial Consolidated'!#REF!+AB91</f>
        <v>#REF!</v>
      </c>
      <c r="AC92" s="118"/>
      <c r="AD92" s="117" t="e">
        <f>'Managerial Consolidated'!#REF!+AD91</f>
        <v>#REF!</v>
      </c>
      <c r="AE92" s="117" t="e">
        <f>'Managerial Consolidated'!#REF!+AE91</f>
        <v>#REF!</v>
      </c>
      <c r="AF92" s="117" t="e">
        <f>'Managerial Consolidated'!#REF!+AF91</f>
        <v>#REF!</v>
      </c>
      <c r="AG92" s="117" t="e">
        <f>'Managerial Consolidated'!#REF!+AG91</f>
        <v>#REF!</v>
      </c>
      <c r="AH92" s="117" t="e">
        <f>'Managerial Consolidated'!#REF!+AH91</f>
        <v>#REF!</v>
      </c>
      <c r="AI92" s="117" t="e">
        <f>'Managerial Consolidated'!#REF!+AI91</f>
        <v>#REF!</v>
      </c>
      <c r="AJ92" s="117" t="e">
        <f>'Managerial Consolidated'!#REF!+AJ91</f>
        <v>#REF!</v>
      </c>
      <c r="AK92" s="117"/>
      <c r="AL92" s="117" t="e">
        <f>'Managerial Consolidated'!#REF!+AL91</f>
        <v>#REF!</v>
      </c>
      <c r="AM92" s="117" t="e">
        <f>'Managerial Consolidated'!BB18+AM91</f>
        <v>#REF!</v>
      </c>
      <c r="AN92" s="117"/>
      <c r="AO92" s="117"/>
      <c r="AP92" s="117"/>
    </row>
  </sheetData>
  <mergeCells count="14">
    <mergeCell ref="AT47:AT54"/>
    <mergeCell ref="AS55:AS57"/>
    <mergeCell ref="AS58:AS59"/>
    <mergeCell ref="AS60:AS62"/>
    <mergeCell ref="AS63:AS64"/>
    <mergeCell ref="AT63:AT64"/>
    <mergeCell ref="AT60:AT62"/>
    <mergeCell ref="AT58:AT59"/>
    <mergeCell ref="AT55:AT57"/>
    <mergeCell ref="AR16:AR21"/>
    <mergeCell ref="AS16:AS21"/>
    <mergeCell ref="AR22:AR24"/>
    <mergeCell ref="AS22:AS24"/>
    <mergeCell ref="AS47:AS5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3</vt:i4>
      </vt:variant>
    </vt:vector>
  </HeadingPairs>
  <TitlesOfParts>
    <vt:vector size="17" baseType="lpstr">
      <vt:lpstr>Validations</vt:lpstr>
      <vt:lpstr>Cover</vt:lpstr>
      <vt:lpstr>Hoja1</vt:lpstr>
      <vt:lpstr>Scenarios</vt:lpstr>
      <vt:lpstr>Data BASE</vt:lpstr>
      <vt:lpstr>Managerial Consolidated</vt:lpstr>
      <vt:lpstr>VCN Board View (Budget) </vt:lpstr>
      <vt:lpstr>VCN Board View (Details) Nuevo</vt:lpstr>
      <vt:lpstr>Board Tabs Outputs</vt:lpstr>
      <vt:lpstr>Inputs</vt:lpstr>
      <vt:lpstr>Rentas Budget</vt:lpstr>
      <vt:lpstr>Proyectos no ejecutados</vt:lpstr>
      <vt:lpstr>Mapping</vt:lpstr>
      <vt:lpstr>SG&amp;A &amp; OPEX</vt:lpstr>
      <vt:lpstr>Month</vt:lpstr>
      <vt:lpstr>Quarters</vt:lpstr>
      <vt:lpstr>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Ruvalcaba Pulido</dc:creator>
  <cp:keywords/>
  <dc:description/>
  <cp:lastModifiedBy>Alma Karina Nájera Arenas</cp:lastModifiedBy>
  <cp:revision/>
  <dcterms:created xsi:type="dcterms:W3CDTF">2024-01-30T19:38:38Z</dcterms:created>
  <dcterms:modified xsi:type="dcterms:W3CDTF">2026-06-01T23:19:02Z</dcterms:modified>
  <cp:category/>
  <cp:contentStatus/>
</cp:coreProperties>
</file>